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181487\Downloads\"/>
    </mc:Choice>
  </mc:AlternateContent>
  <xr:revisionPtr revIDLastSave="0" documentId="13_ncr:1_{503B8201-3BD1-494C-BAEA-E19998599A41}" xr6:coauthVersionLast="47" xr6:coauthVersionMax="47" xr10:uidLastSave="{00000000-0000-0000-0000-000000000000}"/>
  <bookViews>
    <workbookView xWindow="-110" yWindow="-110" windowWidth="19420" windowHeight="10300" tabRatio="899" xr2:uid="{00000000-000D-0000-FFFF-FFFF00000000}"/>
  </bookViews>
  <sheets>
    <sheet name="2026 JAN-APR SHARP PRICE- 3321" sheetId="160" r:id="rId1"/>
    <sheet name="2026 BAMUS D60 - 3321" sheetId="150" r:id="rId2"/>
    <sheet name="2026 HILITE D30 -3321" sheetId="153" r:id="rId3"/>
    <sheet name="2025 DEC D30 -3321" sheetId="152" r:id="rId4"/>
    <sheet name="2025 OCTNOV D30 -3321" sheetId="144" r:id="rId5"/>
    <sheet name="2025 JUNSEPT B1G1 - 3321" sheetId="120" r:id="rId6"/>
    <sheet name="2025 JAN-MEI D75 - 3321" sheetId="94" r:id="rId7"/>
    <sheet name="2025 HILITE D80 - 3321" sheetId="80" r:id="rId8"/>
    <sheet name="2024 JAN-DEC D75 - 3321" sheetId="139" r:id="rId9"/>
    <sheet name="2023 JUN-DEC D90 - 3321" sheetId="74" r:id="rId10"/>
    <sheet name="2026 JAN-APR SHARP PRICE - 3281" sheetId="159" r:id="rId11"/>
    <sheet name="2026 BAMUS D60 - 3281" sheetId="151" r:id="rId12"/>
    <sheet name="2026 HILITE D30 -3281" sheetId="155" r:id="rId13"/>
    <sheet name="2025 DEC D30 -3281" sheetId="154" r:id="rId14"/>
    <sheet name="2025 OCTNOV D30 -3281" sheetId="145" r:id="rId15"/>
    <sheet name="2025 JULSEPT B1G1- 3281" sheetId="132" r:id="rId16"/>
    <sheet name="2025 HILITE D80 - 3281" sheetId="81" r:id="rId17"/>
    <sheet name="2025 JAN-JUN D75 - 3281" sheetId="56" r:id="rId18"/>
    <sheet name="2024 JAN-DEC D75- 3281" sheetId="141" r:id="rId19"/>
    <sheet name="2023 JAN-DEC D90 - 3281" sheetId="75" r:id="rId20"/>
    <sheet name="2022 ALL D90 - 3281" sheetId="10" r:id="rId21"/>
    <sheet name="2021 2020 ALL D90 - 3281" sheetId="11" r:id="rId22"/>
    <sheet name="2019 ALL D95 - 3281" sheetId="12" r:id="rId23"/>
    <sheet name="2026 JAN-APR SP -3284" sheetId="162" r:id="rId24"/>
    <sheet name="2025 NOV D30 -3284" sheetId="146" r:id="rId25"/>
    <sheet name="2025 JULSEPT B1G1 -3284" sheetId="133" r:id="rId26"/>
    <sheet name="2025 JUNI B1G1-3284" sheetId="110" r:id="rId27"/>
    <sheet name="2025 JAN-JUN D75-3284" sheetId="100" r:id="rId28"/>
    <sheet name="2024 JAN-DEC D70-3284 LC  BABY" sheetId="90" r:id="rId29"/>
    <sheet name="2023 JAN-NOV D90-3284 LC BABY" sheetId="76" r:id="rId30"/>
    <sheet name="2022 ALL D90 - 3284 LC BABY" sheetId="17" r:id="rId31"/>
    <sheet name="2021 2020 ALL D90-3284 LC BABY" sheetId="18" r:id="rId32"/>
    <sheet name="2019 ALL D95 - 3284" sheetId="19" r:id="rId33"/>
    <sheet name="2026 JAN-APR SP - 3287" sheetId="161" r:id="rId34"/>
    <sheet name="2025 DEC D30 -3287" sheetId="158" r:id="rId35"/>
    <sheet name="2025 OCTNOV D30 -3287" sheetId="147" r:id="rId36"/>
    <sheet name="2025 JUL-SEPT B1G1- 3287 LC" sheetId="134" r:id="rId37"/>
    <sheet name="2025 JAN-JUN D75- 3287" sheetId="127" r:id="rId38"/>
    <sheet name="2024 JAN-DEC D75 - 3287 LC ESS" sheetId="93" r:id="rId39"/>
    <sheet name="2022 ALL D90 - 3287 LC ESS" sheetId="24" r:id="rId40"/>
    <sheet name="2021 2020 ALL D90 - 3287 LC ESS" sheetId="25" r:id="rId41"/>
    <sheet name="2019 ALL D95 - 3287 LC ESS" sheetId="26" r:id="rId42"/>
  </sheets>
  <definedNames>
    <definedName name="_xlnm._FilterDatabase" localSheetId="22" hidden="1">'2019 ALL D95 - 3281'!$A$1:$P$1</definedName>
    <definedName name="_xlnm._FilterDatabase" localSheetId="32" hidden="1">'2019 ALL D95 - 3284'!$A$1:$P$1</definedName>
    <definedName name="_xlnm._FilterDatabase" localSheetId="41" hidden="1">'2019 ALL D95 - 3287 LC ESS'!$A$1:$P$211</definedName>
    <definedName name="_xlnm._FilterDatabase" localSheetId="21" hidden="1">'2021 2020 ALL D90 - 3281'!$A$1:$P$1</definedName>
    <definedName name="_xlnm._FilterDatabase" localSheetId="40" hidden="1">'2021 2020 ALL D90 - 3287 LC ESS'!$A$1:$P$266</definedName>
    <definedName name="_xlnm._FilterDatabase" localSheetId="31" hidden="1">'2021 2020 ALL D90-3284 LC BABY'!$A$1:$P$1</definedName>
    <definedName name="_xlnm._FilterDatabase" localSheetId="20" hidden="1">'2022 ALL D90 - 3281'!$A$1:$P$1</definedName>
    <definedName name="_xlnm._FilterDatabase" localSheetId="30" hidden="1">'2022 ALL D90 - 3284 LC BABY'!$A$1:$P$1</definedName>
    <definedName name="_xlnm._FilterDatabase" localSheetId="39" hidden="1">'2022 ALL D90 - 3287 LC ESS'!$A$1:$P$1</definedName>
    <definedName name="_xlnm._FilterDatabase" localSheetId="19" hidden="1">'2023 JAN-DEC D90 - 3281'!$A$1:$P$1</definedName>
    <definedName name="_xlnm._FilterDatabase" localSheetId="29" hidden="1">'2023 JAN-NOV D90-3284 LC BABY'!$A$1:$P$1</definedName>
    <definedName name="_xlnm._FilterDatabase" localSheetId="9" hidden="1">'2023 JUN-DEC D90 - 3321'!$A$1:$P$1</definedName>
    <definedName name="_xlnm._FilterDatabase" localSheetId="28" hidden="1">'2024 JAN-DEC D70-3284 LC  BABY'!$A$1:$P$1</definedName>
    <definedName name="_xlnm._FilterDatabase" localSheetId="38" hidden="1">'2024 JAN-DEC D75 - 3287 LC ESS'!$A$1:$P$1</definedName>
    <definedName name="_xlnm._FilterDatabase" localSheetId="8" hidden="1">'2024 JAN-DEC D75 - 3321'!$A$1:$P$1</definedName>
    <definedName name="_xlnm._FilterDatabase" localSheetId="18" hidden="1">'2024 JAN-DEC D75- 3281'!$A$1:$P$1</definedName>
    <definedName name="_xlnm._FilterDatabase" localSheetId="13" hidden="1">'2025 DEC D30 -3281'!$A$1:$P$1</definedName>
    <definedName name="_xlnm._FilterDatabase" localSheetId="34" hidden="1">'2025 DEC D30 -3287'!$A$1:$P$1</definedName>
    <definedName name="_xlnm._FilterDatabase" localSheetId="3" hidden="1">'2025 DEC D30 -3321'!$A$1:$P$1</definedName>
    <definedName name="_xlnm._FilterDatabase" localSheetId="16" hidden="1">'2025 HILITE D80 - 3281'!$A$1:$P$1</definedName>
    <definedName name="_xlnm._FilterDatabase" localSheetId="7" hidden="1">'2025 HILITE D80 - 3321'!$A$1:$P$1</definedName>
    <definedName name="_xlnm._FilterDatabase" localSheetId="17" hidden="1">'2025 JAN-JUN D75 - 3281'!$A$1:$P$1</definedName>
    <definedName name="_xlnm._FilterDatabase" localSheetId="37" hidden="1">'2025 JAN-JUN D75- 3287'!$A$1:$P$1</definedName>
    <definedName name="_xlnm._FilterDatabase" localSheetId="27" hidden="1">'2025 JAN-JUN D75-3284'!$A$1:$P$1</definedName>
    <definedName name="_xlnm._FilterDatabase" localSheetId="6" hidden="1">'2025 JAN-MEI D75 - 3321'!$A$1:$P$1</definedName>
    <definedName name="_xlnm._FilterDatabase" localSheetId="15" hidden="1">'2025 JULSEPT B1G1- 3281'!$A$1:$P$1</definedName>
    <definedName name="_xlnm._FilterDatabase" localSheetId="25" hidden="1">'2025 JULSEPT B1G1 -3284'!$A$1:$P$1</definedName>
    <definedName name="_xlnm._FilterDatabase" localSheetId="36" hidden="1">'2025 JUL-SEPT B1G1- 3287 LC'!$A$1:$P$1</definedName>
    <definedName name="_xlnm._FilterDatabase" localSheetId="5" hidden="1">'2025 JUNSEPT B1G1 - 3321'!$A$1:$P$1</definedName>
    <definedName name="_xlnm._FilterDatabase" localSheetId="24" hidden="1">'2025 NOV D30 -3284'!$A$1:$P$1</definedName>
    <definedName name="_xlnm._FilterDatabase" localSheetId="14" hidden="1">'2025 OCTNOV D30 -3281'!$A$1:$P$1</definedName>
    <definedName name="_xlnm._FilterDatabase" localSheetId="35" hidden="1">'2025 OCTNOV D30 -3287'!$A$1:$P$1</definedName>
    <definedName name="_xlnm._FilterDatabase" localSheetId="4" hidden="1">'2025 OCTNOV D30 -3321'!$A$1:$P$1</definedName>
    <definedName name="_xlnm._FilterDatabase" localSheetId="11" hidden="1">'2026 BAMUS D60 - 3281'!$A$1:$P$1</definedName>
    <definedName name="_xlnm._FilterDatabase" localSheetId="1" hidden="1">'2026 BAMUS D60 - 3321'!$A$1:$P$1</definedName>
    <definedName name="_xlnm._FilterDatabase" localSheetId="12" hidden="1">'2026 HILITE D30 -3281'!$A$1:$P$1</definedName>
    <definedName name="_xlnm._FilterDatabase" localSheetId="2" hidden="1">'2026 HILITE D30 -3321'!$A$1:$P$1</definedName>
    <definedName name="_xlnm._FilterDatabase" localSheetId="10" hidden="1">'2026 JAN-APR SHARP PRICE - 3281'!$A$1:$P$1</definedName>
    <definedName name="_xlnm._FilterDatabase" localSheetId="0" hidden="1">'2026 JAN-APR SHARP PRICE- 3321'!$A$1:$P$1</definedName>
    <definedName name="_xlnm._FilterDatabase" localSheetId="33" hidden="1">'2026 JAN-APR SP - 3287'!$A$1:$P$1</definedName>
    <definedName name="_xlnm._FilterDatabase" localSheetId="23" hidden="1">'2026 JAN-APR SP -3284'!$A$1:$P$1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61" l="1"/>
  <c r="C2" i="161"/>
  <c r="C3" i="161" s="1"/>
  <c r="C4" i="161" s="1"/>
  <c r="C5" i="161" s="1"/>
  <c r="C6" i="161" s="1"/>
  <c r="C7" i="161" s="1"/>
  <c r="C8" i="161" s="1"/>
  <c r="C9" i="161" s="1"/>
  <c r="C10" i="161" s="1"/>
  <c r="C11" i="161" s="1"/>
  <c r="C12" i="161" s="1"/>
  <c r="C13" i="161" s="1"/>
  <c r="C14" i="161" s="1"/>
  <c r="C15" i="161" s="1"/>
  <c r="C16" i="161" s="1"/>
  <c r="C17" i="161" s="1"/>
  <c r="C18" i="161" s="1"/>
  <c r="C19" i="161" s="1"/>
  <c r="C20" i="161" s="1"/>
  <c r="C21" i="161" s="1"/>
  <c r="C22" i="161" s="1"/>
  <c r="C23" i="161" s="1"/>
  <c r="C24" i="161" s="1"/>
  <c r="C25" i="161" s="1"/>
  <c r="C26" i="161" s="1"/>
  <c r="C27" i="161" s="1"/>
  <c r="C28" i="161" s="1"/>
  <c r="C29" i="161" s="1"/>
  <c r="C30" i="161" s="1"/>
  <c r="C31" i="161" s="1"/>
  <c r="C32" i="161" s="1"/>
  <c r="C33" i="161" s="1"/>
  <c r="C34" i="161" s="1"/>
  <c r="C35" i="161" s="1"/>
  <c r="C36" i="161" s="1"/>
  <c r="C37" i="161" s="1"/>
  <c r="C38" i="161" s="1"/>
  <c r="C39" i="161" s="1"/>
  <c r="C40" i="161" s="1"/>
  <c r="C41" i="161" s="1"/>
  <c r="C42" i="161" s="1"/>
  <c r="C43" i="161" s="1"/>
  <c r="C44" i="161" s="1"/>
  <c r="C45" i="161" s="1"/>
  <c r="C46" i="161" s="1"/>
  <c r="C47" i="161" s="1"/>
  <c r="C48" i="161" s="1"/>
  <c r="C49" i="161" s="1"/>
  <c r="C50" i="161" s="1"/>
  <c r="C51" i="161" s="1"/>
  <c r="C52" i="161" s="1"/>
  <c r="C53" i="161" s="1"/>
  <c r="C54" i="161" s="1"/>
  <c r="C55" i="161" s="1"/>
  <c r="C56" i="161" s="1"/>
  <c r="C57" i="161" s="1"/>
  <c r="C58" i="161" s="1"/>
  <c r="C59" i="161" s="1"/>
  <c r="C60" i="161" s="1"/>
  <c r="C61" i="161" s="1"/>
  <c r="C62" i="161" s="1"/>
  <c r="C63" i="161" s="1"/>
  <c r="C64" i="161" s="1"/>
  <c r="C65" i="161" s="1"/>
  <c r="C66" i="161" s="1"/>
  <c r="C67" i="161" s="1"/>
  <c r="C68" i="161" s="1"/>
  <c r="C69" i="161" s="1"/>
  <c r="C70" i="161" s="1"/>
  <c r="C71" i="161" s="1"/>
  <c r="C72" i="161" s="1"/>
  <c r="C73" i="161" s="1"/>
  <c r="C74" i="161" s="1"/>
  <c r="C75" i="161" s="1"/>
  <c r="C76" i="161" s="1"/>
  <c r="C77" i="161" s="1"/>
  <c r="C78" i="161" s="1"/>
  <c r="C79" i="161" s="1"/>
  <c r="C80" i="161" s="1"/>
  <c r="C81" i="161" s="1"/>
  <c r="C82" i="161" s="1"/>
  <c r="C83" i="161" s="1"/>
  <c r="C84" i="161" s="1"/>
  <c r="C85" i="161" s="1"/>
  <c r="C86" i="161" s="1"/>
  <c r="C87" i="161" s="1"/>
  <c r="C88" i="161" s="1"/>
  <c r="C89" i="161" s="1"/>
  <c r="C90" i="161" s="1"/>
  <c r="C91" i="161" s="1"/>
  <c r="C92" i="161" s="1"/>
  <c r="C93" i="161" s="1"/>
  <c r="C94" i="161" s="1"/>
  <c r="C95" i="161" s="1"/>
  <c r="C96" i="161" s="1"/>
  <c r="C97" i="161" s="1"/>
  <c r="C98" i="161" s="1"/>
  <c r="C99" i="161" s="1"/>
  <c r="C100" i="161" s="1"/>
  <c r="C101" i="161" s="1"/>
  <c r="C102" i="161" s="1"/>
  <c r="C103" i="161" s="1"/>
  <c r="C104" i="161" s="1"/>
  <c r="C105" i="161" s="1"/>
  <c r="C106" i="161" s="1"/>
  <c r="C107" i="161" s="1"/>
  <c r="C108" i="161" s="1"/>
  <c r="C109" i="161" s="1"/>
  <c r="C110" i="161" s="1"/>
  <c r="C111" i="161" s="1"/>
  <c r="C112" i="161" s="1"/>
  <c r="C113" i="161" s="1"/>
  <c r="C114" i="161" s="1"/>
  <c r="C115" i="161" s="1"/>
  <c r="C116" i="161" s="1"/>
  <c r="C117" i="161" s="1"/>
  <c r="C118" i="161" s="1"/>
  <c r="C119" i="161" s="1"/>
  <c r="C120" i="161" s="1"/>
  <c r="C121" i="161" s="1"/>
  <c r="C122" i="161" s="1"/>
  <c r="C123" i="161" s="1"/>
  <c r="C124" i="161" s="1"/>
  <c r="C125" i="161" s="1"/>
  <c r="C126" i="161" s="1"/>
  <c r="C127" i="161" s="1"/>
  <c r="C128" i="161" s="1"/>
  <c r="C129" i="161" s="1"/>
  <c r="C130" i="161" s="1"/>
  <c r="C131" i="161" s="1"/>
  <c r="C132" i="161" s="1"/>
  <c r="C133" i="161" s="1"/>
  <c r="C134" i="161" s="1"/>
  <c r="C135" i="161" s="1"/>
  <c r="C136" i="161" s="1"/>
  <c r="C137" i="161" s="1"/>
  <c r="C138" i="161" s="1"/>
  <c r="C139" i="161" s="1"/>
  <c r="C140" i="161" s="1"/>
  <c r="C141" i="161" s="1"/>
  <c r="C142" i="161" s="1"/>
  <c r="C143" i="161" s="1"/>
  <c r="C144" i="161" s="1"/>
  <c r="C145" i="161" s="1"/>
  <c r="C146" i="161" s="1"/>
  <c r="C147" i="161" s="1"/>
  <c r="C148" i="161" s="1"/>
  <c r="C149" i="161" s="1"/>
  <c r="C150" i="161" s="1"/>
  <c r="C151" i="161" s="1"/>
  <c r="C152" i="161" s="1"/>
  <c r="C153" i="161" s="1"/>
  <c r="C154" i="161" s="1"/>
  <c r="C155" i="161" s="1"/>
  <c r="C156" i="161" s="1"/>
  <c r="C157" i="161" s="1"/>
  <c r="C158" i="161" s="1"/>
  <c r="C159" i="161" s="1"/>
  <c r="C160" i="161" s="1"/>
  <c r="C161" i="161" s="1"/>
  <c r="C162" i="161" s="1"/>
  <c r="C163" i="161" s="1"/>
  <c r="C164" i="161" s="1"/>
  <c r="C165" i="161" s="1"/>
  <c r="C166" i="161" s="1"/>
  <c r="C167" i="161" s="1"/>
  <c r="C168" i="161" s="1"/>
  <c r="C169" i="161" s="1"/>
  <c r="C170" i="161" s="1"/>
  <c r="C171" i="161" s="1"/>
  <c r="C172" i="161" s="1"/>
  <c r="C173" i="161" s="1"/>
  <c r="C174" i="161" s="1"/>
  <c r="C175" i="161" s="1"/>
  <c r="C176" i="161" s="1"/>
  <c r="C177" i="161" s="1"/>
  <c r="C178" i="161" s="1"/>
  <c r="C179" i="161" s="1"/>
  <c r="C180" i="161" s="1"/>
  <c r="C181" i="161" s="1"/>
  <c r="C182" i="161" s="1"/>
  <c r="C183" i="161" s="1"/>
  <c r="C184" i="161" s="1"/>
  <c r="C185" i="161" s="1"/>
  <c r="C186" i="161" s="1"/>
  <c r="C187" i="161" s="1"/>
  <c r="C188" i="161" s="1"/>
  <c r="C189" i="161" s="1"/>
  <c r="C190" i="161" s="1"/>
  <c r="C191" i="161" s="1"/>
  <c r="C192" i="161" s="1"/>
  <c r="C193" i="161" s="1"/>
  <c r="C194" i="161" s="1"/>
  <c r="C195" i="161" s="1"/>
  <c r="C196" i="161" s="1"/>
  <c r="C197" i="161" s="1"/>
  <c r="C198" i="161" s="1"/>
  <c r="C199" i="161" s="1"/>
  <c r="C200" i="161" s="1"/>
  <c r="C201" i="161" s="1"/>
  <c r="C202" i="161" s="1"/>
  <c r="C203" i="161" s="1"/>
  <c r="C204" i="161" s="1"/>
  <c r="C205" i="161" s="1"/>
  <c r="C206" i="161" s="1"/>
  <c r="C207" i="161" s="1"/>
  <c r="C208" i="161" s="1"/>
  <c r="C209" i="161" s="1"/>
  <c r="C210" i="161" s="1"/>
  <c r="C211" i="161" s="1"/>
  <c r="C212" i="161" s="1"/>
  <c r="C213" i="161" s="1"/>
  <c r="C214" i="161" s="1"/>
  <c r="C215" i="161" s="1"/>
  <c r="C216" i="161" s="1"/>
  <c r="C217" i="161" s="1"/>
  <c r="C218" i="161" s="1"/>
  <c r="C219" i="161" s="1"/>
  <c r="C220" i="161" s="1"/>
  <c r="C221" i="161" s="1"/>
  <c r="C222" i="161" s="1"/>
  <c r="C223" i="161" s="1"/>
  <c r="C224" i="161" s="1"/>
  <c r="C225" i="161" s="1"/>
  <c r="C226" i="161" s="1"/>
  <c r="C227" i="161" s="1"/>
  <c r="C228" i="161" s="1"/>
  <c r="C229" i="161" s="1"/>
  <c r="C230" i="161" s="1"/>
  <c r="C231" i="161" s="1"/>
  <c r="C232" i="161" s="1"/>
  <c r="C233" i="161" s="1"/>
  <c r="C234" i="161" s="1"/>
  <c r="C235" i="161" s="1"/>
  <c r="C236" i="161" s="1"/>
  <c r="C237" i="161" s="1"/>
  <c r="C238" i="161" s="1"/>
  <c r="C239" i="161" s="1"/>
  <c r="B2" i="161"/>
  <c r="B3" i="161" s="1"/>
  <c r="B4" i="161" s="1"/>
  <c r="B5" i="161" s="1"/>
  <c r="B6" i="161" s="1"/>
  <c r="B7" i="161" s="1"/>
  <c r="B8" i="161" s="1"/>
  <c r="B9" i="161" s="1"/>
  <c r="B10" i="161" s="1"/>
  <c r="B11" i="161" s="1"/>
  <c r="B12" i="161" s="1"/>
  <c r="B13" i="161" s="1"/>
  <c r="B14" i="161" s="1"/>
  <c r="B15" i="161" s="1"/>
  <c r="B16" i="161" s="1"/>
  <c r="B17" i="161" s="1"/>
  <c r="B18" i="161" s="1"/>
  <c r="B19" i="161" s="1"/>
  <c r="B20" i="161" s="1"/>
  <c r="B21" i="161" s="1"/>
  <c r="B22" i="161" s="1"/>
  <c r="B23" i="161" s="1"/>
  <c r="B24" i="161" s="1"/>
  <c r="B25" i="161" s="1"/>
  <c r="B26" i="161" s="1"/>
  <c r="B27" i="161" s="1"/>
  <c r="B28" i="161" s="1"/>
  <c r="B29" i="161" s="1"/>
  <c r="B30" i="161" s="1"/>
  <c r="B31" i="161" s="1"/>
  <c r="B32" i="161" s="1"/>
  <c r="B33" i="161" s="1"/>
  <c r="B34" i="161" s="1"/>
  <c r="B35" i="161" s="1"/>
  <c r="B36" i="161" s="1"/>
  <c r="B37" i="161" s="1"/>
  <c r="B38" i="161" s="1"/>
  <c r="B39" i="161" s="1"/>
  <c r="B40" i="161" s="1"/>
  <c r="B41" i="161" s="1"/>
  <c r="B42" i="161" s="1"/>
  <c r="B43" i="161" s="1"/>
  <c r="B44" i="161" s="1"/>
  <c r="B45" i="161" s="1"/>
  <c r="B46" i="161" s="1"/>
  <c r="B47" i="161" s="1"/>
  <c r="B48" i="161" s="1"/>
  <c r="B49" i="161" s="1"/>
  <c r="B50" i="161" s="1"/>
  <c r="B51" i="161" s="1"/>
  <c r="B52" i="161" s="1"/>
  <c r="B53" i="161" s="1"/>
  <c r="B54" i="161" s="1"/>
  <c r="B55" i="161" s="1"/>
  <c r="B56" i="161" s="1"/>
  <c r="B57" i="161" s="1"/>
  <c r="B58" i="161" s="1"/>
  <c r="B59" i="161" s="1"/>
  <c r="B60" i="161" s="1"/>
  <c r="B61" i="161" s="1"/>
  <c r="B62" i="161" s="1"/>
  <c r="B63" i="161" s="1"/>
  <c r="B64" i="161" s="1"/>
  <c r="B65" i="161" s="1"/>
  <c r="B66" i="161" s="1"/>
  <c r="B67" i="161" s="1"/>
  <c r="B68" i="161" s="1"/>
  <c r="B69" i="161" s="1"/>
  <c r="B70" i="161" s="1"/>
  <c r="B71" i="161" s="1"/>
  <c r="B72" i="161" s="1"/>
  <c r="B73" i="161" s="1"/>
  <c r="B74" i="161" s="1"/>
  <c r="B75" i="161" s="1"/>
  <c r="B76" i="161" s="1"/>
  <c r="B77" i="161" s="1"/>
  <c r="B78" i="161" s="1"/>
  <c r="B79" i="161" s="1"/>
  <c r="B80" i="161" s="1"/>
  <c r="B81" i="161" s="1"/>
  <c r="B82" i="161" s="1"/>
  <c r="B83" i="161" s="1"/>
  <c r="B84" i="161" s="1"/>
  <c r="B85" i="161" s="1"/>
  <c r="B86" i="161" s="1"/>
  <c r="B87" i="161" s="1"/>
  <c r="B88" i="161" s="1"/>
  <c r="B89" i="161" s="1"/>
  <c r="B90" i="161" s="1"/>
  <c r="B91" i="161" s="1"/>
  <c r="B92" i="161" s="1"/>
  <c r="B93" i="161" s="1"/>
  <c r="B94" i="161" s="1"/>
  <c r="B95" i="161" s="1"/>
  <c r="B96" i="161" s="1"/>
  <c r="B97" i="161" s="1"/>
  <c r="B98" i="161" s="1"/>
  <c r="B99" i="161" s="1"/>
  <c r="B100" i="161" s="1"/>
  <c r="B101" i="161" s="1"/>
  <c r="B102" i="161" s="1"/>
  <c r="B103" i="161" s="1"/>
  <c r="B104" i="161" s="1"/>
  <c r="B105" i="161" s="1"/>
  <c r="B106" i="161" s="1"/>
  <c r="B107" i="161" s="1"/>
  <c r="B108" i="161" s="1"/>
  <c r="B109" i="161" s="1"/>
  <c r="B110" i="161" s="1"/>
  <c r="B111" i="161" s="1"/>
  <c r="B112" i="161" s="1"/>
  <c r="B113" i="161" s="1"/>
  <c r="B114" i="161" s="1"/>
  <c r="B115" i="161" s="1"/>
  <c r="B116" i="161" s="1"/>
  <c r="B117" i="161" s="1"/>
  <c r="B118" i="161" s="1"/>
  <c r="B119" i="161" s="1"/>
  <c r="B120" i="161" s="1"/>
  <c r="B121" i="161" s="1"/>
  <c r="B122" i="161" s="1"/>
  <c r="B123" i="161" s="1"/>
  <c r="B124" i="161" s="1"/>
  <c r="B125" i="161" s="1"/>
  <c r="B126" i="161" s="1"/>
  <c r="B127" i="161" s="1"/>
  <c r="B128" i="161" s="1"/>
  <c r="B129" i="161" s="1"/>
  <c r="B130" i="161" s="1"/>
  <c r="B131" i="161" s="1"/>
  <c r="B132" i="161" s="1"/>
  <c r="B133" i="161" s="1"/>
  <c r="B134" i="161" s="1"/>
  <c r="B135" i="161" s="1"/>
  <c r="B136" i="161" s="1"/>
  <c r="B137" i="161" s="1"/>
  <c r="B138" i="161" s="1"/>
  <c r="B139" i="161" s="1"/>
  <c r="B140" i="161" s="1"/>
  <c r="B141" i="161" s="1"/>
  <c r="B142" i="161" s="1"/>
  <c r="B143" i="161" s="1"/>
  <c r="B144" i="161" s="1"/>
  <c r="B145" i="161" s="1"/>
  <c r="B146" i="161" s="1"/>
  <c r="B147" i="161" s="1"/>
  <c r="B148" i="161" s="1"/>
  <c r="B149" i="161" s="1"/>
  <c r="B150" i="161" s="1"/>
  <c r="B151" i="161" s="1"/>
  <c r="B152" i="161" s="1"/>
  <c r="B153" i="161" s="1"/>
  <c r="B154" i="161" s="1"/>
  <c r="B155" i="161" s="1"/>
  <c r="B156" i="161" s="1"/>
  <c r="B157" i="161" s="1"/>
  <c r="B158" i="161" s="1"/>
  <c r="B159" i="161" s="1"/>
  <c r="B160" i="161" s="1"/>
  <c r="B161" i="161" s="1"/>
  <c r="B162" i="161" s="1"/>
  <c r="B163" i="161" s="1"/>
  <c r="B164" i="161" s="1"/>
  <c r="B165" i="161" s="1"/>
  <c r="B166" i="161" s="1"/>
  <c r="B167" i="161" s="1"/>
  <c r="B168" i="161" s="1"/>
  <c r="B169" i="161" s="1"/>
  <c r="B170" i="161" s="1"/>
  <c r="B171" i="161" s="1"/>
  <c r="B172" i="161" s="1"/>
  <c r="B173" i="161" s="1"/>
  <c r="B174" i="161" s="1"/>
  <c r="B175" i="161" s="1"/>
  <c r="B176" i="161" s="1"/>
  <c r="B177" i="161" s="1"/>
  <c r="B178" i="161" s="1"/>
  <c r="B179" i="161" s="1"/>
  <c r="B180" i="161" s="1"/>
  <c r="B181" i="161" s="1"/>
  <c r="B182" i="161" s="1"/>
  <c r="B183" i="161" s="1"/>
  <c r="B184" i="161" s="1"/>
  <c r="B185" i="161" s="1"/>
  <c r="B186" i="161" s="1"/>
  <c r="B187" i="161" s="1"/>
  <c r="B188" i="161" s="1"/>
  <c r="B189" i="161" s="1"/>
  <c r="B190" i="161" s="1"/>
  <c r="B191" i="161" s="1"/>
  <c r="B192" i="161" s="1"/>
  <c r="B193" i="161" s="1"/>
  <c r="B194" i="161" s="1"/>
  <c r="B195" i="161" s="1"/>
  <c r="B196" i="161" s="1"/>
  <c r="B197" i="161" s="1"/>
  <c r="B198" i="161" s="1"/>
  <c r="B199" i="161" s="1"/>
  <c r="B200" i="161" s="1"/>
  <c r="B201" i="161" s="1"/>
  <c r="B202" i="161" s="1"/>
  <c r="B203" i="161" s="1"/>
  <c r="B204" i="161" s="1"/>
  <c r="B205" i="161" s="1"/>
  <c r="B206" i="161" s="1"/>
  <c r="B207" i="161" s="1"/>
  <c r="B208" i="161" s="1"/>
  <c r="B209" i="161" s="1"/>
  <c r="B210" i="161" s="1"/>
  <c r="B211" i="161" s="1"/>
  <c r="B212" i="161" s="1"/>
  <c r="B213" i="161" s="1"/>
  <c r="B214" i="161" s="1"/>
  <c r="B215" i="161" s="1"/>
  <c r="B216" i="161" s="1"/>
  <c r="B217" i="161" s="1"/>
  <c r="B218" i="161" s="1"/>
  <c r="B219" i="161" s="1"/>
  <c r="B220" i="161" s="1"/>
  <c r="B221" i="161" s="1"/>
  <c r="B222" i="161" s="1"/>
  <c r="B223" i="161" s="1"/>
  <c r="B224" i="161" s="1"/>
  <c r="B225" i="161" s="1"/>
  <c r="B226" i="161" s="1"/>
  <c r="B227" i="161" s="1"/>
  <c r="B228" i="161" s="1"/>
  <c r="B229" i="161" s="1"/>
  <c r="B230" i="161" s="1"/>
  <c r="B231" i="161" s="1"/>
  <c r="B232" i="161" s="1"/>
  <c r="B233" i="161" s="1"/>
  <c r="B234" i="161" s="1"/>
  <c r="B235" i="161" s="1"/>
  <c r="B236" i="161" s="1"/>
  <c r="B237" i="161" s="1"/>
  <c r="B238" i="161" s="1"/>
  <c r="B239" i="161" s="1"/>
  <c r="A3" i="162"/>
  <c r="C2" i="162"/>
  <c r="C3" i="162" s="1"/>
  <c r="B2" i="162"/>
  <c r="B3" i="162" s="1"/>
  <c r="B4" i="162" s="1"/>
  <c r="B5" i="162" s="1"/>
  <c r="B6" i="162" s="1"/>
  <c r="B7" i="162" s="1"/>
  <c r="B8" i="162" s="1"/>
  <c r="B9" i="162" s="1"/>
  <c r="B10" i="162" s="1"/>
  <c r="B11" i="162" s="1"/>
  <c r="B12" i="162" s="1"/>
  <c r="B13" i="162" s="1"/>
  <c r="B14" i="162" s="1"/>
  <c r="B15" i="162" s="1"/>
  <c r="B16" i="162" s="1"/>
  <c r="B17" i="162" s="1"/>
  <c r="B18" i="162" s="1"/>
  <c r="B19" i="162" s="1"/>
  <c r="B20" i="162" s="1"/>
  <c r="B21" i="162" s="1"/>
  <c r="B22" i="162" s="1"/>
  <c r="B23" i="162" s="1"/>
  <c r="B24" i="162" s="1"/>
  <c r="B25" i="162" s="1"/>
  <c r="A3" i="158"/>
  <c r="C2" i="158"/>
  <c r="C3" i="158" s="1"/>
  <c r="B2" i="158"/>
  <c r="B3" i="158" s="1"/>
  <c r="A4" i="162"/>
  <c r="A5" i="162" s="1"/>
  <c r="A6" i="162" s="1"/>
  <c r="A7" i="162" s="1"/>
  <c r="A8" i="162" s="1"/>
  <c r="A9" i="162" s="1"/>
  <c r="A10" i="162" s="1"/>
  <c r="A11" i="162" s="1"/>
  <c r="A12" i="162" s="1"/>
  <c r="A13" i="162" s="1"/>
  <c r="A14" i="162" s="1"/>
  <c r="A15" i="162" s="1"/>
  <c r="A16" i="162" s="1"/>
  <c r="A17" i="162" s="1"/>
  <c r="A18" i="162" s="1"/>
  <c r="A19" i="162" s="1"/>
  <c r="A20" i="162" s="1"/>
  <c r="A21" i="162" s="1"/>
  <c r="A22" i="162" s="1"/>
  <c r="A23" i="162" s="1"/>
  <c r="A24" i="162" s="1"/>
  <c r="A25" i="162" s="1"/>
  <c r="A4" i="161"/>
  <c r="A5" i="161" s="1"/>
  <c r="A6" i="161" s="1"/>
  <c r="A7" i="161" s="1"/>
  <c r="A8" i="161" s="1"/>
  <c r="A9" i="161" s="1"/>
  <c r="A10" i="161" s="1"/>
  <c r="A11" i="161" s="1"/>
  <c r="A12" i="161" s="1"/>
  <c r="A13" i="161" s="1"/>
  <c r="A14" i="161" s="1"/>
  <c r="A15" i="161" s="1"/>
  <c r="A16" i="161" s="1"/>
  <c r="A17" i="161" s="1"/>
  <c r="A18" i="161" s="1"/>
  <c r="A19" i="161" s="1"/>
  <c r="A20" i="161" s="1"/>
  <c r="A21" i="161" s="1"/>
  <c r="A22" i="161" s="1"/>
  <c r="A23" i="161" s="1"/>
  <c r="A24" i="161" s="1"/>
  <c r="A25" i="161" s="1"/>
  <c r="A26" i="161" s="1"/>
  <c r="A27" i="161" s="1"/>
  <c r="A28" i="161" s="1"/>
  <c r="A29" i="161" s="1"/>
  <c r="A30" i="161" s="1"/>
  <c r="A31" i="161" s="1"/>
  <c r="A32" i="161" s="1"/>
  <c r="A33" i="161" s="1"/>
  <c r="A34" i="161" s="1"/>
  <c r="A35" i="161" s="1"/>
  <c r="A36" i="161" s="1"/>
  <c r="A37" i="161" s="1"/>
  <c r="A38" i="161" s="1"/>
  <c r="A39" i="161" s="1"/>
  <c r="A40" i="161" s="1"/>
  <c r="A41" i="161" s="1"/>
  <c r="A42" i="161" s="1"/>
  <c r="A43" i="161" s="1"/>
  <c r="A44" i="161" s="1"/>
  <c r="A45" i="161" s="1"/>
  <c r="A46" i="161" s="1"/>
  <c r="A47" i="161" s="1"/>
  <c r="A48" i="161" s="1"/>
  <c r="A49" i="161" s="1"/>
  <c r="A50" i="161" s="1"/>
  <c r="A51" i="161" s="1"/>
  <c r="A52" i="161" s="1"/>
  <c r="A53" i="161" s="1"/>
  <c r="A54" i="161" s="1"/>
  <c r="A55" i="161" s="1"/>
  <c r="A56" i="161" s="1"/>
  <c r="A57" i="161" s="1"/>
  <c r="A58" i="161" s="1"/>
  <c r="A59" i="161" s="1"/>
  <c r="A60" i="161" s="1"/>
  <c r="A61" i="161" s="1"/>
  <c r="A62" i="161" s="1"/>
  <c r="A63" i="161" s="1"/>
  <c r="A64" i="161" s="1"/>
  <c r="A65" i="161" s="1"/>
  <c r="A66" i="161" s="1"/>
  <c r="A67" i="161" s="1"/>
  <c r="A68" i="161" s="1"/>
  <c r="A69" i="161" s="1"/>
  <c r="A70" i="161" s="1"/>
  <c r="A71" i="161" s="1"/>
  <c r="A72" i="161" s="1"/>
  <c r="A73" i="161" s="1"/>
  <c r="A74" i="161" s="1"/>
  <c r="A75" i="161" s="1"/>
  <c r="A76" i="161" s="1"/>
  <c r="A77" i="161" s="1"/>
  <c r="A78" i="161" s="1"/>
  <c r="A79" i="161" s="1"/>
  <c r="A80" i="161" s="1"/>
  <c r="A81" i="161" s="1"/>
  <c r="A82" i="161" s="1"/>
  <c r="A83" i="161" s="1"/>
  <c r="A84" i="161" s="1"/>
  <c r="A85" i="161" s="1"/>
  <c r="A86" i="161" s="1"/>
  <c r="A87" i="161" s="1"/>
  <c r="A88" i="161" s="1"/>
  <c r="A89" i="161" s="1"/>
  <c r="A90" i="161" s="1"/>
  <c r="A91" i="161" s="1"/>
  <c r="A92" i="161" s="1"/>
  <c r="A93" i="161" s="1"/>
  <c r="A94" i="161" s="1"/>
  <c r="A95" i="161" s="1"/>
  <c r="A96" i="161" s="1"/>
  <c r="A97" i="161" s="1"/>
  <c r="A98" i="161" s="1"/>
  <c r="A99" i="161" s="1"/>
  <c r="A100" i="161" s="1"/>
  <c r="A101" i="161" s="1"/>
  <c r="A102" i="161" s="1"/>
  <c r="A103" i="161" s="1"/>
  <c r="A104" i="161" s="1"/>
  <c r="A105" i="161" s="1"/>
  <c r="A106" i="161" s="1"/>
  <c r="A107" i="161" s="1"/>
  <c r="A108" i="161" s="1"/>
  <c r="A109" i="161" s="1"/>
  <c r="A110" i="161" s="1"/>
  <c r="A111" i="161" s="1"/>
  <c r="A112" i="161" s="1"/>
  <c r="A113" i="161" s="1"/>
  <c r="A114" i="161" s="1"/>
  <c r="A115" i="161" s="1"/>
  <c r="A116" i="161" s="1"/>
  <c r="A117" i="161" s="1"/>
  <c r="A118" i="161" s="1"/>
  <c r="A119" i="161" s="1"/>
  <c r="A120" i="161" s="1"/>
  <c r="A121" i="161" s="1"/>
  <c r="A122" i="161" s="1"/>
  <c r="A123" i="161" s="1"/>
  <c r="A124" i="161" s="1"/>
  <c r="A125" i="161" s="1"/>
  <c r="A126" i="161" s="1"/>
  <c r="A127" i="161" s="1"/>
  <c r="A128" i="161" s="1"/>
  <c r="A129" i="161" s="1"/>
  <c r="A130" i="161" s="1"/>
  <c r="A131" i="161" s="1"/>
  <c r="A132" i="161" s="1"/>
  <c r="A133" i="161" s="1"/>
  <c r="A134" i="161" s="1"/>
  <c r="A135" i="161" s="1"/>
  <c r="A136" i="161" s="1"/>
  <c r="A137" i="161" s="1"/>
  <c r="A138" i="161" s="1"/>
  <c r="A139" i="161" s="1"/>
  <c r="A140" i="161" s="1"/>
  <c r="A141" i="161" s="1"/>
  <c r="A142" i="161" s="1"/>
  <c r="A143" i="161" s="1"/>
  <c r="A144" i="161" s="1"/>
  <c r="A145" i="161" s="1"/>
  <c r="A146" i="161" s="1"/>
  <c r="A147" i="161" s="1"/>
  <c r="A148" i="161" s="1"/>
  <c r="A149" i="161" s="1"/>
  <c r="A150" i="161" s="1"/>
  <c r="A151" i="161" s="1"/>
  <c r="A152" i="161" s="1"/>
  <c r="A153" i="161" s="1"/>
  <c r="A154" i="161" s="1"/>
  <c r="A155" i="161" s="1"/>
  <c r="A156" i="161" s="1"/>
  <c r="A157" i="161" s="1"/>
  <c r="A158" i="161" s="1"/>
  <c r="A159" i="161" s="1"/>
  <c r="A160" i="161" s="1"/>
  <c r="A161" i="161" s="1"/>
  <c r="A162" i="161" s="1"/>
  <c r="A163" i="161" s="1"/>
  <c r="A164" i="161" s="1"/>
  <c r="A165" i="161" s="1"/>
  <c r="A166" i="161" s="1"/>
  <c r="A167" i="161" s="1"/>
  <c r="A168" i="161" s="1"/>
  <c r="A169" i="161" s="1"/>
  <c r="A170" i="161" s="1"/>
  <c r="A171" i="161" s="1"/>
  <c r="A172" i="161" s="1"/>
  <c r="A173" i="161" s="1"/>
  <c r="A174" i="161" s="1"/>
  <c r="A175" i="161" s="1"/>
  <c r="A176" i="161" s="1"/>
  <c r="A177" i="161" s="1"/>
  <c r="A178" i="161" s="1"/>
  <c r="A179" i="161" s="1"/>
  <c r="A180" i="161" s="1"/>
  <c r="A181" i="161" s="1"/>
  <c r="A182" i="161" s="1"/>
  <c r="A183" i="161" s="1"/>
  <c r="A184" i="161" s="1"/>
  <c r="A185" i="161" s="1"/>
  <c r="A186" i="161" s="1"/>
  <c r="A187" i="161" s="1"/>
  <c r="A188" i="161" s="1"/>
  <c r="A189" i="161" s="1"/>
  <c r="A190" i="161" s="1"/>
  <c r="A191" i="161" s="1"/>
  <c r="A192" i="161" s="1"/>
  <c r="A193" i="161" s="1"/>
  <c r="A194" i="161" s="1"/>
  <c r="A195" i="161" s="1"/>
  <c r="A196" i="161" s="1"/>
  <c r="A197" i="161" s="1"/>
  <c r="A198" i="161" s="1"/>
  <c r="A199" i="161" s="1"/>
  <c r="A200" i="161" s="1"/>
  <c r="A201" i="161" s="1"/>
  <c r="A202" i="161" s="1"/>
  <c r="A203" i="161" s="1"/>
  <c r="A204" i="161" s="1"/>
  <c r="A205" i="161" s="1"/>
  <c r="A206" i="161" s="1"/>
  <c r="A207" i="161" s="1"/>
  <c r="A208" i="161" s="1"/>
  <c r="A209" i="161" s="1"/>
  <c r="A210" i="161" s="1"/>
  <c r="A211" i="161" s="1"/>
  <c r="A212" i="161" s="1"/>
  <c r="A213" i="161" s="1"/>
  <c r="A214" i="161" s="1"/>
  <c r="A215" i="161" s="1"/>
  <c r="A216" i="161" s="1"/>
  <c r="A217" i="161" s="1"/>
  <c r="A218" i="161" s="1"/>
  <c r="A219" i="161" s="1"/>
  <c r="A220" i="161" s="1"/>
  <c r="A221" i="161" s="1"/>
  <c r="A222" i="161" s="1"/>
  <c r="A223" i="161" s="1"/>
  <c r="A224" i="161" s="1"/>
  <c r="A225" i="161" s="1"/>
  <c r="A226" i="161" s="1"/>
  <c r="A227" i="161" s="1"/>
  <c r="A228" i="161" s="1"/>
  <c r="A229" i="161" s="1"/>
  <c r="A230" i="161" s="1"/>
  <c r="A231" i="161" s="1"/>
  <c r="A232" i="161" s="1"/>
  <c r="A233" i="161" s="1"/>
  <c r="A234" i="161" s="1"/>
  <c r="A235" i="161" s="1"/>
  <c r="A236" i="161" s="1"/>
  <c r="A237" i="161" s="1"/>
  <c r="A238" i="161" s="1"/>
  <c r="A239" i="161" s="1"/>
  <c r="C4" i="162" l="1"/>
  <c r="C5" i="162" s="1"/>
  <c r="C6" i="162" s="1"/>
  <c r="C7" i="162" s="1"/>
  <c r="C8" i="162" s="1"/>
  <c r="C9" i="162" s="1"/>
  <c r="C10" i="162" s="1"/>
  <c r="C11" i="162" s="1"/>
  <c r="C12" i="162" s="1"/>
  <c r="C13" i="162" s="1"/>
  <c r="C14" i="162" s="1"/>
  <c r="C15" i="162" s="1"/>
  <c r="C16" i="162" s="1"/>
  <c r="C17" i="162" s="1"/>
  <c r="C18" i="162" s="1"/>
  <c r="C19" i="162" s="1"/>
  <c r="C20" i="162" s="1"/>
  <c r="C21" i="162" s="1"/>
  <c r="C22" i="162" s="1"/>
  <c r="C23" i="162" s="1"/>
  <c r="C24" i="162" s="1"/>
  <c r="C25" i="162" s="1"/>
  <c r="B7" i="152"/>
  <c r="B8" i="152" s="1"/>
  <c r="B9" i="152" s="1"/>
  <c r="B10" i="152" s="1"/>
  <c r="B11" i="152" s="1"/>
  <c r="B12" i="152" s="1"/>
  <c r="B13" i="152" s="1"/>
  <c r="B14" i="152" s="1"/>
  <c r="B15" i="152" s="1"/>
  <c r="B16" i="152" s="1"/>
  <c r="B17" i="152" s="1"/>
  <c r="B18" i="152" s="1"/>
  <c r="B19" i="152" s="1"/>
  <c r="B20" i="152" s="1"/>
  <c r="B21" i="152" s="1"/>
  <c r="B22" i="152" s="1"/>
  <c r="B23" i="152" s="1"/>
  <c r="B24" i="152" s="1"/>
  <c r="B25" i="152" s="1"/>
  <c r="B26" i="152" s="1"/>
  <c r="B27" i="152" s="1"/>
  <c r="B28" i="152" s="1"/>
  <c r="B29" i="152" s="1"/>
  <c r="B30" i="152" s="1"/>
  <c r="B31" i="152" s="1"/>
  <c r="B32" i="152" s="1"/>
  <c r="B33" i="152" s="1"/>
  <c r="B34" i="152" s="1"/>
  <c r="B35" i="152" s="1"/>
  <c r="B36" i="152" s="1"/>
  <c r="B37" i="152" s="1"/>
  <c r="B38" i="152" s="1"/>
  <c r="B39" i="152" s="1"/>
  <c r="B40" i="152" s="1"/>
  <c r="B41" i="152" s="1"/>
  <c r="C7" i="152"/>
  <c r="C8" i="152"/>
  <c r="C9" i="152"/>
  <c r="C10" i="152"/>
  <c r="C11" i="152"/>
  <c r="C12" i="152"/>
  <c r="C13" i="152" s="1"/>
  <c r="C14" i="152" s="1"/>
  <c r="C15" i="152" s="1"/>
  <c r="C16" i="152" s="1"/>
  <c r="C17" i="152" s="1"/>
  <c r="C18" i="152" s="1"/>
  <c r="C19" i="152" s="1"/>
  <c r="C20" i="152" s="1"/>
  <c r="C21" i="152" s="1"/>
  <c r="C22" i="152" s="1"/>
  <c r="C23" i="152" s="1"/>
  <c r="C24" i="152" s="1"/>
  <c r="C25" i="152" s="1"/>
  <c r="C26" i="152" s="1"/>
  <c r="C27" i="152" s="1"/>
  <c r="C28" i="152" s="1"/>
  <c r="C29" i="152" s="1"/>
  <c r="C30" i="152" s="1"/>
  <c r="C31" i="152" s="1"/>
  <c r="C32" i="152" s="1"/>
  <c r="C33" i="152" s="1"/>
  <c r="C34" i="152" s="1"/>
  <c r="C35" i="152" s="1"/>
  <c r="C36" i="152" s="1"/>
  <c r="C37" i="152" s="1"/>
  <c r="C38" i="152" s="1"/>
  <c r="C39" i="152" s="1"/>
  <c r="C40" i="152" s="1"/>
  <c r="C41" i="152" s="1"/>
  <c r="A38" i="145"/>
  <c r="A39" i="145" s="1"/>
  <c r="A40" i="145" s="1"/>
  <c r="A41" i="145" s="1"/>
  <c r="A42" i="145" s="1"/>
  <c r="A43" i="145" s="1"/>
  <c r="A44" i="145" s="1"/>
  <c r="A45" i="145" s="1"/>
  <c r="A46" i="145" s="1"/>
  <c r="A47" i="145" s="1"/>
  <c r="A48" i="145" s="1"/>
  <c r="A49" i="145" s="1"/>
  <c r="A50" i="145" s="1"/>
  <c r="A51" i="145" s="1"/>
  <c r="A52" i="145" s="1"/>
  <c r="A53" i="145" s="1"/>
  <c r="A54" i="145" s="1"/>
  <c r="A55" i="145" s="1"/>
  <c r="N38" i="145"/>
  <c r="O38" i="145"/>
  <c r="P38" i="145"/>
  <c r="N39" i="145"/>
  <c r="O39" i="145"/>
  <c r="P39" i="145"/>
  <c r="N40" i="145"/>
  <c r="O40" i="145"/>
  <c r="P40" i="145"/>
  <c r="N41" i="145"/>
  <c r="N42" i="145" s="1"/>
  <c r="N43" i="145" s="1"/>
  <c r="N44" i="145" s="1"/>
  <c r="N45" i="145" s="1"/>
  <c r="N46" i="145" s="1"/>
  <c r="N47" i="145" s="1"/>
  <c r="N48" i="145" s="1"/>
  <c r="N49" i="145" s="1"/>
  <c r="N50" i="145" s="1"/>
  <c r="N51" i="145" s="1"/>
  <c r="N52" i="145" s="1"/>
  <c r="N53" i="145" s="1"/>
  <c r="N54" i="145" s="1"/>
  <c r="N55" i="145" s="1"/>
  <c r="O41" i="145"/>
  <c r="P41" i="145"/>
  <c r="P42" i="145" s="1"/>
  <c r="P43" i="145" s="1"/>
  <c r="P44" i="145" s="1"/>
  <c r="P45" i="145" s="1"/>
  <c r="P46" i="145" s="1"/>
  <c r="P47" i="145" s="1"/>
  <c r="P48" i="145" s="1"/>
  <c r="P49" i="145" s="1"/>
  <c r="P50" i="145" s="1"/>
  <c r="P51" i="145" s="1"/>
  <c r="P52" i="145" s="1"/>
  <c r="P53" i="145" s="1"/>
  <c r="P54" i="145" s="1"/>
  <c r="P55" i="145" s="1"/>
  <c r="O42" i="145"/>
  <c r="O43" i="145"/>
  <c r="O44" i="145"/>
  <c r="O45" i="145"/>
  <c r="O46" i="145"/>
  <c r="O47" i="145"/>
  <c r="O48" i="145"/>
  <c r="O49" i="145"/>
  <c r="O50" i="145"/>
  <c r="O51" i="145"/>
  <c r="O52" i="145"/>
  <c r="O53" i="145"/>
  <c r="O54" i="145"/>
  <c r="O55" i="145"/>
  <c r="P8" i="159"/>
  <c r="P9" i="159" s="1"/>
  <c r="P10" i="159" s="1"/>
  <c r="P11" i="159" s="1"/>
  <c r="P12" i="159" s="1"/>
  <c r="P13" i="159" s="1"/>
  <c r="P14" i="159" s="1"/>
  <c r="P15" i="159" s="1"/>
  <c r="P16" i="159" s="1"/>
  <c r="P17" i="159" s="1"/>
  <c r="P18" i="159" s="1"/>
  <c r="P19" i="159" s="1"/>
  <c r="P20" i="159" s="1"/>
  <c r="P21" i="159" s="1"/>
  <c r="P22" i="159" s="1"/>
  <c r="P23" i="159" s="1"/>
  <c r="P24" i="159" s="1"/>
  <c r="P25" i="159" s="1"/>
  <c r="P26" i="159" s="1"/>
  <c r="P27" i="159" s="1"/>
  <c r="P28" i="159" s="1"/>
  <c r="P29" i="159" s="1"/>
  <c r="P30" i="159" s="1"/>
  <c r="P31" i="159" s="1"/>
  <c r="P32" i="159" s="1"/>
  <c r="P33" i="159" s="1"/>
  <c r="P34" i="159" s="1"/>
  <c r="P35" i="159" s="1"/>
  <c r="P36" i="159" s="1"/>
  <c r="P37" i="159" s="1"/>
  <c r="P38" i="159" s="1"/>
  <c r="P39" i="159" s="1"/>
  <c r="P40" i="159" s="1"/>
  <c r="P41" i="159" s="1"/>
  <c r="P42" i="159" s="1"/>
  <c r="P43" i="159" s="1"/>
  <c r="P44" i="159" s="1"/>
  <c r="P45" i="159" s="1"/>
  <c r="P46" i="159" s="1"/>
  <c r="P47" i="159" s="1"/>
  <c r="P48" i="159" s="1"/>
  <c r="P49" i="159" s="1"/>
  <c r="P50" i="159" s="1"/>
  <c r="P51" i="159" s="1"/>
  <c r="P52" i="159" s="1"/>
  <c r="P53" i="159" s="1"/>
  <c r="P54" i="159" s="1"/>
  <c r="P55" i="159" s="1"/>
  <c r="P56" i="159" s="1"/>
  <c r="P57" i="159" s="1"/>
  <c r="P58" i="159" s="1"/>
  <c r="P59" i="159" s="1"/>
  <c r="P60" i="159" s="1"/>
  <c r="P61" i="159" s="1"/>
  <c r="P62" i="159" s="1"/>
  <c r="P63" i="159" s="1"/>
  <c r="P64" i="159" s="1"/>
  <c r="P65" i="159" s="1"/>
  <c r="P66" i="159" s="1"/>
  <c r="A22" i="160" l="1"/>
  <c r="A23" i="160"/>
  <c r="A24" i="160" s="1"/>
  <c r="A25" i="160" s="1"/>
  <c r="A26" i="160" s="1"/>
  <c r="A27" i="160" s="1"/>
  <c r="A28" i="160" s="1"/>
  <c r="A29" i="160" s="1"/>
  <c r="A30" i="160" s="1"/>
  <c r="A31" i="160" s="1"/>
  <c r="A32" i="160" s="1"/>
  <c r="A33" i="160" s="1"/>
  <c r="A34" i="160" s="1"/>
  <c r="A35" i="160" s="1"/>
  <c r="A36" i="160" s="1"/>
  <c r="A37" i="160" s="1"/>
  <c r="A38" i="160" s="1"/>
  <c r="A39" i="160" s="1"/>
  <c r="A40" i="160" s="1"/>
  <c r="A41" i="160" s="1"/>
  <c r="A42" i="160" s="1"/>
  <c r="A43" i="160" s="1"/>
  <c r="A44" i="160" s="1"/>
  <c r="A45" i="160" s="1"/>
  <c r="A46" i="160" s="1"/>
  <c r="A47" i="160" s="1"/>
  <c r="A48" i="160" s="1"/>
  <c r="A49" i="160" s="1"/>
  <c r="A50" i="160" s="1"/>
  <c r="A51" i="160" s="1"/>
  <c r="A52" i="160" s="1"/>
  <c r="A53" i="160" s="1"/>
  <c r="A54" i="160" s="1"/>
  <c r="A55" i="160" s="1"/>
  <c r="A56" i="160" s="1"/>
  <c r="A57" i="160" s="1"/>
  <c r="A58" i="160" s="1"/>
  <c r="A59" i="160" s="1"/>
  <c r="A60" i="160" s="1"/>
  <c r="A61" i="160" s="1"/>
  <c r="A62" i="160" s="1"/>
  <c r="A63" i="160" s="1"/>
  <c r="A64" i="160" s="1"/>
  <c r="A65" i="160" s="1"/>
  <c r="A66" i="160" s="1"/>
  <c r="A67" i="160" s="1"/>
  <c r="A68" i="160" s="1"/>
  <c r="A69" i="160" s="1"/>
  <c r="A70" i="160" s="1"/>
  <c r="A71" i="160" s="1"/>
  <c r="A72" i="160" s="1"/>
  <c r="A73" i="160" s="1"/>
  <c r="A74" i="160" s="1"/>
  <c r="A75" i="160" s="1"/>
  <c r="A76" i="160" s="1"/>
  <c r="A77" i="160" s="1"/>
  <c r="A78" i="160" s="1"/>
  <c r="A79" i="160" s="1"/>
  <c r="A80" i="160" s="1"/>
  <c r="A81" i="160" s="1"/>
  <c r="A82" i="160" s="1"/>
  <c r="A83" i="160" s="1"/>
  <c r="A84" i="160" s="1"/>
  <c r="A85" i="160" s="1"/>
  <c r="A86" i="160" s="1"/>
  <c r="A87" i="160" s="1"/>
  <c r="A88" i="160" s="1"/>
  <c r="A89" i="160" s="1"/>
  <c r="A90" i="160" s="1"/>
  <c r="A91" i="160" s="1"/>
  <c r="A92" i="160" s="1"/>
  <c r="A93" i="160" s="1"/>
  <c r="A94" i="160" s="1"/>
  <c r="A95" i="160" s="1"/>
  <c r="A96" i="160" s="1"/>
  <c r="A97" i="160" s="1"/>
  <c r="A98" i="160" s="1"/>
  <c r="A99" i="160" s="1"/>
  <c r="A100" i="160" s="1"/>
  <c r="A101" i="160" s="1"/>
  <c r="A102" i="160" s="1"/>
  <c r="A103" i="160" s="1"/>
  <c r="A104" i="160" s="1"/>
  <c r="A105" i="160" s="1"/>
  <c r="A106" i="160" s="1"/>
  <c r="A107" i="160" s="1"/>
  <c r="A108" i="160" s="1"/>
  <c r="A109" i="160" s="1"/>
  <c r="A110" i="160" s="1"/>
  <c r="A111" i="160" s="1"/>
  <c r="A112" i="160" s="1"/>
  <c r="A113" i="160" s="1"/>
  <c r="A114" i="160" s="1"/>
  <c r="A115" i="160" s="1"/>
  <c r="A116" i="160" s="1"/>
  <c r="A117" i="160" s="1"/>
  <c r="A118" i="160" s="1"/>
  <c r="A119" i="160" s="1"/>
  <c r="A120" i="160" s="1"/>
  <c r="A121" i="160" s="1"/>
  <c r="A122" i="160" s="1"/>
  <c r="A123" i="160" s="1"/>
  <c r="A124" i="160" s="1"/>
  <c r="A125" i="160" s="1"/>
  <c r="A126" i="160" s="1"/>
  <c r="A127" i="160" s="1"/>
  <c r="A128" i="160" s="1"/>
  <c r="A129" i="160" s="1"/>
  <c r="A130" i="160" s="1"/>
  <c r="A131" i="160" s="1"/>
  <c r="A132" i="160" s="1"/>
  <c r="A133" i="160" s="1"/>
  <c r="N22" i="160"/>
  <c r="N23" i="160" s="1"/>
  <c r="N24" i="160" s="1"/>
  <c r="N25" i="160" s="1"/>
  <c r="N26" i="160" s="1"/>
  <c r="N27" i="160" s="1"/>
  <c r="N28" i="160" s="1"/>
  <c r="N29" i="160" s="1"/>
  <c r="N30" i="160" s="1"/>
  <c r="N31" i="160" s="1"/>
  <c r="N32" i="160" s="1"/>
  <c r="N33" i="160" s="1"/>
  <c r="N34" i="160" s="1"/>
  <c r="N35" i="160" s="1"/>
  <c r="N36" i="160" s="1"/>
  <c r="N37" i="160" s="1"/>
  <c r="N38" i="160" s="1"/>
  <c r="N39" i="160" s="1"/>
  <c r="N40" i="160" s="1"/>
  <c r="N41" i="160" s="1"/>
  <c r="N42" i="160" s="1"/>
  <c r="N43" i="160" s="1"/>
  <c r="N44" i="160" s="1"/>
  <c r="N45" i="160" s="1"/>
  <c r="N46" i="160" s="1"/>
  <c r="N47" i="160" s="1"/>
  <c r="N48" i="160" s="1"/>
  <c r="N49" i="160" s="1"/>
  <c r="N50" i="160" s="1"/>
  <c r="N51" i="160" s="1"/>
  <c r="N52" i="160" s="1"/>
  <c r="N53" i="160" s="1"/>
  <c r="N54" i="160" s="1"/>
  <c r="N55" i="160" s="1"/>
  <c r="N56" i="160" s="1"/>
  <c r="N57" i="160" s="1"/>
  <c r="N58" i="160" s="1"/>
  <c r="N59" i="160" s="1"/>
  <c r="N60" i="160" s="1"/>
  <c r="N61" i="160" s="1"/>
  <c r="N62" i="160" s="1"/>
  <c r="N63" i="160" s="1"/>
  <c r="N64" i="160" s="1"/>
  <c r="N65" i="160" s="1"/>
  <c r="N66" i="160" s="1"/>
  <c r="N67" i="160" s="1"/>
  <c r="N68" i="160" s="1"/>
  <c r="N69" i="160" s="1"/>
  <c r="N70" i="160" s="1"/>
  <c r="N71" i="160" s="1"/>
  <c r="N72" i="160" s="1"/>
  <c r="N73" i="160" s="1"/>
  <c r="N74" i="160" s="1"/>
  <c r="N75" i="160" s="1"/>
  <c r="N76" i="160" s="1"/>
  <c r="N77" i="160" s="1"/>
  <c r="N78" i="160" s="1"/>
  <c r="N79" i="160" s="1"/>
  <c r="N80" i="160" s="1"/>
  <c r="N81" i="160" s="1"/>
  <c r="N82" i="160" s="1"/>
  <c r="N83" i="160" s="1"/>
  <c r="N84" i="160" s="1"/>
  <c r="N85" i="160" s="1"/>
  <c r="N86" i="160" s="1"/>
  <c r="N87" i="160" s="1"/>
  <c r="N88" i="160" s="1"/>
  <c r="N89" i="160" s="1"/>
  <c r="N90" i="160" s="1"/>
  <c r="N91" i="160" s="1"/>
  <c r="N92" i="160" s="1"/>
  <c r="N93" i="160" s="1"/>
  <c r="N94" i="160" s="1"/>
  <c r="N95" i="160" s="1"/>
  <c r="N96" i="160" s="1"/>
  <c r="N97" i="160" s="1"/>
  <c r="N98" i="160" s="1"/>
  <c r="N99" i="160" s="1"/>
  <c r="N100" i="160" s="1"/>
  <c r="N101" i="160" s="1"/>
  <c r="N102" i="160" s="1"/>
  <c r="N103" i="160" s="1"/>
  <c r="N104" i="160" s="1"/>
  <c r="N105" i="160" s="1"/>
  <c r="N106" i="160" s="1"/>
  <c r="N107" i="160" s="1"/>
  <c r="N108" i="160" s="1"/>
  <c r="N109" i="160" s="1"/>
  <c r="N110" i="160" s="1"/>
  <c r="N111" i="160" s="1"/>
  <c r="N112" i="160" s="1"/>
  <c r="N113" i="160" s="1"/>
  <c r="N114" i="160" s="1"/>
  <c r="N115" i="160" s="1"/>
  <c r="N116" i="160" s="1"/>
  <c r="N117" i="160" s="1"/>
  <c r="N118" i="160" s="1"/>
  <c r="N119" i="160" s="1"/>
  <c r="N120" i="160" s="1"/>
  <c r="N121" i="160" s="1"/>
  <c r="N122" i="160" s="1"/>
  <c r="N123" i="160" s="1"/>
  <c r="N124" i="160" s="1"/>
  <c r="N125" i="160" s="1"/>
  <c r="N126" i="160" s="1"/>
  <c r="N127" i="160" s="1"/>
  <c r="N128" i="160" s="1"/>
  <c r="N129" i="160" s="1"/>
  <c r="N130" i="160" s="1"/>
  <c r="N131" i="160" s="1"/>
  <c r="N132" i="160" s="1"/>
  <c r="N133" i="160" s="1"/>
  <c r="O22" i="160"/>
  <c r="O23" i="160" s="1"/>
  <c r="O24" i="160" s="1"/>
  <c r="O25" i="160" s="1"/>
  <c r="O26" i="160" s="1"/>
  <c r="O27" i="160" s="1"/>
  <c r="O28" i="160" s="1"/>
  <c r="O29" i="160" s="1"/>
  <c r="O30" i="160" s="1"/>
  <c r="O31" i="160" s="1"/>
  <c r="O32" i="160" s="1"/>
  <c r="O33" i="160" s="1"/>
  <c r="O34" i="160" s="1"/>
  <c r="O35" i="160" s="1"/>
  <c r="O36" i="160" s="1"/>
  <c r="O37" i="160" s="1"/>
  <c r="O38" i="160" s="1"/>
  <c r="O39" i="160" s="1"/>
  <c r="O40" i="160" s="1"/>
  <c r="O41" i="160" s="1"/>
  <c r="O42" i="160" s="1"/>
  <c r="O43" i="160" s="1"/>
  <c r="O44" i="160" s="1"/>
  <c r="O45" i="160" s="1"/>
  <c r="O46" i="160" s="1"/>
  <c r="O47" i="160" s="1"/>
  <c r="O48" i="160" s="1"/>
  <c r="O49" i="160" s="1"/>
  <c r="O50" i="160" s="1"/>
  <c r="O51" i="160" s="1"/>
  <c r="O52" i="160" s="1"/>
  <c r="O53" i="160" s="1"/>
  <c r="O54" i="160" s="1"/>
  <c r="O55" i="160" s="1"/>
  <c r="O56" i="160" s="1"/>
  <c r="O57" i="160" s="1"/>
  <c r="O58" i="160" s="1"/>
  <c r="O59" i="160" s="1"/>
  <c r="O60" i="160" s="1"/>
  <c r="O61" i="160" s="1"/>
  <c r="O62" i="160" s="1"/>
  <c r="O63" i="160" s="1"/>
  <c r="O64" i="160" s="1"/>
  <c r="O65" i="160" s="1"/>
  <c r="O66" i="160" s="1"/>
  <c r="O67" i="160" s="1"/>
  <c r="O68" i="160" s="1"/>
  <c r="O69" i="160" s="1"/>
  <c r="O70" i="160" s="1"/>
  <c r="O71" i="160" s="1"/>
  <c r="O72" i="160" s="1"/>
  <c r="O73" i="160" s="1"/>
  <c r="O74" i="160" s="1"/>
  <c r="O75" i="160" s="1"/>
  <c r="O76" i="160" s="1"/>
  <c r="O77" i="160" s="1"/>
  <c r="O78" i="160" s="1"/>
  <c r="O79" i="160" s="1"/>
  <c r="O80" i="160" s="1"/>
  <c r="O81" i="160" s="1"/>
  <c r="O82" i="160" s="1"/>
  <c r="O83" i="160" s="1"/>
  <c r="O84" i="160" s="1"/>
  <c r="O85" i="160" s="1"/>
  <c r="O86" i="160" s="1"/>
  <c r="O87" i="160" s="1"/>
  <c r="O88" i="160" s="1"/>
  <c r="O89" i="160" s="1"/>
  <c r="O90" i="160" s="1"/>
  <c r="O91" i="160" s="1"/>
  <c r="O92" i="160" s="1"/>
  <c r="O93" i="160" s="1"/>
  <c r="O94" i="160" s="1"/>
  <c r="O95" i="160" s="1"/>
  <c r="O96" i="160" s="1"/>
  <c r="O97" i="160" s="1"/>
  <c r="O98" i="160" s="1"/>
  <c r="O99" i="160" s="1"/>
  <c r="O100" i="160" s="1"/>
  <c r="O101" i="160" s="1"/>
  <c r="O102" i="160" s="1"/>
  <c r="O103" i="160" s="1"/>
  <c r="O104" i="160" s="1"/>
  <c r="O105" i="160" s="1"/>
  <c r="O106" i="160" s="1"/>
  <c r="O107" i="160" s="1"/>
  <c r="O108" i="160" s="1"/>
  <c r="O109" i="160" s="1"/>
  <c r="O110" i="160" s="1"/>
  <c r="O111" i="160" s="1"/>
  <c r="O112" i="160" s="1"/>
  <c r="O113" i="160" s="1"/>
  <c r="O114" i="160" s="1"/>
  <c r="O115" i="160" s="1"/>
  <c r="O116" i="160" s="1"/>
  <c r="O117" i="160" s="1"/>
  <c r="O118" i="160" s="1"/>
  <c r="O119" i="160" s="1"/>
  <c r="O120" i="160" s="1"/>
  <c r="O121" i="160" s="1"/>
  <c r="O122" i="160" s="1"/>
  <c r="O123" i="160" s="1"/>
  <c r="O124" i="160" s="1"/>
  <c r="O125" i="160" s="1"/>
  <c r="O126" i="160" s="1"/>
  <c r="O127" i="160" s="1"/>
  <c r="O128" i="160" s="1"/>
  <c r="O129" i="160" s="1"/>
  <c r="O130" i="160" s="1"/>
  <c r="O131" i="160" s="1"/>
  <c r="O132" i="160" s="1"/>
  <c r="O133" i="160" s="1"/>
  <c r="P22" i="160"/>
  <c r="P23" i="160" s="1"/>
  <c r="P24" i="160" s="1"/>
  <c r="P25" i="160" s="1"/>
  <c r="P26" i="160" s="1"/>
  <c r="P27" i="160" s="1"/>
  <c r="P28" i="160" s="1"/>
  <c r="P29" i="160" s="1"/>
  <c r="P30" i="160" s="1"/>
  <c r="P31" i="160" s="1"/>
  <c r="P32" i="160" s="1"/>
  <c r="P33" i="160" s="1"/>
  <c r="P34" i="160" s="1"/>
  <c r="P35" i="160" s="1"/>
  <c r="P36" i="160" s="1"/>
  <c r="P37" i="160" s="1"/>
  <c r="P38" i="160" s="1"/>
  <c r="P39" i="160" s="1"/>
  <c r="P40" i="160" s="1"/>
  <c r="P41" i="160" s="1"/>
  <c r="P42" i="160" s="1"/>
  <c r="P43" i="160" s="1"/>
  <c r="P44" i="160" s="1"/>
  <c r="P45" i="160" s="1"/>
  <c r="P46" i="160" s="1"/>
  <c r="P47" i="160" s="1"/>
  <c r="P48" i="160" s="1"/>
  <c r="P49" i="160" s="1"/>
  <c r="P50" i="160" s="1"/>
  <c r="P51" i="160" s="1"/>
  <c r="P52" i="160" s="1"/>
  <c r="P53" i="160" s="1"/>
  <c r="P54" i="160" s="1"/>
  <c r="P55" i="160" s="1"/>
  <c r="P56" i="160" s="1"/>
  <c r="P57" i="160" s="1"/>
  <c r="P58" i="160" s="1"/>
  <c r="P59" i="160" s="1"/>
  <c r="P60" i="160" s="1"/>
  <c r="P61" i="160" s="1"/>
  <c r="P62" i="160" s="1"/>
  <c r="P63" i="160" s="1"/>
  <c r="P64" i="160" s="1"/>
  <c r="P65" i="160" s="1"/>
  <c r="P66" i="160" s="1"/>
  <c r="P67" i="160" s="1"/>
  <c r="P68" i="160" s="1"/>
  <c r="P69" i="160" s="1"/>
  <c r="P70" i="160" s="1"/>
  <c r="P71" i="160" s="1"/>
  <c r="P72" i="160" s="1"/>
  <c r="P73" i="160" s="1"/>
  <c r="P74" i="160" s="1"/>
  <c r="P75" i="160" s="1"/>
  <c r="P76" i="160" s="1"/>
  <c r="P77" i="160" s="1"/>
  <c r="P78" i="160" s="1"/>
  <c r="P79" i="160" s="1"/>
  <c r="P80" i="160" s="1"/>
  <c r="P81" i="160" s="1"/>
  <c r="P82" i="160" s="1"/>
  <c r="P83" i="160" s="1"/>
  <c r="P84" i="160" s="1"/>
  <c r="P85" i="160" s="1"/>
  <c r="P86" i="160" s="1"/>
  <c r="P87" i="160" s="1"/>
  <c r="P88" i="160" s="1"/>
  <c r="P89" i="160" s="1"/>
  <c r="P90" i="160" s="1"/>
  <c r="P91" i="160" s="1"/>
  <c r="P92" i="160" s="1"/>
  <c r="P93" i="160" s="1"/>
  <c r="P94" i="160" s="1"/>
  <c r="P95" i="160" s="1"/>
  <c r="P96" i="160" s="1"/>
  <c r="P97" i="160" s="1"/>
  <c r="P98" i="160" s="1"/>
  <c r="P99" i="160" s="1"/>
  <c r="P100" i="160" s="1"/>
  <c r="P101" i="160" s="1"/>
  <c r="P102" i="160" s="1"/>
  <c r="P103" i="160" s="1"/>
  <c r="P104" i="160" s="1"/>
  <c r="P105" i="160" s="1"/>
  <c r="P106" i="160" s="1"/>
  <c r="P107" i="160" s="1"/>
  <c r="P108" i="160" s="1"/>
  <c r="P109" i="160" s="1"/>
  <c r="P110" i="160" s="1"/>
  <c r="P111" i="160" s="1"/>
  <c r="P112" i="160" s="1"/>
  <c r="P113" i="160" s="1"/>
  <c r="P114" i="160" s="1"/>
  <c r="P115" i="160" s="1"/>
  <c r="P116" i="160" s="1"/>
  <c r="P117" i="160" s="1"/>
  <c r="P118" i="160" s="1"/>
  <c r="P119" i="160" s="1"/>
  <c r="P120" i="160" s="1"/>
  <c r="P121" i="160" s="1"/>
  <c r="P122" i="160" s="1"/>
  <c r="P123" i="160" s="1"/>
  <c r="P124" i="160" s="1"/>
  <c r="P125" i="160" s="1"/>
  <c r="P126" i="160" s="1"/>
  <c r="P127" i="160" s="1"/>
  <c r="P128" i="160" s="1"/>
  <c r="P129" i="160" s="1"/>
  <c r="P130" i="160" s="1"/>
  <c r="P131" i="160" s="1"/>
  <c r="P132" i="160" s="1"/>
  <c r="P133" i="160" s="1"/>
  <c r="P3" i="160"/>
  <c r="P4" i="160" s="1"/>
  <c r="P5" i="160" s="1"/>
  <c r="P6" i="160" s="1"/>
  <c r="P7" i="160" s="1"/>
  <c r="P8" i="160" s="1"/>
  <c r="P9" i="160" s="1"/>
  <c r="P10" i="160" s="1"/>
  <c r="P11" i="160" s="1"/>
  <c r="P12" i="160" s="1"/>
  <c r="P13" i="160" s="1"/>
  <c r="P14" i="160" s="1"/>
  <c r="P15" i="160" s="1"/>
  <c r="P16" i="160" s="1"/>
  <c r="P17" i="160" s="1"/>
  <c r="P18" i="160" s="1"/>
  <c r="P19" i="160" s="1"/>
  <c r="P20" i="160" s="1"/>
  <c r="P21" i="160" s="1"/>
  <c r="O3" i="160"/>
  <c r="O4" i="160" s="1"/>
  <c r="O5" i="160" s="1"/>
  <c r="O6" i="160" s="1"/>
  <c r="O7" i="160" s="1"/>
  <c r="O8" i="160" s="1"/>
  <c r="O9" i="160" s="1"/>
  <c r="O10" i="160" s="1"/>
  <c r="O11" i="160" s="1"/>
  <c r="O12" i="160" s="1"/>
  <c r="O13" i="160" s="1"/>
  <c r="O14" i="160" s="1"/>
  <c r="O15" i="160" s="1"/>
  <c r="O16" i="160" s="1"/>
  <c r="O17" i="160" s="1"/>
  <c r="O18" i="160" s="1"/>
  <c r="O19" i="160" s="1"/>
  <c r="O20" i="160" s="1"/>
  <c r="O21" i="160" s="1"/>
  <c r="N3" i="160"/>
  <c r="N4" i="160" s="1"/>
  <c r="N5" i="160" s="1"/>
  <c r="N6" i="160" s="1"/>
  <c r="N7" i="160" s="1"/>
  <c r="N8" i="160" s="1"/>
  <c r="N9" i="160" s="1"/>
  <c r="N10" i="160" s="1"/>
  <c r="N11" i="160" s="1"/>
  <c r="N12" i="160" s="1"/>
  <c r="N13" i="160" s="1"/>
  <c r="N14" i="160" s="1"/>
  <c r="N15" i="160" s="1"/>
  <c r="N16" i="160" s="1"/>
  <c r="N17" i="160" s="1"/>
  <c r="N18" i="160" s="1"/>
  <c r="N19" i="160" s="1"/>
  <c r="N20" i="160" s="1"/>
  <c r="N21" i="160" s="1"/>
  <c r="C3" i="144"/>
  <c r="B3" i="144"/>
  <c r="A3" i="144"/>
  <c r="C3" i="160"/>
  <c r="C4" i="160" s="1"/>
  <c r="C5" i="160" s="1"/>
  <c r="C6" i="160" s="1"/>
  <c r="C7" i="160" s="1"/>
  <c r="C8" i="160" s="1"/>
  <c r="C9" i="160" s="1"/>
  <c r="C10" i="160" s="1"/>
  <c r="C11" i="160" s="1"/>
  <c r="C12" i="160" s="1"/>
  <c r="C13" i="160" s="1"/>
  <c r="C14" i="160" s="1"/>
  <c r="C15" i="160" s="1"/>
  <c r="C16" i="160" s="1"/>
  <c r="C17" i="160" s="1"/>
  <c r="C18" i="160" s="1"/>
  <c r="C19" i="160" s="1"/>
  <c r="C20" i="160" s="1"/>
  <c r="C21" i="160" s="1"/>
  <c r="C22" i="160" s="1"/>
  <c r="C23" i="160" s="1"/>
  <c r="C24" i="160" s="1"/>
  <c r="C25" i="160" s="1"/>
  <c r="C26" i="160" s="1"/>
  <c r="C27" i="160" s="1"/>
  <c r="C28" i="160" s="1"/>
  <c r="C29" i="160" s="1"/>
  <c r="C30" i="160" s="1"/>
  <c r="C31" i="160" s="1"/>
  <c r="C32" i="160" s="1"/>
  <c r="C33" i="160" s="1"/>
  <c r="C34" i="160" s="1"/>
  <c r="C35" i="160" s="1"/>
  <c r="C36" i="160" s="1"/>
  <c r="C37" i="160" s="1"/>
  <c r="C38" i="160" s="1"/>
  <c r="C39" i="160" s="1"/>
  <c r="C40" i="160" s="1"/>
  <c r="C41" i="160" s="1"/>
  <c r="C42" i="160" s="1"/>
  <c r="C43" i="160" s="1"/>
  <c r="C44" i="160" s="1"/>
  <c r="C45" i="160" s="1"/>
  <c r="C46" i="160" s="1"/>
  <c r="C47" i="160" s="1"/>
  <c r="C48" i="160" s="1"/>
  <c r="C49" i="160" s="1"/>
  <c r="C50" i="160" s="1"/>
  <c r="C51" i="160" s="1"/>
  <c r="C52" i="160" s="1"/>
  <c r="C53" i="160" s="1"/>
  <c r="C54" i="160" s="1"/>
  <c r="C55" i="160" s="1"/>
  <c r="C56" i="160" s="1"/>
  <c r="C57" i="160" s="1"/>
  <c r="C58" i="160" s="1"/>
  <c r="C59" i="160" s="1"/>
  <c r="C60" i="160" s="1"/>
  <c r="C61" i="160" s="1"/>
  <c r="C62" i="160" s="1"/>
  <c r="C63" i="160" s="1"/>
  <c r="C64" i="160" s="1"/>
  <c r="C65" i="160" s="1"/>
  <c r="C66" i="160" s="1"/>
  <c r="C67" i="160" s="1"/>
  <c r="C68" i="160" s="1"/>
  <c r="C69" i="160" s="1"/>
  <c r="C70" i="160" s="1"/>
  <c r="C71" i="160" s="1"/>
  <c r="C72" i="160" s="1"/>
  <c r="C73" i="160" s="1"/>
  <c r="C74" i="160" s="1"/>
  <c r="C75" i="160" s="1"/>
  <c r="C76" i="160" s="1"/>
  <c r="C77" i="160" s="1"/>
  <c r="C78" i="160" s="1"/>
  <c r="C79" i="160" s="1"/>
  <c r="C80" i="160" s="1"/>
  <c r="C81" i="160" s="1"/>
  <c r="C82" i="160" s="1"/>
  <c r="C83" i="160" s="1"/>
  <c r="C84" i="160" s="1"/>
  <c r="C85" i="160" s="1"/>
  <c r="C86" i="160" s="1"/>
  <c r="C87" i="160" s="1"/>
  <c r="C88" i="160" s="1"/>
  <c r="C89" i="160" s="1"/>
  <c r="C90" i="160" s="1"/>
  <c r="C91" i="160" s="1"/>
  <c r="C92" i="160" s="1"/>
  <c r="C93" i="160" s="1"/>
  <c r="C94" i="160" s="1"/>
  <c r="C95" i="160" s="1"/>
  <c r="C96" i="160" s="1"/>
  <c r="C97" i="160" s="1"/>
  <c r="C98" i="160" s="1"/>
  <c r="C99" i="160" s="1"/>
  <c r="C100" i="160" s="1"/>
  <c r="C101" i="160" s="1"/>
  <c r="C102" i="160" s="1"/>
  <c r="C103" i="160" s="1"/>
  <c r="C104" i="160" s="1"/>
  <c r="C105" i="160" s="1"/>
  <c r="C106" i="160" s="1"/>
  <c r="C107" i="160" s="1"/>
  <c r="C108" i="160" s="1"/>
  <c r="C109" i="160" s="1"/>
  <c r="C110" i="160" s="1"/>
  <c r="C111" i="160" s="1"/>
  <c r="C112" i="160" s="1"/>
  <c r="C113" i="160" s="1"/>
  <c r="C114" i="160" s="1"/>
  <c r="C115" i="160" s="1"/>
  <c r="C116" i="160" s="1"/>
  <c r="C117" i="160" s="1"/>
  <c r="C118" i="160" s="1"/>
  <c r="C119" i="160" s="1"/>
  <c r="C120" i="160" s="1"/>
  <c r="C121" i="160" s="1"/>
  <c r="C122" i="160" s="1"/>
  <c r="C123" i="160" s="1"/>
  <c r="C124" i="160" s="1"/>
  <c r="C125" i="160" s="1"/>
  <c r="C126" i="160" s="1"/>
  <c r="C127" i="160" s="1"/>
  <c r="C128" i="160" s="1"/>
  <c r="C129" i="160" s="1"/>
  <c r="C130" i="160" s="1"/>
  <c r="C131" i="160" s="1"/>
  <c r="C132" i="160" s="1"/>
  <c r="C133" i="160" s="1"/>
  <c r="B3" i="160"/>
  <c r="B4" i="160" s="1"/>
  <c r="B5" i="160" s="1"/>
  <c r="B6" i="160" s="1"/>
  <c r="B7" i="160" s="1"/>
  <c r="B8" i="160" s="1"/>
  <c r="B9" i="160" s="1"/>
  <c r="B10" i="160" s="1"/>
  <c r="B11" i="160" s="1"/>
  <c r="B12" i="160" s="1"/>
  <c r="B13" i="160" s="1"/>
  <c r="B14" i="160" s="1"/>
  <c r="B15" i="160" s="1"/>
  <c r="B16" i="160" s="1"/>
  <c r="B17" i="160" s="1"/>
  <c r="B18" i="160" s="1"/>
  <c r="B19" i="160" s="1"/>
  <c r="B20" i="160" s="1"/>
  <c r="B21" i="160" s="1"/>
  <c r="B22" i="160" s="1"/>
  <c r="B23" i="160" s="1"/>
  <c r="B24" i="160" s="1"/>
  <c r="B25" i="160" s="1"/>
  <c r="B26" i="160" s="1"/>
  <c r="B27" i="160" s="1"/>
  <c r="B28" i="160" s="1"/>
  <c r="B29" i="160" s="1"/>
  <c r="B30" i="160" s="1"/>
  <c r="B31" i="160" s="1"/>
  <c r="B32" i="160" s="1"/>
  <c r="B33" i="160" s="1"/>
  <c r="B34" i="160" s="1"/>
  <c r="B35" i="160" s="1"/>
  <c r="B36" i="160" s="1"/>
  <c r="B37" i="160" s="1"/>
  <c r="B38" i="160" s="1"/>
  <c r="B39" i="160" s="1"/>
  <c r="B40" i="160" s="1"/>
  <c r="B41" i="160" s="1"/>
  <c r="B42" i="160" s="1"/>
  <c r="B43" i="160" s="1"/>
  <c r="B44" i="160" s="1"/>
  <c r="B45" i="160" s="1"/>
  <c r="B46" i="160" s="1"/>
  <c r="B47" i="160" s="1"/>
  <c r="B48" i="160" s="1"/>
  <c r="B49" i="160" s="1"/>
  <c r="B50" i="160" s="1"/>
  <c r="B51" i="160" s="1"/>
  <c r="B52" i="160" s="1"/>
  <c r="B53" i="160" s="1"/>
  <c r="B54" i="160" s="1"/>
  <c r="B55" i="160" s="1"/>
  <c r="B56" i="160" s="1"/>
  <c r="B57" i="160" s="1"/>
  <c r="B58" i="160" s="1"/>
  <c r="B59" i="160" s="1"/>
  <c r="B60" i="160" s="1"/>
  <c r="B61" i="160" s="1"/>
  <c r="B62" i="160" s="1"/>
  <c r="B63" i="160" s="1"/>
  <c r="B64" i="160" s="1"/>
  <c r="B65" i="160" s="1"/>
  <c r="B66" i="160" s="1"/>
  <c r="B67" i="160" s="1"/>
  <c r="B68" i="160" s="1"/>
  <c r="B69" i="160" s="1"/>
  <c r="B70" i="160" s="1"/>
  <c r="B71" i="160" s="1"/>
  <c r="B72" i="160" s="1"/>
  <c r="B73" i="160" s="1"/>
  <c r="B74" i="160" s="1"/>
  <c r="B75" i="160" s="1"/>
  <c r="B76" i="160" s="1"/>
  <c r="B77" i="160" s="1"/>
  <c r="B78" i="160" s="1"/>
  <c r="B79" i="160" s="1"/>
  <c r="B80" i="160" s="1"/>
  <c r="B81" i="160" s="1"/>
  <c r="B82" i="160" s="1"/>
  <c r="B83" i="160" s="1"/>
  <c r="B84" i="160" s="1"/>
  <c r="B85" i="160" s="1"/>
  <c r="B86" i="160" s="1"/>
  <c r="B87" i="160" s="1"/>
  <c r="B88" i="160" s="1"/>
  <c r="B89" i="160" s="1"/>
  <c r="B90" i="160" s="1"/>
  <c r="B91" i="160" s="1"/>
  <c r="B92" i="160" s="1"/>
  <c r="B93" i="160" s="1"/>
  <c r="B94" i="160" s="1"/>
  <c r="B95" i="160" s="1"/>
  <c r="B96" i="160" s="1"/>
  <c r="B97" i="160" s="1"/>
  <c r="B98" i="160" s="1"/>
  <c r="B99" i="160" s="1"/>
  <c r="B100" i="160" s="1"/>
  <c r="B101" i="160" s="1"/>
  <c r="B102" i="160" s="1"/>
  <c r="B103" i="160" s="1"/>
  <c r="B104" i="160" s="1"/>
  <c r="B105" i="160" s="1"/>
  <c r="B106" i="160" s="1"/>
  <c r="B107" i="160" s="1"/>
  <c r="B108" i="160" s="1"/>
  <c r="B109" i="160" s="1"/>
  <c r="B110" i="160" s="1"/>
  <c r="B111" i="160" s="1"/>
  <c r="B112" i="160" s="1"/>
  <c r="B113" i="160" s="1"/>
  <c r="B114" i="160" s="1"/>
  <c r="B115" i="160" s="1"/>
  <c r="B116" i="160" s="1"/>
  <c r="B117" i="160" s="1"/>
  <c r="B118" i="160" s="1"/>
  <c r="B119" i="160" s="1"/>
  <c r="B120" i="160" s="1"/>
  <c r="B121" i="160" s="1"/>
  <c r="B122" i="160" s="1"/>
  <c r="B123" i="160" s="1"/>
  <c r="B124" i="160" s="1"/>
  <c r="B125" i="160" s="1"/>
  <c r="B126" i="160" s="1"/>
  <c r="B127" i="160" s="1"/>
  <c r="B128" i="160" s="1"/>
  <c r="B129" i="160" s="1"/>
  <c r="B130" i="160" s="1"/>
  <c r="B131" i="160" s="1"/>
  <c r="B132" i="160" s="1"/>
  <c r="B133" i="160" s="1"/>
  <c r="A3" i="160"/>
  <c r="A4" i="160" s="1"/>
  <c r="A5" i="160" s="1"/>
  <c r="A6" i="160" s="1"/>
  <c r="A7" i="160" s="1"/>
  <c r="A8" i="160" s="1"/>
  <c r="A9" i="160" s="1"/>
  <c r="A10" i="160" s="1"/>
  <c r="A11" i="160" s="1"/>
  <c r="A12" i="160" s="1"/>
  <c r="A13" i="160" s="1"/>
  <c r="A14" i="160" s="1"/>
  <c r="A15" i="160" s="1"/>
  <c r="A16" i="160" s="1"/>
  <c r="A17" i="160" s="1"/>
  <c r="A18" i="160" s="1"/>
  <c r="A19" i="160" s="1"/>
  <c r="A20" i="160" s="1"/>
  <c r="A21" i="160" s="1"/>
  <c r="O3" i="159"/>
  <c r="O4" i="159" s="1"/>
  <c r="O5" i="159" s="1"/>
  <c r="O6" i="159" s="1"/>
  <c r="O7" i="159" s="1"/>
  <c r="O8" i="159" s="1"/>
  <c r="O9" i="159" s="1"/>
  <c r="O10" i="159" s="1"/>
  <c r="O11" i="159" s="1"/>
  <c r="O12" i="159" s="1"/>
  <c r="O13" i="159" s="1"/>
  <c r="O14" i="159" s="1"/>
  <c r="O15" i="159" s="1"/>
  <c r="O16" i="159" s="1"/>
  <c r="O17" i="159" s="1"/>
  <c r="O18" i="159" s="1"/>
  <c r="O19" i="159" s="1"/>
  <c r="O20" i="159" s="1"/>
  <c r="O21" i="159" s="1"/>
  <c r="O22" i="159" s="1"/>
  <c r="O23" i="159" s="1"/>
  <c r="O24" i="159" s="1"/>
  <c r="O25" i="159" s="1"/>
  <c r="O26" i="159" s="1"/>
  <c r="O27" i="159" s="1"/>
  <c r="O28" i="159" s="1"/>
  <c r="O29" i="159" s="1"/>
  <c r="O30" i="159" s="1"/>
  <c r="O31" i="159" s="1"/>
  <c r="O32" i="159" s="1"/>
  <c r="O33" i="159" s="1"/>
  <c r="O34" i="159" s="1"/>
  <c r="O35" i="159" s="1"/>
  <c r="O36" i="159" s="1"/>
  <c r="O37" i="159" s="1"/>
  <c r="O38" i="159" s="1"/>
  <c r="O39" i="159" s="1"/>
  <c r="O40" i="159" s="1"/>
  <c r="O41" i="159" s="1"/>
  <c r="O42" i="159" s="1"/>
  <c r="O43" i="159" s="1"/>
  <c r="O44" i="159" s="1"/>
  <c r="O45" i="159" s="1"/>
  <c r="O46" i="159" s="1"/>
  <c r="O47" i="159" s="1"/>
  <c r="O48" i="159" s="1"/>
  <c r="O49" i="159" s="1"/>
  <c r="O50" i="159" s="1"/>
  <c r="O51" i="159" s="1"/>
  <c r="O52" i="159" s="1"/>
  <c r="O53" i="159" s="1"/>
  <c r="O54" i="159" s="1"/>
  <c r="O55" i="159" s="1"/>
  <c r="O56" i="159" s="1"/>
  <c r="O57" i="159" s="1"/>
  <c r="O58" i="159" s="1"/>
  <c r="O59" i="159" s="1"/>
  <c r="O60" i="159" s="1"/>
  <c r="O61" i="159" s="1"/>
  <c r="O62" i="159" s="1"/>
  <c r="O63" i="159" s="1"/>
  <c r="O64" i="159" s="1"/>
  <c r="O65" i="159" s="1"/>
  <c r="O66" i="159" s="1"/>
  <c r="P3" i="159"/>
  <c r="P4" i="159" s="1"/>
  <c r="P5" i="159" s="1"/>
  <c r="P6" i="159" s="1"/>
  <c r="P7" i="159" s="1"/>
  <c r="A3" i="159"/>
  <c r="A4" i="159" s="1"/>
  <c r="A5" i="159" s="1"/>
  <c r="A6" i="159" s="1"/>
  <c r="A7" i="159" s="1"/>
  <c r="A8" i="159" s="1"/>
  <c r="A9" i="159" s="1"/>
  <c r="A10" i="159" s="1"/>
  <c r="A11" i="159" s="1"/>
  <c r="A12" i="159" s="1"/>
  <c r="A13" i="159" s="1"/>
  <c r="A14" i="159" s="1"/>
  <c r="A15" i="159" s="1"/>
  <c r="A16" i="159" s="1"/>
  <c r="A17" i="159" s="1"/>
  <c r="A18" i="159" s="1"/>
  <c r="A19" i="159" s="1"/>
  <c r="A20" i="159" s="1"/>
  <c r="A21" i="159" s="1"/>
  <c r="A22" i="159" s="1"/>
  <c r="A23" i="159" s="1"/>
  <c r="A24" i="159" s="1"/>
  <c r="A25" i="159" s="1"/>
  <c r="A26" i="159" s="1"/>
  <c r="A27" i="159" s="1"/>
  <c r="A28" i="159" s="1"/>
  <c r="A29" i="159" s="1"/>
  <c r="A30" i="159" s="1"/>
  <c r="A31" i="159" s="1"/>
  <c r="A32" i="159" s="1"/>
  <c r="A33" i="159" s="1"/>
  <c r="A34" i="159" s="1"/>
  <c r="A35" i="159" s="1"/>
  <c r="A36" i="159" s="1"/>
  <c r="A37" i="159" s="1"/>
  <c r="A38" i="159" s="1"/>
  <c r="A39" i="159" s="1"/>
  <c r="A40" i="159" s="1"/>
  <c r="A41" i="159" s="1"/>
  <c r="A42" i="159" s="1"/>
  <c r="A43" i="159" s="1"/>
  <c r="A44" i="159" s="1"/>
  <c r="A45" i="159" s="1"/>
  <c r="A46" i="159" s="1"/>
  <c r="A47" i="159" s="1"/>
  <c r="A48" i="159" s="1"/>
  <c r="A49" i="159" s="1"/>
  <c r="A50" i="159" s="1"/>
  <c r="A51" i="159" s="1"/>
  <c r="A52" i="159" s="1"/>
  <c r="A53" i="159" s="1"/>
  <c r="A54" i="159" s="1"/>
  <c r="A55" i="159" s="1"/>
  <c r="A56" i="159" s="1"/>
  <c r="A57" i="159" s="1"/>
  <c r="A58" i="159" s="1"/>
  <c r="A59" i="159" s="1"/>
  <c r="A60" i="159" s="1"/>
  <c r="A61" i="159" s="1"/>
  <c r="A62" i="159" s="1"/>
  <c r="A63" i="159" s="1"/>
  <c r="A64" i="159" s="1"/>
  <c r="A65" i="159" s="1"/>
  <c r="A66" i="159" s="1"/>
  <c r="N3" i="159"/>
  <c r="N4" i="159" s="1"/>
  <c r="N5" i="159" s="1"/>
  <c r="N6" i="159" s="1"/>
  <c r="N7" i="159" s="1"/>
  <c r="N8" i="159" s="1"/>
  <c r="N9" i="159" s="1"/>
  <c r="N10" i="159" s="1"/>
  <c r="N11" i="159" s="1"/>
  <c r="N12" i="159" s="1"/>
  <c r="N13" i="159" s="1"/>
  <c r="N14" i="159" s="1"/>
  <c r="N15" i="159" s="1"/>
  <c r="N16" i="159" s="1"/>
  <c r="N17" i="159" s="1"/>
  <c r="N18" i="159" s="1"/>
  <c r="N19" i="159" s="1"/>
  <c r="N20" i="159" s="1"/>
  <c r="N21" i="159" s="1"/>
  <c r="N22" i="159" s="1"/>
  <c r="N23" i="159" s="1"/>
  <c r="N24" i="159" s="1"/>
  <c r="N25" i="159" s="1"/>
  <c r="N26" i="159" s="1"/>
  <c r="N27" i="159" s="1"/>
  <c r="N28" i="159" s="1"/>
  <c r="N29" i="159" s="1"/>
  <c r="N30" i="159" s="1"/>
  <c r="N31" i="159" s="1"/>
  <c r="N32" i="159" s="1"/>
  <c r="N33" i="159" s="1"/>
  <c r="N34" i="159" s="1"/>
  <c r="N35" i="159" s="1"/>
  <c r="N36" i="159" s="1"/>
  <c r="N37" i="159" s="1"/>
  <c r="N38" i="159" s="1"/>
  <c r="N39" i="159" s="1"/>
  <c r="N40" i="159" s="1"/>
  <c r="N41" i="159" s="1"/>
  <c r="N42" i="159" s="1"/>
  <c r="N43" i="159" s="1"/>
  <c r="N44" i="159" s="1"/>
  <c r="N45" i="159" s="1"/>
  <c r="N46" i="159" s="1"/>
  <c r="N47" i="159" s="1"/>
  <c r="N48" i="159" s="1"/>
  <c r="N49" i="159" s="1"/>
  <c r="N50" i="159" s="1"/>
  <c r="N51" i="159" s="1"/>
  <c r="N52" i="159" s="1"/>
  <c r="N53" i="159" s="1"/>
  <c r="N54" i="159" s="1"/>
  <c r="N55" i="159" s="1"/>
  <c r="N56" i="159" s="1"/>
  <c r="N57" i="159" s="1"/>
  <c r="N58" i="159" s="1"/>
  <c r="N59" i="159" s="1"/>
  <c r="N60" i="159" s="1"/>
  <c r="N61" i="159" s="1"/>
  <c r="N62" i="159" s="1"/>
  <c r="N63" i="159" s="1"/>
  <c r="N64" i="159" s="1"/>
  <c r="N65" i="159" s="1"/>
  <c r="N66" i="159" s="1"/>
  <c r="O3" i="147"/>
  <c r="O4" i="147"/>
  <c r="O5" i="147"/>
  <c r="O6" i="147"/>
  <c r="O7" i="147"/>
  <c r="O8" i="147"/>
  <c r="O9" i="147"/>
  <c r="O10" i="147"/>
  <c r="O11" i="147"/>
  <c r="O12" i="147"/>
  <c r="O13" i="147"/>
  <c r="O14" i="147"/>
  <c r="O15" i="147"/>
  <c r="O16" i="147"/>
  <c r="O17" i="147"/>
  <c r="O18" i="147"/>
  <c r="O19" i="147"/>
  <c r="O20" i="147"/>
  <c r="O21" i="147"/>
  <c r="O22" i="147"/>
  <c r="O23" i="147"/>
  <c r="O24" i="147"/>
  <c r="O25" i="147"/>
  <c r="O26" i="147"/>
  <c r="O27" i="147"/>
  <c r="O28" i="147"/>
  <c r="O29" i="147"/>
  <c r="O30" i="147"/>
  <c r="O31" i="147"/>
  <c r="O32" i="147"/>
  <c r="O33" i="147"/>
  <c r="O34" i="147"/>
  <c r="O35" i="147"/>
  <c r="O36" i="147"/>
  <c r="O37" i="147"/>
  <c r="O38" i="147"/>
  <c r="O39" i="147"/>
  <c r="O40" i="147"/>
  <c r="O41" i="147"/>
  <c r="O42" i="147"/>
  <c r="O43" i="147"/>
  <c r="O44" i="147"/>
  <c r="O45" i="147"/>
  <c r="O46" i="147"/>
  <c r="O47" i="147"/>
  <c r="O48" i="147"/>
  <c r="O49" i="147"/>
  <c r="O50" i="147"/>
  <c r="O51" i="147"/>
  <c r="O52" i="147"/>
  <c r="O53" i="147"/>
  <c r="O54" i="147"/>
  <c r="O55" i="147"/>
  <c r="O56" i="147"/>
  <c r="O57" i="147"/>
  <c r="O58" i="147"/>
  <c r="O59" i="147"/>
  <c r="O60" i="147"/>
  <c r="O61" i="147"/>
  <c r="O62" i="147"/>
  <c r="O63" i="147"/>
  <c r="O64" i="147"/>
  <c r="O65" i="147"/>
  <c r="O66" i="147"/>
  <c r="O67" i="147"/>
  <c r="O68" i="147"/>
  <c r="O69" i="147"/>
  <c r="O70" i="147"/>
  <c r="O71" i="147"/>
  <c r="O72" i="147"/>
  <c r="O73" i="147"/>
  <c r="O74" i="147"/>
  <c r="O75" i="147"/>
  <c r="O76" i="147"/>
  <c r="O77" i="147"/>
  <c r="O78" i="147"/>
  <c r="O79" i="147"/>
  <c r="O80" i="147"/>
  <c r="O81" i="147"/>
  <c r="O82" i="147"/>
  <c r="O83" i="147"/>
  <c r="O84" i="147"/>
  <c r="O85" i="147"/>
  <c r="O86" i="147"/>
  <c r="O87" i="147"/>
  <c r="O88" i="147"/>
  <c r="O89" i="147"/>
  <c r="O90" i="147"/>
  <c r="O91" i="147"/>
  <c r="O92" i="147"/>
  <c r="O93" i="147"/>
  <c r="O94" i="147"/>
  <c r="O95" i="147"/>
  <c r="O96" i="147"/>
  <c r="O2" i="147"/>
  <c r="O3" i="146"/>
  <c r="O4" i="146"/>
  <c r="O5" i="146"/>
  <c r="O6" i="146"/>
  <c r="O7" i="146"/>
  <c r="O8" i="146"/>
  <c r="O9" i="146"/>
  <c r="O10" i="146"/>
  <c r="O11" i="146"/>
  <c r="O12" i="146"/>
  <c r="O13" i="146"/>
  <c r="O14" i="146"/>
  <c r="O15" i="146"/>
  <c r="O16" i="146"/>
  <c r="O17" i="146"/>
  <c r="O18" i="146"/>
  <c r="O19" i="146"/>
  <c r="O20" i="146"/>
  <c r="O21" i="146"/>
  <c r="O22" i="146"/>
  <c r="O23" i="146"/>
  <c r="O24" i="146"/>
  <c r="O25" i="146"/>
  <c r="O26" i="146"/>
  <c r="O27" i="146"/>
  <c r="O28" i="146"/>
  <c r="O29" i="146"/>
  <c r="O30" i="146"/>
  <c r="O31" i="146"/>
  <c r="O32" i="146"/>
  <c r="O33" i="146"/>
  <c r="O34" i="146"/>
  <c r="O35" i="146"/>
  <c r="O36" i="146"/>
  <c r="O2" i="146"/>
  <c r="O2" i="10"/>
  <c r="O3" i="145"/>
  <c r="O4" i="145"/>
  <c r="O5" i="145"/>
  <c r="O6" i="145"/>
  <c r="O7" i="145"/>
  <c r="O8" i="145"/>
  <c r="O9" i="145"/>
  <c r="O10" i="145"/>
  <c r="O11" i="145"/>
  <c r="O12" i="145"/>
  <c r="O13" i="145"/>
  <c r="O14" i="145"/>
  <c r="O15" i="145"/>
  <c r="O16" i="145"/>
  <c r="O17" i="145"/>
  <c r="O18" i="145"/>
  <c r="O19" i="145"/>
  <c r="O20" i="145"/>
  <c r="O21" i="145"/>
  <c r="O22" i="145"/>
  <c r="O23" i="145"/>
  <c r="O24" i="145"/>
  <c r="O25" i="145"/>
  <c r="O26" i="145"/>
  <c r="O27" i="145"/>
  <c r="O28" i="145"/>
  <c r="O29" i="145"/>
  <c r="O30" i="145"/>
  <c r="O31" i="145"/>
  <c r="O32" i="145"/>
  <c r="O33" i="145"/>
  <c r="O34" i="145"/>
  <c r="O35" i="145"/>
  <c r="O36" i="145"/>
  <c r="O37" i="145"/>
  <c r="O2" i="145"/>
  <c r="O2" i="155"/>
  <c r="O2" i="144"/>
  <c r="O3" i="144"/>
  <c r="O4" i="144"/>
  <c r="O5" i="144"/>
  <c r="O6" i="144"/>
  <c r="O7" i="144"/>
  <c r="O8" i="144"/>
  <c r="O9" i="144"/>
  <c r="O10" i="144"/>
  <c r="O11" i="144"/>
  <c r="O12" i="144"/>
  <c r="O13" i="144"/>
  <c r="O14" i="144"/>
  <c r="O15" i="144"/>
  <c r="O16" i="144"/>
  <c r="O17" i="144"/>
  <c r="O18" i="144"/>
  <c r="O19" i="144"/>
  <c r="O20" i="144"/>
  <c r="O21" i="144"/>
  <c r="O22" i="144"/>
  <c r="O23" i="144"/>
  <c r="O24" i="144"/>
  <c r="O25" i="144"/>
  <c r="O26" i="144"/>
  <c r="O27" i="144"/>
  <c r="O28" i="144"/>
  <c r="O29" i="144"/>
  <c r="O30" i="144"/>
  <c r="O31" i="144"/>
  <c r="O32" i="144"/>
  <c r="O33" i="144"/>
  <c r="O34" i="144"/>
  <c r="O35" i="144"/>
  <c r="O36" i="144"/>
  <c r="O37" i="144"/>
  <c r="O38" i="144"/>
  <c r="O39" i="144"/>
  <c r="O40" i="144"/>
  <c r="O41" i="144"/>
  <c r="O42" i="144"/>
  <c r="O43" i="144"/>
  <c r="O44" i="144"/>
  <c r="O45" i="144"/>
  <c r="O46" i="144"/>
  <c r="O47" i="144"/>
  <c r="O48" i="144"/>
  <c r="O49" i="144"/>
  <c r="O50" i="144"/>
  <c r="O51" i="144"/>
  <c r="O52" i="144"/>
  <c r="O53" i="144"/>
  <c r="O54" i="144"/>
  <c r="O55" i="144"/>
  <c r="O56" i="144"/>
  <c r="O57" i="144"/>
  <c r="O58" i="144"/>
  <c r="O59" i="144"/>
  <c r="O60" i="144"/>
  <c r="O61" i="144"/>
  <c r="O62" i="144"/>
  <c r="O63" i="144"/>
  <c r="O64" i="144"/>
  <c r="O65" i="144"/>
  <c r="O66" i="144"/>
  <c r="O67" i="144"/>
  <c r="O68" i="144"/>
  <c r="O69" i="144"/>
  <c r="O70" i="144"/>
  <c r="O71" i="144"/>
  <c r="O72" i="144"/>
  <c r="O73" i="144"/>
  <c r="O74" i="144"/>
  <c r="O75" i="144"/>
  <c r="O76" i="144"/>
  <c r="O77" i="144"/>
  <c r="O78" i="144"/>
  <c r="O79" i="144"/>
  <c r="O80" i="144"/>
  <c r="O81" i="144"/>
  <c r="O82" i="144"/>
  <c r="O83" i="144"/>
  <c r="O84" i="144"/>
  <c r="O85" i="144"/>
  <c r="O86" i="144"/>
  <c r="O87" i="144"/>
  <c r="O88" i="144"/>
  <c r="O89" i="144"/>
  <c r="O90" i="144"/>
  <c r="O91" i="144"/>
  <c r="O92" i="144"/>
  <c r="O93" i="144"/>
  <c r="O94" i="144"/>
  <c r="O95" i="144"/>
  <c r="O96" i="144"/>
  <c r="O97" i="144"/>
  <c r="O33" i="152"/>
  <c r="A14" i="154"/>
  <c r="A15" i="154" s="1"/>
  <c r="A16" i="154"/>
  <c r="A17" i="154" s="1"/>
  <c r="A116" i="56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O388" i="93"/>
  <c r="O387" i="93"/>
  <c r="O386" i="93"/>
  <c r="O385" i="93"/>
  <c r="O384" i="93"/>
  <c r="O383" i="93"/>
  <c r="O382" i="93"/>
  <c r="O381" i="93"/>
  <c r="O380" i="93"/>
  <c r="O379" i="93"/>
  <c r="O378" i="93"/>
  <c r="O377" i="93"/>
  <c r="O376" i="93"/>
  <c r="O375" i="93"/>
  <c r="O374" i="93"/>
  <c r="O373" i="93"/>
  <c r="O372" i="93"/>
  <c r="O371" i="93"/>
  <c r="O370" i="93"/>
  <c r="O369" i="93"/>
  <c r="O368" i="93"/>
  <c r="O367" i="93"/>
  <c r="O366" i="93"/>
  <c r="O365" i="93"/>
  <c r="O364" i="93"/>
  <c r="O363" i="93"/>
  <c r="O362" i="93"/>
  <c r="O361" i="93"/>
  <c r="O360" i="93"/>
  <c r="O359" i="93"/>
  <c r="O358" i="93"/>
  <c r="O357" i="93"/>
  <c r="O356" i="93"/>
  <c r="O355" i="93"/>
  <c r="O354" i="93"/>
  <c r="O353" i="93"/>
  <c r="O352" i="93"/>
  <c r="O351" i="93"/>
  <c r="O350" i="93"/>
  <c r="O349" i="93"/>
  <c r="O348" i="93"/>
  <c r="O347" i="93"/>
  <c r="O346" i="93"/>
  <c r="O345" i="93"/>
  <c r="O344" i="93"/>
  <c r="O343" i="93"/>
  <c r="O342" i="93"/>
  <c r="O341" i="93"/>
  <c r="O340" i="93"/>
  <c r="O339" i="93"/>
  <c r="O338" i="93"/>
  <c r="O337" i="93"/>
  <c r="O336" i="93"/>
  <c r="O335" i="93"/>
  <c r="O334" i="93"/>
  <c r="O333" i="93"/>
  <c r="O332" i="93"/>
  <c r="O331" i="93"/>
  <c r="O330" i="93"/>
  <c r="O329" i="93"/>
  <c r="O328" i="93"/>
  <c r="O327" i="93"/>
  <c r="O326" i="93"/>
  <c r="O325" i="93"/>
  <c r="O324" i="93"/>
  <c r="O323" i="93"/>
  <c r="O322" i="93"/>
  <c r="O321" i="93"/>
  <c r="O320" i="93"/>
  <c r="O319" i="93"/>
  <c r="O318" i="93"/>
  <c r="O317" i="93"/>
  <c r="O316" i="93"/>
  <c r="O315" i="93"/>
  <c r="O314" i="93"/>
  <c r="O313" i="93"/>
  <c r="O312" i="93"/>
  <c r="O311" i="93"/>
  <c r="O310" i="93"/>
  <c r="O309" i="93"/>
  <c r="O308" i="93"/>
  <c r="O307" i="93"/>
  <c r="O306" i="93"/>
  <c r="O305" i="93"/>
  <c r="O304" i="93"/>
  <c r="O303" i="93"/>
  <c r="O302" i="93"/>
  <c r="O301" i="93"/>
  <c r="O300" i="93"/>
  <c r="O299" i="93"/>
  <c r="O298" i="93"/>
  <c r="O297" i="93"/>
  <c r="O296" i="93"/>
  <c r="O295" i="93"/>
  <c r="O294" i="93"/>
  <c r="O293" i="93"/>
  <c r="O292" i="93"/>
  <c r="O291" i="93"/>
  <c r="O290" i="93"/>
  <c r="O289" i="93"/>
  <c r="O288" i="93"/>
  <c r="O287" i="93"/>
  <c r="O286" i="93"/>
  <c r="O285" i="93"/>
  <c r="O284" i="93"/>
  <c r="O283" i="93"/>
  <c r="O282" i="93"/>
  <c r="O281" i="93"/>
  <c r="O280" i="93"/>
  <c r="O279" i="93"/>
  <c r="O278" i="93"/>
  <c r="O277" i="93"/>
  <c r="O276" i="93"/>
  <c r="O275" i="93"/>
  <c r="O274" i="93"/>
  <c r="O273" i="93"/>
  <c r="O272" i="93"/>
  <c r="O271" i="93"/>
  <c r="O270" i="93"/>
  <c r="O269" i="93"/>
  <c r="O268" i="93"/>
  <c r="O267" i="93"/>
  <c r="O266" i="93"/>
  <c r="O265" i="93"/>
  <c r="O264" i="93"/>
  <c r="O263" i="93"/>
  <c r="O262" i="93"/>
  <c r="O261" i="93"/>
  <c r="O260" i="93"/>
  <c r="O259" i="93"/>
  <c r="O258" i="93"/>
  <c r="O257" i="93"/>
  <c r="O256" i="93"/>
  <c r="O255" i="93"/>
  <c r="O254" i="93"/>
  <c r="O253" i="93"/>
  <c r="O252" i="93"/>
  <c r="O251" i="93"/>
  <c r="O250" i="93"/>
  <c r="O249" i="93"/>
  <c r="O248" i="93"/>
  <c r="O247" i="93"/>
  <c r="O246" i="93"/>
  <c r="O245" i="93"/>
  <c r="O244" i="93"/>
  <c r="O243" i="93"/>
  <c r="O242" i="93"/>
  <c r="O241" i="93"/>
  <c r="O240" i="93"/>
  <c r="O239" i="93"/>
  <c r="O238" i="93"/>
  <c r="O237" i="93"/>
  <c r="O236" i="93"/>
  <c r="O235" i="93"/>
  <c r="O234" i="93"/>
  <c r="O233" i="93"/>
  <c r="O232" i="93"/>
  <c r="O231" i="93"/>
  <c r="O230" i="93"/>
  <c r="O229" i="93"/>
  <c r="O228" i="93"/>
  <c r="O227" i="93"/>
  <c r="O226" i="93"/>
  <c r="O225" i="93"/>
  <c r="O224" i="93"/>
  <c r="O223" i="93"/>
  <c r="O222" i="93"/>
  <c r="O221" i="93"/>
  <c r="O220" i="93"/>
  <c r="O219" i="93"/>
  <c r="O218" i="93"/>
  <c r="O217" i="93"/>
  <c r="O216" i="93"/>
  <c r="O215" i="93"/>
  <c r="O214" i="93"/>
  <c r="O213" i="93"/>
  <c r="O212" i="93"/>
  <c r="O211" i="93"/>
  <c r="O210" i="93"/>
  <c r="O209" i="93"/>
  <c r="O208" i="93"/>
  <c r="O207" i="93"/>
  <c r="O206" i="93"/>
  <c r="O205" i="93"/>
  <c r="O204" i="93"/>
  <c r="O203" i="93"/>
  <c r="O202" i="93"/>
  <c r="O201" i="93"/>
  <c r="O200" i="93"/>
  <c r="O199" i="93"/>
  <c r="O198" i="93"/>
  <c r="O197" i="93"/>
  <c r="O196" i="93"/>
  <c r="O195" i="93"/>
  <c r="O194" i="93"/>
  <c r="O193" i="93"/>
  <c r="O192" i="93"/>
  <c r="O191" i="93"/>
  <c r="O190" i="93"/>
  <c r="O189" i="93"/>
  <c r="O188" i="93"/>
  <c r="O187" i="93"/>
  <c r="O186" i="93"/>
  <c r="O185" i="93"/>
  <c r="O184" i="93"/>
  <c r="O183" i="93"/>
  <c r="O182" i="93"/>
  <c r="O181" i="93"/>
  <c r="O180" i="93"/>
  <c r="O179" i="93"/>
  <c r="O178" i="93"/>
  <c r="O177" i="93"/>
  <c r="O176" i="93"/>
  <c r="O175" i="93"/>
  <c r="O174" i="93"/>
  <c r="O173" i="93"/>
  <c r="O172" i="93"/>
  <c r="O171" i="93"/>
  <c r="O170" i="93"/>
  <c r="O169" i="93"/>
  <c r="O168" i="93"/>
  <c r="O167" i="93"/>
  <c r="O166" i="93"/>
  <c r="O165" i="93"/>
  <c r="O164" i="93"/>
  <c r="O163" i="93"/>
  <c r="O162" i="93"/>
  <c r="O161" i="93"/>
  <c r="O160" i="93"/>
  <c r="O159" i="93"/>
  <c r="O158" i="93"/>
  <c r="O157" i="93"/>
  <c r="O156" i="93"/>
  <c r="O155" i="93"/>
  <c r="O154" i="93"/>
  <c r="O153" i="93"/>
  <c r="O152" i="93"/>
  <c r="O151" i="93"/>
  <c r="O150" i="93"/>
  <c r="O149" i="93"/>
  <c r="O148" i="93"/>
  <c r="O147" i="93"/>
  <c r="O146" i="93"/>
  <c r="O145" i="93"/>
  <c r="O144" i="93"/>
  <c r="O143" i="93"/>
  <c r="O142" i="93"/>
  <c r="O141" i="93"/>
  <c r="O140" i="93"/>
  <c r="O139" i="93"/>
  <c r="O138" i="93"/>
  <c r="O137" i="93"/>
  <c r="O136" i="93"/>
  <c r="O135" i="93"/>
  <c r="O134" i="93"/>
  <c r="O133" i="93"/>
  <c r="O132" i="93"/>
  <c r="O131" i="93"/>
  <c r="O130" i="93"/>
  <c r="O129" i="93"/>
  <c r="O128" i="93"/>
  <c r="O127" i="93"/>
  <c r="O126" i="93"/>
  <c r="O125" i="93"/>
  <c r="O124" i="93"/>
  <c r="O123" i="93"/>
  <c r="O122" i="93"/>
  <c r="O121" i="93"/>
  <c r="O120" i="93"/>
  <c r="O119" i="93"/>
  <c r="O118" i="93"/>
  <c r="O117" i="93"/>
  <c r="O116" i="93"/>
  <c r="O115" i="93"/>
  <c r="O114" i="93"/>
  <c r="O113" i="93"/>
  <c r="O112" i="93"/>
  <c r="O111" i="93"/>
  <c r="O110" i="93"/>
  <c r="O109" i="93"/>
  <c r="O108" i="93"/>
  <c r="O107" i="93"/>
  <c r="O106" i="93"/>
  <c r="O105" i="93"/>
  <c r="O104" i="93"/>
  <c r="O103" i="93"/>
  <c r="O102" i="93"/>
  <c r="O101" i="93"/>
  <c r="O100" i="93"/>
  <c r="O99" i="93"/>
  <c r="O98" i="93"/>
  <c r="O97" i="93"/>
  <c r="O96" i="93"/>
  <c r="O95" i="93"/>
  <c r="O94" i="93"/>
  <c r="O93" i="93"/>
  <c r="O92" i="93"/>
  <c r="A92" i="93"/>
  <c r="A93" i="93" s="1"/>
  <c r="A94" i="93" s="1"/>
  <c r="A95" i="93" s="1"/>
  <c r="A96" i="93" s="1"/>
  <c r="A97" i="93" s="1"/>
  <c r="A98" i="93" s="1"/>
  <c r="A99" i="93" s="1"/>
  <c r="A100" i="93" s="1"/>
  <c r="A101" i="93" s="1"/>
  <c r="A102" i="93" s="1"/>
  <c r="A103" i="93" s="1"/>
  <c r="A104" i="93" s="1"/>
  <c r="A105" i="93" s="1"/>
  <c r="A106" i="93" s="1"/>
  <c r="A107" i="93" s="1"/>
  <c r="A108" i="93" s="1"/>
  <c r="A109" i="93" s="1"/>
  <c r="A110" i="93" s="1"/>
  <c r="A111" i="93" s="1"/>
  <c r="A112" i="93" s="1"/>
  <c r="A113" i="93" s="1"/>
  <c r="A114" i="93" s="1"/>
  <c r="A115" i="93" s="1"/>
  <c r="A116" i="93" s="1"/>
  <c r="A117" i="93" s="1"/>
  <c r="A118" i="93" s="1"/>
  <c r="A119" i="93" s="1"/>
  <c r="A120" i="93" s="1"/>
  <c r="A121" i="93" s="1"/>
  <c r="A122" i="93" s="1"/>
  <c r="A123" i="93" s="1"/>
  <c r="A124" i="93" s="1"/>
  <c r="A125" i="93" s="1"/>
  <c r="A126" i="93" s="1"/>
  <c r="A127" i="93" s="1"/>
  <c r="A128" i="93" s="1"/>
  <c r="A129" i="93" s="1"/>
  <c r="A130" i="93" s="1"/>
  <c r="A131" i="93" s="1"/>
  <c r="A132" i="93" s="1"/>
  <c r="A133" i="93" s="1"/>
  <c r="A134" i="93" s="1"/>
  <c r="A135" i="93" s="1"/>
  <c r="A136" i="93" s="1"/>
  <c r="A137" i="93" s="1"/>
  <c r="A138" i="93" s="1"/>
  <c r="A139" i="93" s="1"/>
  <c r="A140" i="93" s="1"/>
  <c r="A141" i="93" s="1"/>
  <c r="A142" i="93" s="1"/>
  <c r="A143" i="93" s="1"/>
  <c r="A144" i="93" s="1"/>
  <c r="A145" i="93" s="1"/>
  <c r="A146" i="93" s="1"/>
  <c r="A147" i="93" s="1"/>
  <c r="A148" i="93" s="1"/>
  <c r="A149" i="93" s="1"/>
  <c r="A150" i="93" s="1"/>
  <c r="A151" i="93" s="1"/>
  <c r="A152" i="93" s="1"/>
  <c r="A153" i="93" s="1"/>
  <c r="A154" i="93" s="1"/>
  <c r="A155" i="93" s="1"/>
  <c r="A156" i="93" s="1"/>
  <c r="A157" i="93" s="1"/>
  <c r="A158" i="93" s="1"/>
  <c r="A159" i="93" s="1"/>
  <c r="A160" i="93" s="1"/>
  <c r="A161" i="93" s="1"/>
  <c r="A162" i="93" s="1"/>
  <c r="A163" i="93" s="1"/>
  <c r="A164" i="93" s="1"/>
  <c r="A165" i="93" s="1"/>
  <c r="A166" i="93" s="1"/>
  <c r="A167" i="93" s="1"/>
  <c r="A168" i="93" s="1"/>
  <c r="A169" i="93" s="1"/>
  <c r="A170" i="93" s="1"/>
  <c r="A171" i="93" s="1"/>
  <c r="A172" i="93" s="1"/>
  <c r="A173" i="93" s="1"/>
  <c r="A174" i="93" s="1"/>
  <c r="A175" i="93" s="1"/>
  <c r="A176" i="93" s="1"/>
  <c r="A177" i="93" s="1"/>
  <c r="A178" i="93" s="1"/>
  <c r="A179" i="93" s="1"/>
  <c r="A180" i="93" s="1"/>
  <c r="A181" i="93" s="1"/>
  <c r="A182" i="93" s="1"/>
  <c r="A183" i="93" s="1"/>
  <c r="A184" i="93" s="1"/>
  <c r="A185" i="93" s="1"/>
  <c r="A186" i="93" s="1"/>
  <c r="A187" i="93" s="1"/>
  <c r="A188" i="93" s="1"/>
  <c r="A189" i="93" s="1"/>
  <c r="A190" i="93" s="1"/>
  <c r="A191" i="93" s="1"/>
  <c r="A192" i="93" s="1"/>
  <c r="A193" i="93" s="1"/>
  <c r="A194" i="93" s="1"/>
  <c r="A195" i="93" s="1"/>
  <c r="A196" i="93" s="1"/>
  <c r="A197" i="93" s="1"/>
  <c r="A198" i="93" s="1"/>
  <c r="A199" i="93" s="1"/>
  <c r="A200" i="93" s="1"/>
  <c r="A201" i="93" s="1"/>
  <c r="A202" i="93" s="1"/>
  <c r="A203" i="93" s="1"/>
  <c r="A204" i="93" s="1"/>
  <c r="A205" i="93" s="1"/>
  <c r="A206" i="93" s="1"/>
  <c r="A207" i="93" s="1"/>
  <c r="A208" i="93" s="1"/>
  <c r="A209" i="93" s="1"/>
  <c r="A210" i="93" s="1"/>
  <c r="A211" i="93" s="1"/>
  <c r="A212" i="93" s="1"/>
  <c r="A213" i="93" s="1"/>
  <c r="A214" i="93" s="1"/>
  <c r="A215" i="93" s="1"/>
  <c r="A216" i="93" s="1"/>
  <c r="A217" i="93" s="1"/>
  <c r="A218" i="93" s="1"/>
  <c r="A219" i="93" s="1"/>
  <c r="A220" i="93" s="1"/>
  <c r="A221" i="93" s="1"/>
  <c r="A222" i="93" s="1"/>
  <c r="A223" i="93" s="1"/>
  <c r="A224" i="93" s="1"/>
  <c r="A225" i="93" s="1"/>
  <c r="A226" i="93" s="1"/>
  <c r="A227" i="93" s="1"/>
  <c r="A228" i="93" s="1"/>
  <c r="A229" i="93" s="1"/>
  <c r="A230" i="93" s="1"/>
  <c r="A231" i="93" s="1"/>
  <c r="A232" i="93" s="1"/>
  <c r="A233" i="93" s="1"/>
  <c r="A234" i="93" s="1"/>
  <c r="A235" i="93" s="1"/>
  <c r="A236" i="93" s="1"/>
  <c r="A237" i="93" s="1"/>
  <c r="A238" i="93" s="1"/>
  <c r="A239" i="93" s="1"/>
  <c r="A240" i="93" s="1"/>
  <c r="A241" i="93" s="1"/>
  <c r="A242" i="93" s="1"/>
  <c r="A243" i="93" s="1"/>
  <c r="A244" i="93" s="1"/>
  <c r="A245" i="93" s="1"/>
  <c r="A246" i="93" s="1"/>
  <c r="A247" i="93" s="1"/>
  <c r="A248" i="93" s="1"/>
  <c r="A249" i="93" s="1"/>
  <c r="A250" i="93" s="1"/>
  <c r="A251" i="93" s="1"/>
  <c r="A252" i="93" s="1"/>
  <c r="A253" i="93" s="1"/>
  <c r="A254" i="93" s="1"/>
  <c r="A255" i="93" s="1"/>
  <c r="A256" i="93" s="1"/>
  <c r="A257" i="93" s="1"/>
  <c r="A258" i="93" s="1"/>
  <c r="A259" i="93" s="1"/>
  <c r="A260" i="93" s="1"/>
  <c r="A261" i="93" s="1"/>
  <c r="A262" i="93" s="1"/>
  <c r="A263" i="93" s="1"/>
  <c r="A264" i="93" s="1"/>
  <c r="A265" i="93" s="1"/>
  <c r="A266" i="93" s="1"/>
  <c r="A267" i="93" s="1"/>
  <c r="A268" i="93" s="1"/>
  <c r="A269" i="93" s="1"/>
  <c r="A270" i="93" s="1"/>
  <c r="A271" i="93" s="1"/>
  <c r="A272" i="93" s="1"/>
  <c r="A273" i="93" s="1"/>
  <c r="A274" i="93" s="1"/>
  <c r="A275" i="93" s="1"/>
  <c r="A276" i="93" s="1"/>
  <c r="A277" i="93" s="1"/>
  <c r="A278" i="93" s="1"/>
  <c r="A279" i="93" s="1"/>
  <c r="A280" i="93" s="1"/>
  <c r="A281" i="93" s="1"/>
  <c r="A282" i="93" s="1"/>
  <c r="A283" i="93" s="1"/>
  <c r="A284" i="93" s="1"/>
  <c r="A285" i="93" s="1"/>
  <c r="A286" i="93" s="1"/>
  <c r="A287" i="93" s="1"/>
  <c r="A288" i="93" s="1"/>
  <c r="A289" i="93" s="1"/>
  <c r="A290" i="93" s="1"/>
  <c r="A291" i="93" s="1"/>
  <c r="A292" i="93" s="1"/>
  <c r="A293" i="93" s="1"/>
  <c r="A294" i="93" s="1"/>
  <c r="A295" i="93" s="1"/>
  <c r="A296" i="93" s="1"/>
  <c r="A297" i="93" s="1"/>
  <c r="A298" i="93" s="1"/>
  <c r="A299" i="93" s="1"/>
  <c r="A300" i="93" s="1"/>
  <c r="A301" i="93" s="1"/>
  <c r="A302" i="93" s="1"/>
  <c r="A303" i="93" s="1"/>
  <c r="A304" i="93" s="1"/>
  <c r="A305" i="93" s="1"/>
  <c r="A306" i="93" s="1"/>
  <c r="A307" i="93" s="1"/>
  <c r="A308" i="93" s="1"/>
  <c r="A309" i="93" s="1"/>
  <c r="A310" i="93" s="1"/>
  <c r="A311" i="93" s="1"/>
  <c r="A312" i="93" s="1"/>
  <c r="A313" i="93" s="1"/>
  <c r="A314" i="93" s="1"/>
  <c r="A315" i="93" s="1"/>
  <c r="A316" i="93" s="1"/>
  <c r="A317" i="93" s="1"/>
  <c r="A318" i="93" s="1"/>
  <c r="A319" i="93" s="1"/>
  <c r="A320" i="93" s="1"/>
  <c r="A321" i="93" s="1"/>
  <c r="A322" i="93" s="1"/>
  <c r="A323" i="93" s="1"/>
  <c r="A324" i="93" s="1"/>
  <c r="A325" i="93" s="1"/>
  <c r="A326" i="93" s="1"/>
  <c r="A327" i="93" s="1"/>
  <c r="A328" i="93" s="1"/>
  <c r="A329" i="93" s="1"/>
  <c r="A330" i="93" s="1"/>
  <c r="A331" i="93" s="1"/>
  <c r="A332" i="93" s="1"/>
  <c r="A333" i="93" s="1"/>
  <c r="A334" i="93" s="1"/>
  <c r="A335" i="93" s="1"/>
  <c r="A336" i="93" s="1"/>
  <c r="A337" i="93" s="1"/>
  <c r="A338" i="93" s="1"/>
  <c r="A339" i="93" s="1"/>
  <c r="A340" i="93" s="1"/>
  <c r="A341" i="93" s="1"/>
  <c r="A342" i="93" s="1"/>
  <c r="A343" i="93" s="1"/>
  <c r="A344" i="93" s="1"/>
  <c r="A345" i="93" s="1"/>
  <c r="A346" i="93" s="1"/>
  <c r="A347" i="93" s="1"/>
  <c r="A348" i="93" s="1"/>
  <c r="A349" i="93" s="1"/>
  <c r="A350" i="93" s="1"/>
  <c r="A351" i="93" s="1"/>
  <c r="A352" i="93" s="1"/>
  <c r="A353" i="93" s="1"/>
  <c r="A354" i="93" s="1"/>
  <c r="A355" i="93" s="1"/>
  <c r="A356" i="93" s="1"/>
  <c r="A357" i="93" s="1"/>
  <c r="A358" i="93" s="1"/>
  <c r="A359" i="93" s="1"/>
  <c r="A360" i="93" s="1"/>
  <c r="A361" i="93" s="1"/>
  <c r="A362" i="93" s="1"/>
  <c r="A363" i="93" s="1"/>
  <c r="A364" i="93" s="1"/>
  <c r="A365" i="93" s="1"/>
  <c r="A366" i="93" s="1"/>
  <c r="A367" i="93" s="1"/>
  <c r="A368" i="93" s="1"/>
  <c r="A369" i="93" s="1"/>
  <c r="A370" i="93" s="1"/>
  <c r="A371" i="93" s="1"/>
  <c r="A372" i="93" s="1"/>
  <c r="A373" i="93" s="1"/>
  <c r="A374" i="93" s="1"/>
  <c r="A375" i="93" s="1"/>
  <c r="A376" i="93" s="1"/>
  <c r="A377" i="93" s="1"/>
  <c r="A378" i="93" s="1"/>
  <c r="A379" i="93" s="1"/>
  <c r="A380" i="93" s="1"/>
  <c r="A381" i="93" s="1"/>
  <c r="A382" i="93" s="1"/>
  <c r="A383" i="93" s="1"/>
  <c r="A384" i="93" s="1"/>
  <c r="A385" i="93" s="1"/>
  <c r="A386" i="93" s="1"/>
  <c r="A387" i="93" s="1"/>
  <c r="A388" i="93" s="1"/>
  <c r="O91" i="93"/>
  <c r="O90" i="93"/>
  <c r="O89" i="93"/>
  <c r="O88" i="93"/>
  <c r="O87" i="93"/>
  <c r="O86" i="93"/>
  <c r="O85" i="93"/>
  <c r="O84" i="93"/>
  <c r="O83" i="93"/>
  <c r="O82" i="93"/>
  <c r="O81" i="93"/>
  <c r="O80" i="93"/>
  <c r="O79" i="93"/>
  <c r="O78" i="93"/>
  <c r="O77" i="93"/>
  <c r="O76" i="93"/>
  <c r="O75" i="93"/>
  <c r="O74" i="93"/>
  <c r="O73" i="93"/>
  <c r="O72" i="93"/>
  <c r="O71" i="93"/>
  <c r="O70" i="93"/>
  <c r="O69" i="93"/>
  <c r="O68" i="93"/>
  <c r="O67" i="93"/>
  <c r="O66" i="93"/>
  <c r="O65" i="93"/>
  <c r="O64" i="93"/>
  <c r="O63" i="93"/>
  <c r="O62" i="93"/>
  <c r="O61" i="93"/>
  <c r="O60" i="93"/>
  <c r="O59" i="93"/>
  <c r="O58" i="93"/>
  <c r="O57" i="93"/>
  <c r="O56" i="93"/>
  <c r="O55" i="93"/>
  <c r="O54" i="93"/>
  <c r="O53" i="93"/>
  <c r="O52" i="93"/>
  <c r="O51" i="93"/>
  <c r="O50" i="93"/>
  <c r="O49" i="93"/>
  <c r="O48" i="93"/>
  <c r="O47" i="93"/>
  <c r="A47" i="93"/>
  <c r="A48" i="93" s="1"/>
  <c r="A49" i="93" s="1"/>
  <c r="A50" i="93" s="1"/>
  <c r="A51" i="93" s="1"/>
  <c r="A52" i="93" s="1"/>
  <c r="A53" i="93" s="1"/>
  <c r="A54" i="93" s="1"/>
  <c r="A55" i="93" s="1"/>
  <c r="A56" i="93" s="1"/>
  <c r="A57" i="93" s="1"/>
  <c r="A58" i="93" s="1"/>
  <c r="A59" i="93" s="1"/>
  <c r="A60" i="93" s="1"/>
  <c r="A61" i="93" s="1"/>
  <c r="A62" i="93" s="1"/>
  <c r="A63" i="93" s="1"/>
  <c r="A64" i="93" s="1"/>
  <c r="A65" i="93" s="1"/>
  <c r="A66" i="93" s="1"/>
  <c r="A67" i="93" s="1"/>
  <c r="A68" i="93" s="1"/>
  <c r="A69" i="93" s="1"/>
  <c r="A70" i="93" s="1"/>
  <c r="A71" i="93" s="1"/>
  <c r="A72" i="93" s="1"/>
  <c r="A73" i="93" s="1"/>
  <c r="A74" i="93" s="1"/>
  <c r="A75" i="93" s="1"/>
  <c r="A76" i="93" s="1"/>
  <c r="A77" i="93" s="1"/>
  <c r="A78" i="93" s="1"/>
  <c r="A79" i="93" s="1"/>
  <c r="A80" i="93" s="1"/>
  <c r="A81" i="93" s="1"/>
  <c r="A82" i="93" s="1"/>
  <c r="A83" i="93" s="1"/>
  <c r="A84" i="93" s="1"/>
  <c r="A85" i="93" s="1"/>
  <c r="A86" i="93" s="1"/>
  <c r="A87" i="93" s="1"/>
  <c r="A88" i="93" s="1"/>
  <c r="A89" i="93" s="1"/>
  <c r="A90" i="93" s="1"/>
  <c r="A91" i="93" s="1"/>
  <c r="O46" i="93"/>
  <c r="O45" i="93"/>
  <c r="O44" i="93"/>
  <c r="O43" i="93"/>
  <c r="O42" i="93"/>
  <c r="O41" i="93"/>
  <c r="O40" i="93"/>
  <c r="O39" i="93"/>
  <c r="O38" i="93"/>
  <c r="O37" i="93"/>
  <c r="O36" i="93"/>
  <c r="O35" i="93"/>
  <c r="O34" i="93"/>
  <c r="O33" i="93"/>
  <c r="O32" i="93"/>
  <c r="O31" i="93"/>
  <c r="O30" i="93"/>
  <c r="O29" i="93"/>
  <c r="O28" i="93"/>
  <c r="O27" i="93"/>
  <c r="O26" i="93"/>
  <c r="O25" i="93"/>
  <c r="O24" i="93"/>
  <c r="O23" i="93"/>
  <c r="O22" i="93"/>
  <c r="O21" i="93"/>
  <c r="O20" i="93"/>
  <c r="O19" i="93"/>
  <c r="O18" i="93"/>
  <c r="O17" i="93"/>
  <c r="O16" i="93"/>
  <c r="O15" i="93"/>
  <c r="O14" i="93"/>
  <c r="O13" i="93"/>
  <c r="O12" i="93"/>
  <c r="O11" i="93"/>
  <c r="A11" i="93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A38" i="93" s="1"/>
  <c r="A39" i="93" s="1"/>
  <c r="A40" i="93" s="1"/>
  <c r="A41" i="93" s="1"/>
  <c r="A42" i="93" s="1"/>
  <c r="A43" i="93" s="1"/>
  <c r="A44" i="93" s="1"/>
  <c r="A45" i="93" s="1"/>
  <c r="A46" i="93" s="1"/>
  <c r="O10" i="93"/>
  <c r="O9" i="93"/>
  <c r="O8" i="93"/>
  <c r="A8" i="93"/>
  <c r="A9" i="93" s="1"/>
  <c r="A10" i="93" s="1"/>
  <c r="O7" i="93"/>
  <c r="O6" i="93"/>
  <c r="N6" i="93"/>
  <c r="N7" i="93" s="1"/>
  <c r="N8" i="93" s="1"/>
  <c r="N9" i="93" s="1"/>
  <c r="N10" i="93" s="1"/>
  <c r="N11" i="93" s="1"/>
  <c r="N12" i="93" s="1"/>
  <c r="N13" i="93" s="1"/>
  <c r="N14" i="93" s="1"/>
  <c r="N15" i="93" s="1"/>
  <c r="N16" i="93" s="1"/>
  <c r="N17" i="93" s="1"/>
  <c r="N18" i="93" s="1"/>
  <c r="N19" i="93" s="1"/>
  <c r="N20" i="93" s="1"/>
  <c r="N21" i="93" s="1"/>
  <c r="N22" i="93" s="1"/>
  <c r="N23" i="93" s="1"/>
  <c r="N24" i="93" s="1"/>
  <c r="N25" i="93" s="1"/>
  <c r="N26" i="93" s="1"/>
  <c r="N27" i="93" s="1"/>
  <c r="N28" i="93" s="1"/>
  <c r="N29" i="93" s="1"/>
  <c r="N30" i="93" s="1"/>
  <c r="N31" i="93" s="1"/>
  <c r="N32" i="93" s="1"/>
  <c r="N33" i="93" s="1"/>
  <c r="N34" i="93" s="1"/>
  <c r="N35" i="93" s="1"/>
  <c r="N36" i="93" s="1"/>
  <c r="N37" i="93" s="1"/>
  <c r="N38" i="93" s="1"/>
  <c r="N39" i="93" s="1"/>
  <c r="N40" i="93" s="1"/>
  <c r="N41" i="93" s="1"/>
  <c r="N42" i="93" s="1"/>
  <c r="N43" i="93" s="1"/>
  <c r="N44" i="93" s="1"/>
  <c r="N45" i="93" s="1"/>
  <c r="N46" i="93" s="1"/>
  <c r="N47" i="93" s="1"/>
  <c r="N48" i="93" s="1"/>
  <c r="N49" i="93" s="1"/>
  <c r="N50" i="93" s="1"/>
  <c r="N51" i="93" s="1"/>
  <c r="N52" i="93" s="1"/>
  <c r="N53" i="93" s="1"/>
  <c r="N54" i="93" s="1"/>
  <c r="N55" i="93" s="1"/>
  <c r="N56" i="93" s="1"/>
  <c r="N57" i="93" s="1"/>
  <c r="N58" i="93" s="1"/>
  <c r="N59" i="93" s="1"/>
  <c r="N60" i="93" s="1"/>
  <c r="N61" i="93" s="1"/>
  <c r="N62" i="93" s="1"/>
  <c r="N63" i="93" s="1"/>
  <c r="N64" i="93" s="1"/>
  <c r="N65" i="93" s="1"/>
  <c r="N66" i="93" s="1"/>
  <c r="N67" i="93" s="1"/>
  <c r="N68" i="93" s="1"/>
  <c r="N69" i="93" s="1"/>
  <c r="N70" i="93" s="1"/>
  <c r="N71" i="93" s="1"/>
  <c r="N72" i="93" s="1"/>
  <c r="N73" i="93" s="1"/>
  <c r="N74" i="93" s="1"/>
  <c r="N75" i="93" s="1"/>
  <c r="N76" i="93" s="1"/>
  <c r="N77" i="93" s="1"/>
  <c r="N78" i="93" s="1"/>
  <c r="N79" i="93" s="1"/>
  <c r="N80" i="93" s="1"/>
  <c r="N81" i="93" s="1"/>
  <c r="N82" i="93" s="1"/>
  <c r="N83" i="93" s="1"/>
  <c r="N84" i="93" s="1"/>
  <c r="N85" i="93" s="1"/>
  <c r="N86" i="93" s="1"/>
  <c r="N87" i="93" s="1"/>
  <c r="N88" i="93" s="1"/>
  <c r="N89" i="93" s="1"/>
  <c r="N90" i="93" s="1"/>
  <c r="N91" i="93" s="1"/>
  <c r="N92" i="93" s="1"/>
  <c r="N93" i="93" s="1"/>
  <c r="N94" i="93" s="1"/>
  <c r="N95" i="93" s="1"/>
  <c r="N96" i="93" s="1"/>
  <c r="N97" i="93" s="1"/>
  <c r="N98" i="93" s="1"/>
  <c r="N99" i="93" s="1"/>
  <c r="N100" i="93" s="1"/>
  <c r="N101" i="93" s="1"/>
  <c r="N102" i="93" s="1"/>
  <c r="N103" i="93" s="1"/>
  <c r="N104" i="93" s="1"/>
  <c r="N105" i="93" s="1"/>
  <c r="N106" i="93" s="1"/>
  <c r="N107" i="93" s="1"/>
  <c r="N108" i="93" s="1"/>
  <c r="N109" i="93" s="1"/>
  <c r="N110" i="93" s="1"/>
  <c r="N111" i="93" s="1"/>
  <c r="N112" i="93" s="1"/>
  <c r="N113" i="93" s="1"/>
  <c r="N114" i="93" s="1"/>
  <c r="N115" i="93" s="1"/>
  <c r="N116" i="93" s="1"/>
  <c r="N117" i="93" s="1"/>
  <c r="N118" i="93" s="1"/>
  <c r="N119" i="93" s="1"/>
  <c r="N120" i="93" s="1"/>
  <c r="N121" i="93" s="1"/>
  <c r="N122" i="93" s="1"/>
  <c r="N123" i="93" s="1"/>
  <c r="N124" i="93" s="1"/>
  <c r="N125" i="93" s="1"/>
  <c r="N126" i="93" s="1"/>
  <c r="N127" i="93" s="1"/>
  <c r="N128" i="93" s="1"/>
  <c r="N129" i="93" s="1"/>
  <c r="N130" i="93" s="1"/>
  <c r="N131" i="93" s="1"/>
  <c r="N132" i="93" s="1"/>
  <c r="N133" i="93" s="1"/>
  <c r="N134" i="93" s="1"/>
  <c r="N135" i="93" s="1"/>
  <c r="N136" i="93" s="1"/>
  <c r="N137" i="93" s="1"/>
  <c r="N138" i="93" s="1"/>
  <c r="N139" i="93" s="1"/>
  <c r="N140" i="93" s="1"/>
  <c r="N141" i="93" s="1"/>
  <c r="N142" i="93" s="1"/>
  <c r="N143" i="93" s="1"/>
  <c r="N144" i="93" s="1"/>
  <c r="N145" i="93" s="1"/>
  <c r="N146" i="93" s="1"/>
  <c r="N147" i="93" s="1"/>
  <c r="N148" i="93" s="1"/>
  <c r="N149" i="93" s="1"/>
  <c r="N150" i="93" s="1"/>
  <c r="N151" i="93" s="1"/>
  <c r="N152" i="93" s="1"/>
  <c r="N153" i="93" s="1"/>
  <c r="N154" i="93" s="1"/>
  <c r="N155" i="93" s="1"/>
  <c r="N156" i="93" s="1"/>
  <c r="N157" i="93" s="1"/>
  <c r="N158" i="93" s="1"/>
  <c r="N159" i="93" s="1"/>
  <c r="N160" i="93" s="1"/>
  <c r="N161" i="93" s="1"/>
  <c r="N162" i="93" s="1"/>
  <c r="N163" i="93" s="1"/>
  <c r="N164" i="93" s="1"/>
  <c r="N165" i="93" s="1"/>
  <c r="N166" i="93" s="1"/>
  <c r="N167" i="93" s="1"/>
  <c r="N168" i="93" s="1"/>
  <c r="N169" i="93" s="1"/>
  <c r="N170" i="93" s="1"/>
  <c r="N171" i="93" s="1"/>
  <c r="N172" i="93" s="1"/>
  <c r="N173" i="93" s="1"/>
  <c r="N174" i="93" s="1"/>
  <c r="N175" i="93" s="1"/>
  <c r="N176" i="93" s="1"/>
  <c r="N177" i="93" s="1"/>
  <c r="N178" i="93" s="1"/>
  <c r="N179" i="93" s="1"/>
  <c r="N180" i="93" s="1"/>
  <c r="N181" i="93" s="1"/>
  <c r="N182" i="93" s="1"/>
  <c r="N183" i="93" s="1"/>
  <c r="N184" i="93" s="1"/>
  <c r="N185" i="93" s="1"/>
  <c r="N186" i="93" s="1"/>
  <c r="N187" i="93" s="1"/>
  <c r="N188" i="93" s="1"/>
  <c r="N189" i="93" s="1"/>
  <c r="N190" i="93" s="1"/>
  <c r="N191" i="93" s="1"/>
  <c r="N192" i="93" s="1"/>
  <c r="N193" i="93" s="1"/>
  <c r="N194" i="93" s="1"/>
  <c r="N195" i="93" s="1"/>
  <c r="N196" i="93" s="1"/>
  <c r="N197" i="93" s="1"/>
  <c r="N198" i="93" s="1"/>
  <c r="N199" i="93" s="1"/>
  <c r="N200" i="93" s="1"/>
  <c r="N201" i="93" s="1"/>
  <c r="N202" i="93" s="1"/>
  <c r="N203" i="93" s="1"/>
  <c r="N204" i="93" s="1"/>
  <c r="N205" i="93" s="1"/>
  <c r="N206" i="93" s="1"/>
  <c r="N207" i="93" s="1"/>
  <c r="N208" i="93" s="1"/>
  <c r="N209" i="93" s="1"/>
  <c r="N210" i="93" s="1"/>
  <c r="N211" i="93" s="1"/>
  <c r="N212" i="93" s="1"/>
  <c r="N213" i="93" s="1"/>
  <c r="N214" i="93" s="1"/>
  <c r="N215" i="93" s="1"/>
  <c r="N216" i="93" s="1"/>
  <c r="N217" i="93" s="1"/>
  <c r="N218" i="93" s="1"/>
  <c r="N219" i="93" s="1"/>
  <c r="N220" i="93" s="1"/>
  <c r="N221" i="93" s="1"/>
  <c r="N222" i="93" s="1"/>
  <c r="N223" i="93" s="1"/>
  <c r="N224" i="93" s="1"/>
  <c r="N225" i="93" s="1"/>
  <c r="N226" i="93" s="1"/>
  <c r="N227" i="93" s="1"/>
  <c r="N228" i="93" s="1"/>
  <c r="N229" i="93" s="1"/>
  <c r="N230" i="93" s="1"/>
  <c r="N231" i="93" s="1"/>
  <c r="N232" i="93" s="1"/>
  <c r="N233" i="93" s="1"/>
  <c r="N234" i="93" s="1"/>
  <c r="N235" i="93" s="1"/>
  <c r="N236" i="93" s="1"/>
  <c r="N237" i="93" s="1"/>
  <c r="N238" i="93" s="1"/>
  <c r="N239" i="93" s="1"/>
  <c r="N240" i="93" s="1"/>
  <c r="N241" i="93" s="1"/>
  <c r="N242" i="93" s="1"/>
  <c r="N243" i="93" s="1"/>
  <c r="N244" i="93" s="1"/>
  <c r="N245" i="93" s="1"/>
  <c r="N246" i="93" s="1"/>
  <c r="N247" i="93" s="1"/>
  <c r="N248" i="93" s="1"/>
  <c r="N249" i="93" s="1"/>
  <c r="N250" i="93" s="1"/>
  <c r="N251" i="93" s="1"/>
  <c r="N252" i="93" s="1"/>
  <c r="N253" i="93" s="1"/>
  <c r="N254" i="93" s="1"/>
  <c r="N255" i="93" s="1"/>
  <c r="N256" i="93" s="1"/>
  <c r="N257" i="93" s="1"/>
  <c r="N258" i="93" s="1"/>
  <c r="N259" i="93" s="1"/>
  <c r="N260" i="93" s="1"/>
  <c r="N261" i="93" s="1"/>
  <c r="N262" i="93" s="1"/>
  <c r="N263" i="93" s="1"/>
  <c r="N264" i="93" s="1"/>
  <c r="N265" i="93" s="1"/>
  <c r="N266" i="93" s="1"/>
  <c r="N267" i="93" s="1"/>
  <c r="N268" i="93" s="1"/>
  <c r="N269" i="93" s="1"/>
  <c r="N270" i="93" s="1"/>
  <c r="N271" i="93" s="1"/>
  <c r="N272" i="93" s="1"/>
  <c r="N273" i="93" s="1"/>
  <c r="N274" i="93" s="1"/>
  <c r="N275" i="93" s="1"/>
  <c r="N276" i="93" s="1"/>
  <c r="N277" i="93" s="1"/>
  <c r="N278" i="93" s="1"/>
  <c r="N279" i="93" s="1"/>
  <c r="N280" i="93" s="1"/>
  <c r="N281" i="93" s="1"/>
  <c r="N282" i="93" s="1"/>
  <c r="N283" i="93" s="1"/>
  <c r="N284" i="93" s="1"/>
  <c r="N285" i="93" s="1"/>
  <c r="N286" i="93" s="1"/>
  <c r="N287" i="93" s="1"/>
  <c r="N288" i="93" s="1"/>
  <c r="N289" i="93" s="1"/>
  <c r="N290" i="93" s="1"/>
  <c r="N291" i="93" s="1"/>
  <c r="N292" i="93" s="1"/>
  <c r="N293" i="93" s="1"/>
  <c r="N294" i="93" s="1"/>
  <c r="N295" i="93" s="1"/>
  <c r="N296" i="93" s="1"/>
  <c r="N297" i="93" s="1"/>
  <c r="N298" i="93" s="1"/>
  <c r="N299" i="93" s="1"/>
  <c r="N300" i="93" s="1"/>
  <c r="N301" i="93" s="1"/>
  <c r="N302" i="93" s="1"/>
  <c r="N303" i="93" s="1"/>
  <c r="N304" i="93" s="1"/>
  <c r="N305" i="93" s="1"/>
  <c r="N306" i="93" s="1"/>
  <c r="N307" i="93" s="1"/>
  <c r="N308" i="93" s="1"/>
  <c r="N309" i="93" s="1"/>
  <c r="N310" i="93" s="1"/>
  <c r="N311" i="93" s="1"/>
  <c r="N312" i="93" s="1"/>
  <c r="N313" i="93" s="1"/>
  <c r="N314" i="93" s="1"/>
  <c r="N315" i="93" s="1"/>
  <c r="N316" i="93" s="1"/>
  <c r="N317" i="93" s="1"/>
  <c r="N318" i="93" s="1"/>
  <c r="N319" i="93" s="1"/>
  <c r="N320" i="93" s="1"/>
  <c r="N321" i="93" s="1"/>
  <c r="N322" i="93" s="1"/>
  <c r="N323" i="93" s="1"/>
  <c r="N324" i="93" s="1"/>
  <c r="N325" i="93" s="1"/>
  <c r="N326" i="93" s="1"/>
  <c r="N327" i="93" s="1"/>
  <c r="N328" i="93" s="1"/>
  <c r="N329" i="93" s="1"/>
  <c r="N330" i="93" s="1"/>
  <c r="N331" i="93" s="1"/>
  <c r="N332" i="93" s="1"/>
  <c r="N333" i="93" s="1"/>
  <c r="N334" i="93" s="1"/>
  <c r="N335" i="93" s="1"/>
  <c r="N336" i="93" s="1"/>
  <c r="N337" i="93" s="1"/>
  <c r="N338" i="93" s="1"/>
  <c r="N339" i="93" s="1"/>
  <c r="N340" i="93" s="1"/>
  <c r="N341" i="93" s="1"/>
  <c r="N342" i="93" s="1"/>
  <c r="N343" i="93" s="1"/>
  <c r="N344" i="93" s="1"/>
  <c r="N345" i="93" s="1"/>
  <c r="N346" i="93" s="1"/>
  <c r="N347" i="93" s="1"/>
  <c r="N348" i="93" s="1"/>
  <c r="N349" i="93" s="1"/>
  <c r="N350" i="93" s="1"/>
  <c r="N351" i="93" s="1"/>
  <c r="N352" i="93" s="1"/>
  <c r="N353" i="93" s="1"/>
  <c r="N354" i="93" s="1"/>
  <c r="N355" i="93" s="1"/>
  <c r="N356" i="93" s="1"/>
  <c r="N357" i="93" s="1"/>
  <c r="N358" i="93" s="1"/>
  <c r="N359" i="93" s="1"/>
  <c r="N360" i="93" s="1"/>
  <c r="N361" i="93" s="1"/>
  <c r="N362" i="93" s="1"/>
  <c r="N363" i="93" s="1"/>
  <c r="N364" i="93" s="1"/>
  <c r="N365" i="93" s="1"/>
  <c r="N366" i="93" s="1"/>
  <c r="N367" i="93" s="1"/>
  <c r="N368" i="93" s="1"/>
  <c r="N369" i="93" s="1"/>
  <c r="N370" i="93" s="1"/>
  <c r="N371" i="93" s="1"/>
  <c r="N372" i="93" s="1"/>
  <c r="N373" i="93" s="1"/>
  <c r="N374" i="93" s="1"/>
  <c r="N375" i="93" s="1"/>
  <c r="N376" i="93" s="1"/>
  <c r="N377" i="93" s="1"/>
  <c r="N378" i="93" s="1"/>
  <c r="N379" i="93" s="1"/>
  <c r="N380" i="93" s="1"/>
  <c r="N381" i="93" s="1"/>
  <c r="N382" i="93" s="1"/>
  <c r="N383" i="93" s="1"/>
  <c r="N384" i="93" s="1"/>
  <c r="N385" i="93" s="1"/>
  <c r="N386" i="93" s="1"/>
  <c r="N387" i="93" s="1"/>
  <c r="N388" i="93" s="1"/>
  <c r="O5" i="93"/>
  <c r="N5" i="93"/>
  <c r="O4" i="93"/>
  <c r="N4" i="93"/>
  <c r="A4" i="93"/>
  <c r="A5" i="93" s="1"/>
  <c r="A6" i="93" s="1"/>
  <c r="A7" i="93" s="1"/>
  <c r="O3" i="93"/>
  <c r="N3" i="93"/>
  <c r="A3" i="93"/>
  <c r="O2" i="93"/>
  <c r="P61" i="134"/>
  <c r="P62" i="134" s="1"/>
  <c r="P63" i="134" s="1"/>
  <c r="P57" i="134"/>
  <c r="P58" i="134" s="1"/>
  <c r="P59" i="134" s="1"/>
  <c r="P60" i="134" s="1"/>
  <c r="O57" i="134"/>
  <c r="O58" i="134" s="1"/>
  <c r="O59" i="134" s="1"/>
  <c r="O60" i="134" s="1"/>
  <c r="O61" i="134" s="1"/>
  <c r="O62" i="134" s="1"/>
  <c r="O63" i="134" s="1"/>
  <c r="N57" i="134"/>
  <c r="N58" i="134" s="1"/>
  <c r="N59" i="134" s="1"/>
  <c r="N60" i="134" s="1"/>
  <c r="N61" i="134" s="1"/>
  <c r="N62" i="134" s="1"/>
  <c r="N63" i="134" s="1"/>
  <c r="O27" i="134"/>
  <c r="O28" i="134" s="1"/>
  <c r="O29" i="134" s="1"/>
  <c r="O30" i="134" s="1"/>
  <c r="O31" i="134" s="1"/>
  <c r="O32" i="134" s="1"/>
  <c r="O33" i="134" s="1"/>
  <c r="O34" i="134" s="1"/>
  <c r="O35" i="134" s="1"/>
  <c r="O36" i="134" s="1"/>
  <c r="O37" i="134" s="1"/>
  <c r="O38" i="134" s="1"/>
  <c r="O39" i="134" s="1"/>
  <c r="O40" i="134" s="1"/>
  <c r="O41" i="134" s="1"/>
  <c r="O42" i="134" s="1"/>
  <c r="O43" i="134" s="1"/>
  <c r="O44" i="134" s="1"/>
  <c r="O45" i="134" s="1"/>
  <c r="O46" i="134" s="1"/>
  <c r="O47" i="134" s="1"/>
  <c r="O48" i="134" s="1"/>
  <c r="O49" i="134" s="1"/>
  <c r="O50" i="134" s="1"/>
  <c r="O51" i="134" s="1"/>
  <c r="O52" i="134" s="1"/>
  <c r="O53" i="134" s="1"/>
  <c r="O54" i="134" s="1"/>
  <c r="O55" i="134" s="1"/>
  <c r="A27" i="134"/>
  <c r="A29" i="134" s="1"/>
  <c r="A31" i="134" s="1"/>
  <c r="A33" i="134" s="1"/>
  <c r="A35" i="134" s="1"/>
  <c r="A37" i="134" s="1"/>
  <c r="A39" i="134" s="1"/>
  <c r="A41" i="134" s="1"/>
  <c r="A43" i="134" s="1"/>
  <c r="A45" i="134" s="1"/>
  <c r="A47" i="134" s="1"/>
  <c r="A49" i="134" s="1"/>
  <c r="A51" i="134" s="1"/>
  <c r="A53" i="134" s="1"/>
  <c r="A55" i="134" s="1"/>
  <c r="A57" i="134" s="1"/>
  <c r="A59" i="134" s="1"/>
  <c r="A61" i="134" s="1"/>
  <c r="A63" i="134" s="1"/>
  <c r="O24" i="134"/>
  <c r="O25" i="134" s="1"/>
  <c r="O26" i="134" s="1"/>
  <c r="A13" i="134"/>
  <c r="A15" i="134" s="1"/>
  <c r="A17" i="134" s="1"/>
  <c r="A19" i="134" s="1"/>
  <c r="A21" i="134" s="1"/>
  <c r="A23" i="134" s="1"/>
  <c r="A25" i="134" s="1"/>
  <c r="A8" i="134"/>
  <c r="A10" i="134" s="1"/>
  <c r="A12" i="134" s="1"/>
  <c r="A14" i="134" s="1"/>
  <c r="A16" i="134" s="1"/>
  <c r="A18" i="134" s="1"/>
  <c r="A20" i="134" s="1"/>
  <c r="A22" i="134" s="1"/>
  <c r="A24" i="134" s="1"/>
  <c r="A26" i="134" s="1"/>
  <c r="A28" i="134" s="1"/>
  <c r="A30" i="134" s="1"/>
  <c r="A32" i="134" s="1"/>
  <c r="A34" i="134" s="1"/>
  <c r="A36" i="134" s="1"/>
  <c r="A38" i="134" s="1"/>
  <c r="A40" i="134" s="1"/>
  <c r="A42" i="134" s="1"/>
  <c r="A44" i="134" s="1"/>
  <c r="A46" i="134" s="1"/>
  <c r="A48" i="134" s="1"/>
  <c r="A50" i="134" s="1"/>
  <c r="A52" i="134" s="1"/>
  <c r="A54" i="134" s="1"/>
  <c r="A56" i="134" s="1"/>
  <c r="A58" i="134" s="1"/>
  <c r="A60" i="134" s="1"/>
  <c r="A62" i="134" s="1"/>
  <c r="A5" i="134"/>
  <c r="A7" i="134" s="1"/>
  <c r="A9" i="134" s="1"/>
  <c r="A11" i="134" s="1"/>
  <c r="A4" i="134"/>
  <c r="A6" i="134" s="1"/>
  <c r="A3" i="134"/>
  <c r="O303" i="127"/>
  <c r="O302" i="127"/>
  <c r="O301" i="127"/>
  <c r="O300" i="127"/>
  <c r="O299" i="127"/>
  <c r="O298" i="127"/>
  <c r="O297" i="127"/>
  <c r="O296" i="127"/>
  <c r="O295" i="127"/>
  <c r="O294" i="127"/>
  <c r="O293" i="127"/>
  <c r="O292" i="127"/>
  <c r="O291" i="127"/>
  <c r="O290" i="127"/>
  <c r="O289" i="127"/>
  <c r="O288" i="127"/>
  <c r="O287" i="127"/>
  <c r="O286" i="127"/>
  <c r="O285" i="127"/>
  <c r="O284" i="127"/>
  <c r="O283" i="127"/>
  <c r="O282" i="127"/>
  <c r="O281" i="127"/>
  <c r="O280" i="127"/>
  <c r="O279" i="127"/>
  <c r="O278" i="127"/>
  <c r="O277" i="127"/>
  <c r="O276" i="127"/>
  <c r="O275" i="127"/>
  <c r="O274" i="127"/>
  <c r="O273" i="127"/>
  <c r="O272" i="127"/>
  <c r="O271" i="127"/>
  <c r="O270" i="127"/>
  <c r="O269" i="127"/>
  <c r="O268" i="127"/>
  <c r="O267" i="127"/>
  <c r="O266" i="127"/>
  <c r="O265" i="127"/>
  <c r="O264" i="127"/>
  <c r="O263" i="127"/>
  <c r="O262" i="127"/>
  <c r="O261" i="127"/>
  <c r="O260" i="127"/>
  <c r="O259" i="127"/>
  <c r="O258" i="127"/>
  <c r="O257" i="127"/>
  <c r="O256" i="127"/>
  <c r="O255" i="127"/>
  <c r="O254" i="127"/>
  <c r="O253" i="127"/>
  <c r="O252" i="127"/>
  <c r="O251" i="127"/>
  <c r="O250" i="127"/>
  <c r="O249" i="127"/>
  <c r="O248" i="127"/>
  <c r="O247" i="127"/>
  <c r="O246" i="127"/>
  <c r="O245" i="127"/>
  <c r="O244" i="127"/>
  <c r="O243" i="127"/>
  <c r="O242" i="127"/>
  <c r="O241" i="127"/>
  <c r="O240" i="127"/>
  <c r="O239" i="127"/>
  <c r="O238" i="127"/>
  <c r="O237" i="127"/>
  <c r="O236" i="127"/>
  <c r="O235" i="127"/>
  <c r="O234" i="127"/>
  <c r="O233" i="127"/>
  <c r="O232" i="127"/>
  <c r="O231" i="127"/>
  <c r="O230" i="127"/>
  <c r="O229" i="127"/>
  <c r="O228" i="127"/>
  <c r="O227" i="127"/>
  <c r="O226" i="127"/>
  <c r="O225" i="127"/>
  <c r="O224" i="127"/>
  <c r="O223" i="127"/>
  <c r="O222" i="127"/>
  <c r="O221" i="127"/>
  <c r="O220" i="127"/>
  <c r="O219" i="127"/>
  <c r="O218" i="127"/>
  <c r="O217" i="127"/>
  <c r="O216" i="127"/>
  <c r="O215" i="127"/>
  <c r="O214" i="127"/>
  <c r="O213" i="127"/>
  <c r="O212" i="127"/>
  <c r="O211" i="127"/>
  <c r="O210" i="127"/>
  <c r="O209" i="127"/>
  <c r="O208" i="127"/>
  <c r="O207" i="127"/>
  <c r="O206" i="127"/>
  <c r="O205" i="127"/>
  <c r="O204" i="127"/>
  <c r="O203" i="127"/>
  <c r="O202" i="127"/>
  <c r="O201" i="127"/>
  <c r="O200" i="127"/>
  <c r="O199" i="127"/>
  <c r="O198" i="127"/>
  <c r="O197" i="127"/>
  <c r="O196" i="127"/>
  <c r="O195" i="127"/>
  <c r="O194" i="127"/>
  <c r="O193" i="127"/>
  <c r="O192" i="127"/>
  <c r="O191" i="127"/>
  <c r="O190" i="127"/>
  <c r="O189" i="127"/>
  <c r="O188" i="127"/>
  <c r="O187" i="127"/>
  <c r="O186" i="127"/>
  <c r="O185" i="127"/>
  <c r="O184" i="127"/>
  <c r="O183" i="127"/>
  <c r="O182" i="127"/>
  <c r="O181" i="127"/>
  <c r="O180" i="127"/>
  <c r="O179" i="127"/>
  <c r="O178" i="127"/>
  <c r="O177" i="127"/>
  <c r="O176" i="127"/>
  <c r="O175" i="127"/>
  <c r="O174" i="127"/>
  <c r="O173" i="127"/>
  <c r="O172" i="127"/>
  <c r="O171" i="127"/>
  <c r="O170" i="127"/>
  <c r="O169" i="127"/>
  <c r="O168" i="127"/>
  <c r="O167" i="127"/>
  <c r="O166" i="127"/>
  <c r="O165" i="127"/>
  <c r="O164" i="127"/>
  <c r="O163" i="127"/>
  <c r="O162" i="127"/>
  <c r="O161" i="127"/>
  <c r="O160" i="127"/>
  <c r="O159" i="127"/>
  <c r="O158" i="127"/>
  <c r="O157" i="127"/>
  <c r="O156" i="127"/>
  <c r="O155" i="127"/>
  <c r="O154" i="127"/>
  <c r="O153" i="127"/>
  <c r="O152" i="127"/>
  <c r="O151" i="127"/>
  <c r="O150" i="127"/>
  <c r="O149" i="127"/>
  <c r="O148" i="127"/>
  <c r="O147" i="127"/>
  <c r="O146" i="127"/>
  <c r="O145" i="127"/>
  <c r="O144" i="127"/>
  <c r="O143" i="127"/>
  <c r="O142" i="127"/>
  <c r="O141" i="127"/>
  <c r="O140" i="127"/>
  <c r="O139" i="127"/>
  <c r="O138" i="127"/>
  <c r="O137" i="127"/>
  <c r="O136" i="127"/>
  <c r="O135" i="127"/>
  <c r="O134" i="127"/>
  <c r="O133" i="127"/>
  <c r="O132" i="127"/>
  <c r="O131" i="127"/>
  <c r="O130" i="127"/>
  <c r="O129" i="127"/>
  <c r="O128" i="127"/>
  <c r="O127" i="127"/>
  <c r="O126" i="127"/>
  <c r="O125" i="127"/>
  <c r="O124" i="127"/>
  <c r="O123" i="127"/>
  <c r="O122" i="127"/>
  <c r="O121" i="127"/>
  <c r="O120" i="127"/>
  <c r="O119" i="127"/>
  <c r="O118" i="127"/>
  <c r="O117" i="127"/>
  <c r="O116" i="127"/>
  <c r="O115" i="127"/>
  <c r="O114" i="127"/>
  <c r="O113" i="127"/>
  <c r="O112" i="127"/>
  <c r="O111" i="127"/>
  <c r="O110" i="127"/>
  <c r="O109" i="127"/>
  <c r="O108" i="127"/>
  <c r="O107" i="127"/>
  <c r="O106" i="127"/>
  <c r="O105" i="127"/>
  <c r="O104" i="127"/>
  <c r="O103" i="127"/>
  <c r="O102" i="127"/>
  <c r="O101" i="127"/>
  <c r="O100" i="127"/>
  <c r="O99" i="127"/>
  <c r="O98" i="127"/>
  <c r="O97" i="127"/>
  <c r="O96" i="127"/>
  <c r="O95" i="127"/>
  <c r="O94" i="127"/>
  <c r="O93" i="127"/>
  <c r="O92" i="127"/>
  <c r="O91" i="127"/>
  <c r="O90" i="127"/>
  <c r="O89" i="127"/>
  <c r="O88" i="127"/>
  <c r="O87" i="127"/>
  <c r="O86" i="127"/>
  <c r="O85" i="127"/>
  <c r="O84" i="127"/>
  <c r="O83" i="127"/>
  <c r="O82" i="127"/>
  <c r="O81" i="127"/>
  <c r="O80" i="127"/>
  <c r="O79" i="127"/>
  <c r="O78" i="127"/>
  <c r="O77" i="127"/>
  <c r="O76" i="127"/>
  <c r="O75" i="127"/>
  <c r="O74" i="127"/>
  <c r="O73" i="127"/>
  <c r="O72" i="127"/>
  <c r="O71" i="127"/>
  <c r="O70" i="127"/>
  <c r="O69" i="127"/>
  <c r="O68" i="127"/>
  <c r="O67" i="127"/>
  <c r="O66" i="127"/>
  <c r="O65" i="127"/>
  <c r="O64" i="127"/>
  <c r="O63" i="127"/>
  <c r="O62" i="127"/>
  <c r="O61" i="127"/>
  <c r="O60" i="127"/>
  <c r="O59" i="127"/>
  <c r="O58" i="127"/>
  <c r="O57" i="127"/>
  <c r="O56" i="127"/>
  <c r="O55" i="127"/>
  <c r="O54" i="127"/>
  <c r="O53" i="127"/>
  <c r="O52" i="127"/>
  <c r="O51" i="127"/>
  <c r="O50" i="127"/>
  <c r="O49" i="127"/>
  <c r="O48" i="127"/>
  <c r="O47" i="127"/>
  <c r="O46" i="127"/>
  <c r="O45" i="127"/>
  <c r="O44" i="127"/>
  <c r="O43" i="127"/>
  <c r="O42" i="127"/>
  <c r="O41" i="127"/>
  <c r="O40" i="127"/>
  <c r="O39" i="127"/>
  <c r="O38" i="127"/>
  <c r="O37" i="127"/>
  <c r="O36" i="127"/>
  <c r="O35" i="127"/>
  <c r="O34" i="127"/>
  <c r="O33" i="127"/>
  <c r="O32" i="127"/>
  <c r="O31" i="127"/>
  <c r="O30" i="127"/>
  <c r="O29" i="127"/>
  <c r="O28" i="127"/>
  <c r="O27" i="127"/>
  <c r="O26" i="127"/>
  <c r="O25" i="127"/>
  <c r="O24" i="127"/>
  <c r="O23" i="127"/>
  <c r="O22" i="127"/>
  <c r="O21" i="127"/>
  <c r="O20" i="127"/>
  <c r="O19" i="127"/>
  <c r="O18" i="127"/>
  <c r="O17" i="127"/>
  <c r="O16" i="127"/>
  <c r="O15" i="127"/>
  <c r="O14" i="127"/>
  <c r="O13" i="127"/>
  <c r="O12" i="127"/>
  <c r="O11" i="127"/>
  <c r="O10" i="127"/>
  <c r="O9" i="127"/>
  <c r="O8" i="127"/>
  <c r="P7" i="127"/>
  <c r="P8" i="127" s="1"/>
  <c r="P9" i="127" s="1"/>
  <c r="P10" i="127" s="1"/>
  <c r="P11" i="127" s="1"/>
  <c r="P12" i="127" s="1"/>
  <c r="P13" i="127" s="1"/>
  <c r="P14" i="127" s="1"/>
  <c r="P15" i="127" s="1"/>
  <c r="P16" i="127" s="1"/>
  <c r="P17" i="127" s="1"/>
  <c r="P18" i="127" s="1"/>
  <c r="P19" i="127" s="1"/>
  <c r="P20" i="127" s="1"/>
  <c r="P21" i="127" s="1"/>
  <c r="P22" i="127" s="1"/>
  <c r="P23" i="127" s="1"/>
  <c r="P24" i="127" s="1"/>
  <c r="P25" i="127" s="1"/>
  <c r="P26" i="127" s="1"/>
  <c r="P27" i="127" s="1"/>
  <c r="P28" i="127" s="1"/>
  <c r="P29" i="127" s="1"/>
  <c r="P30" i="127" s="1"/>
  <c r="P31" i="127" s="1"/>
  <c r="P32" i="127" s="1"/>
  <c r="P33" i="127" s="1"/>
  <c r="P34" i="127" s="1"/>
  <c r="P35" i="127" s="1"/>
  <c r="P36" i="127" s="1"/>
  <c r="P37" i="127" s="1"/>
  <c r="P38" i="127" s="1"/>
  <c r="P39" i="127" s="1"/>
  <c r="P40" i="127" s="1"/>
  <c r="P41" i="127" s="1"/>
  <c r="P42" i="127" s="1"/>
  <c r="P43" i="127" s="1"/>
  <c r="P44" i="127" s="1"/>
  <c r="P45" i="127" s="1"/>
  <c r="P46" i="127" s="1"/>
  <c r="P47" i="127" s="1"/>
  <c r="P48" i="127" s="1"/>
  <c r="P49" i="127" s="1"/>
  <c r="P50" i="127" s="1"/>
  <c r="P51" i="127" s="1"/>
  <c r="P52" i="127" s="1"/>
  <c r="P53" i="127" s="1"/>
  <c r="P54" i="127" s="1"/>
  <c r="P55" i="127" s="1"/>
  <c r="P56" i="127" s="1"/>
  <c r="P57" i="127" s="1"/>
  <c r="P58" i="127" s="1"/>
  <c r="P59" i="127" s="1"/>
  <c r="P60" i="127" s="1"/>
  <c r="P61" i="127" s="1"/>
  <c r="P62" i="127" s="1"/>
  <c r="P63" i="127" s="1"/>
  <c r="P64" i="127" s="1"/>
  <c r="P65" i="127" s="1"/>
  <c r="P66" i="127" s="1"/>
  <c r="P67" i="127" s="1"/>
  <c r="P68" i="127" s="1"/>
  <c r="P69" i="127" s="1"/>
  <c r="P70" i="127" s="1"/>
  <c r="P71" i="127" s="1"/>
  <c r="P72" i="127" s="1"/>
  <c r="P73" i="127" s="1"/>
  <c r="P74" i="127" s="1"/>
  <c r="P75" i="127" s="1"/>
  <c r="P76" i="127" s="1"/>
  <c r="P77" i="127" s="1"/>
  <c r="P78" i="127" s="1"/>
  <c r="P79" i="127" s="1"/>
  <c r="P80" i="127" s="1"/>
  <c r="P81" i="127" s="1"/>
  <c r="P82" i="127" s="1"/>
  <c r="P83" i="127" s="1"/>
  <c r="P84" i="127" s="1"/>
  <c r="P85" i="127" s="1"/>
  <c r="P86" i="127" s="1"/>
  <c r="P87" i="127" s="1"/>
  <c r="P88" i="127" s="1"/>
  <c r="P89" i="127" s="1"/>
  <c r="P90" i="127" s="1"/>
  <c r="P91" i="127" s="1"/>
  <c r="P92" i="127" s="1"/>
  <c r="P93" i="127" s="1"/>
  <c r="P94" i="127" s="1"/>
  <c r="P95" i="127" s="1"/>
  <c r="P96" i="127" s="1"/>
  <c r="P97" i="127" s="1"/>
  <c r="P98" i="127" s="1"/>
  <c r="P99" i="127" s="1"/>
  <c r="P100" i="127" s="1"/>
  <c r="P101" i="127" s="1"/>
  <c r="P102" i="127" s="1"/>
  <c r="P103" i="127" s="1"/>
  <c r="P104" i="127" s="1"/>
  <c r="P105" i="127" s="1"/>
  <c r="P106" i="127" s="1"/>
  <c r="P107" i="127" s="1"/>
  <c r="P108" i="127" s="1"/>
  <c r="P109" i="127" s="1"/>
  <c r="P110" i="127" s="1"/>
  <c r="P111" i="127" s="1"/>
  <c r="P112" i="127" s="1"/>
  <c r="P113" i="127" s="1"/>
  <c r="P114" i="127" s="1"/>
  <c r="P115" i="127" s="1"/>
  <c r="P116" i="127" s="1"/>
  <c r="P117" i="127" s="1"/>
  <c r="P118" i="127" s="1"/>
  <c r="P119" i="127" s="1"/>
  <c r="P120" i="127" s="1"/>
  <c r="P121" i="127" s="1"/>
  <c r="P122" i="127" s="1"/>
  <c r="P123" i="127" s="1"/>
  <c r="P124" i="127" s="1"/>
  <c r="P125" i="127" s="1"/>
  <c r="P126" i="127" s="1"/>
  <c r="P127" i="127" s="1"/>
  <c r="P128" i="127" s="1"/>
  <c r="P129" i="127" s="1"/>
  <c r="P130" i="127" s="1"/>
  <c r="P131" i="127" s="1"/>
  <c r="P132" i="127" s="1"/>
  <c r="P133" i="127" s="1"/>
  <c r="P134" i="127" s="1"/>
  <c r="P135" i="127" s="1"/>
  <c r="P136" i="127" s="1"/>
  <c r="P137" i="127" s="1"/>
  <c r="P138" i="127" s="1"/>
  <c r="P139" i="127" s="1"/>
  <c r="P140" i="127" s="1"/>
  <c r="P141" i="127" s="1"/>
  <c r="P142" i="127" s="1"/>
  <c r="P143" i="127" s="1"/>
  <c r="P144" i="127" s="1"/>
  <c r="P145" i="127" s="1"/>
  <c r="P146" i="127" s="1"/>
  <c r="P147" i="127" s="1"/>
  <c r="P148" i="127" s="1"/>
  <c r="P149" i="127" s="1"/>
  <c r="P150" i="127" s="1"/>
  <c r="P151" i="127" s="1"/>
  <c r="P152" i="127" s="1"/>
  <c r="P153" i="127" s="1"/>
  <c r="P154" i="127" s="1"/>
  <c r="P155" i="127" s="1"/>
  <c r="P156" i="127" s="1"/>
  <c r="P157" i="127" s="1"/>
  <c r="P158" i="127" s="1"/>
  <c r="P159" i="127" s="1"/>
  <c r="P160" i="127" s="1"/>
  <c r="P161" i="127" s="1"/>
  <c r="P162" i="127" s="1"/>
  <c r="P163" i="127" s="1"/>
  <c r="P164" i="127" s="1"/>
  <c r="P165" i="127" s="1"/>
  <c r="P166" i="127" s="1"/>
  <c r="P167" i="127" s="1"/>
  <c r="P168" i="127" s="1"/>
  <c r="P169" i="127" s="1"/>
  <c r="P170" i="127" s="1"/>
  <c r="P171" i="127" s="1"/>
  <c r="P172" i="127" s="1"/>
  <c r="P173" i="127" s="1"/>
  <c r="P174" i="127" s="1"/>
  <c r="P175" i="127" s="1"/>
  <c r="P176" i="127" s="1"/>
  <c r="P177" i="127" s="1"/>
  <c r="P178" i="127" s="1"/>
  <c r="P179" i="127" s="1"/>
  <c r="P180" i="127" s="1"/>
  <c r="P181" i="127" s="1"/>
  <c r="P182" i="127" s="1"/>
  <c r="P183" i="127" s="1"/>
  <c r="P184" i="127" s="1"/>
  <c r="P185" i="127" s="1"/>
  <c r="P186" i="127" s="1"/>
  <c r="P187" i="127" s="1"/>
  <c r="P188" i="127" s="1"/>
  <c r="P189" i="127" s="1"/>
  <c r="P190" i="127" s="1"/>
  <c r="P191" i="127" s="1"/>
  <c r="P192" i="127" s="1"/>
  <c r="P193" i="127" s="1"/>
  <c r="P194" i="127" s="1"/>
  <c r="P195" i="127" s="1"/>
  <c r="P196" i="127" s="1"/>
  <c r="P197" i="127" s="1"/>
  <c r="P198" i="127" s="1"/>
  <c r="P199" i="127" s="1"/>
  <c r="P200" i="127" s="1"/>
  <c r="P201" i="127" s="1"/>
  <c r="P202" i="127" s="1"/>
  <c r="P203" i="127" s="1"/>
  <c r="P204" i="127" s="1"/>
  <c r="P205" i="127" s="1"/>
  <c r="P206" i="127" s="1"/>
  <c r="P207" i="127" s="1"/>
  <c r="P208" i="127" s="1"/>
  <c r="P209" i="127" s="1"/>
  <c r="P210" i="127" s="1"/>
  <c r="P211" i="127" s="1"/>
  <c r="P212" i="127" s="1"/>
  <c r="P213" i="127" s="1"/>
  <c r="P214" i="127" s="1"/>
  <c r="P215" i="127" s="1"/>
  <c r="P216" i="127" s="1"/>
  <c r="P217" i="127" s="1"/>
  <c r="P218" i="127" s="1"/>
  <c r="P219" i="127" s="1"/>
  <c r="P220" i="127" s="1"/>
  <c r="P221" i="127" s="1"/>
  <c r="P222" i="127" s="1"/>
  <c r="P223" i="127" s="1"/>
  <c r="P224" i="127" s="1"/>
  <c r="P225" i="127" s="1"/>
  <c r="P226" i="127" s="1"/>
  <c r="P227" i="127" s="1"/>
  <c r="P228" i="127" s="1"/>
  <c r="P229" i="127" s="1"/>
  <c r="P230" i="127" s="1"/>
  <c r="P231" i="127" s="1"/>
  <c r="P232" i="127" s="1"/>
  <c r="P233" i="127" s="1"/>
  <c r="P234" i="127" s="1"/>
  <c r="P235" i="127" s="1"/>
  <c r="P236" i="127" s="1"/>
  <c r="P237" i="127" s="1"/>
  <c r="P238" i="127" s="1"/>
  <c r="P239" i="127" s="1"/>
  <c r="P240" i="127" s="1"/>
  <c r="P241" i="127" s="1"/>
  <c r="P242" i="127" s="1"/>
  <c r="P243" i="127" s="1"/>
  <c r="P244" i="127" s="1"/>
  <c r="P245" i="127" s="1"/>
  <c r="P246" i="127" s="1"/>
  <c r="P247" i="127" s="1"/>
  <c r="P248" i="127" s="1"/>
  <c r="P249" i="127" s="1"/>
  <c r="P250" i="127" s="1"/>
  <c r="P251" i="127" s="1"/>
  <c r="P252" i="127" s="1"/>
  <c r="P253" i="127" s="1"/>
  <c r="P254" i="127" s="1"/>
  <c r="P255" i="127" s="1"/>
  <c r="P256" i="127" s="1"/>
  <c r="P257" i="127" s="1"/>
  <c r="P258" i="127" s="1"/>
  <c r="P259" i="127" s="1"/>
  <c r="P260" i="127" s="1"/>
  <c r="P261" i="127" s="1"/>
  <c r="P262" i="127" s="1"/>
  <c r="P263" i="127" s="1"/>
  <c r="P264" i="127" s="1"/>
  <c r="P265" i="127" s="1"/>
  <c r="P266" i="127" s="1"/>
  <c r="P267" i="127" s="1"/>
  <c r="P268" i="127" s="1"/>
  <c r="P269" i="127" s="1"/>
  <c r="P270" i="127" s="1"/>
  <c r="P271" i="127" s="1"/>
  <c r="P272" i="127" s="1"/>
  <c r="P273" i="127" s="1"/>
  <c r="P274" i="127" s="1"/>
  <c r="P275" i="127" s="1"/>
  <c r="P276" i="127" s="1"/>
  <c r="P277" i="127" s="1"/>
  <c r="P278" i="127" s="1"/>
  <c r="P279" i="127" s="1"/>
  <c r="P280" i="127" s="1"/>
  <c r="P281" i="127" s="1"/>
  <c r="P282" i="127" s="1"/>
  <c r="P283" i="127" s="1"/>
  <c r="P284" i="127" s="1"/>
  <c r="P285" i="127" s="1"/>
  <c r="P286" i="127" s="1"/>
  <c r="P287" i="127" s="1"/>
  <c r="P288" i="127" s="1"/>
  <c r="P289" i="127" s="1"/>
  <c r="P290" i="127" s="1"/>
  <c r="P291" i="127" s="1"/>
  <c r="P292" i="127" s="1"/>
  <c r="P293" i="127" s="1"/>
  <c r="P294" i="127" s="1"/>
  <c r="P295" i="127" s="1"/>
  <c r="P296" i="127" s="1"/>
  <c r="P297" i="127" s="1"/>
  <c r="P298" i="127" s="1"/>
  <c r="P299" i="127" s="1"/>
  <c r="P300" i="127" s="1"/>
  <c r="P301" i="127" s="1"/>
  <c r="P302" i="127" s="1"/>
  <c r="P303" i="127" s="1"/>
  <c r="O7" i="127"/>
  <c r="N7" i="127"/>
  <c r="N8" i="127" s="1"/>
  <c r="N9" i="127" s="1"/>
  <c r="N10" i="127" s="1"/>
  <c r="N11" i="127" s="1"/>
  <c r="N12" i="127" s="1"/>
  <c r="N13" i="127" s="1"/>
  <c r="N14" i="127" s="1"/>
  <c r="N15" i="127" s="1"/>
  <c r="N16" i="127" s="1"/>
  <c r="N17" i="127" s="1"/>
  <c r="N18" i="127" s="1"/>
  <c r="N19" i="127" s="1"/>
  <c r="N20" i="127" s="1"/>
  <c r="N21" i="127" s="1"/>
  <c r="N22" i="127" s="1"/>
  <c r="N23" i="127" s="1"/>
  <c r="N24" i="127" s="1"/>
  <c r="N25" i="127" s="1"/>
  <c r="N26" i="127" s="1"/>
  <c r="N27" i="127" s="1"/>
  <c r="N28" i="127" s="1"/>
  <c r="N29" i="127" s="1"/>
  <c r="N30" i="127" s="1"/>
  <c r="N31" i="127" s="1"/>
  <c r="N32" i="127" s="1"/>
  <c r="N33" i="127" s="1"/>
  <c r="N34" i="127" s="1"/>
  <c r="N35" i="127" s="1"/>
  <c r="N36" i="127" s="1"/>
  <c r="N37" i="127" s="1"/>
  <c r="N38" i="127" s="1"/>
  <c r="N39" i="127" s="1"/>
  <c r="N40" i="127" s="1"/>
  <c r="N41" i="127" s="1"/>
  <c r="N42" i="127" s="1"/>
  <c r="N43" i="127" s="1"/>
  <c r="N44" i="127" s="1"/>
  <c r="N45" i="127" s="1"/>
  <c r="N46" i="127" s="1"/>
  <c r="N47" i="127" s="1"/>
  <c r="N48" i="127" s="1"/>
  <c r="N49" i="127" s="1"/>
  <c r="N50" i="127" s="1"/>
  <c r="N51" i="127" s="1"/>
  <c r="N52" i="127" s="1"/>
  <c r="N53" i="127" s="1"/>
  <c r="N54" i="127" s="1"/>
  <c r="N55" i="127" s="1"/>
  <c r="N56" i="127" s="1"/>
  <c r="N57" i="127" s="1"/>
  <c r="N58" i="127" s="1"/>
  <c r="N59" i="127" s="1"/>
  <c r="N60" i="127" s="1"/>
  <c r="N61" i="127" s="1"/>
  <c r="N62" i="127" s="1"/>
  <c r="N63" i="127" s="1"/>
  <c r="N64" i="127" s="1"/>
  <c r="N65" i="127" s="1"/>
  <c r="N66" i="127" s="1"/>
  <c r="N67" i="127" s="1"/>
  <c r="N68" i="127" s="1"/>
  <c r="N69" i="127" s="1"/>
  <c r="N70" i="127" s="1"/>
  <c r="N71" i="127" s="1"/>
  <c r="N72" i="127" s="1"/>
  <c r="N73" i="127" s="1"/>
  <c r="N74" i="127" s="1"/>
  <c r="N75" i="127" s="1"/>
  <c r="N76" i="127" s="1"/>
  <c r="N77" i="127" s="1"/>
  <c r="N78" i="127" s="1"/>
  <c r="N79" i="127" s="1"/>
  <c r="N80" i="127" s="1"/>
  <c r="N81" i="127" s="1"/>
  <c r="N82" i="127" s="1"/>
  <c r="N83" i="127" s="1"/>
  <c r="N84" i="127" s="1"/>
  <c r="N85" i="127" s="1"/>
  <c r="N86" i="127" s="1"/>
  <c r="N87" i="127" s="1"/>
  <c r="N88" i="127" s="1"/>
  <c r="N89" i="127" s="1"/>
  <c r="N90" i="127" s="1"/>
  <c r="N91" i="127" s="1"/>
  <c r="N92" i="127" s="1"/>
  <c r="N93" i="127" s="1"/>
  <c r="N94" i="127" s="1"/>
  <c r="N95" i="127" s="1"/>
  <c r="N96" i="127" s="1"/>
  <c r="N97" i="127" s="1"/>
  <c r="N98" i="127" s="1"/>
  <c r="N99" i="127" s="1"/>
  <c r="N100" i="127" s="1"/>
  <c r="N101" i="127" s="1"/>
  <c r="N102" i="127" s="1"/>
  <c r="N103" i="127" s="1"/>
  <c r="N104" i="127" s="1"/>
  <c r="N105" i="127" s="1"/>
  <c r="N106" i="127" s="1"/>
  <c r="N107" i="127" s="1"/>
  <c r="N108" i="127" s="1"/>
  <c r="N109" i="127" s="1"/>
  <c r="N110" i="127" s="1"/>
  <c r="N111" i="127" s="1"/>
  <c r="N112" i="127" s="1"/>
  <c r="N113" i="127" s="1"/>
  <c r="N114" i="127" s="1"/>
  <c r="N115" i="127" s="1"/>
  <c r="N116" i="127" s="1"/>
  <c r="N117" i="127" s="1"/>
  <c r="N118" i="127" s="1"/>
  <c r="N119" i="127" s="1"/>
  <c r="N120" i="127" s="1"/>
  <c r="N121" i="127" s="1"/>
  <c r="N122" i="127" s="1"/>
  <c r="N123" i="127" s="1"/>
  <c r="N124" i="127" s="1"/>
  <c r="N125" i="127" s="1"/>
  <c r="N126" i="127" s="1"/>
  <c r="N127" i="127" s="1"/>
  <c r="N128" i="127" s="1"/>
  <c r="N129" i="127" s="1"/>
  <c r="N130" i="127" s="1"/>
  <c r="N131" i="127" s="1"/>
  <c r="N132" i="127" s="1"/>
  <c r="N133" i="127" s="1"/>
  <c r="N134" i="127" s="1"/>
  <c r="N135" i="127" s="1"/>
  <c r="N136" i="127" s="1"/>
  <c r="N137" i="127" s="1"/>
  <c r="N138" i="127" s="1"/>
  <c r="N139" i="127" s="1"/>
  <c r="N140" i="127" s="1"/>
  <c r="N141" i="127" s="1"/>
  <c r="N142" i="127" s="1"/>
  <c r="N143" i="127" s="1"/>
  <c r="N144" i="127" s="1"/>
  <c r="N145" i="127" s="1"/>
  <c r="N146" i="127" s="1"/>
  <c r="N147" i="127" s="1"/>
  <c r="N148" i="127" s="1"/>
  <c r="N149" i="127" s="1"/>
  <c r="N150" i="127" s="1"/>
  <c r="N151" i="127" s="1"/>
  <c r="N152" i="127" s="1"/>
  <c r="N153" i="127" s="1"/>
  <c r="N154" i="127" s="1"/>
  <c r="N155" i="127" s="1"/>
  <c r="N156" i="127" s="1"/>
  <c r="N157" i="127" s="1"/>
  <c r="N158" i="127" s="1"/>
  <c r="N159" i="127" s="1"/>
  <c r="N160" i="127" s="1"/>
  <c r="N161" i="127" s="1"/>
  <c r="N162" i="127" s="1"/>
  <c r="N163" i="127" s="1"/>
  <c r="N164" i="127" s="1"/>
  <c r="N165" i="127" s="1"/>
  <c r="N166" i="127" s="1"/>
  <c r="N167" i="127" s="1"/>
  <c r="N168" i="127" s="1"/>
  <c r="N169" i="127" s="1"/>
  <c r="N170" i="127" s="1"/>
  <c r="N171" i="127" s="1"/>
  <c r="N172" i="127" s="1"/>
  <c r="N173" i="127" s="1"/>
  <c r="N174" i="127" s="1"/>
  <c r="N175" i="127" s="1"/>
  <c r="N176" i="127" s="1"/>
  <c r="N177" i="127" s="1"/>
  <c r="N178" i="127" s="1"/>
  <c r="N179" i="127" s="1"/>
  <c r="N180" i="127" s="1"/>
  <c r="N181" i="127" s="1"/>
  <c r="N182" i="127" s="1"/>
  <c r="N183" i="127" s="1"/>
  <c r="N184" i="127" s="1"/>
  <c r="N185" i="127" s="1"/>
  <c r="N186" i="127" s="1"/>
  <c r="N187" i="127" s="1"/>
  <c r="N188" i="127" s="1"/>
  <c r="N189" i="127" s="1"/>
  <c r="N190" i="127" s="1"/>
  <c r="N191" i="127" s="1"/>
  <c r="N192" i="127" s="1"/>
  <c r="N193" i="127" s="1"/>
  <c r="N194" i="127" s="1"/>
  <c r="N195" i="127" s="1"/>
  <c r="N196" i="127" s="1"/>
  <c r="N197" i="127" s="1"/>
  <c r="N198" i="127" s="1"/>
  <c r="N199" i="127" s="1"/>
  <c r="N200" i="127" s="1"/>
  <c r="N201" i="127" s="1"/>
  <c r="N202" i="127" s="1"/>
  <c r="N203" i="127" s="1"/>
  <c r="N204" i="127" s="1"/>
  <c r="N205" i="127" s="1"/>
  <c r="N206" i="127" s="1"/>
  <c r="N207" i="127" s="1"/>
  <c r="N208" i="127" s="1"/>
  <c r="N209" i="127" s="1"/>
  <c r="N210" i="127" s="1"/>
  <c r="N211" i="127" s="1"/>
  <c r="N212" i="127" s="1"/>
  <c r="N213" i="127" s="1"/>
  <c r="N214" i="127" s="1"/>
  <c r="N215" i="127" s="1"/>
  <c r="N216" i="127" s="1"/>
  <c r="N217" i="127" s="1"/>
  <c r="N218" i="127" s="1"/>
  <c r="N219" i="127" s="1"/>
  <c r="N220" i="127" s="1"/>
  <c r="N221" i="127" s="1"/>
  <c r="N222" i="127" s="1"/>
  <c r="N223" i="127" s="1"/>
  <c r="N224" i="127" s="1"/>
  <c r="N225" i="127" s="1"/>
  <c r="N226" i="127" s="1"/>
  <c r="N227" i="127" s="1"/>
  <c r="N228" i="127" s="1"/>
  <c r="N229" i="127" s="1"/>
  <c r="N230" i="127" s="1"/>
  <c r="N231" i="127" s="1"/>
  <c r="N232" i="127" s="1"/>
  <c r="N233" i="127" s="1"/>
  <c r="N234" i="127" s="1"/>
  <c r="N235" i="127" s="1"/>
  <c r="N236" i="127" s="1"/>
  <c r="N237" i="127" s="1"/>
  <c r="N238" i="127" s="1"/>
  <c r="N239" i="127" s="1"/>
  <c r="N240" i="127" s="1"/>
  <c r="N241" i="127" s="1"/>
  <c r="N242" i="127" s="1"/>
  <c r="N243" i="127" s="1"/>
  <c r="N244" i="127" s="1"/>
  <c r="N245" i="127" s="1"/>
  <c r="N246" i="127" s="1"/>
  <c r="N247" i="127" s="1"/>
  <c r="N248" i="127" s="1"/>
  <c r="N249" i="127" s="1"/>
  <c r="N250" i="127" s="1"/>
  <c r="N251" i="127" s="1"/>
  <c r="N252" i="127" s="1"/>
  <c r="N253" i="127" s="1"/>
  <c r="N254" i="127" s="1"/>
  <c r="N255" i="127" s="1"/>
  <c r="N256" i="127" s="1"/>
  <c r="N257" i="127" s="1"/>
  <c r="N258" i="127" s="1"/>
  <c r="N259" i="127" s="1"/>
  <c r="N260" i="127" s="1"/>
  <c r="N261" i="127" s="1"/>
  <c r="N262" i="127" s="1"/>
  <c r="N263" i="127" s="1"/>
  <c r="N264" i="127" s="1"/>
  <c r="N265" i="127" s="1"/>
  <c r="N266" i="127" s="1"/>
  <c r="N267" i="127" s="1"/>
  <c r="N268" i="127" s="1"/>
  <c r="N269" i="127" s="1"/>
  <c r="N270" i="127" s="1"/>
  <c r="N271" i="127" s="1"/>
  <c r="N272" i="127" s="1"/>
  <c r="N273" i="127" s="1"/>
  <c r="N274" i="127" s="1"/>
  <c r="N275" i="127" s="1"/>
  <c r="N276" i="127" s="1"/>
  <c r="N277" i="127" s="1"/>
  <c r="N278" i="127" s="1"/>
  <c r="N279" i="127" s="1"/>
  <c r="N280" i="127" s="1"/>
  <c r="N281" i="127" s="1"/>
  <c r="N282" i="127" s="1"/>
  <c r="N283" i="127" s="1"/>
  <c r="N284" i="127" s="1"/>
  <c r="N285" i="127" s="1"/>
  <c r="N286" i="127" s="1"/>
  <c r="N287" i="127" s="1"/>
  <c r="N288" i="127" s="1"/>
  <c r="N289" i="127" s="1"/>
  <c r="N290" i="127" s="1"/>
  <c r="N291" i="127" s="1"/>
  <c r="N292" i="127" s="1"/>
  <c r="N293" i="127" s="1"/>
  <c r="N294" i="127" s="1"/>
  <c r="N295" i="127" s="1"/>
  <c r="N296" i="127" s="1"/>
  <c r="N297" i="127" s="1"/>
  <c r="N298" i="127" s="1"/>
  <c r="N299" i="127" s="1"/>
  <c r="N300" i="127" s="1"/>
  <c r="N301" i="127" s="1"/>
  <c r="N302" i="127" s="1"/>
  <c r="N303" i="127" s="1"/>
  <c r="O6" i="127"/>
  <c r="O5" i="127"/>
  <c r="N5" i="127"/>
  <c r="N6" i="127" s="1"/>
  <c r="P4" i="127"/>
  <c r="P5" i="127" s="1"/>
  <c r="P6" i="127" s="1"/>
  <c r="O4" i="127"/>
  <c r="N4" i="127"/>
  <c r="P3" i="127"/>
  <c r="O3" i="127"/>
  <c r="N3" i="127"/>
  <c r="A3" i="127"/>
  <c r="A4" i="127" s="1"/>
  <c r="A5" i="127" s="1"/>
  <c r="A6" i="127" s="1"/>
  <c r="A7" i="127" s="1"/>
  <c r="A8" i="127" s="1"/>
  <c r="A9" i="127" s="1"/>
  <c r="A10" i="127" s="1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A29" i="127" s="1"/>
  <c r="A30" i="127" s="1"/>
  <c r="A31" i="127" s="1"/>
  <c r="A32" i="127" s="1"/>
  <c r="A33" i="127" s="1"/>
  <c r="A34" i="127" s="1"/>
  <c r="A35" i="127" s="1"/>
  <c r="A36" i="127" s="1"/>
  <c r="A37" i="127" s="1"/>
  <c r="A38" i="127" s="1"/>
  <c r="A39" i="127" s="1"/>
  <c r="A40" i="127" s="1"/>
  <c r="A41" i="127" s="1"/>
  <c r="A42" i="127" s="1"/>
  <c r="A43" i="127" s="1"/>
  <c r="A44" i="127" s="1"/>
  <c r="A45" i="127" s="1"/>
  <c r="A46" i="127" s="1"/>
  <c r="A47" i="127" s="1"/>
  <c r="A48" i="127" s="1"/>
  <c r="A49" i="127" s="1"/>
  <c r="A50" i="127" s="1"/>
  <c r="A51" i="127" s="1"/>
  <c r="A52" i="127" s="1"/>
  <c r="A53" i="127" s="1"/>
  <c r="A54" i="127" s="1"/>
  <c r="A55" i="127" s="1"/>
  <c r="A56" i="127" s="1"/>
  <c r="A57" i="127" s="1"/>
  <c r="A58" i="127" s="1"/>
  <c r="A59" i="127" s="1"/>
  <c r="A60" i="127" s="1"/>
  <c r="A61" i="127" s="1"/>
  <c r="A62" i="127" s="1"/>
  <c r="A63" i="127" s="1"/>
  <c r="A64" i="127" s="1"/>
  <c r="A65" i="127" s="1"/>
  <c r="A66" i="127" s="1"/>
  <c r="A67" i="127" s="1"/>
  <c r="A68" i="127" s="1"/>
  <c r="A69" i="127" s="1"/>
  <c r="A70" i="127" s="1"/>
  <c r="A71" i="127" s="1"/>
  <c r="A72" i="127" s="1"/>
  <c r="A73" i="127" s="1"/>
  <c r="A74" i="127" s="1"/>
  <c r="A75" i="127" s="1"/>
  <c r="A76" i="127" s="1"/>
  <c r="A77" i="127" s="1"/>
  <c r="A78" i="127" s="1"/>
  <c r="A79" i="127" s="1"/>
  <c r="A80" i="127" s="1"/>
  <c r="A81" i="127" s="1"/>
  <c r="A82" i="127" s="1"/>
  <c r="A83" i="127" s="1"/>
  <c r="A84" i="127" s="1"/>
  <c r="A85" i="127" s="1"/>
  <c r="A86" i="127" s="1"/>
  <c r="A87" i="127" s="1"/>
  <c r="A88" i="127" s="1"/>
  <c r="A89" i="127" s="1"/>
  <c r="A90" i="127" s="1"/>
  <c r="A91" i="127" s="1"/>
  <c r="A92" i="127" s="1"/>
  <c r="A93" i="127" s="1"/>
  <c r="A94" i="127" s="1"/>
  <c r="A95" i="127" s="1"/>
  <c r="A96" i="127" s="1"/>
  <c r="A97" i="127" s="1"/>
  <c r="A98" i="127" s="1"/>
  <c r="A99" i="127" s="1"/>
  <c r="A100" i="127" s="1"/>
  <c r="A101" i="127" s="1"/>
  <c r="A102" i="127" s="1"/>
  <c r="A103" i="127" s="1"/>
  <c r="A104" i="127" s="1"/>
  <c r="A105" i="127" s="1"/>
  <c r="A106" i="127" s="1"/>
  <c r="A107" i="127" s="1"/>
  <c r="A108" i="127" s="1"/>
  <c r="A109" i="127" s="1"/>
  <c r="A110" i="127" s="1"/>
  <c r="A111" i="127" s="1"/>
  <c r="A112" i="127" s="1"/>
  <c r="A113" i="127" s="1"/>
  <c r="A114" i="127" s="1"/>
  <c r="A115" i="127" s="1"/>
  <c r="A116" i="127" s="1"/>
  <c r="A117" i="127" s="1"/>
  <c r="A118" i="127" s="1"/>
  <c r="A119" i="127" s="1"/>
  <c r="A120" i="127" s="1"/>
  <c r="A121" i="127" s="1"/>
  <c r="A122" i="127" s="1"/>
  <c r="A123" i="127" s="1"/>
  <c r="A124" i="127" s="1"/>
  <c r="A125" i="127" s="1"/>
  <c r="A126" i="127" s="1"/>
  <c r="A127" i="127" s="1"/>
  <c r="A128" i="127" s="1"/>
  <c r="A129" i="127" s="1"/>
  <c r="A130" i="127" s="1"/>
  <c r="A131" i="127" s="1"/>
  <c r="A132" i="127" s="1"/>
  <c r="A133" i="127" s="1"/>
  <c r="A134" i="127" s="1"/>
  <c r="A135" i="127" s="1"/>
  <c r="A136" i="127" s="1"/>
  <c r="A137" i="127" s="1"/>
  <c r="A138" i="127" s="1"/>
  <c r="A139" i="127" s="1"/>
  <c r="A140" i="127" s="1"/>
  <c r="A141" i="127" s="1"/>
  <c r="A142" i="127" s="1"/>
  <c r="A143" i="127" s="1"/>
  <c r="A144" i="127" s="1"/>
  <c r="A145" i="127" s="1"/>
  <c r="A146" i="127" s="1"/>
  <c r="A147" i="127" s="1"/>
  <c r="A148" i="127" s="1"/>
  <c r="A149" i="127" s="1"/>
  <c r="A150" i="127" s="1"/>
  <c r="A151" i="127" s="1"/>
  <c r="A152" i="127" s="1"/>
  <c r="A153" i="127" s="1"/>
  <c r="A154" i="127" s="1"/>
  <c r="A155" i="127" s="1"/>
  <c r="A156" i="127" s="1"/>
  <c r="A157" i="127" s="1"/>
  <c r="A158" i="127" s="1"/>
  <c r="A159" i="127" s="1"/>
  <c r="A160" i="127" s="1"/>
  <c r="A161" i="127" s="1"/>
  <c r="A162" i="127" s="1"/>
  <c r="A163" i="127" s="1"/>
  <c r="A164" i="127" s="1"/>
  <c r="A165" i="127" s="1"/>
  <c r="A166" i="127" s="1"/>
  <c r="A167" i="127" s="1"/>
  <c r="A168" i="127" s="1"/>
  <c r="A169" i="127" s="1"/>
  <c r="A170" i="127" s="1"/>
  <c r="A171" i="127" s="1"/>
  <c r="A172" i="127" s="1"/>
  <c r="A173" i="127" s="1"/>
  <c r="A174" i="127" s="1"/>
  <c r="A175" i="127" s="1"/>
  <c r="A176" i="127" s="1"/>
  <c r="A177" i="127" s="1"/>
  <c r="A178" i="127" s="1"/>
  <c r="A179" i="127" s="1"/>
  <c r="A180" i="127" s="1"/>
  <c r="A181" i="127" s="1"/>
  <c r="A182" i="127" s="1"/>
  <c r="A183" i="127" s="1"/>
  <c r="A184" i="127" s="1"/>
  <c r="A185" i="127" s="1"/>
  <c r="A186" i="127" s="1"/>
  <c r="A187" i="127" s="1"/>
  <c r="A188" i="127" s="1"/>
  <c r="A189" i="127" s="1"/>
  <c r="A190" i="127" s="1"/>
  <c r="A191" i="127" s="1"/>
  <c r="A192" i="127" s="1"/>
  <c r="A193" i="127" s="1"/>
  <c r="A194" i="127" s="1"/>
  <c r="A195" i="127" s="1"/>
  <c r="A196" i="127" s="1"/>
  <c r="A197" i="127" s="1"/>
  <c r="A198" i="127" s="1"/>
  <c r="A199" i="127" s="1"/>
  <c r="A200" i="127" s="1"/>
  <c r="A201" i="127" s="1"/>
  <c r="A202" i="127" s="1"/>
  <c r="A203" i="127" s="1"/>
  <c r="A204" i="127" s="1"/>
  <c r="A205" i="127" s="1"/>
  <c r="A206" i="127" s="1"/>
  <c r="A207" i="127" s="1"/>
  <c r="A208" i="127" s="1"/>
  <c r="A209" i="127" s="1"/>
  <c r="A210" i="127" s="1"/>
  <c r="A211" i="127" s="1"/>
  <c r="A212" i="127" s="1"/>
  <c r="A213" i="127" s="1"/>
  <c r="A214" i="127" s="1"/>
  <c r="A215" i="127" s="1"/>
  <c r="A216" i="127" s="1"/>
  <c r="A217" i="127" s="1"/>
  <c r="A218" i="127" s="1"/>
  <c r="A219" i="127" s="1"/>
  <c r="A220" i="127" s="1"/>
  <c r="A221" i="127" s="1"/>
  <c r="A222" i="127" s="1"/>
  <c r="A223" i="127" s="1"/>
  <c r="A224" i="127" s="1"/>
  <c r="A225" i="127" s="1"/>
  <c r="A226" i="127" s="1"/>
  <c r="A227" i="127" s="1"/>
  <c r="A228" i="127" s="1"/>
  <c r="A229" i="127" s="1"/>
  <c r="A230" i="127" s="1"/>
  <c r="A231" i="127" s="1"/>
  <c r="A232" i="127" s="1"/>
  <c r="A233" i="127" s="1"/>
  <c r="A234" i="127" s="1"/>
  <c r="A235" i="127" s="1"/>
  <c r="A236" i="127" s="1"/>
  <c r="A237" i="127" s="1"/>
  <c r="A238" i="127" s="1"/>
  <c r="A239" i="127" s="1"/>
  <c r="A240" i="127" s="1"/>
  <c r="A241" i="127" s="1"/>
  <c r="A242" i="127" s="1"/>
  <c r="A243" i="127" s="1"/>
  <c r="A244" i="127" s="1"/>
  <c r="A245" i="127" s="1"/>
  <c r="A246" i="127" s="1"/>
  <c r="A247" i="127" s="1"/>
  <c r="A248" i="127" s="1"/>
  <c r="A249" i="127" s="1"/>
  <c r="A250" i="127" s="1"/>
  <c r="A251" i="127" s="1"/>
  <c r="A252" i="127" s="1"/>
  <c r="A253" i="127" s="1"/>
  <c r="A254" i="127" s="1"/>
  <c r="A255" i="127" s="1"/>
  <c r="A256" i="127" s="1"/>
  <c r="A257" i="127" s="1"/>
  <c r="A258" i="127" s="1"/>
  <c r="A259" i="127" s="1"/>
  <c r="A260" i="127" s="1"/>
  <c r="A261" i="127" s="1"/>
  <c r="A262" i="127" s="1"/>
  <c r="A263" i="127" s="1"/>
  <c r="A264" i="127" s="1"/>
  <c r="A265" i="127" s="1"/>
  <c r="A266" i="127" s="1"/>
  <c r="A267" i="127" s="1"/>
  <c r="A268" i="127" s="1"/>
  <c r="A269" i="127" s="1"/>
  <c r="A270" i="127" s="1"/>
  <c r="A271" i="127" s="1"/>
  <c r="A272" i="127" s="1"/>
  <c r="A273" i="127" s="1"/>
  <c r="A274" i="127" s="1"/>
  <c r="A275" i="127" s="1"/>
  <c r="A276" i="127" s="1"/>
  <c r="A277" i="127" s="1"/>
  <c r="A278" i="127" s="1"/>
  <c r="A279" i="127" s="1"/>
  <c r="A280" i="127" s="1"/>
  <c r="A281" i="127" s="1"/>
  <c r="A282" i="127" s="1"/>
  <c r="A283" i="127" s="1"/>
  <c r="A284" i="127" s="1"/>
  <c r="A285" i="127" s="1"/>
  <c r="A286" i="127" s="1"/>
  <c r="A287" i="127" s="1"/>
  <c r="A288" i="127" s="1"/>
  <c r="A289" i="127" s="1"/>
  <c r="A290" i="127" s="1"/>
  <c r="A291" i="127" s="1"/>
  <c r="A292" i="127" s="1"/>
  <c r="A293" i="127" s="1"/>
  <c r="A294" i="127" s="1"/>
  <c r="A295" i="127" s="1"/>
  <c r="A296" i="127" s="1"/>
  <c r="A297" i="127" s="1"/>
  <c r="A298" i="127" s="1"/>
  <c r="A299" i="127" s="1"/>
  <c r="A300" i="127" s="1"/>
  <c r="A301" i="127" s="1"/>
  <c r="A302" i="127" s="1"/>
  <c r="A303" i="127" s="1"/>
  <c r="O2" i="127"/>
  <c r="P3" i="147"/>
  <c r="P4" i="147" s="1"/>
  <c r="P5" i="147" s="1"/>
  <c r="P6" i="147" s="1"/>
  <c r="P7" i="147" s="1"/>
  <c r="P8" i="147" s="1"/>
  <c r="P9" i="147" s="1"/>
  <c r="P10" i="147" s="1"/>
  <c r="P11" i="147" s="1"/>
  <c r="P12" i="147" s="1"/>
  <c r="P13" i="147" s="1"/>
  <c r="P14" i="147" s="1"/>
  <c r="P15" i="147" s="1"/>
  <c r="P16" i="147" s="1"/>
  <c r="P17" i="147" s="1"/>
  <c r="P18" i="147" s="1"/>
  <c r="P19" i="147" s="1"/>
  <c r="P20" i="147" s="1"/>
  <c r="P21" i="147" s="1"/>
  <c r="P22" i="147" s="1"/>
  <c r="P23" i="147" s="1"/>
  <c r="P24" i="147" s="1"/>
  <c r="P25" i="147" s="1"/>
  <c r="P26" i="147" s="1"/>
  <c r="P27" i="147" s="1"/>
  <c r="P28" i="147" s="1"/>
  <c r="P29" i="147" s="1"/>
  <c r="P30" i="147" s="1"/>
  <c r="P31" i="147" s="1"/>
  <c r="P32" i="147" s="1"/>
  <c r="P33" i="147" s="1"/>
  <c r="P34" i="147" s="1"/>
  <c r="P35" i="147" s="1"/>
  <c r="P36" i="147" s="1"/>
  <c r="P37" i="147" s="1"/>
  <c r="P38" i="147" s="1"/>
  <c r="P39" i="147" s="1"/>
  <c r="P40" i="147" s="1"/>
  <c r="P41" i="147" s="1"/>
  <c r="P42" i="147" s="1"/>
  <c r="P43" i="147" s="1"/>
  <c r="P44" i="147" s="1"/>
  <c r="P45" i="147" s="1"/>
  <c r="P46" i="147" s="1"/>
  <c r="P47" i="147" s="1"/>
  <c r="P48" i="147" s="1"/>
  <c r="P49" i="147" s="1"/>
  <c r="P50" i="147" s="1"/>
  <c r="P51" i="147" s="1"/>
  <c r="P52" i="147" s="1"/>
  <c r="P53" i="147" s="1"/>
  <c r="P54" i="147" s="1"/>
  <c r="P55" i="147" s="1"/>
  <c r="P56" i="147" s="1"/>
  <c r="P57" i="147" s="1"/>
  <c r="P58" i="147" s="1"/>
  <c r="P59" i="147" s="1"/>
  <c r="P60" i="147" s="1"/>
  <c r="P61" i="147" s="1"/>
  <c r="P62" i="147" s="1"/>
  <c r="P63" i="147" s="1"/>
  <c r="P64" i="147" s="1"/>
  <c r="P65" i="147" s="1"/>
  <c r="P66" i="147" s="1"/>
  <c r="P67" i="147" s="1"/>
  <c r="P68" i="147" s="1"/>
  <c r="P69" i="147" s="1"/>
  <c r="P70" i="147" s="1"/>
  <c r="P71" i="147" s="1"/>
  <c r="P72" i="147" s="1"/>
  <c r="P73" i="147" s="1"/>
  <c r="P74" i="147" s="1"/>
  <c r="P75" i="147" s="1"/>
  <c r="P76" i="147" s="1"/>
  <c r="P77" i="147" s="1"/>
  <c r="P78" i="147" s="1"/>
  <c r="P79" i="147" s="1"/>
  <c r="P80" i="147" s="1"/>
  <c r="P81" i="147" s="1"/>
  <c r="P82" i="147" s="1"/>
  <c r="P83" i="147" s="1"/>
  <c r="P84" i="147" s="1"/>
  <c r="P85" i="147" s="1"/>
  <c r="P86" i="147" s="1"/>
  <c r="P87" i="147" s="1"/>
  <c r="P88" i="147" s="1"/>
  <c r="P89" i="147" s="1"/>
  <c r="P90" i="147" s="1"/>
  <c r="P91" i="147" s="1"/>
  <c r="P92" i="147" s="1"/>
  <c r="P93" i="147" s="1"/>
  <c r="P94" i="147" s="1"/>
  <c r="P95" i="147" s="1"/>
  <c r="P96" i="147" s="1"/>
  <c r="N3" i="147"/>
  <c r="N4" i="147" s="1"/>
  <c r="N5" i="147" s="1"/>
  <c r="N6" i="147" s="1"/>
  <c r="N7" i="147" s="1"/>
  <c r="N8" i="147" s="1"/>
  <c r="N9" i="147" s="1"/>
  <c r="N10" i="147" s="1"/>
  <c r="N11" i="147" s="1"/>
  <c r="N12" i="147" s="1"/>
  <c r="N13" i="147" s="1"/>
  <c r="N14" i="147" s="1"/>
  <c r="N15" i="147" s="1"/>
  <c r="N16" i="147" s="1"/>
  <c r="N17" i="147" s="1"/>
  <c r="N18" i="147" s="1"/>
  <c r="N19" i="147" s="1"/>
  <c r="N20" i="147" s="1"/>
  <c r="N21" i="147" s="1"/>
  <c r="N22" i="147" s="1"/>
  <c r="N23" i="147" s="1"/>
  <c r="N24" i="147" s="1"/>
  <c r="N25" i="147" s="1"/>
  <c r="N26" i="147" s="1"/>
  <c r="N27" i="147" s="1"/>
  <c r="N28" i="147" s="1"/>
  <c r="N29" i="147" s="1"/>
  <c r="N30" i="147" s="1"/>
  <c r="N31" i="147" s="1"/>
  <c r="N32" i="147" s="1"/>
  <c r="N33" i="147" s="1"/>
  <c r="N34" i="147" s="1"/>
  <c r="N35" i="147" s="1"/>
  <c r="N36" i="147" s="1"/>
  <c r="N37" i="147" s="1"/>
  <c r="N38" i="147" s="1"/>
  <c r="N39" i="147" s="1"/>
  <c r="N40" i="147" s="1"/>
  <c r="N41" i="147" s="1"/>
  <c r="N42" i="147" s="1"/>
  <c r="N43" i="147" s="1"/>
  <c r="N44" i="147" s="1"/>
  <c r="N45" i="147" s="1"/>
  <c r="N46" i="147" s="1"/>
  <c r="N47" i="147" s="1"/>
  <c r="N48" i="147" s="1"/>
  <c r="N49" i="147" s="1"/>
  <c r="N50" i="147" s="1"/>
  <c r="N51" i="147" s="1"/>
  <c r="N52" i="147" s="1"/>
  <c r="N53" i="147" s="1"/>
  <c r="N54" i="147" s="1"/>
  <c r="N55" i="147" s="1"/>
  <c r="N56" i="147" s="1"/>
  <c r="N57" i="147" s="1"/>
  <c r="N58" i="147" s="1"/>
  <c r="N59" i="147" s="1"/>
  <c r="N60" i="147" s="1"/>
  <c r="N61" i="147" s="1"/>
  <c r="N62" i="147" s="1"/>
  <c r="N63" i="147" s="1"/>
  <c r="N64" i="147" s="1"/>
  <c r="N65" i="147" s="1"/>
  <c r="N66" i="147" s="1"/>
  <c r="N67" i="147" s="1"/>
  <c r="N68" i="147" s="1"/>
  <c r="N69" i="147" s="1"/>
  <c r="N70" i="147" s="1"/>
  <c r="N71" i="147" s="1"/>
  <c r="N72" i="147" s="1"/>
  <c r="N73" i="147" s="1"/>
  <c r="N74" i="147" s="1"/>
  <c r="N75" i="147" s="1"/>
  <c r="N76" i="147" s="1"/>
  <c r="N77" i="147" s="1"/>
  <c r="N78" i="147" s="1"/>
  <c r="N79" i="147" s="1"/>
  <c r="N80" i="147" s="1"/>
  <c r="N81" i="147" s="1"/>
  <c r="N82" i="147" s="1"/>
  <c r="N83" i="147" s="1"/>
  <c r="N84" i="147" s="1"/>
  <c r="N85" i="147" s="1"/>
  <c r="N86" i="147" s="1"/>
  <c r="N87" i="147" s="1"/>
  <c r="N88" i="147" s="1"/>
  <c r="N89" i="147" s="1"/>
  <c r="N90" i="147" s="1"/>
  <c r="N91" i="147" s="1"/>
  <c r="N92" i="147" s="1"/>
  <c r="N93" i="147" s="1"/>
  <c r="N94" i="147" s="1"/>
  <c r="N95" i="147" s="1"/>
  <c r="N96" i="147" s="1"/>
  <c r="A3" i="147"/>
  <c r="A4" i="147" s="1"/>
  <c r="A5" i="147" s="1"/>
  <c r="A6" i="147" s="1"/>
  <c r="A7" i="147" s="1"/>
  <c r="A8" i="147" s="1"/>
  <c r="A9" i="147" s="1"/>
  <c r="A10" i="147" s="1"/>
  <c r="A11" i="147" s="1"/>
  <c r="A12" i="147" s="1"/>
  <c r="A13" i="147" s="1"/>
  <c r="A14" i="147" s="1"/>
  <c r="A15" i="147" s="1"/>
  <c r="A16" i="147" s="1"/>
  <c r="A17" i="147" s="1"/>
  <c r="A18" i="147" s="1"/>
  <c r="A19" i="147" s="1"/>
  <c r="A20" i="147" s="1"/>
  <c r="A21" i="147" s="1"/>
  <c r="A22" i="147" s="1"/>
  <c r="A23" i="147" s="1"/>
  <c r="A24" i="147" s="1"/>
  <c r="A25" i="147" s="1"/>
  <c r="A26" i="147" s="1"/>
  <c r="A27" i="147" s="1"/>
  <c r="A28" i="147" s="1"/>
  <c r="A29" i="147" s="1"/>
  <c r="A30" i="147" s="1"/>
  <c r="A31" i="147" s="1"/>
  <c r="A32" i="147" s="1"/>
  <c r="A33" i="147" s="1"/>
  <c r="A34" i="147" s="1"/>
  <c r="A35" i="147" s="1"/>
  <c r="A36" i="147" s="1"/>
  <c r="A37" i="147" s="1"/>
  <c r="A38" i="147" s="1"/>
  <c r="A39" i="147" s="1"/>
  <c r="A40" i="147" s="1"/>
  <c r="A41" i="147" s="1"/>
  <c r="A42" i="147" s="1"/>
  <c r="A43" i="147" s="1"/>
  <c r="A44" i="147" s="1"/>
  <c r="A45" i="147" s="1"/>
  <c r="A46" i="147" s="1"/>
  <c r="A47" i="147" s="1"/>
  <c r="A48" i="147" s="1"/>
  <c r="A49" i="147" s="1"/>
  <c r="A50" i="147" s="1"/>
  <c r="A51" i="147" s="1"/>
  <c r="A52" i="147" s="1"/>
  <c r="A53" i="147" s="1"/>
  <c r="A54" i="147" s="1"/>
  <c r="A55" i="147" s="1"/>
  <c r="A56" i="147" s="1"/>
  <c r="A57" i="147" s="1"/>
  <c r="A58" i="147" s="1"/>
  <c r="A59" i="147" s="1"/>
  <c r="A60" i="147" s="1"/>
  <c r="A61" i="147" s="1"/>
  <c r="A62" i="147" s="1"/>
  <c r="A63" i="147" s="1"/>
  <c r="A64" i="147" s="1"/>
  <c r="A65" i="147" s="1"/>
  <c r="A66" i="147" s="1"/>
  <c r="A67" i="147" s="1"/>
  <c r="A68" i="147" s="1"/>
  <c r="A69" i="147" s="1"/>
  <c r="A70" i="147" s="1"/>
  <c r="A71" i="147" s="1"/>
  <c r="A72" i="147" s="1"/>
  <c r="A73" i="147" s="1"/>
  <c r="A74" i="147" s="1"/>
  <c r="A75" i="147" s="1"/>
  <c r="A76" i="147" s="1"/>
  <c r="A77" i="147" s="1"/>
  <c r="A78" i="147" s="1"/>
  <c r="A79" i="147" s="1"/>
  <c r="A80" i="147" s="1"/>
  <c r="A81" i="147" s="1"/>
  <c r="A82" i="147" s="1"/>
  <c r="A83" i="147" s="1"/>
  <c r="A84" i="147" s="1"/>
  <c r="A85" i="147" s="1"/>
  <c r="A86" i="147" s="1"/>
  <c r="A87" i="147" s="1"/>
  <c r="A88" i="147" s="1"/>
  <c r="A89" i="147" s="1"/>
  <c r="A90" i="147" s="1"/>
  <c r="A91" i="147" s="1"/>
  <c r="A92" i="147" s="1"/>
  <c r="A93" i="147" s="1"/>
  <c r="A94" i="147" s="1"/>
  <c r="A95" i="147" s="1"/>
  <c r="A96" i="147" s="1"/>
  <c r="O15" i="158"/>
  <c r="O14" i="158"/>
  <c r="O13" i="158"/>
  <c r="O12" i="158"/>
  <c r="O11" i="158"/>
  <c r="O10" i="158"/>
  <c r="O9" i="158"/>
  <c r="O8" i="158"/>
  <c r="O7" i="158"/>
  <c r="O6" i="158"/>
  <c r="O5" i="158"/>
  <c r="O4" i="158"/>
  <c r="O3" i="158"/>
  <c r="O2" i="158"/>
  <c r="N3" i="158"/>
  <c r="N4" i="158" s="1"/>
  <c r="N5" i="158" s="1"/>
  <c r="N6" i="158" s="1"/>
  <c r="N7" i="158" s="1"/>
  <c r="N8" i="158" s="1"/>
  <c r="N9" i="158" s="1"/>
  <c r="N10" i="158" s="1"/>
  <c r="N11" i="158" s="1"/>
  <c r="N12" i="158" s="1"/>
  <c r="N13" i="158" s="1"/>
  <c r="N14" i="158" s="1"/>
  <c r="N15" i="158" s="1"/>
  <c r="P3" i="158"/>
  <c r="P4" i="158" s="1"/>
  <c r="P5" i="158" s="1"/>
  <c r="P6" i="158" s="1"/>
  <c r="P7" i="158" s="1"/>
  <c r="P8" i="158" s="1"/>
  <c r="P9" i="158" s="1"/>
  <c r="P10" i="158" s="1"/>
  <c r="P11" i="158" s="1"/>
  <c r="P12" i="158" s="1"/>
  <c r="P13" i="158" s="1"/>
  <c r="P14" i="158" s="1"/>
  <c r="P15" i="158" s="1"/>
  <c r="A4" i="158"/>
  <c r="A5" i="158" s="1"/>
  <c r="A6" i="158" s="1"/>
  <c r="A7" i="158" s="1"/>
  <c r="A8" i="158" s="1"/>
  <c r="A9" i="158" s="1"/>
  <c r="A10" i="158" s="1"/>
  <c r="A11" i="158" s="1"/>
  <c r="A12" i="158" s="1"/>
  <c r="A13" i="158" s="1"/>
  <c r="A14" i="158" s="1"/>
  <c r="A15" i="158" s="1"/>
  <c r="O118" i="100"/>
  <c r="O117" i="100"/>
  <c r="O116" i="100"/>
  <c r="O115" i="100"/>
  <c r="O114" i="100"/>
  <c r="O113" i="100"/>
  <c r="O112" i="100"/>
  <c r="O111" i="100"/>
  <c r="O110" i="100"/>
  <c r="O109" i="100"/>
  <c r="O108" i="100"/>
  <c r="O107" i="100"/>
  <c r="O106" i="100"/>
  <c r="O105" i="100"/>
  <c r="O104" i="100"/>
  <c r="O103" i="100"/>
  <c r="O102" i="100"/>
  <c r="O101" i="100"/>
  <c r="O100" i="100"/>
  <c r="O99" i="100"/>
  <c r="O98" i="100"/>
  <c r="O97" i="100"/>
  <c r="O96" i="100"/>
  <c r="O95" i="100"/>
  <c r="O94" i="100"/>
  <c r="O93" i="100"/>
  <c r="O92" i="100"/>
  <c r="O91" i="100"/>
  <c r="O90" i="100"/>
  <c r="O89" i="100"/>
  <c r="O88" i="100"/>
  <c r="O87" i="100"/>
  <c r="O86" i="100"/>
  <c r="O85" i="100"/>
  <c r="O84" i="100"/>
  <c r="O83" i="100"/>
  <c r="O82" i="100"/>
  <c r="O81" i="100"/>
  <c r="O80" i="100"/>
  <c r="O79" i="100"/>
  <c r="O78" i="100"/>
  <c r="O77" i="100"/>
  <c r="O76" i="100"/>
  <c r="O75" i="100"/>
  <c r="O74" i="100"/>
  <c r="O73" i="100"/>
  <c r="O72" i="100"/>
  <c r="O71" i="100"/>
  <c r="O70" i="100"/>
  <c r="O69" i="100"/>
  <c r="O68" i="100"/>
  <c r="O67" i="100"/>
  <c r="O66" i="100"/>
  <c r="O65" i="100"/>
  <c r="O64" i="100"/>
  <c r="O63" i="100"/>
  <c r="O62" i="100"/>
  <c r="O61" i="100"/>
  <c r="O60" i="100"/>
  <c r="O59" i="100"/>
  <c r="O58" i="100"/>
  <c r="O57" i="100"/>
  <c r="O56" i="100"/>
  <c r="O55" i="100"/>
  <c r="O54" i="100"/>
  <c r="O53" i="100"/>
  <c r="O52" i="100"/>
  <c r="O51" i="100"/>
  <c r="O50" i="100"/>
  <c r="O49" i="100"/>
  <c r="O48" i="100"/>
  <c r="O47" i="100"/>
  <c r="O46" i="100"/>
  <c r="O45" i="100"/>
  <c r="O44" i="100"/>
  <c r="O43" i="100"/>
  <c r="O42" i="100"/>
  <c r="O41" i="100"/>
  <c r="O40" i="100"/>
  <c r="O39" i="100"/>
  <c r="O38" i="100"/>
  <c r="O37" i="100"/>
  <c r="O36" i="100"/>
  <c r="O35" i="100"/>
  <c r="O34" i="100"/>
  <c r="O33" i="100"/>
  <c r="O32" i="100"/>
  <c r="O31" i="100"/>
  <c r="O30" i="100"/>
  <c r="O29" i="100"/>
  <c r="O28" i="100"/>
  <c r="O27" i="100"/>
  <c r="O26" i="100"/>
  <c r="O25" i="100"/>
  <c r="O24" i="100"/>
  <c r="O23" i="100"/>
  <c r="O22" i="100"/>
  <c r="O21" i="100"/>
  <c r="O20" i="100"/>
  <c r="O19" i="100"/>
  <c r="O18" i="100"/>
  <c r="O17" i="100"/>
  <c r="O16" i="100"/>
  <c r="O15" i="100"/>
  <c r="O14" i="100"/>
  <c r="O13" i="100"/>
  <c r="O12" i="100"/>
  <c r="O11" i="100"/>
  <c r="O10" i="100"/>
  <c r="O9" i="100"/>
  <c r="O8" i="100"/>
  <c r="O7" i="100"/>
  <c r="O6" i="100"/>
  <c r="O5" i="100"/>
  <c r="A5" i="100"/>
  <c r="A6" i="100" s="1"/>
  <c r="A7" i="100" s="1"/>
  <c r="A8" i="100" s="1"/>
  <c r="A9" i="100" s="1"/>
  <c r="A10" i="100" s="1"/>
  <c r="A11" i="100" s="1"/>
  <c r="A12" i="100" s="1"/>
  <c r="A13" i="100" s="1"/>
  <c r="A14" i="100" s="1"/>
  <c r="A15" i="100" s="1"/>
  <c r="A16" i="100" s="1"/>
  <c r="A17" i="100" s="1"/>
  <c r="A18" i="100" s="1"/>
  <c r="A19" i="100" s="1"/>
  <c r="A20" i="100" s="1"/>
  <c r="A21" i="100" s="1"/>
  <c r="A22" i="100" s="1"/>
  <c r="A23" i="100" s="1"/>
  <c r="A24" i="100" s="1"/>
  <c r="A25" i="100" s="1"/>
  <c r="A26" i="100" s="1"/>
  <c r="A27" i="100" s="1"/>
  <c r="A28" i="100" s="1"/>
  <c r="A29" i="100" s="1"/>
  <c r="A30" i="100" s="1"/>
  <c r="A31" i="100" s="1"/>
  <c r="A32" i="100" s="1"/>
  <c r="A33" i="100" s="1"/>
  <c r="A34" i="100" s="1"/>
  <c r="A35" i="100" s="1"/>
  <c r="A36" i="100" s="1"/>
  <c r="A37" i="100" s="1"/>
  <c r="A38" i="100" s="1"/>
  <c r="A39" i="100" s="1"/>
  <c r="A40" i="100" s="1"/>
  <c r="A41" i="100" s="1"/>
  <c r="A42" i="100" s="1"/>
  <c r="A43" i="100" s="1"/>
  <c r="A44" i="100" s="1"/>
  <c r="A45" i="100" s="1"/>
  <c r="A46" i="100" s="1"/>
  <c r="A47" i="100" s="1"/>
  <c r="A48" i="100" s="1"/>
  <c r="A49" i="100" s="1"/>
  <c r="A50" i="100" s="1"/>
  <c r="A51" i="100" s="1"/>
  <c r="A52" i="100" s="1"/>
  <c r="A53" i="100" s="1"/>
  <c r="A54" i="100" s="1"/>
  <c r="A55" i="100" s="1"/>
  <c r="A56" i="100" s="1"/>
  <c r="A57" i="100" s="1"/>
  <c r="A58" i="100" s="1"/>
  <c r="A59" i="100" s="1"/>
  <c r="A60" i="100" s="1"/>
  <c r="A61" i="100" s="1"/>
  <c r="A62" i="100" s="1"/>
  <c r="A63" i="100" s="1"/>
  <c r="A64" i="100" s="1"/>
  <c r="A65" i="100" s="1"/>
  <c r="A66" i="100" s="1"/>
  <c r="A67" i="100" s="1"/>
  <c r="A68" i="100" s="1"/>
  <c r="A69" i="100" s="1"/>
  <c r="A70" i="100" s="1"/>
  <c r="A71" i="100" s="1"/>
  <c r="A72" i="100" s="1"/>
  <c r="A73" i="100" s="1"/>
  <c r="A74" i="100" s="1"/>
  <c r="A75" i="100" s="1"/>
  <c r="A76" i="100" s="1"/>
  <c r="A77" i="100" s="1"/>
  <c r="A78" i="100" s="1"/>
  <c r="A79" i="100" s="1"/>
  <c r="A80" i="100" s="1"/>
  <c r="A81" i="100" s="1"/>
  <c r="A82" i="100" s="1"/>
  <c r="A83" i="100" s="1"/>
  <c r="A84" i="100" s="1"/>
  <c r="A85" i="100" s="1"/>
  <c r="A86" i="100" s="1"/>
  <c r="A87" i="100" s="1"/>
  <c r="A88" i="100" s="1"/>
  <c r="A89" i="100" s="1"/>
  <c r="A90" i="100" s="1"/>
  <c r="A91" i="100" s="1"/>
  <c r="A92" i="100" s="1"/>
  <c r="A93" i="100" s="1"/>
  <c r="A94" i="100" s="1"/>
  <c r="A95" i="100" s="1"/>
  <c r="A96" i="100" s="1"/>
  <c r="A97" i="100" s="1"/>
  <c r="A98" i="100" s="1"/>
  <c r="A99" i="100" s="1"/>
  <c r="A100" i="100" s="1"/>
  <c r="A101" i="100" s="1"/>
  <c r="A102" i="100" s="1"/>
  <c r="A103" i="100" s="1"/>
  <c r="A104" i="100" s="1"/>
  <c r="A105" i="100" s="1"/>
  <c r="A106" i="100" s="1"/>
  <c r="A107" i="100" s="1"/>
  <c r="A108" i="100" s="1"/>
  <c r="A109" i="100" s="1"/>
  <c r="A110" i="100" s="1"/>
  <c r="A111" i="100" s="1"/>
  <c r="A112" i="100" s="1"/>
  <c r="A113" i="100" s="1"/>
  <c r="A114" i="100" s="1"/>
  <c r="A115" i="100" s="1"/>
  <c r="A116" i="100" s="1"/>
  <c r="A117" i="100" s="1"/>
  <c r="A118" i="100" s="1"/>
  <c r="P4" i="100"/>
  <c r="P5" i="100" s="1"/>
  <c r="P6" i="100" s="1"/>
  <c r="P7" i="100" s="1"/>
  <c r="P8" i="100" s="1"/>
  <c r="P9" i="100" s="1"/>
  <c r="P10" i="100" s="1"/>
  <c r="P11" i="100" s="1"/>
  <c r="P12" i="100" s="1"/>
  <c r="P13" i="100" s="1"/>
  <c r="P14" i="100" s="1"/>
  <c r="P15" i="100" s="1"/>
  <c r="P16" i="100" s="1"/>
  <c r="P17" i="100" s="1"/>
  <c r="P18" i="100" s="1"/>
  <c r="P19" i="100" s="1"/>
  <c r="P20" i="100" s="1"/>
  <c r="P21" i="100" s="1"/>
  <c r="P22" i="100" s="1"/>
  <c r="P23" i="100" s="1"/>
  <c r="P24" i="100" s="1"/>
  <c r="P25" i="100" s="1"/>
  <c r="P26" i="100" s="1"/>
  <c r="P27" i="100" s="1"/>
  <c r="P28" i="100" s="1"/>
  <c r="P29" i="100" s="1"/>
  <c r="P30" i="100" s="1"/>
  <c r="P31" i="100" s="1"/>
  <c r="P32" i="100" s="1"/>
  <c r="P33" i="100" s="1"/>
  <c r="P34" i="100" s="1"/>
  <c r="P35" i="100" s="1"/>
  <c r="P36" i="100" s="1"/>
  <c r="P37" i="100" s="1"/>
  <c r="P38" i="100" s="1"/>
  <c r="P39" i="100" s="1"/>
  <c r="P40" i="100" s="1"/>
  <c r="P41" i="100" s="1"/>
  <c r="P42" i="100" s="1"/>
  <c r="P43" i="100" s="1"/>
  <c r="P44" i="100" s="1"/>
  <c r="P45" i="100" s="1"/>
  <c r="P46" i="100" s="1"/>
  <c r="P47" i="100" s="1"/>
  <c r="P48" i="100" s="1"/>
  <c r="P49" i="100" s="1"/>
  <c r="P50" i="100" s="1"/>
  <c r="P51" i="100" s="1"/>
  <c r="P52" i="100" s="1"/>
  <c r="P53" i="100" s="1"/>
  <c r="P54" i="100" s="1"/>
  <c r="P55" i="100" s="1"/>
  <c r="P56" i="100" s="1"/>
  <c r="P57" i="100" s="1"/>
  <c r="P58" i="100" s="1"/>
  <c r="P59" i="100" s="1"/>
  <c r="P60" i="100" s="1"/>
  <c r="P61" i="100" s="1"/>
  <c r="P62" i="100" s="1"/>
  <c r="P63" i="100" s="1"/>
  <c r="P64" i="100" s="1"/>
  <c r="P65" i="100" s="1"/>
  <c r="P66" i="100" s="1"/>
  <c r="P67" i="100" s="1"/>
  <c r="P68" i="100" s="1"/>
  <c r="P69" i="100" s="1"/>
  <c r="P70" i="100" s="1"/>
  <c r="P71" i="100" s="1"/>
  <c r="P72" i="100" s="1"/>
  <c r="P73" i="100" s="1"/>
  <c r="P74" i="100" s="1"/>
  <c r="P75" i="100" s="1"/>
  <c r="P76" i="100" s="1"/>
  <c r="P77" i="100" s="1"/>
  <c r="P78" i="100" s="1"/>
  <c r="P79" i="100" s="1"/>
  <c r="P80" i="100" s="1"/>
  <c r="P81" i="100" s="1"/>
  <c r="P82" i="100" s="1"/>
  <c r="P83" i="100" s="1"/>
  <c r="P84" i="100" s="1"/>
  <c r="P85" i="100" s="1"/>
  <c r="P86" i="100" s="1"/>
  <c r="P87" i="100" s="1"/>
  <c r="P88" i="100" s="1"/>
  <c r="P89" i="100" s="1"/>
  <c r="P90" i="100" s="1"/>
  <c r="P91" i="100" s="1"/>
  <c r="P92" i="100" s="1"/>
  <c r="P93" i="100" s="1"/>
  <c r="P94" i="100" s="1"/>
  <c r="P95" i="100" s="1"/>
  <c r="P96" i="100" s="1"/>
  <c r="P97" i="100" s="1"/>
  <c r="P98" i="100" s="1"/>
  <c r="P99" i="100" s="1"/>
  <c r="P100" i="100" s="1"/>
  <c r="P101" i="100" s="1"/>
  <c r="P102" i="100" s="1"/>
  <c r="P103" i="100" s="1"/>
  <c r="P104" i="100" s="1"/>
  <c r="P105" i="100" s="1"/>
  <c r="P106" i="100" s="1"/>
  <c r="P107" i="100" s="1"/>
  <c r="P108" i="100" s="1"/>
  <c r="P109" i="100" s="1"/>
  <c r="P110" i="100" s="1"/>
  <c r="P111" i="100" s="1"/>
  <c r="P112" i="100" s="1"/>
  <c r="P113" i="100" s="1"/>
  <c r="P114" i="100" s="1"/>
  <c r="P115" i="100" s="1"/>
  <c r="P116" i="100" s="1"/>
  <c r="P117" i="100" s="1"/>
  <c r="P118" i="100" s="1"/>
  <c r="O4" i="100"/>
  <c r="P3" i="100"/>
  <c r="O3" i="100"/>
  <c r="A3" i="100"/>
  <c r="A4" i="100" s="1"/>
  <c r="O2" i="100"/>
  <c r="O35" i="133"/>
  <c r="O36" i="133" s="1"/>
  <c r="O37" i="133" s="1"/>
  <c r="O38" i="133" s="1"/>
  <c r="O39" i="133" s="1"/>
  <c r="O40" i="133" s="1"/>
  <c r="O41" i="133" s="1"/>
  <c r="O42" i="133" s="1"/>
  <c r="O43" i="133" s="1"/>
  <c r="O44" i="133" s="1"/>
  <c r="O45" i="133" s="1"/>
  <c r="O46" i="133" s="1"/>
  <c r="O47" i="133" s="1"/>
  <c r="O48" i="133" s="1"/>
  <c r="O49" i="133" s="1"/>
  <c r="O50" i="133" s="1"/>
  <c r="O51" i="133" s="1"/>
  <c r="O52" i="133" s="1"/>
  <c r="O53" i="133" s="1"/>
  <c r="O54" i="133" s="1"/>
  <c r="O55" i="133" s="1"/>
  <c r="O56" i="133" s="1"/>
  <c r="O57" i="133" s="1"/>
  <c r="O58" i="133" s="1"/>
  <c r="O59" i="133" s="1"/>
  <c r="O60" i="133" s="1"/>
  <c r="O61" i="133" s="1"/>
  <c r="O62" i="133" s="1"/>
  <c r="O63" i="133" s="1"/>
  <c r="O64" i="133" s="1"/>
  <c r="O65" i="133" s="1"/>
  <c r="N35" i="133"/>
  <c r="N36" i="133" s="1"/>
  <c r="N37" i="133" s="1"/>
  <c r="N38" i="133" s="1"/>
  <c r="N39" i="133" s="1"/>
  <c r="N40" i="133" s="1"/>
  <c r="N41" i="133" s="1"/>
  <c r="N42" i="133" s="1"/>
  <c r="N43" i="133" s="1"/>
  <c r="N44" i="133" s="1"/>
  <c r="N45" i="133" s="1"/>
  <c r="N46" i="133" s="1"/>
  <c r="N47" i="133" s="1"/>
  <c r="N48" i="133" s="1"/>
  <c r="N49" i="133" s="1"/>
  <c r="N50" i="133" s="1"/>
  <c r="N51" i="133" s="1"/>
  <c r="N52" i="133" s="1"/>
  <c r="N53" i="133" s="1"/>
  <c r="N54" i="133" s="1"/>
  <c r="N55" i="133" s="1"/>
  <c r="N56" i="133" s="1"/>
  <c r="N57" i="133" s="1"/>
  <c r="N58" i="133" s="1"/>
  <c r="N59" i="133" s="1"/>
  <c r="N60" i="133" s="1"/>
  <c r="N61" i="133" s="1"/>
  <c r="N62" i="133" s="1"/>
  <c r="N63" i="133" s="1"/>
  <c r="N64" i="133" s="1"/>
  <c r="N65" i="133" s="1"/>
  <c r="O19" i="133"/>
  <c r="O20" i="133" s="1"/>
  <c r="O21" i="133" s="1"/>
  <c r="O22" i="133" s="1"/>
  <c r="O23" i="133" s="1"/>
  <c r="O24" i="133" s="1"/>
  <c r="O25" i="133" s="1"/>
  <c r="O26" i="133" s="1"/>
  <c r="O27" i="133" s="1"/>
  <c r="O28" i="133" s="1"/>
  <c r="O29" i="133" s="1"/>
  <c r="O30" i="133" s="1"/>
  <c r="O31" i="133" s="1"/>
  <c r="O32" i="133" s="1"/>
  <c r="O33" i="133" s="1"/>
  <c r="A11" i="133"/>
  <c r="A12" i="133" s="1"/>
  <c r="A13" i="133" s="1"/>
  <c r="A14" i="133" s="1"/>
  <c r="A15" i="133" s="1"/>
  <c r="A16" i="133" s="1"/>
  <c r="A17" i="133" s="1"/>
  <c r="A18" i="133" s="1"/>
  <c r="A19" i="133" s="1"/>
  <c r="A20" i="133" s="1"/>
  <c r="A21" i="133" s="1"/>
  <c r="A22" i="133" s="1"/>
  <c r="A23" i="133" s="1"/>
  <c r="A24" i="133" s="1"/>
  <c r="A25" i="133" s="1"/>
  <c r="A26" i="133" s="1"/>
  <c r="A27" i="133" s="1"/>
  <c r="A28" i="133" s="1"/>
  <c r="A29" i="133" s="1"/>
  <c r="A30" i="133" s="1"/>
  <c r="A31" i="133" s="1"/>
  <c r="A32" i="133" s="1"/>
  <c r="A33" i="133" s="1"/>
  <c r="A34" i="133" s="1"/>
  <c r="A35" i="133" s="1"/>
  <c r="A36" i="133" s="1"/>
  <c r="A37" i="133" s="1"/>
  <c r="A38" i="133" s="1"/>
  <c r="A39" i="133" s="1"/>
  <c r="A40" i="133" s="1"/>
  <c r="A41" i="133" s="1"/>
  <c r="A42" i="133" s="1"/>
  <c r="A43" i="133" s="1"/>
  <c r="A44" i="133" s="1"/>
  <c r="A45" i="133" s="1"/>
  <c r="A46" i="133" s="1"/>
  <c r="A47" i="133" s="1"/>
  <c r="A48" i="133" s="1"/>
  <c r="A49" i="133" s="1"/>
  <c r="A50" i="133" s="1"/>
  <c r="A51" i="133" s="1"/>
  <c r="A52" i="133" s="1"/>
  <c r="A53" i="133" s="1"/>
  <c r="A54" i="133" s="1"/>
  <c r="A55" i="133" s="1"/>
  <c r="A56" i="133" s="1"/>
  <c r="A57" i="133" s="1"/>
  <c r="A58" i="133" s="1"/>
  <c r="A59" i="133" s="1"/>
  <c r="A60" i="133" s="1"/>
  <c r="A61" i="133" s="1"/>
  <c r="A62" i="133" s="1"/>
  <c r="A63" i="133" s="1"/>
  <c r="A64" i="133" s="1"/>
  <c r="A65" i="133" s="1"/>
  <c r="A8" i="133"/>
  <c r="A9" i="133" s="1"/>
  <c r="A10" i="133" s="1"/>
  <c r="A7" i="133"/>
  <c r="A3" i="133"/>
  <c r="A4" i="133" s="1"/>
  <c r="A5" i="133" s="1"/>
  <c r="A6" i="133" s="1"/>
  <c r="A3" i="146"/>
  <c r="A4" i="146" s="1"/>
  <c r="A5" i="146" s="1"/>
  <c r="A6" i="146" s="1"/>
  <c r="A7" i="146" s="1"/>
  <c r="A8" i="146" s="1"/>
  <c r="A9" i="146" s="1"/>
  <c r="A10" i="146" s="1"/>
  <c r="A11" i="146" s="1"/>
  <c r="A12" i="146" s="1"/>
  <c r="A13" i="146" s="1"/>
  <c r="A14" i="146" s="1"/>
  <c r="A15" i="146" s="1"/>
  <c r="A16" i="146" s="1"/>
  <c r="A17" i="146" s="1"/>
  <c r="A18" i="146" s="1"/>
  <c r="A19" i="146" s="1"/>
  <c r="A20" i="146" s="1"/>
  <c r="A21" i="146" s="1"/>
  <c r="A22" i="146" s="1"/>
  <c r="A23" i="146" s="1"/>
  <c r="A24" i="146" s="1"/>
  <c r="A25" i="146" s="1"/>
  <c r="A26" i="146" s="1"/>
  <c r="A27" i="146" s="1"/>
  <c r="A28" i="146" s="1"/>
  <c r="A29" i="146" s="1"/>
  <c r="A30" i="146" s="1"/>
  <c r="A31" i="146" s="1"/>
  <c r="A32" i="146" s="1"/>
  <c r="A33" i="146" s="1"/>
  <c r="A34" i="146" s="1"/>
  <c r="A35" i="146" s="1"/>
  <c r="A36" i="146" s="1"/>
  <c r="O329" i="141"/>
  <c r="O328" i="141"/>
  <c r="O327" i="141"/>
  <c r="O326" i="141"/>
  <c r="O325" i="141"/>
  <c r="O324" i="141"/>
  <c r="O323" i="141"/>
  <c r="O322" i="141"/>
  <c r="O321" i="141"/>
  <c r="O320" i="141"/>
  <c r="O319" i="141"/>
  <c r="O318" i="141"/>
  <c r="O317" i="141"/>
  <c r="O316" i="141"/>
  <c r="O315" i="141"/>
  <c r="O314" i="141"/>
  <c r="O313" i="141"/>
  <c r="O312" i="141"/>
  <c r="O311" i="141"/>
  <c r="O310" i="141"/>
  <c r="O309" i="141"/>
  <c r="O308" i="141"/>
  <c r="O307" i="141"/>
  <c r="O306" i="141"/>
  <c r="O305" i="141"/>
  <c r="O304" i="141"/>
  <c r="O303" i="141"/>
  <c r="O302" i="141"/>
  <c r="O301" i="141"/>
  <c r="O300" i="141"/>
  <c r="O299" i="141"/>
  <c r="O298" i="141"/>
  <c r="O297" i="141"/>
  <c r="O296" i="141"/>
  <c r="O295" i="141"/>
  <c r="O294" i="141"/>
  <c r="O293" i="141"/>
  <c r="O292" i="141"/>
  <c r="O291" i="141"/>
  <c r="O290" i="141"/>
  <c r="O289" i="141"/>
  <c r="O288" i="141"/>
  <c r="O287" i="141"/>
  <c r="O286" i="141"/>
  <c r="O285" i="141"/>
  <c r="O284" i="141"/>
  <c r="O283" i="141"/>
  <c r="O282" i="141"/>
  <c r="O281" i="141"/>
  <c r="O280" i="141"/>
  <c r="O279" i="141"/>
  <c r="O278" i="141"/>
  <c r="O277" i="141"/>
  <c r="O276" i="141"/>
  <c r="O275" i="141"/>
  <c r="O274" i="141"/>
  <c r="O273" i="141"/>
  <c r="O272" i="141"/>
  <c r="O271" i="141"/>
  <c r="O270" i="141"/>
  <c r="O269" i="141"/>
  <c r="O268" i="141"/>
  <c r="O267" i="141"/>
  <c r="O266" i="141"/>
  <c r="O265" i="141"/>
  <c r="O264" i="141"/>
  <c r="O263" i="141"/>
  <c r="O262" i="141"/>
  <c r="O261" i="141"/>
  <c r="O260" i="141"/>
  <c r="O259" i="141"/>
  <c r="O258" i="141"/>
  <c r="O257" i="141"/>
  <c r="O256" i="141"/>
  <c r="O255" i="141"/>
  <c r="O254" i="141"/>
  <c r="O253" i="141"/>
  <c r="O252" i="141"/>
  <c r="O251" i="141"/>
  <c r="O250" i="141"/>
  <c r="O249" i="141"/>
  <c r="O248" i="141"/>
  <c r="O247" i="141"/>
  <c r="O246" i="141"/>
  <c r="O245" i="141"/>
  <c r="O244" i="141"/>
  <c r="O243" i="141"/>
  <c r="O242" i="141"/>
  <c r="O241" i="141"/>
  <c r="O240" i="141"/>
  <c r="O239" i="141"/>
  <c r="O238" i="141"/>
  <c r="O237" i="141"/>
  <c r="O236" i="141"/>
  <c r="O235" i="141"/>
  <c r="O234" i="141"/>
  <c r="O233" i="141"/>
  <c r="O232" i="141"/>
  <c r="O231" i="141"/>
  <c r="O230" i="141"/>
  <c r="O229" i="141"/>
  <c r="O228" i="141"/>
  <c r="O227" i="141"/>
  <c r="O226" i="141"/>
  <c r="O225" i="141"/>
  <c r="O224" i="141"/>
  <c r="O223" i="141"/>
  <c r="O222" i="141"/>
  <c r="O221" i="141"/>
  <c r="O220" i="141"/>
  <c r="O219" i="141"/>
  <c r="O218" i="141"/>
  <c r="O217" i="141"/>
  <c r="O216" i="141"/>
  <c r="O215" i="141"/>
  <c r="O214" i="141"/>
  <c r="O213" i="141"/>
  <c r="O212" i="141"/>
  <c r="O211" i="141"/>
  <c r="O210" i="141"/>
  <c r="O209" i="141"/>
  <c r="O208" i="141"/>
  <c r="O207" i="141"/>
  <c r="O206" i="141"/>
  <c r="O205" i="141"/>
  <c r="O204" i="141"/>
  <c r="O203" i="141"/>
  <c r="O202" i="141"/>
  <c r="O201" i="141"/>
  <c r="O200" i="141"/>
  <c r="O199" i="141"/>
  <c r="O198" i="141"/>
  <c r="O197" i="141"/>
  <c r="O196" i="141"/>
  <c r="O195" i="141"/>
  <c r="O194" i="141"/>
  <c r="O193" i="141"/>
  <c r="O192" i="141"/>
  <c r="O191" i="141"/>
  <c r="O190" i="141"/>
  <c r="O189" i="141"/>
  <c r="O188" i="141"/>
  <c r="O187" i="141"/>
  <c r="O186" i="141"/>
  <c r="O185" i="141"/>
  <c r="O184" i="141"/>
  <c r="O183" i="141"/>
  <c r="O182" i="141"/>
  <c r="O181" i="141"/>
  <c r="O180" i="141"/>
  <c r="O179" i="141"/>
  <c r="O178" i="141"/>
  <c r="O177" i="141"/>
  <c r="O176" i="141"/>
  <c r="O175" i="141"/>
  <c r="O174" i="141"/>
  <c r="O173" i="141"/>
  <c r="O172" i="141"/>
  <c r="O171" i="141"/>
  <c r="O170" i="141"/>
  <c r="O169" i="141"/>
  <c r="O168" i="141"/>
  <c r="O167" i="141"/>
  <c r="O166" i="141"/>
  <c r="O165" i="141"/>
  <c r="O164" i="141"/>
  <c r="O163" i="141"/>
  <c r="O162" i="141"/>
  <c r="O161" i="141"/>
  <c r="O160" i="141"/>
  <c r="O159" i="141"/>
  <c r="O158" i="141"/>
  <c r="O157" i="141"/>
  <c r="O156" i="141"/>
  <c r="O155" i="141"/>
  <c r="O154" i="141"/>
  <c r="O153" i="141"/>
  <c r="O152" i="141"/>
  <c r="O151" i="141"/>
  <c r="O150" i="141"/>
  <c r="O149" i="141"/>
  <c r="O148" i="141"/>
  <c r="O147" i="141"/>
  <c r="O146" i="141"/>
  <c r="O145" i="141"/>
  <c r="O144" i="141"/>
  <c r="O143" i="141"/>
  <c r="O142" i="141"/>
  <c r="O141" i="141"/>
  <c r="O140" i="141"/>
  <c r="O139" i="141"/>
  <c r="O138" i="141"/>
  <c r="O137" i="141"/>
  <c r="O136" i="141"/>
  <c r="O135" i="141"/>
  <c r="O134" i="141"/>
  <c r="O133" i="141"/>
  <c r="O132" i="141"/>
  <c r="O131" i="141"/>
  <c r="O130" i="141"/>
  <c r="O129" i="141"/>
  <c r="O128" i="141"/>
  <c r="O127" i="141"/>
  <c r="O126" i="141"/>
  <c r="O125" i="141"/>
  <c r="O124" i="141"/>
  <c r="O123" i="141"/>
  <c r="O122" i="141"/>
  <c r="O121" i="141"/>
  <c r="O120" i="141"/>
  <c r="O119" i="141"/>
  <c r="O118" i="141"/>
  <c r="O117" i="141"/>
  <c r="O116" i="141"/>
  <c r="O115" i="141"/>
  <c r="O114" i="141"/>
  <c r="O113" i="141"/>
  <c r="O112" i="141"/>
  <c r="O111" i="141"/>
  <c r="O110" i="141"/>
  <c r="O109" i="141"/>
  <c r="O108" i="141"/>
  <c r="O107" i="141"/>
  <c r="O106" i="141"/>
  <c r="O105" i="141"/>
  <c r="O104" i="141"/>
  <c r="O103" i="141"/>
  <c r="O102" i="141"/>
  <c r="O101" i="141"/>
  <c r="O100" i="141"/>
  <c r="O99" i="141"/>
  <c r="O98" i="141"/>
  <c r="O97" i="141"/>
  <c r="O96" i="141"/>
  <c r="O95" i="141"/>
  <c r="O94" i="141"/>
  <c r="O93" i="141"/>
  <c r="O92" i="141"/>
  <c r="O91" i="141"/>
  <c r="O90" i="141"/>
  <c r="O89" i="141"/>
  <c r="O88" i="141"/>
  <c r="O87" i="141"/>
  <c r="O86" i="141"/>
  <c r="O85" i="141"/>
  <c r="O84" i="141"/>
  <c r="O83" i="141"/>
  <c r="O82" i="141"/>
  <c r="O81" i="141"/>
  <c r="O80" i="141"/>
  <c r="O79" i="141"/>
  <c r="O78" i="141"/>
  <c r="O77" i="141"/>
  <c r="O76" i="141"/>
  <c r="O75" i="141"/>
  <c r="O74" i="141"/>
  <c r="O73" i="141"/>
  <c r="O72" i="141"/>
  <c r="O71" i="141"/>
  <c r="O70" i="141"/>
  <c r="O69" i="141"/>
  <c r="O68" i="141"/>
  <c r="O67" i="141"/>
  <c r="O66" i="141"/>
  <c r="O65" i="141"/>
  <c r="O64" i="141"/>
  <c r="O63" i="141"/>
  <c r="O62" i="141"/>
  <c r="O61" i="141"/>
  <c r="O60" i="141"/>
  <c r="O59" i="141"/>
  <c r="O58" i="141"/>
  <c r="O57" i="141"/>
  <c r="O56" i="141"/>
  <c r="O55" i="141"/>
  <c r="O54" i="141"/>
  <c r="O53" i="141"/>
  <c r="O52" i="141"/>
  <c r="O51" i="141"/>
  <c r="O50" i="141"/>
  <c r="O49" i="141"/>
  <c r="O48" i="141"/>
  <c r="O47" i="141"/>
  <c r="O46" i="141"/>
  <c r="O45" i="141"/>
  <c r="O44" i="141"/>
  <c r="O43" i="141"/>
  <c r="O42" i="141"/>
  <c r="O41" i="141"/>
  <c r="O40" i="141"/>
  <c r="O39" i="141"/>
  <c r="O38" i="141"/>
  <c r="O37" i="141"/>
  <c r="O36" i="141"/>
  <c r="O35" i="141"/>
  <c r="O34" i="141"/>
  <c r="O33" i="141"/>
  <c r="O32" i="141"/>
  <c r="O31" i="141"/>
  <c r="O30" i="141"/>
  <c r="O29" i="141"/>
  <c r="O28" i="141"/>
  <c r="O27" i="141"/>
  <c r="O26" i="141"/>
  <c r="O25" i="141"/>
  <c r="O24" i="141"/>
  <c r="O23" i="141"/>
  <c r="O22" i="141"/>
  <c r="O21" i="141"/>
  <c r="O20" i="141"/>
  <c r="O19" i="141"/>
  <c r="O18" i="141"/>
  <c r="O17" i="141"/>
  <c r="O16" i="141"/>
  <c r="O15" i="141"/>
  <c r="O14" i="141"/>
  <c r="O13" i="141"/>
  <c r="O12" i="141"/>
  <c r="O11" i="141"/>
  <c r="O10" i="141"/>
  <c r="O9" i="141"/>
  <c r="O8" i="141"/>
  <c r="O7" i="141"/>
  <c r="O6" i="141"/>
  <c r="O5" i="141"/>
  <c r="N5" i="141"/>
  <c r="N6" i="141" s="1"/>
  <c r="N7" i="141" s="1"/>
  <c r="N8" i="141" s="1"/>
  <c r="N9" i="141" s="1"/>
  <c r="N10" i="141" s="1"/>
  <c r="N11" i="141" s="1"/>
  <c r="N12" i="141" s="1"/>
  <c r="N13" i="141" s="1"/>
  <c r="N14" i="141" s="1"/>
  <c r="N15" i="141" s="1"/>
  <c r="N16" i="141" s="1"/>
  <c r="N17" i="141" s="1"/>
  <c r="N18" i="141" s="1"/>
  <c r="N19" i="141" s="1"/>
  <c r="N20" i="141" s="1"/>
  <c r="N21" i="141" s="1"/>
  <c r="N22" i="141" s="1"/>
  <c r="N23" i="141" s="1"/>
  <c r="N24" i="141" s="1"/>
  <c r="N25" i="141" s="1"/>
  <c r="N26" i="141" s="1"/>
  <c r="N27" i="141" s="1"/>
  <c r="N28" i="141" s="1"/>
  <c r="N29" i="141" s="1"/>
  <c r="N30" i="141" s="1"/>
  <c r="N31" i="141" s="1"/>
  <c r="N32" i="141" s="1"/>
  <c r="N33" i="141" s="1"/>
  <c r="N34" i="141" s="1"/>
  <c r="N35" i="141" s="1"/>
  <c r="N36" i="141" s="1"/>
  <c r="N37" i="141" s="1"/>
  <c r="N38" i="141" s="1"/>
  <c r="N39" i="141" s="1"/>
  <c r="N40" i="141" s="1"/>
  <c r="N41" i="141" s="1"/>
  <c r="N42" i="141" s="1"/>
  <c r="N43" i="141" s="1"/>
  <c r="N44" i="141" s="1"/>
  <c r="N45" i="141" s="1"/>
  <c r="N46" i="141" s="1"/>
  <c r="N47" i="141" s="1"/>
  <c r="N48" i="141" s="1"/>
  <c r="N49" i="141" s="1"/>
  <c r="N50" i="141" s="1"/>
  <c r="N51" i="141" s="1"/>
  <c r="N52" i="141" s="1"/>
  <c r="N53" i="141" s="1"/>
  <c r="N54" i="141" s="1"/>
  <c r="N55" i="141" s="1"/>
  <c r="N56" i="141" s="1"/>
  <c r="N57" i="141" s="1"/>
  <c r="N58" i="141" s="1"/>
  <c r="N59" i="141" s="1"/>
  <c r="N60" i="141" s="1"/>
  <c r="N61" i="141" s="1"/>
  <c r="N62" i="141" s="1"/>
  <c r="N63" i="141" s="1"/>
  <c r="N64" i="141" s="1"/>
  <c r="N65" i="141" s="1"/>
  <c r="N66" i="141" s="1"/>
  <c r="N67" i="141" s="1"/>
  <c r="N68" i="141" s="1"/>
  <c r="N69" i="141" s="1"/>
  <c r="N70" i="141" s="1"/>
  <c r="N71" i="141" s="1"/>
  <c r="N72" i="141" s="1"/>
  <c r="N73" i="141" s="1"/>
  <c r="N74" i="141" s="1"/>
  <c r="N75" i="141" s="1"/>
  <c r="N76" i="141" s="1"/>
  <c r="N77" i="141" s="1"/>
  <c r="N78" i="141" s="1"/>
  <c r="N79" i="141" s="1"/>
  <c r="N80" i="141" s="1"/>
  <c r="N81" i="141" s="1"/>
  <c r="N82" i="141" s="1"/>
  <c r="N83" i="141" s="1"/>
  <c r="N84" i="141" s="1"/>
  <c r="N85" i="141" s="1"/>
  <c r="N86" i="141" s="1"/>
  <c r="N87" i="141" s="1"/>
  <c r="N88" i="141" s="1"/>
  <c r="N89" i="141" s="1"/>
  <c r="N90" i="141" s="1"/>
  <c r="N91" i="141" s="1"/>
  <c r="N92" i="141" s="1"/>
  <c r="N93" i="141" s="1"/>
  <c r="N94" i="141" s="1"/>
  <c r="N95" i="141" s="1"/>
  <c r="N96" i="141" s="1"/>
  <c r="N97" i="141" s="1"/>
  <c r="N98" i="141" s="1"/>
  <c r="N99" i="141" s="1"/>
  <c r="N100" i="141" s="1"/>
  <c r="N101" i="141" s="1"/>
  <c r="N102" i="141" s="1"/>
  <c r="N103" i="141" s="1"/>
  <c r="N104" i="141" s="1"/>
  <c r="N105" i="141" s="1"/>
  <c r="N106" i="141" s="1"/>
  <c r="N107" i="141" s="1"/>
  <c r="N108" i="141" s="1"/>
  <c r="N109" i="141" s="1"/>
  <c r="N110" i="141" s="1"/>
  <c r="N111" i="141" s="1"/>
  <c r="N112" i="141" s="1"/>
  <c r="N113" i="141" s="1"/>
  <c r="N114" i="141" s="1"/>
  <c r="N115" i="141" s="1"/>
  <c r="N116" i="141" s="1"/>
  <c r="N117" i="141" s="1"/>
  <c r="N118" i="141" s="1"/>
  <c r="N119" i="141" s="1"/>
  <c r="N120" i="141" s="1"/>
  <c r="N121" i="141" s="1"/>
  <c r="N122" i="141" s="1"/>
  <c r="N123" i="141" s="1"/>
  <c r="N124" i="141" s="1"/>
  <c r="N125" i="141" s="1"/>
  <c r="N126" i="141" s="1"/>
  <c r="N127" i="141" s="1"/>
  <c r="N128" i="141" s="1"/>
  <c r="N129" i="141" s="1"/>
  <c r="N130" i="141" s="1"/>
  <c r="N131" i="141" s="1"/>
  <c r="N132" i="141" s="1"/>
  <c r="N133" i="141" s="1"/>
  <c r="N134" i="141" s="1"/>
  <c r="N135" i="141" s="1"/>
  <c r="N136" i="141" s="1"/>
  <c r="N137" i="141" s="1"/>
  <c r="N138" i="141" s="1"/>
  <c r="N139" i="141" s="1"/>
  <c r="N140" i="141" s="1"/>
  <c r="N141" i="141" s="1"/>
  <c r="N142" i="141" s="1"/>
  <c r="N143" i="141" s="1"/>
  <c r="N144" i="141" s="1"/>
  <c r="N145" i="141" s="1"/>
  <c r="N146" i="141" s="1"/>
  <c r="N147" i="141" s="1"/>
  <c r="N148" i="141" s="1"/>
  <c r="N149" i="141" s="1"/>
  <c r="N150" i="141" s="1"/>
  <c r="N151" i="141" s="1"/>
  <c r="N152" i="141" s="1"/>
  <c r="N153" i="141" s="1"/>
  <c r="N154" i="141" s="1"/>
  <c r="N155" i="141" s="1"/>
  <c r="N156" i="141" s="1"/>
  <c r="N157" i="141" s="1"/>
  <c r="N158" i="141" s="1"/>
  <c r="N159" i="141" s="1"/>
  <c r="N160" i="141" s="1"/>
  <c r="N161" i="141" s="1"/>
  <c r="N162" i="141" s="1"/>
  <c r="N163" i="141" s="1"/>
  <c r="N164" i="141" s="1"/>
  <c r="N165" i="141" s="1"/>
  <c r="N166" i="141" s="1"/>
  <c r="N167" i="141" s="1"/>
  <c r="N168" i="141" s="1"/>
  <c r="N169" i="141" s="1"/>
  <c r="N170" i="141" s="1"/>
  <c r="N171" i="141" s="1"/>
  <c r="N172" i="141" s="1"/>
  <c r="N173" i="141" s="1"/>
  <c r="N174" i="141" s="1"/>
  <c r="N175" i="141" s="1"/>
  <c r="N176" i="141" s="1"/>
  <c r="N177" i="141" s="1"/>
  <c r="N178" i="141" s="1"/>
  <c r="N179" i="141" s="1"/>
  <c r="N180" i="141" s="1"/>
  <c r="N181" i="141" s="1"/>
  <c r="N182" i="141" s="1"/>
  <c r="N183" i="141" s="1"/>
  <c r="N184" i="141" s="1"/>
  <c r="N185" i="141" s="1"/>
  <c r="N186" i="141" s="1"/>
  <c r="N187" i="141" s="1"/>
  <c r="N188" i="141" s="1"/>
  <c r="N189" i="141" s="1"/>
  <c r="N190" i="141" s="1"/>
  <c r="N191" i="141" s="1"/>
  <c r="N192" i="141" s="1"/>
  <c r="N193" i="141" s="1"/>
  <c r="N194" i="141" s="1"/>
  <c r="N195" i="141" s="1"/>
  <c r="N196" i="141" s="1"/>
  <c r="N197" i="141" s="1"/>
  <c r="N198" i="141" s="1"/>
  <c r="N199" i="141" s="1"/>
  <c r="N200" i="141" s="1"/>
  <c r="N201" i="141" s="1"/>
  <c r="N202" i="141" s="1"/>
  <c r="N203" i="141" s="1"/>
  <c r="N204" i="141" s="1"/>
  <c r="N205" i="141" s="1"/>
  <c r="N206" i="141" s="1"/>
  <c r="N207" i="141" s="1"/>
  <c r="N208" i="141" s="1"/>
  <c r="N209" i="141" s="1"/>
  <c r="N210" i="141" s="1"/>
  <c r="N211" i="141" s="1"/>
  <c r="N212" i="141" s="1"/>
  <c r="N213" i="141" s="1"/>
  <c r="N214" i="141" s="1"/>
  <c r="N215" i="141" s="1"/>
  <c r="N216" i="141" s="1"/>
  <c r="N217" i="141" s="1"/>
  <c r="N218" i="141" s="1"/>
  <c r="N219" i="141" s="1"/>
  <c r="N220" i="141" s="1"/>
  <c r="N221" i="141" s="1"/>
  <c r="N222" i="141" s="1"/>
  <c r="N223" i="141" s="1"/>
  <c r="N224" i="141" s="1"/>
  <c r="N225" i="141" s="1"/>
  <c r="N226" i="141" s="1"/>
  <c r="N227" i="141" s="1"/>
  <c r="N228" i="141" s="1"/>
  <c r="N229" i="141" s="1"/>
  <c r="N230" i="141" s="1"/>
  <c r="N231" i="141" s="1"/>
  <c r="N232" i="141" s="1"/>
  <c r="N233" i="141" s="1"/>
  <c r="N234" i="141" s="1"/>
  <c r="N235" i="141" s="1"/>
  <c r="N236" i="141" s="1"/>
  <c r="N237" i="141" s="1"/>
  <c r="N238" i="141" s="1"/>
  <c r="N239" i="141" s="1"/>
  <c r="N240" i="141" s="1"/>
  <c r="N241" i="141" s="1"/>
  <c r="N242" i="141" s="1"/>
  <c r="N243" i="141" s="1"/>
  <c r="N244" i="141" s="1"/>
  <c r="N245" i="141" s="1"/>
  <c r="N246" i="141" s="1"/>
  <c r="N247" i="141" s="1"/>
  <c r="N248" i="141" s="1"/>
  <c r="N249" i="141" s="1"/>
  <c r="N250" i="141" s="1"/>
  <c r="N251" i="141" s="1"/>
  <c r="N252" i="141" s="1"/>
  <c r="N253" i="141" s="1"/>
  <c r="N254" i="141" s="1"/>
  <c r="N255" i="141" s="1"/>
  <c r="N256" i="141" s="1"/>
  <c r="N257" i="141" s="1"/>
  <c r="N258" i="141" s="1"/>
  <c r="N259" i="141" s="1"/>
  <c r="N260" i="141" s="1"/>
  <c r="N261" i="141" s="1"/>
  <c r="N262" i="141" s="1"/>
  <c r="N263" i="141" s="1"/>
  <c r="N264" i="141" s="1"/>
  <c r="N265" i="141" s="1"/>
  <c r="N266" i="141" s="1"/>
  <c r="N267" i="141" s="1"/>
  <c r="N268" i="141" s="1"/>
  <c r="N269" i="141" s="1"/>
  <c r="N270" i="141" s="1"/>
  <c r="N271" i="141" s="1"/>
  <c r="N272" i="141" s="1"/>
  <c r="N273" i="141" s="1"/>
  <c r="N274" i="141" s="1"/>
  <c r="N275" i="141" s="1"/>
  <c r="N276" i="141" s="1"/>
  <c r="N277" i="141" s="1"/>
  <c r="N278" i="141" s="1"/>
  <c r="N279" i="141" s="1"/>
  <c r="N280" i="141" s="1"/>
  <c r="N281" i="141" s="1"/>
  <c r="N282" i="141" s="1"/>
  <c r="N283" i="141" s="1"/>
  <c r="N284" i="141" s="1"/>
  <c r="N285" i="141" s="1"/>
  <c r="N286" i="141" s="1"/>
  <c r="N287" i="141" s="1"/>
  <c r="N288" i="141" s="1"/>
  <c r="N289" i="141" s="1"/>
  <c r="N290" i="141" s="1"/>
  <c r="N291" i="141" s="1"/>
  <c r="N292" i="141" s="1"/>
  <c r="N293" i="141" s="1"/>
  <c r="N294" i="141" s="1"/>
  <c r="N295" i="141" s="1"/>
  <c r="N296" i="141" s="1"/>
  <c r="N297" i="141" s="1"/>
  <c r="N298" i="141" s="1"/>
  <c r="N299" i="141" s="1"/>
  <c r="N300" i="141" s="1"/>
  <c r="N301" i="141" s="1"/>
  <c r="N302" i="141" s="1"/>
  <c r="N303" i="141" s="1"/>
  <c r="N304" i="141" s="1"/>
  <c r="N305" i="141" s="1"/>
  <c r="N306" i="141" s="1"/>
  <c r="N307" i="141" s="1"/>
  <c r="N308" i="141" s="1"/>
  <c r="N309" i="141" s="1"/>
  <c r="N310" i="141" s="1"/>
  <c r="N311" i="141" s="1"/>
  <c r="N312" i="141" s="1"/>
  <c r="N313" i="141" s="1"/>
  <c r="N314" i="141" s="1"/>
  <c r="N315" i="141" s="1"/>
  <c r="N316" i="141" s="1"/>
  <c r="N317" i="141" s="1"/>
  <c r="N318" i="141" s="1"/>
  <c r="N319" i="141" s="1"/>
  <c r="N320" i="141" s="1"/>
  <c r="N321" i="141" s="1"/>
  <c r="N322" i="141" s="1"/>
  <c r="N323" i="141" s="1"/>
  <c r="N324" i="141" s="1"/>
  <c r="N325" i="141" s="1"/>
  <c r="N326" i="141" s="1"/>
  <c r="N327" i="141" s="1"/>
  <c r="N328" i="141" s="1"/>
  <c r="N329" i="141" s="1"/>
  <c r="O4" i="141"/>
  <c r="O3" i="141"/>
  <c r="N3" i="141"/>
  <c r="N4" i="141" s="1"/>
  <c r="A3" i="141"/>
  <c r="A4" i="141" s="1"/>
  <c r="A5" i="141" s="1"/>
  <c r="A6" i="141" s="1"/>
  <c r="A7" i="141" s="1"/>
  <c r="A8" i="141" s="1"/>
  <c r="A9" i="141" s="1"/>
  <c r="A10" i="141" s="1"/>
  <c r="A11" i="141" s="1"/>
  <c r="A12" i="141" s="1"/>
  <c r="A13" i="141" s="1"/>
  <c r="A14" i="141" s="1"/>
  <c r="A15" i="141" s="1"/>
  <c r="A16" i="141" s="1"/>
  <c r="A17" i="141" s="1"/>
  <c r="A18" i="141" s="1"/>
  <c r="A19" i="141" s="1"/>
  <c r="A20" i="141" s="1"/>
  <c r="A21" i="141" s="1"/>
  <c r="A22" i="141" s="1"/>
  <c r="A23" i="141" s="1"/>
  <c r="A24" i="141" s="1"/>
  <c r="A25" i="141" s="1"/>
  <c r="A26" i="141" s="1"/>
  <c r="A27" i="141" s="1"/>
  <c r="A28" i="141" s="1"/>
  <c r="A29" i="141" s="1"/>
  <c r="A30" i="141" s="1"/>
  <c r="A31" i="141" s="1"/>
  <c r="A32" i="141" s="1"/>
  <c r="A33" i="141" s="1"/>
  <c r="A34" i="141" s="1"/>
  <c r="A35" i="141" s="1"/>
  <c r="A36" i="141" s="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A60" i="141" s="1"/>
  <c r="A61" i="141" s="1"/>
  <c r="A62" i="141" s="1"/>
  <c r="A63" i="141" s="1"/>
  <c r="A64" i="141" s="1"/>
  <c r="A65" i="141" s="1"/>
  <c r="A66" i="141" s="1"/>
  <c r="A67" i="141" s="1"/>
  <c r="A68" i="141" s="1"/>
  <c r="A69" i="141" s="1"/>
  <c r="A70" i="141" s="1"/>
  <c r="A71" i="141" s="1"/>
  <c r="A72" i="141" s="1"/>
  <c r="A73" i="141" s="1"/>
  <c r="A74" i="141" s="1"/>
  <c r="A75" i="141" s="1"/>
  <c r="A76" i="141" s="1"/>
  <c r="A77" i="141" s="1"/>
  <c r="A78" i="141" s="1"/>
  <c r="A79" i="141" s="1"/>
  <c r="A80" i="141" s="1"/>
  <c r="A81" i="141" s="1"/>
  <c r="A82" i="141" s="1"/>
  <c r="A83" i="141" s="1"/>
  <c r="A84" i="141" s="1"/>
  <c r="A85" i="141" s="1"/>
  <c r="A86" i="141" s="1"/>
  <c r="A87" i="141" s="1"/>
  <c r="A88" i="141" s="1"/>
  <c r="A89" i="141" s="1"/>
  <c r="A90" i="141" s="1"/>
  <c r="A91" i="141" s="1"/>
  <c r="A92" i="141" s="1"/>
  <c r="A93" i="141" s="1"/>
  <c r="A94" i="141" s="1"/>
  <c r="A95" i="141" s="1"/>
  <c r="A96" i="141" s="1"/>
  <c r="A97" i="141" s="1"/>
  <c r="A98" i="141" s="1"/>
  <c r="A99" i="141" s="1"/>
  <c r="A100" i="141" s="1"/>
  <c r="A101" i="141" s="1"/>
  <c r="A102" i="141" s="1"/>
  <c r="A103" i="141" s="1"/>
  <c r="A104" i="141" s="1"/>
  <c r="A105" i="141" s="1"/>
  <c r="A106" i="141" s="1"/>
  <c r="A107" i="141" s="1"/>
  <c r="A108" i="141" s="1"/>
  <c r="A109" i="141" s="1"/>
  <c r="A110" i="141" s="1"/>
  <c r="A111" i="141" s="1"/>
  <c r="A112" i="141" s="1"/>
  <c r="A113" i="141" s="1"/>
  <c r="A114" i="141" s="1"/>
  <c r="A115" i="141" s="1"/>
  <c r="A116" i="141" s="1"/>
  <c r="A117" i="141" s="1"/>
  <c r="A118" i="141" s="1"/>
  <c r="A119" i="141" s="1"/>
  <c r="A120" i="141" s="1"/>
  <c r="A121" i="141" s="1"/>
  <c r="A122" i="141" s="1"/>
  <c r="A123" i="141" s="1"/>
  <c r="A124" i="141" s="1"/>
  <c r="A125" i="141" s="1"/>
  <c r="A126" i="141" s="1"/>
  <c r="A127" i="141" s="1"/>
  <c r="A128" i="141" s="1"/>
  <c r="A129" i="141" s="1"/>
  <c r="A130" i="141" s="1"/>
  <c r="A131" i="141" s="1"/>
  <c r="A132" i="141" s="1"/>
  <c r="A133" i="141" s="1"/>
  <c r="A134" i="141" s="1"/>
  <c r="A135" i="141" s="1"/>
  <c r="A136" i="141" s="1"/>
  <c r="A137" i="141" s="1"/>
  <c r="A138" i="141" s="1"/>
  <c r="A139" i="141" s="1"/>
  <c r="A140" i="141" s="1"/>
  <c r="A141" i="141" s="1"/>
  <c r="A142" i="141" s="1"/>
  <c r="A143" i="141" s="1"/>
  <c r="A144" i="141" s="1"/>
  <c r="A145" i="141" s="1"/>
  <c r="A146" i="141" s="1"/>
  <c r="A147" i="141" s="1"/>
  <c r="A148" i="141" s="1"/>
  <c r="A149" i="141" s="1"/>
  <c r="A150" i="141" s="1"/>
  <c r="A151" i="141" s="1"/>
  <c r="A152" i="141" s="1"/>
  <c r="A153" i="141" s="1"/>
  <c r="A154" i="141" s="1"/>
  <c r="A155" i="141" s="1"/>
  <c r="A156" i="141" s="1"/>
  <c r="A157" i="141" s="1"/>
  <c r="A158" i="141" s="1"/>
  <c r="A159" i="141" s="1"/>
  <c r="A160" i="141" s="1"/>
  <c r="A161" i="141" s="1"/>
  <c r="A162" i="141" s="1"/>
  <c r="A163" i="141" s="1"/>
  <c r="A164" i="141" s="1"/>
  <c r="A165" i="141" s="1"/>
  <c r="A166" i="141" s="1"/>
  <c r="A167" i="141" s="1"/>
  <c r="A168" i="141" s="1"/>
  <c r="A169" i="141" s="1"/>
  <c r="A170" i="141" s="1"/>
  <c r="A171" i="141" s="1"/>
  <c r="A172" i="141" s="1"/>
  <c r="A173" i="141" s="1"/>
  <c r="A174" i="141" s="1"/>
  <c r="A175" i="141" s="1"/>
  <c r="A176" i="141" s="1"/>
  <c r="A177" i="141" s="1"/>
  <c r="A178" i="141" s="1"/>
  <c r="A179" i="141" s="1"/>
  <c r="A180" i="141" s="1"/>
  <c r="A181" i="141" s="1"/>
  <c r="A182" i="141" s="1"/>
  <c r="A183" i="141" s="1"/>
  <c r="A184" i="141" s="1"/>
  <c r="A185" i="141" s="1"/>
  <c r="A186" i="141" s="1"/>
  <c r="A187" i="141" s="1"/>
  <c r="A188" i="141" s="1"/>
  <c r="A189" i="141" s="1"/>
  <c r="A190" i="141" s="1"/>
  <c r="A191" i="141" s="1"/>
  <c r="A192" i="141" s="1"/>
  <c r="A193" i="141" s="1"/>
  <c r="A194" i="141" s="1"/>
  <c r="A195" i="141" s="1"/>
  <c r="A196" i="141" s="1"/>
  <c r="A197" i="141" s="1"/>
  <c r="A198" i="141" s="1"/>
  <c r="A199" i="141" s="1"/>
  <c r="A200" i="141" s="1"/>
  <c r="A201" i="141" s="1"/>
  <c r="A202" i="141" s="1"/>
  <c r="A203" i="141" s="1"/>
  <c r="A204" i="141" s="1"/>
  <c r="A205" i="141" s="1"/>
  <c r="A206" i="141" s="1"/>
  <c r="A207" i="141" s="1"/>
  <c r="A208" i="141" s="1"/>
  <c r="A209" i="141" s="1"/>
  <c r="A210" i="141" s="1"/>
  <c r="A211" i="141" s="1"/>
  <c r="A212" i="141" s="1"/>
  <c r="A213" i="141" s="1"/>
  <c r="A214" i="141" s="1"/>
  <c r="A215" i="141" s="1"/>
  <c r="A216" i="141" s="1"/>
  <c r="A217" i="141" s="1"/>
  <c r="A218" i="141" s="1"/>
  <c r="A219" i="141" s="1"/>
  <c r="A220" i="141" s="1"/>
  <c r="A221" i="141" s="1"/>
  <c r="A222" i="141" s="1"/>
  <c r="A223" i="141" s="1"/>
  <c r="A224" i="141" s="1"/>
  <c r="A225" i="141" s="1"/>
  <c r="A226" i="141" s="1"/>
  <c r="A227" i="141" s="1"/>
  <c r="A228" i="141" s="1"/>
  <c r="A229" i="141" s="1"/>
  <c r="A230" i="141" s="1"/>
  <c r="A231" i="141" s="1"/>
  <c r="A232" i="141" s="1"/>
  <c r="A233" i="141" s="1"/>
  <c r="A234" i="141" s="1"/>
  <c r="A235" i="141" s="1"/>
  <c r="A236" i="141" s="1"/>
  <c r="A237" i="141" s="1"/>
  <c r="A238" i="141" s="1"/>
  <c r="A239" i="141" s="1"/>
  <c r="A240" i="141" s="1"/>
  <c r="A241" i="141" s="1"/>
  <c r="A242" i="141" s="1"/>
  <c r="A243" i="141" s="1"/>
  <c r="A244" i="141" s="1"/>
  <c r="A245" i="141" s="1"/>
  <c r="A246" i="141" s="1"/>
  <c r="A247" i="141" s="1"/>
  <c r="A248" i="141" s="1"/>
  <c r="A249" i="141" s="1"/>
  <c r="A250" i="141" s="1"/>
  <c r="A251" i="141" s="1"/>
  <c r="A252" i="141" s="1"/>
  <c r="A253" i="141" s="1"/>
  <c r="A254" i="141" s="1"/>
  <c r="A255" i="141" s="1"/>
  <c r="A256" i="141" s="1"/>
  <c r="A257" i="141" s="1"/>
  <c r="A258" i="141" s="1"/>
  <c r="A259" i="141" s="1"/>
  <c r="A260" i="141" s="1"/>
  <c r="A261" i="141" s="1"/>
  <c r="A262" i="141" s="1"/>
  <c r="A263" i="141" s="1"/>
  <c r="A264" i="141" s="1"/>
  <c r="A265" i="141" s="1"/>
  <c r="A266" i="141" s="1"/>
  <c r="A267" i="141" s="1"/>
  <c r="A268" i="141" s="1"/>
  <c r="A269" i="141" s="1"/>
  <c r="A270" i="141" s="1"/>
  <c r="A271" i="141" s="1"/>
  <c r="A272" i="141" s="1"/>
  <c r="A273" i="141" s="1"/>
  <c r="A274" i="141" s="1"/>
  <c r="A275" i="141" s="1"/>
  <c r="A276" i="141" s="1"/>
  <c r="A277" i="141" s="1"/>
  <c r="A278" i="141" s="1"/>
  <c r="A279" i="141" s="1"/>
  <c r="A280" i="141" s="1"/>
  <c r="A281" i="141" s="1"/>
  <c r="A282" i="141" s="1"/>
  <c r="A283" i="141" s="1"/>
  <c r="A284" i="141" s="1"/>
  <c r="A285" i="141" s="1"/>
  <c r="A286" i="141" s="1"/>
  <c r="A287" i="141" s="1"/>
  <c r="A288" i="141" s="1"/>
  <c r="A289" i="141" s="1"/>
  <c r="A290" i="141" s="1"/>
  <c r="A291" i="141" s="1"/>
  <c r="A292" i="141" s="1"/>
  <c r="A293" i="141" s="1"/>
  <c r="A294" i="141" s="1"/>
  <c r="A295" i="141" s="1"/>
  <c r="A296" i="141" s="1"/>
  <c r="A297" i="141" s="1"/>
  <c r="A298" i="141" s="1"/>
  <c r="A299" i="141" s="1"/>
  <c r="A300" i="141" s="1"/>
  <c r="A301" i="141" s="1"/>
  <c r="A302" i="141" s="1"/>
  <c r="A303" i="141" s="1"/>
  <c r="A304" i="141" s="1"/>
  <c r="A305" i="141" s="1"/>
  <c r="A306" i="141" s="1"/>
  <c r="A307" i="141" s="1"/>
  <c r="A308" i="141" s="1"/>
  <c r="A309" i="141" s="1"/>
  <c r="A310" i="141" s="1"/>
  <c r="A311" i="141" s="1"/>
  <c r="A312" i="141" s="1"/>
  <c r="A313" i="141" s="1"/>
  <c r="A314" i="141" s="1"/>
  <c r="A315" i="141" s="1"/>
  <c r="A316" i="141" s="1"/>
  <c r="A317" i="141" s="1"/>
  <c r="A318" i="141" s="1"/>
  <c r="A319" i="141" s="1"/>
  <c r="A320" i="141" s="1"/>
  <c r="A321" i="141" s="1"/>
  <c r="A322" i="141" s="1"/>
  <c r="A323" i="141" s="1"/>
  <c r="A324" i="141" s="1"/>
  <c r="A325" i="141" s="1"/>
  <c r="A326" i="141" s="1"/>
  <c r="A327" i="141" s="1"/>
  <c r="A328" i="141" s="1"/>
  <c r="A329" i="141" s="1"/>
  <c r="O2" i="141"/>
  <c r="O3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150" i="56"/>
  <c r="O151" i="56"/>
  <c r="P3" i="56"/>
  <c r="P4" i="56" s="1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P65" i="56" s="1"/>
  <c r="P66" i="56" s="1"/>
  <c r="P67" i="56" s="1"/>
  <c r="P68" i="56" s="1"/>
  <c r="P69" i="56" s="1"/>
  <c r="P70" i="56" s="1"/>
  <c r="P71" i="56" s="1"/>
  <c r="P72" i="56" s="1"/>
  <c r="P73" i="56" s="1"/>
  <c r="P74" i="56" s="1"/>
  <c r="P75" i="56" s="1"/>
  <c r="P76" i="56" s="1"/>
  <c r="P77" i="56" s="1"/>
  <c r="P78" i="56" s="1"/>
  <c r="P79" i="56" s="1"/>
  <c r="P80" i="56" s="1"/>
  <c r="P81" i="56" s="1"/>
  <c r="P82" i="56" s="1"/>
  <c r="P83" i="56" s="1"/>
  <c r="P84" i="56" s="1"/>
  <c r="P85" i="56" s="1"/>
  <c r="P86" i="56" s="1"/>
  <c r="P87" i="56" s="1"/>
  <c r="P88" i="56" s="1"/>
  <c r="P89" i="56" s="1"/>
  <c r="P90" i="56" s="1"/>
  <c r="P91" i="56" s="1"/>
  <c r="P92" i="56" s="1"/>
  <c r="P93" i="56" s="1"/>
  <c r="P94" i="56" s="1"/>
  <c r="P95" i="56" s="1"/>
  <c r="P96" i="56" s="1"/>
  <c r="P97" i="56" s="1"/>
  <c r="P98" i="56" s="1"/>
  <c r="P99" i="56" s="1"/>
  <c r="P100" i="56" s="1"/>
  <c r="P101" i="56" s="1"/>
  <c r="P102" i="56" s="1"/>
  <c r="P103" i="56" s="1"/>
  <c r="P104" i="56" s="1"/>
  <c r="P105" i="56" s="1"/>
  <c r="P106" i="56" s="1"/>
  <c r="P107" i="56" s="1"/>
  <c r="P108" i="56" s="1"/>
  <c r="P109" i="56" s="1"/>
  <c r="P110" i="56" s="1"/>
  <c r="P111" i="56" s="1"/>
  <c r="P112" i="56" s="1"/>
  <c r="P113" i="56" s="1"/>
  <c r="P114" i="56" s="1"/>
  <c r="P115" i="56" s="1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N65" i="56" s="1"/>
  <c r="N66" i="56" s="1"/>
  <c r="N67" i="56" s="1"/>
  <c r="N68" i="56" s="1"/>
  <c r="N69" i="56" s="1"/>
  <c r="N70" i="56" s="1"/>
  <c r="N71" i="56" s="1"/>
  <c r="N72" i="56" s="1"/>
  <c r="N73" i="56" s="1"/>
  <c r="N74" i="56" s="1"/>
  <c r="N75" i="56" s="1"/>
  <c r="N76" i="56" s="1"/>
  <c r="N77" i="56" s="1"/>
  <c r="N78" i="56" s="1"/>
  <c r="N79" i="56" s="1"/>
  <c r="N80" i="56" s="1"/>
  <c r="N81" i="56" s="1"/>
  <c r="N82" i="56" s="1"/>
  <c r="N83" i="56" s="1"/>
  <c r="N84" i="56" s="1"/>
  <c r="N85" i="56" s="1"/>
  <c r="N86" i="56" s="1"/>
  <c r="N87" i="56" s="1"/>
  <c r="N88" i="56" s="1"/>
  <c r="N89" i="56" s="1"/>
  <c r="N90" i="56" s="1"/>
  <c r="N91" i="56" s="1"/>
  <c r="N92" i="56" s="1"/>
  <c r="N93" i="56" s="1"/>
  <c r="N94" i="56" s="1"/>
  <c r="N95" i="56" s="1"/>
  <c r="N96" i="56" s="1"/>
  <c r="N97" i="56" s="1"/>
  <c r="N98" i="56" s="1"/>
  <c r="N99" i="56" s="1"/>
  <c r="N100" i="56" s="1"/>
  <c r="N101" i="56" s="1"/>
  <c r="N102" i="56" s="1"/>
  <c r="N103" i="56" s="1"/>
  <c r="N104" i="56" s="1"/>
  <c r="N105" i="56" s="1"/>
  <c r="N106" i="56" s="1"/>
  <c r="N107" i="56" s="1"/>
  <c r="N108" i="56" s="1"/>
  <c r="N109" i="56" s="1"/>
  <c r="N110" i="56" s="1"/>
  <c r="N111" i="56" s="1"/>
  <c r="N112" i="56" s="1"/>
  <c r="N113" i="56" s="1"/>
  <c r="N114" i="56" s="1"/>
  <c r="N115" i="56" s="1"/>
  <c r="A3" i="56"/>
  <c r="A4" i="56" s="1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A95" i="56" s="1"/>
  <c r="A96" i="56" s="1"/>
  <c r="A97" i="56" s="1"/>
  <c r="A98" i="56" s="1"/>
  <c r="A99" i="56" s="1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O2" i="56"/>
  <c r="P3" i="145"/>
  <c r="P4" i="145" s="1"/>
  <c r="P5" i="145" s="1"/>
  <c r="P6" i="145" s="1"/>
  <c r="P7" i="145" s="1"/>
  <c r="P8" i="145" s="1"/>
  <c r="P9" i="145" s="1"/>
  <c r="P10" i="145" s="1"/>
  <c r="P11" i="145" s="1"/>
  <c r="P12" i="145" s="1"/>
  <c r="P13" i="145" s="1"/>
  <c r="P14" i="145" s="1"/>
  <c r="P15" i="145" s="1"/>
  <c r="P16" i="145" s="1"/>
  <c r="P17" i="145" s="1"/>
  <c r="P18" i="145" s="1"/>
  <c r="P19" i="145" s="1"/>
  <c r="P20" i="145" s="1"/>
  <c r="P21" i="145" s="1"/>
  <c r="P22" i="145" s="1"/>
  <c r="P23" i="145" s="1"/>
  <c r="P24" i="145" s="1"/>
  <c r="P25" i="145" s="1"/>
  <c r="P26" i="145" s="1"/>
  <c r="P27" i="145" s="1"/>
  <c r="P28" i="145" s="1"/>
  <c r="P29" i="145" s="1"/>
  <c r="P30" i="145" s="1"/>
  <c r="P31" i="145" s="1"/>
  <c r="P32" i="145" s="1"/>
  <c r="P33" i="145" s="1"/>
  <c r="P34" i="145" s="1"/>
  <c r="P35" i="145" s="1"/>
  <c r="P36" i="145" s="1"/>
  <c r="P37" i="145" s="1"/>
  <c r="N3" i="145"/>
  <c r="N4" i="145" s="1"/>
  <c r="N5" i="145" s="1"/>
  <c r="N6" i="145" s="1"/>
  <c r="N7" i="145" s="1"/>
  <c r="N8" i="145" s="1"/>
  <c r="N9" i="145" s="1"/>
  <c r="N10" i="145" s="1"/>
  <c r="N11" i="145" s="1"/>
  <c r="N12" i="145" s="1"/>
  <c r="N13" i="145" s="1"/>
  <c r="N14" i="145" s="1"/>
  <c r="N15" i="145" s="1"/>
  <c r="N16" i="145" s="1"/>
  <c r="N17" i="145" s="1"/>
  <c r="N18" i="145" s="1"/>
  <c r="N19" i="145" s="1"/>
  <c r="N20" i="145" s="1"/>
  <c r="N21" i="145" s="1"/>
  <c r="N22" i="145" s="1"/>
  <c r="N23" i="145" s="1"/>
  <c r="N24" i="145" s="1"/>
  <c r="N25" i="145" s="1"/>
  <c r="N26" i="145" s="1"/>
  <c r="N27" i="145" s="1"/>
  <c r="N28" i="145" s="1"/>
  <c r="N29" i="145" s="1"/>
  <c r="N30" i="145" s="1"/>
  <c r="N31" i="145" s="1"/>
  <c r="N32" i="145" s="1"/>
  <c r="N33" i="145" s="1"/>
  <c r="N34" i="145" s="1"/>
  <c r="N35" i="145" s="1"/>
  <c r="N36" i="145" s="1"/>
  <c r="N37" i="145" s="1"/>
  <c r="A3" i="145"/>
  <c r="A4" i="145" s="1"/>
  <c r="A5" i="145" s="1"/>
  <c r="A6" i="145" s="1"/>
  <c r="A7" i="145" s="1"/>
  <c r="A8" i="145" s="1"/>
  <c r="A9" i="145" s="1"/>
  <c r="A10" i="145" s="1"/>
  <c r="A11" i="145" s="1"/>
  <c r="A12" i="145" s="1"/>
  <c r="A13" i="145" s="1"/>
  <c r="A14" i="145" s="1"/>
  <c r="A15" i="145" s="1"/>
  <c r="A16" i="145" s="1"/>
  <c r="A17" i="145" s="1"/>
  <c r="A18" i="145" s="1"/>
  <c r="A19" i="145" s="1"/>
  <c r="A20" i="145" s="1"/>
  <c r="A21" i="145" s="1"/>
  <c r="A22" i="145" s="1"/>
  <c r="A23" i="145" s="1"/>
  <c r="A24" i="145" s="1"/>
  <c r="A25" i="145" s="1"/>
  <c r="A26" i="145" s="1"/>
  <c r="A27" i="145" s="1"/>
  <c r="A28" i="145" s="1"/>
  <c r="A29" i="145" s="1"/>
  <c r="A30" i="145" s="1"/>
  <c r="A31" i="145" s="1"/>
  <c r="A32" i="145" s="1"/>
  <c r="A33" i="145" s="1"/>
  <c r="A34" i="145" s="1"/>
  <c r="A35" i="145" s="1"/>
  <c r="A36" i="145" s="1"/>
  <c r="A37" i="145" s="1"/>
  <c r="O3" i="94"/>
  <c r="O4" i="94"/>
  <c r="O5" i="94"/>
  <c r="O6" i="94"/>
  <c r="O7" i="94"/>
  <c r="O8" i="94"/>
  <c r="O9" i="94"/>
  <c r="O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O25" i="94"/>
  <c r="O26" i="94"/>
  <c r="O27" i="94"/>
  <c r="O28" i="94"/>
  <c r="O29" i="94"/>
  <c r="O30" i="94"/>
  <c r="O31" i="94"/>
  <c r="O32" i="94"/>
  <c r="O33" i="94"/>
  <c r="O34" i="94"/>
  <c r="O35" i="94"/>
  <c r="O36" i="94"/>
  <c r="O37" i="94"/>
  <c r="O38" i="94"/>
  <c r="O39" i="94"/>
  <c r="O40" i="94"/>
  <c r="O41" i="94"/>
  <c r="O42" i="94"/>
  <c r="O43" i="94"/>
  <c r="O44" i="94"/>
  <c r="O45" i="94"/>
  <c r="O46" i="94"/>
  <c r="O47" i="94"/>
  <c r="O48" i="94"/>
  <c r="O49" i="94"/>
  <c r="O50" i="94"/>
  <c r="O51" i="94"/>
  <c r="O52" i="94"/>
  <c r="O53" i="94"/>
  <c r="O54" i="94"/>
  <c r="O55" i="94"/>
  <c r="O56" i="94"/>
  <c r="O57" i="94"/>
  <c r="O58" i="94"/>
  <c r="O59" i="94"/>
  <c r="O60" i="94"/>
  <c r="O61" i="94"/>
  <c r="O62" i="94"/>
  <c r="O63" i="94"/>
  <c r="O64" i="94"/>
  <c r="O65" i="94"/>
  <c r="O66" i="94"/>
  <c r="O67" i="94"/>
  <c r="O68" i="94"/>
  <c r="O69" i="94"/>
  <c r="O70" i="94"/>
  <c r="O71" i="94"/>
  <c r="O72" i="94"/>
  <c r="O73" i="94"/>
  <c r="O74" i="94"/>
  <c r="O75" i="94"/>
  <c r="O76" i="94"/>
  <c r="O77" i="94"/>
  <c r="O78" i="94"/>
  <c r="O79" i="94"/>
  <c r="O80" i="94"/>
  <c r="O81" i="94"/>
  <c r="O82" i="94"/>
  <c r="O83" i="94"/>
  <c r="O84" i="94"/>
  <c r="O85" i="94"/>
  <c r="O86" i="94"/>
  <c r="O87" i="94"/>
  <c r="O88" i="94"/>
  <c r="O89" i="94"/>
  <c r="O90" i="94"/>
  <c r="O91" i="94"/>
  <c r="O92" i="94"/>
  <c r="O93" i="94"/>
  <c r="O94" i="94"/>
  <c r="O95" i="94"/>
  <c r="O96" i="94"/>
  <c r="O97" i="94"/>
  <c r="O98" i="94"/>
  <c r="O99" i="94"/>
  <c r="O100" i="94"/>
  <c r="O101" i="94"/>
  <c r="O102" i="94"/>
  <c r="O103" i="94"/>
  <c r="O104" i="94"/>
  <c r="O105" i="94"/>
  <c r="O106" i="94"/>
  <c r="O107" i="94"/>
  <c r="O108" i="94"/>
  <c r="O109" i="94"/>
  <c r="O110" i="94"/>
  <c r="O111" i="94"/>
  <c r="O112" i="94"/>
  <c r="O113" i="94"/>
  <c r="O114" i="94"/>
  <c r="O115" i="94"/>
  <c r="O116" i="94"/>
  <c r="O117" i="94"/>
  <c r="O118" i="94"/>
  <c r="O119" i="94"/>
  <c r="O120" i="94"/>
  <c r="O121" i="94"/>
  <c r="O122" i="94"/>
  <c r="O123" i="94"/>
  <c r="O124" i="94"/>
  <c r="O125" i="94"/>
  <c r="O126" i="94"/>
  <c r="O127" i="94"/>
  <c r="O128" i="94"/>
  <c r="O129" i="94"/>
  <c r="O130" i="94"/>
  <c r="O131" i="94"/>
  <c r="O132" i="94"/>
  <c r="O133" i="94"/>
  <c r="O134" i="94"/>
  <c r="O135" i="94"/>
  <c r="O136" i="94"/>
  <c r="O137" i="94"/>
  <c r="O138" i="94"/>
  <c r="O139" i="94"/>
  <c r="O140" i="94"/>
  <c r="O141" i="94"/>
  <c r="O142" i="94"/>
  <c r="O143" i="94"/>
  <c r="O144" i="94"/>
  <c r="O145" i="94"/>
  <c r="O146" i="94"/>
  <c r="O147" i="94"/>
  <c r="O148" i="94"/>
  <c r="O149" i="94"/>
  <c r="O150" i="94"/>
  <c r="O151" i="94"/>
  <c r="O152" i="94"/>
  <c r="O153" i="94"/>
  <c r="O154" i="94"/>
  <c r="O155" i="94"/>
  <c r="O156" i="94"/>
  <c r="O157" i="94"/>
  <c r="O158" i="94"/>
  <c r="O159" i="94"/>
  <c r="O160" i="94"/>
  <c r="O161" i="94"/>
  <c r="O162" i="94"/>
  <c r="O163" i="94"/>
  <c r="O164" i="94"/>
  <c r="O165" i="94"/>
  <c r="O166" i="94"/>
  <c r="O167" i="94"/>
  <c r="O168" i="94"/>
  <c r="O169" i="94"/>
  <c r="O170" i="94"/>
  <c r="O171" i="94"/>
  <c r="O172" i="94"/>
  <c r="O173" i="94"/>
  <c r="O174" i="94"/>
  <c r="O175" i="94"/>
  <c r="O176" i="94"/>
  <c r="O177" i="94"/>
  <c r="O178" i="94"/>
  <c r="O179" i="94"/>
  <c r="O180" i="94"/>
  <c r="O181" i="94"/>
  <c r="O182" i="94"/>
  <c r="O183" i="94"/>
  <c r="O184" i="94"/>
  <c r="O185" i="94"/>
  <c r="O186" i="94"/>
  <c r="O187" i="94"/>
  <c r="O188" i="94"/>
  <c r="O189" i="94"/>
  <c r="O190" i="94"/>
  <c r="O191" i="94"/>
  <c r="O192" i="94"/>
  <c r="O193" i="94"/>
  <c r="O194" i="94"/>
  <c r="O195" i="94"/>
  <c r="O196" i="94"/>
  <c r="O197" i="94"/>
  <c r="O198" i="94"/>
  <c r="O199" i="94"/>
  <c r="O200" i="94"/>
  <c r="O201" i="94"/>
  <c r="O202" i="94"/>
  <c r="O203" i="94"/>
  <c r="O204" i="94"/>
  <c r="O2" i="94"/>
  <c r="P3" i="94"/>
  <c r="P4" i="94" s="1"/>
  <c r="P5" i="94" s="1"/>
  <c r="P6" i="94" s="1"/>
  <c r="P7" i="94" s="1"/>
  <c r="P8" i="94" s="1"/>
  <c r="P9" i="94" s="1"/>
  <c r="P10" i="94" s="1"/>
  <c r="P11" i="94" s="1"/>
  <c r="P12" i="94" s="1"/>
  <c r="P13" i="94" s="1"/>
  <c r="P14" i="94" s="1"/>
  <c r="P15" i="94" s="1"/>
  <c r="P16" i="94" s="1"/>
  <c r="P17" i="94" s="1"/>
  <c r="P18" i="94" s="1"/>
  <c r="P19" i="94" s="1"/>
  <c r="P20" i="94" s="1"/>
  <c r="P21" i="94" s="1"/>
  <c r="P22" i="94" s="1"/>
  <c r="P23" i="94" s="1"/>
  <c r="P24" i="94" s="1"/>
  <c r="P25" i="94" s="1"/>
  <c r="P26" i="94" s="1"/>
  <c r="P27" i="94" s="1"/>
  <c r="P28" i="94" s="1"/>
  <c r="P29" i="94" s="1"/>
  <c r="P30" i="94" s="1"/>
  <c r="P31" i="94" s="1"/>
  <c r="P32" i="94" s="1"/>
  <c r="P33" i="94" s="1"/>
  <c r="P34" i="94" s="1"/>
  <c r="P35" i="94" s="1"/>
  <c r="P36" i="94" s="1"/>
  <c r="P37" i="94" s="1"/>
  <c r="P38" i="94" s="1"/>
  <c r="P39" i="94" s="1"/>
  <c r="P40" i="94" s="1"/>
  <c r="P41" i="94" s="1"/>
  <c r="P42" i="94" s="1"/>
  <c r="P43" i="94" s="1"/>
  <c r="P44" i="94" s="1"/>
  <c r="P45" i="94" s="1"/>
  <c r="P46" i="94" s="1"/>
  <c r="P47" i="94" s="1"/>
  <c r="P48" i="94" s="1"/>
  <c r="P49" i="94" s="1"/>
  <c r="P50" i="94" s="1"/>
  <c r="P51" i="94" s="1"/>
  <c r="P52" i="94" s="1"/>
  <c r="P53" i="94" s="1"/>
  <c r="P54" i="94" s="1"/>
  <c r="P55" i="94" s="1"/>
  <c r="P56" i="94" s="1"/>
  <c r="P57" i="94" s="1"/>
  <c r="P58" i="94" s="1"/>
  <c r="P59" i="94" s="1"/>
  <c r="P60" i="94" s="1"/>
  <c r="P61" i="94" s="1"/>
  <c r="P62" i="94" s="1"/>
  <c r="P63" i="94" s="1"/>
  <c r="P64" i="94" s="1"/>
  <c r="P65" i="94" s="1"/>
  <c r="P66" i="94" s="1"/>
  <c r="P67" i="94" s="1"/>
  <c r="P68" i="94" s="1"/>
  <c r="P69" i="94" s="1"/>
  <c r="P70" i="94" s="1"/>
  <c r="P71" i="94" s="1"/>
  <c r="P72" i="94" s="1"/>
  <c r="P73" i="94" s="1"/>
  <c r="P74" i="94" s="1"/>
  <c r="P75" i="94" s="1"/>
  <c r="P76" i="94" s="1"/>
  <c r="P77" i="94" s="1"/>
  <c r="P78" i="94" s="1"/>
  <c r="P79" i="94" s="1"/>
  <c r="P80" i="94" s="1"/>
  <c r="P81" i="94" s="1"/>
  <c r="P82" i="94" s="1"/>
  <c r="P83" i="94" s="1"/>
  <c r="P84" i="94" s="1"/>
  <c r="P85" i="94" s="1"/>
  <c r="P86" i="94" s="1"/>
  <c r="P87" i="94" s="1"/>
  <c r="P88" i="94" s="1"/>
  <c r="P89" i="94" s="1"/>
  <c r="P90" i="94" s="1"/>
  <c r="P91" i="94" s="1"/>
  <c r="P92" i="94" s="1"/>
  <c r="P93" i="94" s="1"/>
  <c r="P94" i="94" s="1"/>
  <c r="P95" i="94" s="1"/>
  <c r="P96" i="94" s="1"/>
  <c r="P97" i="94" s="1"/>
  <c r="P98" i="94" s="1"/>
  <c r="P99" i="94" s="1"/>
  <c r="P100" i="94" s="1"/>
  <c r="P101" i="94" s="1"/>
  <c r="P102" i="94" s="1"/>
  <c r="P103" i="94" s="1"/>
  <c r="P104" i="94" s="1"/>
  <c r="P105" i="94" s="1"/>
  <c r="P106" i="94" s="1"/>
  <c r="P107" i="94" s="1"/>
  <c r="P108" i="94" s="1"/>
  <c r="P109" i="94" s="1"/>
  <c r="P110" i="94" s="1"/>
  <c r="P111" i="94" s="1"/>
  <c r="P112" i="94" s="1"/>
  <c r="P113" i="94" s="1"/>
  <c r="P114" i="94" s="1"/>
  <c r="P115" i="94" s="1"/>
  <c r="P116" i="94" s="1"/>
  <c r="P117" i="94" s="1"/>
  <c r="P118" i="94" s="1"/>
  <c r="P119" i="94" s="1"/>
  <c r="P120" i="94" s="1"/>
  <c r="P121" i="94" s="1"/>
  <c r="P122" i="94" s="1"/>
  <c r="P123" i="94" s="1"/>
  <c r="P124" i="94" s="1"/>
  <c r="P125" i="94" s="1"/>
  <c r="P126" i="94" s="1"/>
  <c r="P127" i="94" s="1"/>
  <c r="P128" i="94" s="1"/>
  <c r="P129" i="94" s="1"/>
  <c r="P130" i="94" s="1"/>
  <c r="P131" i="94" s="1"/>
  <c r="P132" i="94" s="1"/>
  <c r="P133" i="94" s="1"/>
  <c r="P134" i="94" s="1"/>
  <c r="P135" i="94" s="1"/>
  <c r="P136" i="94" s="1"/>
  <c r="P137" i="94" s="1"/>
  <c r="P138" i="94" s="1"/>
  <c r="P139" i="94" s="1"/>
  <c r="P140" i="94" s="1"/>
  <c r="P141" i="94" s="1"/>
  <c r="P142" i="94" s="1"/>
  <c r="P143" i="94" s="1"/>
  <c r="P144" i="94" s="1"/>
  <c r="P145" i="94" s="1"/>
  <c r="P146" i="94" s="1"/>
  <c r="P147" i="94" s="1"/>
  <c r="P148" i="94" s="1"/>
  <c r="P149" i="94" s="1"/>
  <c r="P150" i="94" s="1"/>
  <c r="P151" i="94" s="1"/>
  <c r="P152" i="94" s="1"/>
  <c r="P153" i="94" s="1"/>
  <c r="P154" i="94" s="1"/>
  <c r="P155" i="94" s="1"/>
  <c r="P156" i="94" s="1"/>
  <c r="P157" i="94" s="1"/>
  <c r="P158" i="94" s="1"/>
  <c r="P159" i="94" s="1"/>
  <c r="P160" i="94" s="1"/>
  <c r="P161" i="94" s="1"/>
  <c r="P162" i="94" s="1"/>
  <c r="P163" i="94" s="1"/>
  <c r="P164" i="94" s="1"/>
  <c r="P165" i="94" s="1"/>
  <c r="P166" i="94" s="1"/>
  <c r="P167" i="94" s="1"/>
  <c r="P168" i="94" s="1"/>
  <c r="P169" i="94" s="1"/>
  <c r="P170" i="94" s="1"/>
  <c r="P171" i="94" s="1"/>
  <c r="P172" i="94" s="1"/>
  <c r="P173" i="94" s="1"/>
  <c r="P174" i="94" s="1"/>
  <c r="P175" i="94" s="1"/>
  <c r="P176" i="94" s="1"/>
  <c r="C3" i="94"/>
  <c r="C4" i="94" s="1"/>
  <c r="C5" i="94" s="1"/>
  <c r="C6" i="94" s="1"/>
  <c r="C7" i="94" s="1"/>
  <c r="C8" i="94" s="1"/>
  <c r="C9" i="94" s="1"/>
  <c r="C10" i="94" s="1"/>
  <c r="C11" i="94" s="1"/>
  <c r="C12" i="94" s="1"/>
  <c r="C13" i="94" s="1"/>
  <c r="C14" i="94" s="1"/>
  <c r="C15" i="94" s="1"/>
  <c r="C16" i="94" s="1"/>
  <c r="C17" i="94" s="1"/>
  <c r="C18" i="94" s="1"/>
  <c r="C19" i="94" s="1"/>
  <c r="C20" i="94" s="1"/>
  <c r="C21" i="94" s="1"/>
  <c r="C22" i="94" s="1"/>
  <c r="C23" i="94" s="1"/>
  <c r="C24" i="94" s="1"/>
  <c r="C25" i="94" s="1"/>
  <c r="C26" i="94" s="1"/>
  <c r="C27" i="94" s="1"/>
  <c r="C28" i="94" s="1"/>
  <c r="C29" i="94" s="1"/>
  <c r="C30" i="94" s="1"/>
  <c r="C31" i="94" s="1"/>
  <c r="C32" i="94" s="1"/>
  <c r="C33" i="94" s="1"/>
  <c r="C34" i="94" s="1"/>
  <c r="C35" i="94" s="1"/>
  <c r="C36" i="94" s="1"/>
  <c r="C37" i="94" s="1"/>
  <c r="C38" i="94" s="1"/>
  <c r="C39" i="94" s="1"/>
  <c r="C40" i="94" s="1"/>
  <c r="C41" i="94" s="1"/>
  <c r="C42" i="94" s="1"/>
  <c r="C43" i="94" s="1"/>
  <c r="C44" i="94" s="1"/>
  <c r="C45" i="94" s="1"/>
  <c r="C46" i="94" s="1"/>
  <c r="C47" i="94" s="1"/>
  <c r="C48" i="94" s="1"/>
  <c r="C49" i="94" s="1"/>
  <c r="C50" i="94" s="1"/>
  <c r="C51" i="94" s="1"/>
  <c r="C52" i="94" s="1"/>
  <c r="C53" i="94" s="1"/>
  <c r="C54" i="94" s="1"/>
  <c r="C55" i="94" s="1"/>
  <c r="C56" i="94" s="1"/>
  <c r="C57" i="94" s="1"/>
  <c r="C58" i="94" s="1"/>
  <c r="C59" i="94" s="1"/>
  <c r="C60" i="94" s="1"/>
  <c r="C61" i="94" s="1"/>
  <c r="C62" i="94" s="1"/>
  <c r="C63" i="94" s="1"/>
  <c r="C64" i="94" s="1"/>
  <c r="C65" i="94" s="1"/>
  <c r="C66" i="94" s="1"/>
  <c r="C67" i="94" s="1"/>
  <c r="C68" i="94" s="1"/>
  <c r="C69" i="94" s="1"/>
  <c r="C70" i="94" s="1"/>
  <c r="C71" i="94" s="1"/>
  <c r="C72" i="94" s="1"/>
  <c r="C73" i="94" s="1"/>
  <c r="C74" i="94" s="1"/>
  <c r="C75" i="94" s="1"/>
  <c r="C76" i="94" s="1"/>
  <c r="C77" i="94" s="1"/>
  <c r="C78" i="94" s="1"/>
  <c r="C79" i="94" s="1"/>
  <c r="C80" i="94" s="1"/>
  <c r="C81" i="94" s="1"/>
  <c r="C82" i="94" s="1"/>
  <c r="C83" i="94" s="1"/>
  <c r="C84" i="94" s="1"/>
  <c r="C85" i="94" s="1"/>
  <c r="C86" i="94" s="1"/>
  <c r="C87" i="94" s="1"/>
  <c r="C88" i="94" s="1"/>
  <c r="C89" i="94" s="1"/>
  <c r="C90" i="94" s="1"/>
  <c r="C91" i="94" s="1"/>
  <c r="C92" i="94" s="1"/>
  <c r="C93" i="94" s="1"/>
  <c r="C94" i="94" s="1"/>
  <c r="C95" i="94" s="1"/>
  <c r="C96" i="94" s="1"/>
  <c r="C97" i="94" s="1"/>
  <c r="C98" i="94" s="1"/>
  <c r="C99" i="94" s="1"/>
  <c r="C100" i="94" s="1"/>
  <c r="C101" i="94" s="1"/>
  <c r="C102" i="94" s="1"/>
  <c r="C103" i="94" s="1"/>
  <c r="C104" i="94" s="1"/>
  <c r="C105" i="94" s="1"/>
  <c r="C106" i="94" s="1"/>
  <c r="C107" i="94" s="1"/>
  <c r="C108" i="94" s="1"/>
  <c r="C109" i="94" s="1"/>
  <c r="C110" i="94" s="1"/>
  <c r="C111" i="94" s="1"/>
  <c r="C112" i="94" s="1"/>
  <c r="C113" i="94" s="1"/>
  <c r="C114" i="94" s="1"/>
  <c r="C115" i="94" s="1"/>
  <c r="C116" i="94" s="1"/>
  <c r="C117" i="94" s="1"/>
  <c r="C118" i="94" s="1"/>
  <c r="C119" i="94" s="1"/>
  <c r="C120" i="94" s="1"/>
  <c r="C121" i="94" s="1"/>
  <c r="C122" i="94" s="1"/>
  <c r="C123" i="94" s="1"/>
  <c r="C124" i="94" s="1"/>
  <c r="C125" i="94" s="1"/>
  <c r="C126" i="94" s="1"/>
  <c r="C127" i="94" s="1"/>
  <c r="C128" i="94" s="1"/>
  <c r="C129" i="94" s="1"/>
  <c r="C130" i="94" s="1"/>
  <c r="C131" i="94" s="1"/>
  <c r="C132" i="94" s="1"/>
  <c r="C133" i="94" s="1"/>
  <c r="C134" i="94" s="1"/>
  <c r="C135" i="94" s="1"/>
  <c r="C136" i="94" s="1"/>
  <c r="C137" i="94" s="1"/>
  <c r="C138" i="94" s="1"/>
  <c r="C139" i="94" s="1"/>
  <c r="C140" i="94" s="1"/>
  <c r="C141" i="94" s="1"/>
  <c r="C142" i="94" s="1"/>
  <c r="C143" i="94" s="1"/>
  <c r="C144" i="94" s="1"/>
  <c r="C145" i="94" s="1"/>
  <c r="C146" i="94" s="1"/>
  <c r="C147" i="94" s="1"/>
  <c r="C148" i="94" s="1"/>
  <c r="C149" i="94" s="1"/>
  <c r="C150" i="94" s="1"/>
  <c r="C151" i="94" s="1"/>
  <c r="C152" i="94" s="1"/>
  <c r="C153" i="94" s="1"/>
  <c r="C154" i="94" s="1"/>
  <c r="C155" i="94" s="1"/>
  <c r="C156" i="94" s="1"/>
  <c r="C157" i="94" s="1"/>
  <c r="C158" i="94" s="1"/>
  <c r="C159" i="94" s="1"/>
  <c r="C160" i="94" s="1"/>
  <c r="C161" i="94" s="1"/>
  <c r="C162" i="94" s="1"/>
  <c r="C163" i="94" s="1"/>
  <c r="C164" i="94" s="1"/>
  <c r="C165" i="94" s="1"/>
  <c r="C166" i="94" s="1"/>
  <c r="C167" i="94" s="1"/>
  <c r="C168" i="94" s="1"/>
  <c r="C169" i="94" s="1"/>
  <c r="C170" i="94" s="1"/>
  <c r="C171" i="94" s="1"/>
  <c r="C172" i="94" s="1"/>
  <c r="C173" i="94" s="1"/>
  <c r="C174" i="94" s="1"/>
  <c r="C175" i="94" s="1"/>
  <c r="C176" i="94" s="1"/>
  <c r="A3" i="94"/>
  <c r="A4" i="94" s="1"/>
  <c r="A5" i="94" s="1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A64" i="94" s="1"/>
  <c r="A65" i="94" s="1"/>
  <c r="A66" i="94" s="1"/>
  <c r="A67" i="94" s="1"/>
  <c r="A68" i="94" s="1"/>
  <c r="A69" i="94" s="1"/>
  <c r="A70" i="94" s="1"/>
  <c r="A71" i="94" s="1"/>
  <c r="A72" i="94" s="1"/>
  <c r="A73" i="94" s="1"/>
  <c r="A74" i="94" s="1"/>
  <c r="A75" i="94" s="1"/>
  <c r="A76" i="94" s="1"/>
  <c r="A77" i="94" s="1"/>
  <c r="A78" i="94" s="1"/>
  <c r="A79" i="94" s="1"/>
  <c r="A80" i="94" s="1"/>
  <c r="A81" i="94" s="1"/>
  <c r="A82" i="94" s="1"/>
  <c r="A83" i="94" s="1"/>
  <c r="A84" i="94" s="1"/>
  <c r="A85" i="94" s="1"/>
  <c r="A86" i="94" s="1"/>
  <c r="A87" i="94" s="1"/>
  <c r="A88" i="94" s="1"/>
  <c r="A89" i="94" s="1"/>
  <c r="A90" i="94" s="1"/>
  <c r="A91" i="94" s="1"/>
  <c r="A92" i="94" s="1"/>
  <c r="A93" i="94" s="1"/>
  <c r="A94" i="94" s="1"/>
  <c r="A95" i="94" s="1"/>
  <c r="A96" i="94" s="1"/>
  <c r="A97" i="94" s="1"/>
  <c r="A98" i="94" s="1"/>
  <c r="A99" i="94" s="1"/>
  <c r="A100" i="94" s="1"/>
  <c r="A101" i="94" s="1"/>
  <c r="A102" i="94" s="1"/>
  <c r="A103" i="94" s="1"/>
  <c r="A104" i="94" s="1"/>
  <c r="A105" i="94" s="1"/>
  <c r="A106" i="94" s="1"/>
  <c r="A107" i="94" s="1"/>
  <c r="A108" i="94" s="1"/>
  <c r="A109" i="94" s="1"/>
  <c r="A110" i="94" s="1"/>
  <c r="A111" i="94" s="1"/>
  <c r="A112" i="94" s="1"/>
  <c r="A113" i="94" s="1"/>
  <c r="A114" i="94" s="1"/>
  <c r="A115" i="94" s="1"/>
  <c r="A116" i="94" s="1"/>
  <c r="A117" i="94" s="1"/>
  <c r="A118" i="94" s="1"/>
  <c r="A119" i="94" s="1"/>
  <c r="A120" i="94" s="1"/>
  <c r="A121" i="94" s="1"/>
  <c r="A122" i="94" s="1"/>
  <c r="A123" i="94" s="1"/>
  <c r="A124" i="94" s="1"/>
  <c r="A125" i="94" s="1"/>
  <c r="A126" i="94" s="1"/>
  <c r="A127" i="94" s="1"/>
  <c r="A128" i="94" s="1"/>
  <c r="A129" i="94" s="1"/>
  <c r="A130" i="94" s="1"/>
  <c r="A131" i="94" s="1"/>
  <c r="A132" i="94" s="1"/>
  <c r="A133" i="94" s="1"/>
  <c r="A134" i="94" s="1"/>
  <c r="A135" i="94" s="1"/>
  <c r="A136" i="94" s="1"/>
  <c r="A137" i="94" s="1"/>
  <c r="A138" i="94" s="1"/>
  <c r="A139" i="94" s="1"/>
  <c r="A140" i="94" s="1"/>
  <c r="A141" i="94" s="1"/>
  <c r="A142" i="94" s="1"/>
  <c r="A143" i="94" s="1"/>
  <c r="A144" i="94" s="1"/>
  <c r="A145" i="94" s="1"/>
  <c r="A146" i="94" s="1"/>
  <c r="A147" i="94" s="1"/>
  <c r="A148" i="94" s="1"/>
  <c r="A149" i="94" s="1"/>
  <c r="A150" i="94" s="1"/>
  <c r="A151" i="94" s="1"/>
  <c r="A152" i="94" s="1"/>
  <c r="A153" i="94" s="1"/>
  <c r="A154" i="94" s="1"/>
  <c r="A155" i="94" s="1"/>
  <c r="A156" i="94" s="1"/>
  <c r="A157" i="94" s="1"/>
  <c r="A158" i="94" s="1"/>
  <c r="A159" i="94" s="1"/>
  <c r="A160" i="94" s="1"/>
  <c r="A161" i="94" s="1"/>
  <c r="A162" i="94" s="1"/>
  <c r="A163" i="94" s="1"/>
  <c r="A164" i="94" s="1"/>
  <c r="A165" i="94" s="1"/>
  <c r="A166" i="94" s="1"/>
  <c r="A167" i="94" s="1"/>
  <c r="A168" i="94" s="1"/>
  <c r="A169" i="94" s="1"/>
  <c r="A170" i="94" s="1"/>
  <c r="A171" i="94" s="1"/>
  <c r="A172" i="94" s="1"/>
  <c r="A173" i="94" s="1"/>
  <c r="A174" i="94" s="1"/>
  <c r="A175" i="94" s="1"/>
  <c r="A176" i="94" s="1"/>
  <c r="B3" i="94"/>
  <c r="B4" i="94" s="1"/>
  <c r="B5" i="94" s="1"/>
  <c r="B6" i="94" s="1"/>
  <c r="B7" i="94" s="1"/>
  <c r="B8" i="94" s="1"/>
  <c r="B9" i="94" s="1"/>
  <c r="B10" i="94" s="1"/>
  <c r="B11" i="94" s="1"/>
  <c r="B12" i="94" s="1"/>
  <c r="B13" i="94" s="1"/>
  <c r="B14" i="94" s="1"/>
  <c r="B15" i="94" s="1"/>
  <c r="B16" i="94" s="1"/>
  <c r="B17" i="94" s="1"/>
  <c r="B18" i="94" s="1"/>
  <c r="B19" i="94" s="1"/>
  <c r="B20" i="94" s="1"/>
  <c r="B21" i="94" s="1"/>
  <c r="B22" i="94" s="1"/>
  <c r="B23" i="94" s="1"/>
  <c r="B24" i="94" s="1"/>
  <c r="B25" i="94" s="1"/>
  <c r="B26" i="94" s="1"/>
  <c r="B27" i="94" s="1"/>
  <c r="B28" i="94" s="1"/>
  <c r="B29" i="94" s="1"/>
  <c r="B30" i="94" s="1"/>
  <c r="B31" i="94" s="1"/>
  <c r="B32" i="94" s="1"/>
  <c r="B33" i="94" s="1"/>
  <c r="B34" i="94" s="1"/>
  <c r="B35" i="94" s="1"/>
  <c r="B36" i="94" s="1"/>
  <c r="B37" i="94" s="1"/>
  <c r="B38" i="94" s="1"/>
  <c r="B39" i="94" s="1"/>
  <c r="B40" i="94" s="1"/>
  <c r="B41" i="94" s="1"/>
  <c r="B42" i="94" s="1"/>
  <c r="B43" i="94" s="1"/>
  <c r="B44" i="94" s="1"/>
  <c r="B45" i="94" s="1"/>
  <c r="B46" i="94" s="1"/>
  <c r="B47" i="94" s="1"/>
  <c r="B48" i="94" s="1"/>
  <c r="B49" i="94" s="1"/>
  <c r="B50" i="94" s="1"/>
  <c r="B51" i="94" s="1"/>
  <c r="B52" i="94" s="1"/>
  <c r="B53" i="94" s="1"/>
  <c r="B54" i="94" s="1"/>
  <c r="B55" i="94" s="1"/>
  <c r="B56" i="94" s="1"/>
  <c r="B57" i="94" s="1"/>
  <c r="B58" i="94" s="1"/>
  <c r="B59" i="94" s="1"/>
  <c r="B60" i="94" s="1"/>
  <c r="B61" i="94" s="1"/>
  <c r="B62" i="94" s="1"/>
  <c r="B63" i="94" s="1"/>
  <c r="B64" i="94" s="1"/>
  <c r="B65" i="94" s="1"/>
  <c r="B66" i="94" s="1"/>
  <c r="B67" i="94" s="1"/>
  <c r="B68" i="94" s="1"/>
  <c r="B69" i="94" s="1"/>
  <c r="B70" i="94" s="1"/>
  <c r="B71" i="94" s="1"/>
  <c r="B72" i="94" s="1"/>
  <c r="B73" i="94" s="1"/>
  <c r="B74" i="94" s="1"/>
  <c r="B75" i="94" s="1"/>
  <c r="B76" i="94" s="1"/>
  <c r="B77" i="94" s="1"/>
  <c r="B78" i="94" s="1"/>
  <c r="B79" i="94" s="1"/>
  <c r="B80" i="94" s="1"/>
  <c r="B81" i="94" s="1"/>
  <c r="B82" i="94" s="1"/>
  <c r="B83" i="94" s="1"/>
  <c r="B84" i="94" s="1"/>
  <c r="B85" i="94" s="1"/>
  <c r="B86" i="94" s="1"/>
  <c r="B87" i="94" s="1"/>
  <c r="B88" i="94" s="1"/>
  <c r="B89" i="94" s="1"/>
  <c r="B90" i="94" s="1"/>
  <c r="B91" i="94" s="1"/>
  <c r="B92" i="94" s="1"/>
  <c r="B93" i="94" s="1"/>
  <c r="B94" i="94" s="1"/>
  <c r="B95" i="94" s="1"/>
  <c r="B96" i="94" s="1"/>
  <c r="B97" i="94" s="1"/>
  <c r="B98" i="94" s="1"/>
  <c r="B99" i="94" s="1"/>
  <c r="B100" i="94" s="1"/>
  <c r="B101" i="94" s="1"/>
  <c r="B102" i="94" s="1"/>
  <c r="B103" i="94" s="1"/>
  <c r="B104" i="94" s="1"/>
  <c r="B105" i="94" s="1"/>
  <c r="B106" i="94" s="1"/>
  <c r="B107" i="94" s="1"/>
  <c r="B108" i="94" s="1"/>
  <c r="B109" i="94" s="1"/>
  <c r="B110" i="94" s="1"/>
  <c r="B111" i="94" s="1"/>
  <c r="B112" i="94" s="1"/>
  <c r="B113" i="94" s="1"/>
  <c r="B114" i="94" s="1"/>
  <c r="B115" i="94" s="1"/>
  <c r="B116" i="94" s="1"/>
  <c r="B117" i="94" s="1"/>
  <c r="B118" i="94" s="1"/>
  <c r="B119" i="94" s="1"/>
  <c r="B120" i="94" s="1"/>
  <c r="B121" i="94" s="1"/>
  <c r="B122" i="94" s="1"/>
  <c r="B123" i="94" s="1"/>
  <c r="B124" i="94" s="1"/>
  <c r="B125" i="94" s="1"/>
  <c r="B126" i="94" s="1"/>
  <c r="B127" i="94" s="1"/>
  <c r="B128" i="94" s="1"/>
  <c r="B129" i="94" s="1"/>
  <c r="B130" i="94" s="1"/>
  <c r="B131" i="94" s="1"/>
  <c r="B132" i="94" s="1"/>
  <c r="B133" i="94" s="1"/>
  <c r="B134" i="94" s="1"/>
  <c r="B135" i="94" s="1"/>
  <c r="B136" i="94" s="1"/>
  <c r="B137" i="94" s="1"/>
  <c r="B138" i="94" s="1"/>
  <c r="B139" i="94" s="1"/>
  <c r="B140" i="94" s="1"/>
  <c r="B141" i="94" s="1"/>
  <c r="B142" i="94" s="1"/>
  <c r="B143" i="94" s="1"/>
  <c r="B144" i="94" s="1"/>
  <c r="B145" i="94" s="1"/>
  <c r="B146" i="94" s="1"/>
  <c r="B147" i="94" s="1"/>
  <c r="B148" i="94" s="1"/>
  <c r="B149" i="94" s="1"/>
  <c r="B150" i="94" s="1"/>
  <c r="B151" i="94" s="1"/>
  <c r="B152" i="94" s="1"/>
  <c r="B153" i="94" s="1"/>
  <c r="B154" i="94" s="1"/>
  <c r="B155" i="94" s="1"/>
  <c r="B156" i="94" s="1"/>
  <c r="B157" i="94" s="1"/>
  <c r="B158" i="94" s="1"/>
  <c r="B159" i="94" s="1"/>
  <c r="B160" i="94" s="1"/>
  <c r="B161" i="94" s="1"/>
  <c r="B162" i="94" s="1"/>
  <c r="B163" i="94" s="1"/>
  <c r="B164" i="94" s="1"/>
  <c r="B165" i="94" s="1"/>
  <c r="B166" i="94" s="1"/>
  <c r="B167" i="94" s="1"/>
  <c r="B168" i="94" s="1"/>
  <c r="B169" i="94" s="1"/>
  <c r="B170" i="94" s="1"/>
  <c r="B171" i="94" s="1"/>
  <c r="B172" i="94" s="1"/>
  <c r="B173" i="94" s="1"/>
  <c r="B174" i="94" s="1"/>
  <c r="B175" i="94" s="1"/>
  <c r="B176" i="94" s="1"/>
  <c r="A3" i="132"/>
  <c r="A4" i="132" s="1"/>
  <c r="A5" i="132" s="1"/>
  <c r="A6" i="132" s="1"/>
  <c r="A7" i="132" s="1"/>
  <c r="A8" i="132" s="1"/>
  <c r="A9" i="132" s="1"/>
  <c r="A10" i="132" s="1"/>
  <c r="A11" i="132" s="1"/>
  <c r="A12" i="132" s="1"/>
  <c r="A13" i="132" s="1"/>
  <c r="A14" i="132" s="1"/>
  <c r="A15" i="132" s="1"/>
  <c r="A16" i="132" s="1"/>
  <c r="A17" i="132" s="1"/>
  <c r="A18" i="132" s="1"/>
  <c r="A19" i="132" s="1"/>
  <c r="A20" i="132" s="1"/>
  <c r="A21" i="132" s="1"/>
  <c r="A22" i="132" s="1"/>
  <c r="A23" i="132" s="1"/>
  <c r="A24" i="132" s="1"/>
  <c r="A25" i="132" s="1"/>
  <c r="A26" i="132" s="1"/>
  <c r="A27" i="132" s="1"/>
  <c r="A28" i="132" s="1"/>
  <c r="A29" i="132" s="1"/>
  <c r="A30" i="132" s="1"/>
  <c r="A31" i="132" s="1"/>
  <c r="A32" i="132" s="1"/>
  <c r="A33" i="132" s="1"/>
  <c r="A34" i="132" s="1"/>
  <c r="A35" i="132" s="1"/>
  <c r="A36" i="132" s="1"/>
  <c r="A37" i="132" s="1"/>
  <c r="A38" i="132" s="1"/>
  <c r="A39" i="132" s="1"/>
  <c r="A40" i="132" s="1"/>
  <c r="A41" i="132" s="1"/>
  <c r="A42" i="132" s="1"/>
  <c r="A43" i="132" s="1"/>
  <c r="A44" i="132" s="1"/>
  <c r="A45" i="132" s="1"/>
  <c r="A46" i="132" s="1"/>
  <c r="A47" i="132" s="1"/>
  <c r="A48" i="132" s="1"/>
  <c r="A49" i="132" s="1"/>
  <c r="A50" i="132" s="1"/>
  <c r="A51" i="132" s="1"/>
  <c r="A52" i="132" s="1"/>
  <c r="A53" i="132" s="1"/>
  <c r="A54" i="132" s="1"/>
  <c r="A55" i="132" s="1"/>
  <c r="A56" i="132" s="1"/>
  <c r="A57" i="132" s="1"/>
  <c r="A58" i="132" s="1"/>
  <c r="A59" i="132" s="1"/>
  <c r="A60" i="132" s="1"/>
  <c r="A61" i="132" s="1"/>
  <c r="A62" i="132" s="1"/>
  <c r="A63" i="132" s="1"/>
  <c r="A64" i="132" s="1"/>
  <c r="A65" i="132" s="1"/>
  <c r="A66" i="132" s="1"/>
  <c r="A67" i="132" s="1"/>
  <c r="A68" i="132" s="1"/>
  <c r="A69" i="132" s="1"/>
  <c r="A70" i="132" s="1"/>
  <c r="O3" i="132"/>
  <c r="O4" i="132" s="1"/>
  <c r="O5" i="132" s="1"/>
  <c r="O6" i="132" s="1"/>
  <c r="O7" i="132" s="1"/>
  <c r="O8" i="132" s="1"/>
  <c r="O9" i="132" s="1"/>
  <c r="O10" i="132" s="1"/>
  <c r="O11" i="132" s="1"/>
  <c r="O12" i="132" s="1"/>
  <c r="O13" i="132" s="1"/>
  <c r="O14" i="132" s="1"/>
  <c r="O15" i="132" s="1"/>
  <c r="O16" i="132" s="1"/>
  <c r="O17" i="132" s="1"/>
  <c r="O18" i="132" s="1"/>
  <c r="O19" i="132" s="1"/>
  <c r="O20" i="132" s="1"/>
  <c r="O21" i="132" s="1"/>
  <c r="O22" i="132" s="1"/>
  <c r="O23" i="132" s="1"/>
  <c r="O24" i="132" s="1"/>
  <c r="O25" i="132" s="1"/>
  <c r="O26" i="132" s="1"/>
  <c r="O27" i="132" s="1"/>
  <c r="O28" i="132" s="1"/>
  <c r="O29" i="132" s="1"/>
  <c r="O30" i="132" s="1"/>
  <c r="O31" i="132" s="1"/>
  <c r="O32" i="132" s="1"/>
  <c r="O33" i="132" s="1"/>
  <c r="O34" i="132" s="1"/>
  <c r="O35" i="132" s="1"/>
  <c r="O36" i="132" s="1"/>
  <c r="O37" i="132" s="1"/>
  <c r="O38" i="132" s="1"/>
  <c r="O39" i="132" s="1"/>
  <c r="O40" i="132" s="1"/>
  <c r="O41" i="132" s="1"/>
  <c r="O42" i="132" s="1"/>
  <c r="O43" i="132" s="1"/>
  <c r="O44" i="132" s="1"/>
  <c r="O45" i="132" s="1"/>
  <c r="O46" i="132" s="1"/>
  <c r="O47" i="132" s="1"/>
  <c r="O48" i="132" s="1"/>
  <c r="O49" i="132" s="1"/>
  <c r="O50" i="132" s="1"/>
  <c r="O51" i="132" s="1"/>
  <c r="O52" i="132" s="1"/>
  <c r="O53" i="132" s="1"/>
  <c r="O54" i="132" s="1"/>
  <c r="O55" i="132" s="1"/>
  <c r="O56" i="132" s="1"/>
  <c r="O57" i="132" s="1"/>
  <c r="O58" i="132" s="1"/>
  <c r="O59" i="132" s="1"/>
  <c r="O60" i="132" s="1"/>
  <c r="O61" i="132" s="1"/>
  <c r="O62" i="132" s="1"/>
  <c r="O63" i="132" s="1"/>
  <c r="O64" i="132" s="1"/>
  <c r="O65" i="132" s="1"/>
  <c r="O66" i="132" s="1"/>
  <c r="O67" i="132" s="1"/>
  <c r="O68" i="132" s="1"/>
  <c r="O69" i="132" s="1"/>
  <c r="O70" i="132" s="1"/>
  <c r="O15" i="155" l="1"/>
  <c r="O14" i="155"/>
  <c r="O13" i="155"/>
  <c r="O12" i="155"/>
  <c r="O11" i="155"/>
  <c r="O10" i="155"/>
  <c r="O9" i="155"/>
  <c r="O8" i="155"/>
  <c r="O7" i="155"/>
  <c r="O6" i="155"/>
  <c r="O5" i="155"/>
  <c r="O4" i="155"/>
  <c r="O3" i="155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B3" i="120"/>
  <c r="B4" i="120" s="1"/>
  <c r="B5" i="120" s="1"/>
  <c r="B6" i="120" s="1"/>
  <c r="B2" i="152" s="1"/>
  <c r="A3" i="120"/>
  <c r="A4" i="120" s="1"/>
  <c r="A5" i="120" s="1"/>
  <c r="A6" i="120" s="1"/>
  <c r="A7" i="120" s="1"/>
  <c r="A8" i="120" s="1"/>
  <c r="A9" i="120" s="1"/>
  <c r="A10" i="120" s="1"/>
  <c r="A11" i="120" s="1"/>
  <c r="A12" i="120" s="1"/>
  <c r="A13" i="120" s="1"/>
  <c r="A14" i="120" s="1"/>
  <c r="A15" i="120" s="1"/>
  <c r="A16" i="120" s="1"/>
  <c r="A17" i="120" s="1"/>
  <c r="A18" i="120" s="1"/>
  <c r="A19" i="120" s="1"/>
  <c r="A20" i="120" s="1"/>
  <c r="A21" i="120" s="1"/>
  <c r="A22" i="120" s="1"/>
  <c r="A23" i="120" s="1"/>
  <c r="A24" i="120" s="1"/>
  <c r="A25" i="120" s="1"/>
  <c r="A26" i="120" s="1"/>
  <c r="A27" i="120" s="1"/>
  <c r="A28" i="120" s="1"/>
  <c r="A29" i="120" s="1"/>
  <c r="A30" i="120" s="1"/>
  <c r="A31" i="120" s="1"/>
  <c r="A32" i="120" s="1"/>
  <c r="A33" i="120" s="1"/>
  <c r="A34" i="120" s="1"/>
  <c r="A35" i="120" s="1"/>
  <c r="A36" i="120" s="1"/>
  <c r="A37" i="120" s="1"/>
  <c r="A38" i="120" s="1"/>
  <c r="A39" i="120" s="1"/>
  <c r="A40" i="120" s="1"/>
  <c r="A41" i="120" s="1"/>
  <c r="A42" i="120" s="1"/>
  <c r="A43" i="120" s="1"/>
  <c r="A44" i="120" s="1"/>
  <c r="A45" i="120" s="1"/>
  <c r="A46" i="120" s="1"/>
  <c r="A47" i="120" s="1"/>
  <c r="A48" i="120" s="1"/>
  <c r="A49" i="120" s="1"/>
  <c r="A50" i="120" s="1"/>
  <c r="A51" i="120" s="1"/>
  <c r="A52" i="120" s="1"/>
  <c r="A53" i="120" s="1"/>
  <c r="A54" i="120" s="1"/>
  <c r="A55" i="120" s="1"/>
  <c r="A56" i="120" s="1"/>
  <c r="A57" i="120" s="1"/>
  <c r="A58" i="120" s="1"/>
  <c r="A59" i="120" s="1"/>
  <c r="A60" i="120" s="1"/>
  <c r="A61" i="120" s="1"/>
  <c r="A62" i="120" s="1"/>
  <c r="A63" i="120" s="1"/>
  <c r="A64" i="120" s="1"/>
  <c r="A65" i="120" s="1"/>
  <c r="A66" i="120" s="1"/>
  <c r="A67" i="120" s="1"/>
  <c r="A68" i="120" s="1"/>
  <c r="A69" i="120" s="1"/>
  <c r="A70" i="120" s="1"/>
  <c r="A71" i="120" s="1"/>
  <c r="A72" i="120" s="1"/>
  <c r="A73" i="120" s="1"/>
  <c r="A74" i="120" s="1"/>
  <c r="A75" i="120" s="1"/>
  <c r="A76" i="120" s="1"/>
  <c r="A77" i="120" s="1"/>
  <c r="A78" i="120" s="1"/>
  <c r="A79" i="120" s="1"/>
  <c r="A80" i="120" s="1"/>
  <c r="A81" i="120" s="1"/>
  <c r="A82" i="120" s="1"/>
  <c r="A83" i="120" s="1"/>
  <c r="A84" i="120" s="1"/>
  <c r="A85" i="120" s="1"/>
  <c r="A86" i="120" s="1"/>
  <c r="A87" i="120" s="1"/>
  <c r="A88" i="120" s="1"/>
  <c r="A89" i="120" s="1"/>
  <c r="A90" i="120" s="1"/>
  <c r="A91" i="120" s="1"/>
  <c r="A92" i="120" s="1"/>
  <c r="A93" i="120" s="1"/>
  <c r="A94" i="120" s="1"/>
  <c r="A95" i="120" s="1"/>
  <c r="A96" i="120" s="1"/>
  <c r="A97" i="120" s="1"/>
  <c r="A98" i="120" s="1"/>
  <c r="A99" i="120" s="1"/>
  <c r="A100" i="120" s="1"/>
  <c r="A101" i="120" s="1"/>
  <c r="A102" i="120" s="1"/>
  <c r="A103" i="120" s="1"/>
  <c r="A104" i="120" s="1"/>
  <c r="A105" i="120" s="1"/>
  <c r="A106" i="120" s="1"/>
  <c r="A107" i="120" s="1"/>
  <c r="A108" i="120" s="1"/>
  <c r="A109" i="120" s="1"/>
  <c r="A110" i="120" s="1"/>
  <c r="A111" i="120" s="1"/>
  <c r="A112" i="120" s="1"/>
  <c r="A113" i="120" s="1"/>
  <c r="A114" i="120" s="1"/>
  <c r="A115" i="120" s="1"/>
  <c r="A116" i="120" s="1"/>
  <c r="A117" i="120" s="1"/>
  <c r="A118" i="120" s="1"/>
  <c r="A119" i="120" s="1"/>
  <c r="A120" i="120" s="1"/>
  <c r="A121" i="120" s="1"/>
  <c r="A122" i="120" s="1"/>
  <c r="A123" i="120" s="1"/>
  <c r="A124" i="120" s="1"/>
  <c r="A125" i="120" s="1"/>
  <c r="A126" i="120" s="1"/>
  <c r="A127" i="120" s="1"/>
  <c r="A128" i="120" s="1"/>
  <c r="A129" i="120" s="1"/>
  <c r="A130" i="120" s="1"/>
  <c r="A131" i="120" s="1"/>
  <c r="A132" i="120" s="1"/>
  <c r="A133" i="120" s="1"/>
  <c r="A134" i="120" s="1"/>
  <c r="A135" i="120" s="1"/>
  <c r="A136" i="120" s="1"/>
  <c r="A137" i="120" s="1"/>
  <c r="A138" i="120" s="1"/>
  <c r="A139" i="120" s="1"/>
  <c r="A140" i="120" s="1"/>
  <c r="A141" i="120" s="1"/>
  <c r="A142" i="120" s="1"/>
  <c r="A143" i="120" s="1"/>
  <c r="A144" i="120" s="1"/>
  <c r="A145" i="120" s="1"/>
  <c r="A146" i="120" s="1"/>
  <c r="A147" i="120" s="1"/>
  <c r="A148" i="120" s="1"/>
  <c r="A149" i="120" s="1"/>
  <c r="A150" i="120" s="1"/>
  <c r="A151" i="120" s="1"/>
  <c r="A152" i="120" s="1"/>
  <c r="A153" i="120" s="1"/>
  <c r="A154" i="120" s="1"/>
  <c r="A155" i="120" s="1"/>
  <c r="A156" i="120" s="1"/>
  <c r="A157" i="120" s="1"/>
  <c r="A158" i="120" s="1"/>
  <c r="A159" i="120" s="1"/>
  <c r="A160" i="120" s="1"/>
  <c r="A161" i="120" s="1"/>
  <c r="A162" i="120" s="1"/>
  <c r="A163" i="120" s="1"/>
  <c r="A164" i="120" s="1"/>
  <c r="A165" i="120" s="1"/>
  <c r="A166" i="120" s="1"/>
  <c r="A167" i="120" s="1"/>
  <c r="A168" i="120" s="1"/>
  <c r="A169" i="120" s="1"/>
  <c r="A170" i="120" s="1"/>
  <c r="A171" i="120" s="1"/>
  <c r="A172" i="120" s="1"/>
  <c r="A173" i="120" s="1"/>
  <c r="A174" i="120" s="1"/>
  <c r="A175" i="120" s="1"/>
  <c r="A176" i="120" s="1"/>
  <c r="A177" i="120" s="1"/>
  <c r="A178" i="120" s="1"/>
  <c r="A179" i="120" s="1"/>
  <c r="A180" i="120" s="1"/>
  <c r="A181" i="120" s="1"/>
  <c r="A182" i="120" s="1"/>
  <c r="A183" i="120" s="1"/>
  <c r="A184" i="120" s="1"/>
  <c r="A185" i="120" s="1"/>
  <c r="A186" i="120" s="1"/>
  <c r="A187" i="120" s="1"/>
  <c r="A188" i="120" s="1"/>
  <c r="A189" i="120" s="1"/>
  <c r="A190" i="120" s="1"/>
  <c r="A191" i="120" s="1"/>
  <c r="A192" i="120" s="1"/>
  <c r="A193" i="120" s="1"/>
  <c r="A194" i="120" s="1"/>
  <c r="A195" i="120" s="1"/>
  <c r="A196" i="120" s="1"/>
  <c r="A197" i="120" s="1"/>
  <c r="A198" i="120" s="1"/>
  <c r="A199" i="120" s="1"/>
  <c r="A200" i="120" s="1"/>
  <c r="A201" i="120" s="1"/>
  <c r="A202" i="120" s="1"/>
  <c r="A203" i="120" s="1"/>
  <c r="A204" i="120" s="1"/>
  <c r="A205" i="120" s="1"/>
  <c r="A206" i="120" s="1"/>
  <c r="A207" i="120" s="1"/>
  <c r="A208" i="120" s="1"/>
  <c r="A209" i="120" s="1"/>
  <c r="A210" i="120" s="1"/>
  <c r="A211" i="120" s="1"/>
  <c r="A212" i="120" s="1"/>
  <c r="A213" i="120" s="1"/>
  <c r="A214" i="120" s="1"/>
  <c r="A215" i="120" s="1"/>
  <c r="A216" i="120" s="1"/>
  <c r="A217" i="120" s="1"/>
  <c r="A218" i="120" s="1"/>
  <c r="A219" i="120" s="1"/>
  <c r="A220" i="120" s="1"/>
  <c r="A221" i="120" s="1"/>
  <c r="A222" i="120" s="1"/>
  <c r="A223" i="120" s="1"/>
  <c r="A224" i="120" s="1"/>
  <c r="A225" i="120" s="1"/>
  <c r="A226" i="120" s="1"/>
  <c r="A227" i="120" s="1"/>
  <c r="A228" i="120" s="1"/>
  <c r="A229" i="120" s="1"/>
  <c r="A230" i="120" s="1"/>
  <c r="A231" i="120" s="1"/>
  <c r="A232" i="120" s="1"/>
  <c r="A233" i="120" s="1"/>
  <c r="A234" i="120" s="1"/>
  <c r="A235" i="120" s="1"/>
  <c r="A236" i="120" s="1"/>
  <c r="A237" i="120" s="1"/>
  <c r="C3" i="120"/>
  <c r="C4" i="120" s="1"/>
  <c r="C5" i="120" s="1"/>
  <c r="C6" i="120" s="1"/>
  <c r="C2" i="152" s="1"/>
  <c r="N3" i="144"/>
  <c r="N4" i="144" s="1"/>
  <c r="N5" i="144" s="1"/>
  <c r="N6" i="144" s="1"/>
  <c r="N7" i="144" s="1"/>
  <c r="N8" i="144" s="1"/>
  <c r="N9" i="144" s="1"/>
  <c r="N10" i="144" s="1"/>
  <c r="N11" i="144" s="1"/>
  <c r="N12" i="144" s="1"/>
  <c r="N13" i="144" s="1"/>
  <c r="N14" i="144" s="1"/>
  <c r="N15" i="144" s="1"/>
  <c r="N16" i="144" s="1"/>
  <c r="N17" i="144" s="1"/>
  <c r="N18" i="144" s="1"/>
  <c r="N19" i="144" s="1"/>
  <c r="N20" i="144" s="1"/>
  <c r="N21" i="144" s="1"/>
  <c r="N22" i="144" s="1"/>
  <c r="N23" i="144" s="1"/>
  <c r="N24" i="144" s="1"/>
  <c r="N25" i="144" s="1"/>
  <c r="N26" i="144" s="1"/>
  <c r="N27" i="144" s="1"/>
  <c r="N28" i="144" s="1"/>
  <c r="N29" i="144" s="1"/>
  <c r="N30" i="144" s="1"/>
  <c r="N31" i="144" s="1"/>
  <c r="N32" i="144" s="1"/>
  <c r="N33" i="144" s="1"/>
  <c r="N34" i="144" s="1"/>
  <c r="N35" i="144" s="1"/>
  <c r="N36" i="144" s="1"/>
  <c r="N37" i="144" s="1"/>
  <c r="N38" i="144" s="1"/>
  <c r="N39" i="144" s="1"/>
  <c r="N40" i="144" s="1"/>
  <c r="N41" i="144" s="1"/>
  <c r="N42" i="144" s="1"/>
  <c r="N43" i="144" s="1"/>
  <c r="N44" i="144" s="1"/>
  <c r="N45" i="144" s="1"/>
  <c r="N46" i="144" s="1"/>
  <c r="N47" i="144" s="1"/>
  <c r="N48" i="144" s="1"/>
  <c r="N49" i="144" s="1"/>
  <c r="N50" i="144" s="1"/>
  <c r="N51" i="144" s="1"/>
  <c r="N52" i="144" s="1"/>
  <c r="N53" i="144" s="1"/>
  <c r="N54" i="144" s="1"/>
  <c r="N55" i="144" s="1"/>
  <c r="N56" i="144" s="1"/>
  <c r="N57" i="144" s="1"/>
  <c r="N58" i="144" s="1"/>
  <c r="N59" i="144" s="1"/>
  <c r="N60" i="144" s="1"/>
  <c r="N61" i="144" s="1"/>
  <c r="N62" i="144" s="1"/>
  <c r="N63" i="144" s="1"/>
  <c r="N64" i="144" s="1"/>
  <c r="N65" i="144" s="1"/>
  <c r="N66" i="144" s="1"/>
  <c r="N67" i="144" s="1"/>
  <c r="N68" i="144" s="1"/>
  <c r="N69" i="144" s="1"/>
  <c r="N70" i="144" s="1"/>
  <c r="N71" i="144" s="1"/>
  <c r="N72" i="144" s="1"/>
  <c r="N73" i="144" s="1"/>
  <c r="N74" i="144" s="1"/>
  <c r="N75" i="144" s="1"/>
  <c r="N76" i="144" s="1"/>
  <c r="N77" i="144" s="1"/>
  <c r="N78" i="144" s="1"/>
  <c r="N79" i="144" s="1"/>
  <c r="N80" i="144" s="1"/>
  <c r="N81" i="144" s="1"/>
  <c r="N82" i="144" s="1"/>
  <c r="N83" i="144" s="1"/>
  <c r="N84" i="144" s="1"/>
  <c r="N85" i="144" s="1"/>
  <c r="N86" i="144" s="1"/>
  <c r="N87" i="144" s="1"/>
  <c r="N88" i="144" s="1"/>
  <c r="N89" i="144" s="1"/>
  <c r="N90" i="144" s="1"/>
  <c r="N91" i="144" s="1"/>
  <c r="N92" i="144" s="1"/>
  <c r="N93" i="144" s="1"/>
  <c r="N94" i="144" s="1"/>
  <c r="N95" i="144" s="1"/>
  <c r="N96" i="144" s="1"/>
  <c r="N97" i="144" s="1"/>
  <c r="C4" i="144"/>
  <c r="C5" i="144" s="1"/>
  <c r="C6" i="144" s="1"/>
  <c r="C7" i="144" s="1"/>
  <c r="C8" i="144" s="1"/>
  <c r="C9" i="144" s="1"/>
  <c r="C10" i="144" s="1"/>
  <c r="C11" i="144" s="1"/>
  <c r="C12" i="144" s="1"/>
  <c r="C13" i="144" s="1"/>
  <c r="C14" i="144" s="1"/>
  <c r="C15" i="144" s="1"/>
  <c r="C16" i="144" s="1"/>
  <c r="C17" i="144" s="1"/>
  <c r="C18" i="144" s="1"/>
  <c r="C19" i="144" s="1"/>
  <c r="C20" i="144" s="1"/>
  <c r="C21" i="144" s="1"/>
  <c r="C22" i="144" s="1"/>
  <c r="C23" i="144" s="1"/>
  <c r="C24" i="144" s="1"/>
  <c r="C25" i="144" s="1"/>
  <c r="C26" i="144" s="1"/>
  <c r="C27" i="144" s="1"/>
  <c r="C28" i="144" s="1"/>
  <c r="C29" i="144" s="1"/>
  <c r="C30" i="144" s="1"/>
  <c r="C31" i="144" s="1"/>
  <c r="C32" i="144" s="1"/>
  <c r="C33" i="144" s="1"/>
  <c r="C34" i="144" s="1"/>
  <c r="C35" i="144" s="1"/>
  <c r="C36" i="144" s="1"/>
  <c r="C37" i="144" s="1"/>
  <c r="C38" i="144" s="1"/>
  <c r="C39" i="144" s="1"/>
  <c r="C40" i="144" s="1"/>
  <c r="C41" i="144" s="1"/>
  <c r="C42" i="144" s="1"/>
  <c r="C43" i="144" s="1"/>
  <c r="C44" i="144" s="1"/>
  <c r="C45" i="144" s="1"/>
  <c r="C46" i="144" s="1"/>
  <c r="C47" i="144" s="1"/>
  <c r="C48" i="144" s="1"/>
  <c r="C49" i="144" s="1"/>
  <c r="C50" i="144" s="1"/>
  <c r="C51" i="144" s="1"/>
  <c r="C52" i="144" s="1"/>
  <c r="C53" i="144" s="1"/>
  <c r="C54" i="144" s="1"/>
  <c r="C55" i="144" s="1"/>
  <c r="C56" i="144" s="1"/>
  <c r="C57" i="144" s="1"/>
  <c r="C58" i="144" s="1"/>
  <c r="C59" i="144" s="1"/>
  <c r="C60" i="144" s="1"/>
  <c r="C61" i="144" s="1"/>
  <c r="C62" i="144" s="1"/>
  <c r="C63" i="144" s="1"/>
  <c r="C64" i="144" s="1"/>
  <c r="C65" i="144" s="1"/>
  <c r="C66" i="144" s="1"/>
  <c r="C67" i="144" s="1"/>
  <c r="C68" i="144" s="1"/>
  <c r="C69" i="144" s="1"/>
  <c r="C70" i="144" s="1"/>
  <c r="C71" i="144" s="1"/>
  <c r="C72" i="144" s="1"/>
  <c r="C73" i="144" s="1"/>
  <c r="C74" i="144" s="1"/>
  <c r="C75" i="144" s="1"/>
  <c r="C76" i="144" s="1"/>
  <c r="C77" i="144" s="1"/>
  <c r="C78" i="144" s="1"/>
  <c r="C79" i="144" s="1"/>
  <c r="C80" i="144" s="1"/>
  <c r="C81" i="144" s="1"/>
  <c r="C82" i="144" s="1"/>
  <c r="C83" i="144" s="1"/>
  <c r="C84" i="144" s="1"/>
  <c r="C85" i="144" s="1"/>
  <c r="C86" i="144" s="1"/>
  <c r="C87" i="144" s="1"/>
  <c r="C88" i="144" s="1"/>
  <c r="C89" i="144" s="1"/>
  <c r="C90" i="144" s="1"/>
  <c r="C91" i="144" s="1"/>
  <c r="C92" i="144" s="1"/>
  <c r="C93" i="144" s="1"/>
  <c r="C94" i="144" s="1"/>
  <c r="C95" i="144" s="1"/>
  <c r="C96" i="144" s="1"/>
  <c r="C97" i="144" s="1"/>
  <c r="B4" i="144"/>
  <c r="B5" i="144" s="1"/>
  <c r="B6" i="144" s="1"/>
  <c r="B7" i="144" s="1"/>
  <c r="B8" i="144" s="1"/>
  <c r="B9" i="144" s="1"/>
  <c r="B10" i="144" s="1"/>
  <c r="B11" i="144" s="1"/>
  <c r="B12" i="144" s="1"/>
  <c r="B13" i="144" s="1"/>
  <c r="B14" i="144" s="1"/>
  <c r="B15" i="144" s="1"/>
  <c r="B16" i="144" s="1"/>
  <c r="B17" i="144" s="1"/>
  <c r="B18" i="144" s="1"/>
  <c r="B19" i="144" s="1"/>
  <c r="B20" i="144" s="1"/>
  <c r="B21" i="144" s="1"/>
  <c r="B22" i="144" s="1"/>
  <c r="B23" i="144" s="1"/>
  <c r="B24" i="144" s="1"/>
  <c r="B25" i="144" s="1"/>
  <c r="B26" i="144" s="1"/>
  <c r="B27" i="144" s="1"/>
  <c r="B28" i="144" s="1"/>
  <c r="B29" i="144" s="1"/>
  <c r="B30" i="144" s="1"/>
  <c r="B31" i="144" s="1"/>
  <c r="B32" i="144" s="1"/>
  <c r="B33" i="144" s="1"/>
  <c r="B34" i="144" s="1"/>
  <c r="B35" i="144" s="1"/>
  <c r="B36" i="144" s="1"/>
  <c r="B37" i="144" s="1"/>
  <c r="B38" i="144" s="1"/>
  <c r="B39" i="144" s="1"/>
  <c r="B40" i="144" s="1"/>
  <c r="B41" i="144" s="1"/>
  <c r="B42" i="144" s="1"/>
  <c r="B43" i="144" s="1"/>
  <c r="B44" i="144" s="1"/>
  <c r="B45" i="144" s="1"/>
  <c r="B46" i="144" s="1"/>
  <c r="B47" i="144" s="1"/>
  <c r="B48" i="144" s="1"/>
  <c r="B49" i="144" s="1"/>
  <c r="B50" i="144" s="1"/>
  <c r="B51" i="144" s="1"/>
  <c r="B52" i="144" s="1"/>
  <c r="B53" i="144" s="1"/>
  <c r="B54" i="144" s="1"/>
  <c r="B55" i="144" s="1"/>
  <c r="B56" i="144" s="1"/>
  <c r="B57" i="144" s="1"/>
  <c r="B58" i="144" s="1"/>
  <c r="B59" i="144" s="1"/>
  <c r="B60" i="144" s="1"/>
  <c r="B61" i="144" s="1"/>
  <c r="B62" i="144" s="1"/>
  <c r="B63" i="144" s="1"/>
  <c r="B64" i="144" s="1"/>
  <c r="B65" i="144" s="1"/>
  <c r="B66" i="144" s="1"/>
  <c r="B67" i="144" s="1"/>
  <c r="B68" i="144" s="1"/>
  <c r="B69" i="144" s="1"/>
  <c r="B70" i="144" s="1"/>
  <c r="B71" i="144" s="1"/>
  <c r="B72" i="144" s="1"/>
  <c r="B73" i="144" s="1"/>
  <c r="B74" i="144" s="1"/>
  <c r="B75" i="144" s="1"/>
  <c r="B76" i="144" s="1"/>
  <c r="B77" i="144" s="1"/>
  <c r="B78" i="144" s="1"/>
  <c r="B79" i="144" s="1"/>
  <c r="B80" i="144" s="1"/>
  <c r="B81" i="144" s="1"/>
  <c r="B82" i="144" s="1"/>
  <c r="B83" i="144" s="1"/>
  <c r="B84" i="144" s="1"/>
  <c r="B85" i="144" s="1"/>
  <c r="B86" i="144" s="1"/>
  <c r="B87" i="144" s="1"/>
  <c r="B88" i="144" s="1"/>
  <c r="B89" i="144" s="1"/>
  <c r="B90" i="144" s="1"/>
  <c r="B91" i="144" s="1"/>
  <c r="B92" i="144" s="1"/>
  <c r="B93" i="144" s="1"/>
  <c r="B94" i="144" s="1"/>
  <c r="B95" i="144" s="1"/>
  <c r="B96" i="144" s="1"/>
  <c r="B97" i="144" s="1"/>
  <c r="A4" i="144"/>
  <c r="A5" i="144" s="1"/>
  <c r="A6" i="144" s="1"/>
  <c r="A7" i="144" s="1"/>
  <c r="A8" i="144" s="1"/>
  <c r="A9" i="144" s="1"/>
  <c r="A10" i="144" s="1"/>
  <c r="A11" i="144" s="1"/>
  <c r="A12" i="144" s="1"/>
  <c r="A13" i="144" s="1"/>
  <c r="A14" i="144" s="1"/>
  <c r="A15" i="144" s="1"/>
  <c r="A16" i="144" s="1"/>
  <c r="A17" i="144" s="1"/>
  <c r="A18" i="144" s="1"/>
  <c r="A19" i="144" s="1"/>
  <c r="A20" i="144" s="1"/>
  <c r="A21" i="144" s="1"/>
  <c r="A22" i="144" s="1"/>
  <c r="A23" i="144" s="1"/>
  <c r="A24" i="144" s="1"/>
  <c r="A25" i="144" s="1"/>
  <c r="A26" i="144" s="1"/>
  <c r="A27" i="144" s="1"/>
  <c r="A28" i="144" s="1"/>
  <c r="A29" i="144" s="1"/>
  <c r="A30" i="144" s="1"/>
  <c r="A31" i="144" s="1"/>
  <c r="A32" i="144" s="1"/>
  <c r="A33" i="144" s="1"/>
  <c r="A34" i="144" s="1"/>
  <c r="A35" i="144" s="1"/>
  <c r="A36" i="144" s="1"/>
  <c r="A37" i="144" s="1"/>
  <c r="A38" i="144" s="1"/>
  <c r="A39" i="144" s="1"/>
  <c r="A40" i="144" s="1"/>
  <c r="A41" i="144" s="1"/>
  <c r="A42" i="144" s="1"/>
  <c r="A43" i="144" s="1"/>
  <c r="A44" i="144" s="1"/>
  <c r="A45" i="144" s="1"/>
  <c r="A46" i="144" s="1"/>
  <c r="A47" i="144" s="1"/>
  <c r="A48" i="144" s="1"/>
  <c r="A49" i="144" s="1"/>
  <c r="A50" i="144" s="1"/>
  <c r="A51" i="144" s="1"/>
  <c r="A52" i="144" s="1"/>
  <c r="A53" i="144" s="1"/>
  <c r="A54" i="144" s="1"/>
  <c r="A55" i="144" s="1"/>
  <c r="A56" i="144" s="1"/>
  <c r="A57" i="144" s="1"/>
  <c r="A58" i="144" s="1"/>
  <c r="A59" i="144" s="1"/>
  <c r="A60" i="144" s="1"/>
  <c r="A61" i="144" s="1"/>
  <c r="A62" i="144" s="1"/>
  <c r="A63" i="144" s="1"/>
  <c r="A64" i="144" s="1"/>
  <c r="A65" i="144" s="1"/>
  <c r="A66" i="144" s="1"/>
  <c r="A67" i="144" s="1"/>
  <c r="A68" i="144" s="1"/>
  <c r="A69" i="144" s="1"/>
  <c r="A70" i="144" s="1"/>
  <c r="A71" i="144" s="1"/>
  <c r="A72" i="144" s="1"/>
  <c r="A73" i="144" s="1"/>
  <c r="A74" i="144" s="1"/>
  <c r="A75" i="144" s="1"/>
  <c r="A76" i="144" s="1"/>
  <c r="A77" i="144" s="1"/>
  <c r="A78" i="144" s="1"/>
  <c r="A79" i="144" s="1"/>
  <c r="A80" i="144" s="1"/>
  <c r="A81" i="144" s="1"/>
  <c r="A82" i="144" s="1"/>
  <c r="A83" i="144" s="1"/>
  <c r="A84" i="144" s="1"/>
  <c r="A85" i="144" s="1"/>
  <c r="A86" i="144" s="1"/>
  <c r="A87" i="144" s="1"/>
  <c r="A88" i="144" s="1"/>
  <c r="A89" i="144" s="1"/>
  <c r="A90" i="144" s="1"/>
  <c r="A91" i="144" s="1"/>
  <c r="A92" i="144" s="1"/>
  <c r="A93" i="144" s="1"/>
  <c r="A94" i="144" s="1"/>
  <c r="A95" i="144" s="1"/>
  <c r="A96" i="144" s="1"/>
  <c r="A97" i="144" s="1"/>
  <c r="A4" i="155"/>
  <c r="A5" i="155"/>
  <c r="A6" i="155"/>
  <c r="A7" i="155"/>
  <c r="A8" i="155" s="1"/>
  <c r="A9" i="155" s="1"/>
  <c r="A10" i="155" s="1"/>
  <c r="A11" i="155" s="1"/>
  <c r="A12" i="155" s="1"/>
  <c r="A13" i="155" s="1"/>
  <c r="A14" i="155" s="1"/>
  <c r="A15" i="155" s="1"/>
  <c r="A3" i="155"/>
  <c r="P10" i="155"/>
  <c r="P11" i="155" s="1"/>
  <c r="P12" i="155" s="1"/>
  <c r="P13" i="155" s="1"/>
  <c r="P14" i="155" s="1"/>
  <c r="P15" i="155" s="1"/>
  <c r="N10" i="155"/>
  <c r="N11" i="155" s="1"/>
  <c r="N12" i="155" s="1"/>
  <c r="N13" i="155" s="1"/>
  <c r="N14" i="155" s="1"/>
  <c r="N15" i="155" s="1"/>
  <c r="P3" i="155"/>
  <c r="P4" i="155" s="1"/>
  <c r="P5" i="155" s="1"/>
  <c r="P6" i="155" s="1"/>
  <c r="P7" i="155" s="1"/>
  <c r="P8" i="155" s="1"/>
  <c r="N3" i="155"/>
  <c r="N4" i="155" s="1"/>
  <c r="N5" i="155" s="1"/>
  <c r="N6" i="155" s="1"/>
  <c r="N7" i="155" s="1"/>
  <c r="N8" i="155" s="1"/>
  <c r="O3" i="154"/>
  <c r="O4" i="154"/>
  <c r="O5" i="154"/>
  <c r="O6" i="154"/>
  <c r="O7" i="154"/>
  <c r="O8" i="154"/>
  <c r="O9" i="154"/>
  <c r="O10" i="154"/>
  <c r="O11" i="154"/>
  <c r="O12" i="154"/>
  <c r="O13" i="154"/>
  <c r="O14" i="154"/>
  <c r="O15" i="154"/>
  <c r="O16" i="154"/>
  <c r="O17" i="154"/>
  <c r="O2" i="154"/>
  <c r="O2" i="81"/>
  <c r="A3" i="154"/>
  <c r="A4" i="154" s="1"/>
  <c r="A5" i="154" s="1"/>
  <c r="A6" i="154" s="1"/>
  <c r="A7" i="154" s="1"/>
  <c r="A8" i="154" s="1"/>
  <c r="A9" i="154" s="1"/>
  <c r="A10" i="154" s="1"/>
  <c r="A11" i="154" s="1"/>
  <c r="A12" i="154" s="1"/>
  <c r="A13" i="154" s="1"/>
  <c r="O2" i="139"/>
  <c r="A177" i="94"/>
  <c r="A178" i="94" s="1"/>
  <c r="A179" i="94" s="1"/>
  <c r="A180" i="94" s="1"/>
  <c r="A181" i="94" s="1"/>
  <c r="A182" i="94" s="1"/>
  <c r="A183" i="94" s="1"/>
  <c r="A184" i="94" s="1"/>
  <c r="A185" i="94" s="1"/>
  <c r="A186" i="94" s="1"/>
  <c r="A187" i="94" s="1"/>
  <c r="A188" i="94" s="1"/>
  <c r="A189" i="94" s="1"/>
  <c r="A190" i="94" s="1"/>
  <c r="A191" i="94" s="1"/>
  <c r="A192" i="94" s="1"/>
  <c r="A193" i="94" s="1"/>
  <c r="A194" i="94" s="1"/>
  <c r="A195" i="94" s="1"/>
  <c r="A196" i="94" s="1"/>
  <c r="A197" i="94" s="1"/>
  <c r="A198" i="94" s="1"/>
  <c r="A199" i="94" s="1"/>
  <c r="A200" i="94" s="1"/>
  <c r="A201" i="94" s="1"/>
  <c r="A202" i="94" s="1"/>
  <c r="A203" i="94" s="1"/>
  <c r="A204" i="94" s="1"/>
  <c r="N270" i="139"/>
  <c r="N271" i="139" s="1"/>
  <c r="N272" i="139" s="1"/>
  <c r="N273" i="139" s="1"/>
  <c r="N274" i="139" s="1"/>
  <c r="N275" i="139" s="1"/>
  <c r="N276" i="139" s="1"/>
  <c r="N277" i="139" s="1"/>
  <c r="N278" i="139" s="1"/>
  <c r="N279" i="139" s="1"/>
  <c r="N280" i="139" s="1"/>
  <c r="N281" i="139" s="1"/>
  <c r="N282" i="139" s="1"/>
  <c r="N283" i="139" s="1"/>
  <c r="N284" i="139" s="1"/>
  <c r="N285" i="139" s="1"/>
  <c r="N286" i="139" s="1"/>
  <c r="N287" i="139" s="1"/>
  <c r="N288" i="139" s="1"/>
  <c r="N289" i="139" s="1"/>
  <c r="N290" i="139" s="1"/>
  <c r="N291" i="139" s="1"/>
  <c r="N292" i="139" s="1"/>
  <c r="N293" i="139" s="1"/>
  <c r="N294" i="139" s="1"/>
  <c r="N295" i="139" s="1"/>
  <c r="N296" i="139" s="1"/>
  <c r="N297" i="139" s="1"/>
  <c r="N298" i="139" s="1"/>
  <c r="N299" i="139" s="1"/>
  <c r="N300" i="139" s="1"/>
  <c r="N301" i="139" s="1"/>
  <c r="N302" i="139" s="1"/>
  <c r="N303" i="139" s="1"/>
  <c r="N304" i="139" s="1"/>
  <c r="N305" i="139" s="1"/>
  <c r="N306" i="139" s="1"/>
  <c r="N307" i="139" s="1"/>
  <c r="N308" i="139" s="1"/>
  <c r="N309" i="139" s="1"/>
  <c r="N310" i="139" s="1"/>
  <c r="N311" i="139" s="1"/>
  <c r="N312" i="139" s="1"/>
  <c r="N313" i="139" s="1"/>
  <c r="N314" i="139" s="1"/>
  <c r="N315" i="139" s="1"/>
  <c r="N316" i="139" s="1"/>
  <c r="N317" i="139" s="1"/>
  <c r="N318" i="139" s="1"/>
  <c r="N319" i="139" s="1"/>
  <c r="N320" i="139" s="1"/>
  <c r="N321" i="139" s="1"/>
  <c r="N322" i="139" s="1"/>
  <c r="N323" i="139" s="1"/>
  <c r="N324" i="139" s="1"/>
  <c r="N325" i="139" s="1"/>
  <c r="N326" i="139" s="1"/>
  <c r="N327" i="139" s="1"/>
  <c r="N328" i="139" s="1"/>
  <c r="N329" i="139" s="1"/>
  <c r="N330" i="139" s="1"/>
  <c r="N331" i="139" s="1"/>
  <c r="N332" i="139" s="1"/>
  <c r="N333" i="139" s="1"/>
  <c r="N334" i="139" s="1"/>
  <c r="N335" i="139" s="1"/>
  <c r="N336" i="139" s="1"/>
  <c r="N337" i="139" s="1"/>
  <c r="N338" i="139" s="1"/>
  <c r="N339" i="139" s="1"/>
  <c r="N340" i="139" s="1"/>
  <c r="N341" i="139" s="1"/>
  <c r="N342" i="139" s="1"/>
  <c r="N343" i="139" s="1"/>
  <c r="N344" i="139" s="1"/>
  <c r="N345" i="139" s="1"/>
  <c r="N346" i="139" s="1"/>
  <c r="N347" i="139" s="1"/>
  <c r="N348" i="139" s="1"/>
  <c r="N349" i="139" s="1"/>
  <c r="N350" i="139" s="1"/>
  <c r="N351" i="139" s="1"/>
  <c r="N352" i="139" s="1"/>
  <c r="N353" i="139" s="1"/>
  <c r="N354" i="139" s="1"/>
  <c r="N355" i="139" s="1"/>
  <c r="N356" i="139" s="1"/>
  <c r="N357" i="139" s="1"/>
  <c r="N358" i="139" s="1"/>
  <c r="N359" i="139" s="1"/>
  <c r="N360" i="139" s="1"/>
  <c r="N361" i="139" s="1"/>
  <c r="N362" i="139" s="1"/>
  <c r="N363" i="139" s="1"/>
  <c r="N364" i="139" s="1"/>
  <c r="N365" i="139" s="1"/>
  <c r="N366" i="139" s="1"/>
  <c r="N367" i="139" s="1"/>
  <c r="N368" i="139" s="1"/>
  <c r="N369" i="139" s="1"/>
  <c r="N370" i="139" s="1"/>
  <c r="N371" i="139" s="1"/>
  <c r="N372" i="139" s="1"/>
  <c r="N373" i="139" s="1"/>
  <c r="N374" i="139" s="1"/>
  <c r="N375" i="139" s="1"/>
  <c r="N376" i="139" s="1"/>
  <c r="N377" i="139" s="1"/>
  <c r="N378" i="139" s="1"/>
  <c r="N379" i="139" s="1"/>
  <c r="N380" i="139" s="1"/>
  <c r="N381" i="139" s="1"/>
  <c r="N382" i="139" s="1"/>
  <c r="N383" i="139" s="1"/>
  <c r="N384" i="139" s="1"/>
  <c r="N385" i="139" s="1"/>
  <c r="N386" i="139" s="1"/>
  <c r="N387" i="139" s="1"/>
  <c r="N388" i="139" s="1"/>
  <c r="N389" i="139" s="1"/>
  <c r="N390" i="139" s="1"/>
  <c r="N391" i="139" s="1"/>
  <c r="N392" i="139" s="1"/>
  <c r="N393" i="139" s="1"/>
  <c r="N394" i="139" s="1"/>
  <c r="N395" i="139" s="1"/>
  <c r="N396" i="139" s="1"/>
  <c r="N397" i="139" s="1"/>
  <c r="N398" i="139" s="1"/>
  <c r="N399" i="139" s="1"/>
  <c r="N400" i="139" s="1"/>
  <c r="N401" i="139" s="1"/>
  <c r="N402" i="139" s="1"/>
  <c r="N403" i="139" s="1"/>
  <c r="N404" i="139" s="1"/>
  <c r="N405" i="139" s="1"/>
  <c r="N406" i="139" s="1"/>
  <c r="N407" i="139" s="1"/>
  <c r="N408" i="139" s="1"/>
  <c r="N409" i="139" s="1"/>
  <c r="N410" i="139" s="1"/>
  <c r="N411" i="139" s="1"/>
  <c r="N412" i="139" s="1"/>
  <c r="N413" i="139" s="1"/>
  <c r="N414" i="139" s="1"/>
  <c r="N415" i="139" s="1"/>
  <c r="N416" i="139" s="1"/>
  <c r="N417" i="139" s="1"/>
  <c r="N418" i="139" s="1"/>
  <c r="N419" i="139" s="1"/>
  <c r="N420" i="139" s="1"/>
  <c r="N421" i="139" s="1"/>
  <c r="N422" i="139" s="1"/>
  <c r="N423" i="139" s="1"/>
  <c r="N424" i="139" s="1"/>
  <c r="N425" i="139" s="1"/>
  <c r="N426" i="139" s="1"/>
  <c r="N427" i="139" s="1"/>
  <c r="N428" i="139" s="1"/>
  <c r="N429" i="139" s="1"/>
  <c r="N430" i="139" s="1"/>
  <c r="N431" i="139" s="1"/>
  <c r="N432" i="139" s="1"/>
  <c r="N433" i="139" s="1"/>
  <c r="N434" i="139" s="1"/>
  <c r="N435" i="139" s="1"/>
  <c r="N436" i="139" s="1"/>
  <c r="N437" i="139" s="1"/>
  <c r="N438" i="139" s="1"/>
  <c r="N439" i="139" s="1"/>
  <c r="N440" i="139" s="1"/>
  <c r="N441" i="139" s="1"/>
  <c r="N442" i="139" s="1"/>
  <c r="N443" i="139" s="1"/>
  <c r="N444" i="139" s="1"/>
  <c r="N445" i="139" s="1"/>
  <c r="N446" i="139" s="1"/>
  <c r="N447" i="139" s="1"/>
  <c r="N448" i="139" s="1"/>
  <c r="N449" i="139" s="1"/>
  <c r="N450" i="139" s="1"/>
  <c r="N451" i="139" s="1"/>
  <c r="N452" i="139" s="1"/>
  <c r="N453" i="139" s="1"/>
  <c r="N454" i="139" s="1"/>
  <c r="N455" i="139" s="1"/>
  <c r="N456" i="139" s="1"/>
  <c r="N457" i="139" s="1"/>
  <c r="N458" i="139" s="1"/>
  <c r="N459" i="139" s="1"/>
  <c r="N460" i="139" s="1"/>
  <c r="N461" i="139" s="1"/>
  <c r="N462" i="139" s="1"/>
  <c r="N463" i="139" s="1"/>
  <c r="N464" i="139" s="1"/>
  <c r="N465" i="139" s="1"/>
  <c r="N466" i="139" s="1"/>
  <c r="N467" i="139" s="1"/>
  <c r="N468" i="139" s="1"/>
  <c r="N469" i="139" s="1"/>
  <c r="N470" i="139" s="1"/>
  <c r="N471" i="139" s="1"/>
  <c r="N472" i="139" s="1"/>
  <c r="N473" i="139" s="1"/>
  <c r="N474" i="139" s="1"/>
  <c r="N475" i="139" s="1"/>
  <c r="N476" i="139" s="1"/>
  <c r="N477" i="139" s="1"/>
  <c r="N478" i="139" s="1"/>
  <c r="N479" i="139" s="1"/>
  <c r="N480" i="139" s="1"/>
  <c r="N481" i="139" s="1"/>
  <c r="N482" i="139" s="1"/>
  <c r="N483" i="139" s="1"/>
  <c r="N484" i="139" s="1"/>
  <c r="N485" i="139" s="1"/>
  <c r="N486" i="139" s="1"/>
  <c r="N487" i="139" s="1"/>
  <c r="N488" i="139" s="1"/>
  <c r="N489" i="139" s="1"/>
  <c r="N490" i="139" s="1"/>
  <c r="N491" i="139" s="1"/>
  <c r="N492" i="139" s="1"/>
  <c r="N493" i="139" s="1"/>
  <c r="N494" i="139" s="1"/>
  <c r="N495" i="139" s="1"/>
  <c r="N496" i="139" s="1"/>
  <c r="N497" i="139" s="1"/>
  <c r="N498" i="139" s="1"/>
  <c r="N499" i="139" s="1"/>
  <c r="N500" i="139" s="1"/>
  <c r="N501" i="139" s="1"/>
  <c r="N502" i="139" s="1"/>
  <c r="N503" i="139" s="1"/>
  <c r="N504" i="139" s="1"/>
  <c r="N505" i="139" s="1"/>
  <c r="N506" i="139" s="1"/>
  <c r="N507" i="139" s="1"/>
  <c r="N508" i="139" s="1"/>
  <c r="N509" i="139" s="1"/>
  <c r="N510" i="139" s="1"/>
  <c r="N511" i="139" s="1"/>
  <c r="N512" i="139" s="1"/>
  <c r="O270" i="139"/>
  <c r="O271" i="139"/>
  <c r="O272" i="139"/>
  <c r="O273" i="139"/>
  <c r="O274" i="139"/>
  <c r="O275" i="139"/>
  <c r="O276" i="139"/>
  <c r="O277" i="139"/>
  <c r="O278" i="139"/>
  <c r="O279" i="139"/>
  <c r="O280" i="139"/>
  <c r="O281" i="139"/>
  <c r="O282" i="139"/>
  <c r="O283" i="139"/>
  <c r="O284" i="139"/>
  <c r="O285" i="139"/>
  <c r="O286" i="139"/>
  <c r="O287" i="139"/>
  <c r="O288" i="139"/>
  <c r="O289" i="139"/>
  <c r="O290" i="139"/>
  <c r="O291" i="139"/>
  <c r="O292" i="139"/>
  <c r="O293" i="139"/>
  <c r="O294" i="139"/>
  <c r="O295" i="139"/>
  <c r="O296" i="139"/>
  <c r="O297" i="139"/>
  <c r="O298" i="139"/>
  <c r="O299" i="139"/>
  <c r="O300" i="139"/>
  <c r="O301" i="139"/>
  <c r="O302" i="139"/>
  <c r="O303" i="139"/>
  <c r="O304" i="139"/>
  <c r="O305" i="139"/>
  <c r="O306" i="139"/>
  <c r="O307" i="139"/>
  <c r="O308" i="139"/>
  <c r="O309" i="139"/>
  <c r="O310" i="139"/>
  <c r="O311" i="139"/>
  <c r="O312" i="139"/>
  <c r="O313" i="139"/>
  <c r="O314" i="139"/>
  <c r="O315" i="139"/>
  <c r="O316" i="139"/>
  <c r="O317" i="139"/>
  <c r="O318" i="139"/>
  <c r="O319" i="139"/>
  <c r="O320" i="139"/>
  <c r="O321" i="139"/>
  <c r="O322" i="139"/>
  <c r="O323" i="139"/>
  <c r="O324" i="139"/>
  <c r="O325" i="139"/>
  <c r="O326" i="139"/>
  <c r="O327" i="139"/>
  <c r="O328" i="139"/>
  <c r="O329" i="139"/>
  <c r="O330" i="139"/>
  <c r="O331" i="139"/>
  <c r="O332" i="139"/>
  <c r="O333" i="139"/>
  <c r="O334" i="139"/>
  <c r="O335" i="139"/>
  <c r="O336" i="139"/>
  <c r="O337" i="139"/>
  <c r="O338" i="139"/>
  <c r="O339" i="139"/>
  <c r="O340" i="139"/>
  <c r="O341" i="139"/>
  <c r="O342" i="139"/>
  <c r="O343" i="139"/>
  <c r="O344" i="139"/>
  <c r="O345" i="139"/>
  <c r="O346" i="139"/>
  <c r="O347" i="139"/>
  <c r="O348" i="139"/>
  <c r="O349" i="139"/>
  <c r="O350" i="139"/>
  <c r="O351" i="139"/>
  <c r="O352" i="139"/>
  <c r="O353" i="139"/>
  <c r="O354" i="139"/>
  <c r="O355" i="139"/>
  <c r="O356" i="139"/>
  <c r="O357" i="139"/>
  <c r="O358" i="139"/>
  <c r="O359" i="139"/>
  <c r="O360" i="139"/>
  <c r="O361" i="139"/>
  <c r="O362" i="139"/>
  <c r="O363" i="139"/>
  <c r="O364" i="139"/>
  <c r="O365" i="139"/>
  <c r="O366" i="139"/>
  <c r="O367" i="139"/>
  <c r="O368" i="139"/>
  <c r="O369" i="139"/>
  <c r="O370" i="139"/>
  <c r="O371" i="139"/>
  <c r="O372" i="139"/>
  <c r="O373" i="139"/>
  <c r="O374" i="139"/>
  <c r="O375" i="139"/>
  <c r="O376" i="139"/>
  <c r="O377" i="139"/>
  <c r="O378" i="139"/>
  <c r="O379" i="139"/>
  <c r="O380" i="139"/>
  <c r="O381" i="139"/>
  <c r="O382" i="139"/>
  <c r="O383" i="139"/>
  <c r="O384" i="139"/>
  <c r="O385" i="139"/>
  <c r="O386" i="139"/>
  <c r="O387" i="139"/>
  <c r="O388" i="139"/>
  <c r="O389" i="139"/>
  <c r="O390" i="139"/>
  <c r="O391" i="139"/>
  <c r="O392" i="139"/>
  <c r="O393" i="139"/>
  <c r="O394" i="139"/>
  <c r="O395" i="139"/>
  <c r="O396" i="139"/>
  <c r="O397" i="139"/>
  <c r="O398" i="139"/>
  <c r="O399" i="139"/>
  <c r="O400" i="139"/>
  <c r="O401" i="139"/>
  <c r="O402" i="139"/>
  <c r="O403" i="139"/>
  <c r="O404" i="139"/>
  <c r="O405" i="139"/>
  <c r="O406" i="139"/>
  <c r="O407" i="139"/>
  <c r="O408" i="139"/>
  <c r="O409" i="139"/>
  <c r="O410" i="139"/>
  <c r="O411" i="139"/>
  <c r="O412" i="139"/>
  <c r="O413" i="139"/>
  <c r="O414" i="139"/>
  <c r="O415" i="139"/>
  <c r="O416" i="139"/>
  <c r="O417" i="139"/>
  <c r="O418" i="139"/>
  <c r="O419" i="139"/>
  <c r="O420" i="139"/>
  <c r="O421" i="139"/>
  <c r="O422" i="139"/>
  <c r="O423" i="139"/>
  <c r="O424" i="139"/>
  <c r="O425" i="139"/>
  <c r="O426" i="139"/>
  <c r="O427" i="139"/>
  <c r="O428" i="139"/>
  <c r="O429" i="139"/>
  <c r="O430" i="139"/>
  <c r="O431" i="139"/>
  <c r="O432" i="139"/>
  <c r="O433" i="139"/>
  <c r="O434" i="139"/>
  <c r="O435" i="139"/>
  <c r="O436" i="139"/>
  <c r="O437" i="139"/>
  <c r="O438" i="139"/>
  <c r="O439" i="139"/>
  <c r="O440" i="139"/>
  <c r="O441" i="139"/>
  <c r="O442" i="139"/>
  <c r="O443" i="139"/>
  <c r="O444" i="139"/>
  <c r="O445" i="139"/>
  <c r="O446" i="139"/>
  <c r="O447" i="139"/>
  <c r="O448" i="139"/>
  <c r="O449" i="139"/>
  <c r="O450" i="139"/>
  <c r="O451" i="139"/>
  <c r="O452" i="139"/>
  <c r="O453" i="139"/>
  <c r="O454" i="139"/>
  <c r="O455" i="139"/>
  <c r="O456" i="139"/>
  <c r="O457" i="139"/>
  <c r="O458" i="139"/>
  <c r="O459" i="139"/>
  <c r="O460" i="139"/>
  <c r="O461" i="139"/>
  <c r="O462" i="139"/>
  <c r="O463" i="139"/>
  <c r="O464" i="139"/>
  <c r="O465" i="139"/>
  <c r="O466" i="139"/>
  <c r="O467" i="139"/>
  <c r="O468" i="139"/>
  <c r="O469" i="139"/>
  <c r="O470" i="139"/>
  <c r="O471" i="139"/>
  <c r="O472" i="139"/>
  <c r="O473" i="139"/>
  <c r="O474" i="139"/>
  <c r="O475" i="139"/>
  <c r="O476" i="139"/>
  <c r="O477" i="139"/>
  <c r="O478" i="139"/>
  <c r="O479" i="139"/>
  <c r="O480" i="139"/>
  <c r="O481" i="139"/>
  <c r="O482" i="139"/>
  <c r="O483" i="139"/>
  <c r="O484" i="139"/>
  <c r="O485" i="139"/>
  <c r="O486" i="139"/>
  <c r="O487" i="139"/>
  <c r="O488" i="139"/>
  <c r="O489" i="139"/>
  <c r="O490" i="139"/>
  <c r="O491" i="139"/>
  <c r="O492" i="139"/>
  <c r="O493" i="139"/>
  <c r="O494" i="139"/>
  <c r="O495" i="139"/>
  <c r="O496" i="139"/>
  <c r="O497" i="139"/>
  <c r="O498" i="139"/>
  <c r="O499" i="139"/>
  <c r="O500" i="139"/>
  <c r="O501" i="139"/>
  <c r="O502" i="139"/>
  <c r="O503" i="139"/>
  <c r="O504" i="139"/>
  <c r="O505" i="139"/>
  <c r="O506" i="139"/>
  <c r="O507" i="139"/>
  <c r="O508" i="139"/>
  <c r="O509" i="139"/>
  <c r="O510" i="139"/>
  <c r="O511" i="139"/>
  <c r="O512" i="139"/>
  <c r="A270" i="139"/>
  <c r="A271" i="139"/>
  <c r="A272" i="139" s="1"/>
  <c r="A273" i="139" s="1"/>
  <c r="A274" i="139" s="1"/>
  <c r="A275" i="139" s="1"/>
  <c r="A276" i="139" s="1"/>
  <c r="A277" i="139" s="1"/>
  <c r="A278" i="139" s="1"/>
  <c r="A279" i="139" s="1"/>
  <c r="A280" i="139" s="1"/>
  <c r="A281" i="139" s="1"/>
  <c r="A282" i="139" s="1"/>
  <c r="A283" i="139" s="1"/>
  <c r="A284" i="139" s="1"/>
  <c r="A285" i="139" s="1"/>
  <c r="A286" i="139" s="1"/>
  <c r="A287" i="139" s="1"/>
  <c r="A288" i="139" s="1"/>
  <c r="A289" i="139" s="1"/>
  <c r="A290" i="139" s="1"/>
  <c r="A291" i="139" s="1"/>
  <c r="A292" i="139" s="1"/>
  <c r="A293" i="139" s="1"/>
  <c r="A294" i="139" s="1"/>
  <c r="A295" i="139" s="1"/>
  <c r="A296" i="139" s="1"/>
  <c r="A297" i="139" s="1"/>
  <c r="A298" i="139" s="1"/>
  <c r="A299" i="139" s="1"/>
  <c r="A300" i="139" s="1"/>
  <c r="A301" i="139" s="1"/>
  <c r="A302" i="139" s="1"/>
  <c r="A303" i="139" s="1"/>
  <c r="A304" i="139" s="1"/>
  <c r="A305" i="139" s="1"/>
  <c r="A306" i="139" s="1"/>
  <c r="A307" i="139" s="1"/>
  <c r="A308" i="139" s="1"/>
  <c r="A309" i="139" s="1"/>
  <c r="A310" i="139" s="1"/>
  <c r="A311" i="139" s="1"/>
  <c r="A312" i="139" s="1"/>
  <c r="A313" i="139" s="1"/>
  <c r="A314" i="139" s="1"/>
  <c r="A315" i="139" s="1"/>
  <c r="A316" i="139" s="1"/>
  <c r="A317" i="139" s="1"/>
  <c r="A318" i="139" s="1"/>
  <c r="A319" i="139" s="1"/>
  <c r="A320" i="139" s="1"/>
  <c r="A321" i="139" s="1"/>
  <c r="A322" i="139" s="1"/>
  <c r="A323" i="139" s="1"/>
  <c r="A324" i="139" s="1"/>
  <c r="A325" i="139" s="1"/>
  <c r="A326" i="139" s="1"/>
  <c r="A327" i="139" s="1"/>
  <c r="A328" i="139" s="1"/>
  <c r="A329" i="139" s="1"/>
  <c r="A330" i="139" s="1"/>
  <c r="A331" i="139" s="1"/>
  <c r="A332" i="139" s="1"/>
  <c r="A333" i="139" s="1"/>
  <c r="A334" i="139" s="1"/>
  <c r="A335" i="139" s="1"/>
  <c r="A336" i="139" s="1"/>
  <c r="A337" i="139" s="1"/>
  <c r="A338" i="139" s="1"/>
  <c r="A339" i="139" s="1"/>
  <c r="A340" i="139" s="1"/>
  <c r="A341" i="139" s="1"/>
  <c r="A342" i="139" s="1"/>
  <c r="A343" i="139" s="1"/>
  <c r="A344" i="139" s="1"/>
  <c r="A345" i="139" s="1"/>
  <c r="A346" i="139" s="1"/>
  <c r="A347" i="139" s="1"/>
  <c r="A348" i="139" s="1"/>
  <c r="A349" i="139" s="1"/>
  <c r="A350" i="139" s="1"/>
  <c r="A351" i="139" s="1"/>
  <c r="A352" i="139" s="1"/>
  <c r="A353" i="139" s="1"/>
  <c r="A354" i="139" s="1"/>
  <c r="A355" i="139" s="1"/>
  <c r="A356" i="139" s="1"/>
  <c r="A357" i="139" s="1"/>
  <c r="A358" i="139" s="1"/>
  <c r="A359" i="139" s="1"/>
  <c r="A360" i="139" s="1"/>
  <c r="A361" i="139" s="1"/>
  <c r="A362" i="139" s="1"/>
  <c r="A363" i="139" s="1"/>
  <c r="A364" i="139" s="1"/>
  <c r="A365" i="139" s="1"/>
  <c r="A366" i="139" s="1"/>
  <c r="A367" i="139" s="1"/>
  <c r="A368" i="139" s="1"/>
  <c r="A369" i="139" s="1"/>
  <c r="A370" i="139" s="1"/>
  <c r="A371" i="139" s="1"/>
  <c r="A372" i="139" s="1"/>
  <c r="A373" i="139" s="1"/>
  <c r="A374" i="139" s="1"/>
  <c r="A375" i="139" s="1"/>
  <c r="A376" i="139" s="1"/>
  <c r="A377" i="139" s="1"/>
  <c r="A378" i="139" s="1"/>
  <c r="A379" i="139" s="1"/>
  <c r="A380" i="139" s="1"/>
  <c r="A381" i="139" s="1"/>
  <c r="A382" i="139" s="1"/>
  <c r="A383" i="139" s="1"/>
  <c r="A384" i="139" s="1"/>
  <c r="A385" i="139" s="1"/>
  <c r="A386" i="139" s="1"/>
  <c r="A387" i="139" s="1"/>
  <c r="A388" i="139" s="1"/>
  <c r="A389" i="139" s="1"/>
  <c r="A390" i="139" s="1"/>
  <c r="A391" i="139" s="1"/>
  <c r="A392" i="139" s="1"/>
  <c r="A393" i="139" s="1"/>
  <c r="A394" i="139" s="1"/>
  <c r="A395" i="139" s="1"/>
  <c r="A396" i="139" s="1"/>
  <c r="A397" i="139" s="1"/>
  <c r="A398" i="139" s="1"/>
  <c r="A399" i="139" s="1"/>
  <c r="A400" i="139" s="1"/>
  <c r="A401" i="139" s="1"/>
  <c r="A402" i="139" s="1"/>
  <c r="A403" i="139" s="1"/>
  <c r="A404" i="139" s="1"/>
  <c r="A405" i="139" s="1"/>
  <c r="A406" i="139" s="1"/>
  <c r="A407" i="139" s="1"/>
  <c r="A408" i="139" s="1"/>
  <c r="A409" i="139" s="1"/>
  <c r="A410" i="139" s="1"/>
  <c r="A411" i="139" s="1"/>
  <c r="A412" i="139" s="1"/>
  <c r="A413" i="139" s="1"/>
  <c r="A414" i="139" s="1"/>
  <c r="A415" i="139" s="1"/>
  <c r="A416" i="139" s="1"/>
  <c r="A417" i="139" s="1"/>
  <c r="A418" i="139" s="1"/>
  <c r="A419" i="139" s="1"/>
  <c r="A420" i="139" s="1"/>
  <c r="A421" i="139" s="1"/>
  <c r="A422" i="139" s="1"/>
  <c r="A423" i="139" s="1"/>
  <c r="A424" i="139" s="1"/>
  <c r="A425" i="139" s="1"/>
  <c r="A426" i="139" s="1"/>
  <c r="A427" i="139" s="1"/>
  <c r="A428" i="139" s="1"/>
  <c r="A429" i="139" s="1"/>
  <c r="A430" i="139" s="1"/>
  <c r="A431" i="139" s="1"/>
  <c r="A432" i="139" s="1"/>
  <c r="A433" i="139" s="1"/>
  <c r="A434" i="139" s="1"/>
  <c r="A435" i="139" s="1"/>
  <c r="A436" i="139" s="1"/>
  <c r="A437" i="139" s="1"/>
  <c r="A438" i="139" s="1"/>
  <c r="A439" i="139" s="1"/>
  <c r="A440" i="139" s="1"/>
  <c r="A441" i="139" s="1"/>
  <c r="A442" i="139" s="1"/>
  <c r="A443" i="139" s="1"/>
  <c r="A444" i="139" s="1"/>
  <c r="A445" i="139" s="1"/>
  <c r="A446" i="139" s="1"/>
  <c r="A447" i="139" s="1"/>
  <c r="A448" i="139" s="1"/>
  <c r="A449" i="139" s="1"/>
  <c r="A450" i="139" s="1"/>
  <c r="A451" i="139" s="1"/>
  <c r="A452" i="139" s="1"/>
  <c r="A453" i="139" s="1"/>
  <c r="A454" i="139" s="1"/>
  <c r="A455" i="139" s="1"/>
  <c r="A456" i="139" s="1"/>
  <c r="A457" i="139" s="1"/>
  <c r="A458" i="139" s="1"/>
  <c r="A459" i="139" s="1"/>
  <c r="A460" i="139" s="1"/>
  <c r="A461" i="139" s="1"/>
  <c r="A462" i="139" s="1"/>
  <c r="A463" i="139" s="1"/>
  <c r="A464" i="139" s="1"/>
  <c r="A465" i="139" s="1"/>
  <c r="A466" i="139" s="1"/>
  <c r="A467" i="139" s="1"/>
  <c r="A468" i="139" s="1"/>
  <c r="A469" i="139" s="1"/>
  <c r="A470" i="139" s="1"/>
  <c r="A471" i="139" s="1"/>
  <c r="A472" i="139" s="1"/>
  <c r="A473" i="139" s="1"/>
  <c r="A474" i="139" s="1"/>
  <c r="A475" i="139" s="1"/>
  <c r="A476" i="139" s="1"/>
  <c r="A477" i="139" s="1"/>
  <c r="A478" i="139" s="1"/>
  <c r="A479" i="139" s="1"/>
  <c r="A480" i="139" s="1"/>
  <c r="A481" i="139" s="1"/>
  <c r="A482" i="139" s="1"/>
  <c r="A483" i="139" s="1"/>
  <c r="A484" i="139" s="1"/>
  <c r="A485" i="139" s="1"/>
  <c r="A486" i="139" s="1"/>
  <c r="A487" i="139" s="1"/>
  <c r="A488" i="139" s="1"/>
  <c r="A489" i="139" s="1"/>
  <c r="A490" i="139" s="1"/>
  <c r="A491" i="139" s="1"/>
  <c r="A492" i="139" s="1"/>
  <c r="A493" i="139" s="1"/>
  <c r="A494" i="139" s="1"/>
  <c r="A495" i="139" s="1"/>
  <c r="A496" i="139" s="1"/>
  <c r="A497" i="139" s="1"/>
  <c r="A498" i="139" s="1"/>
  <c r="A499" i="139" s="1"/>
  <c r="A500" i="139" s="1"/>
  <c r="A501" i="139" s="1"/>
  <c r="A502" i="139" s="1"/>
  <c r="A503" i="139" s="1"/>
  <c r="A504" i="139" s="1"/>
  <c r="A505" i="139" s="1"/>
  <c r="A506" i="139" s="1"/>
  <c r="A507" i="139" s="1"/>
  <c r="A508" i="139" s="1"/>
  <c r="A509" i="139" s="1"/>
  <c r="A510" i="139" s="1"/>
  <c r="A511" i="139" s="1"/>
  <c r="A512" i="139" s="1"/>
  <c r="O3" i="153"/>
  <c r="O4" i="153"/>
  <c r="O5" i="153"/>
  <c r="O6" i="153"/>
  <c r="O7" i="153"/>
  <c r="O8" i="153"/>
  <c r="O9" i="153"/>
  <c r="O10" i="153"/>
  <c r="O11" i="153"/>
  <c r="O12" i="153"/>
  <c r="O13" i="153"/>
  <c r="O14" i="153"/>
  <c r="O15" i="153"/>
  <c r="O16" i="153"/>
  <c r="O17" i="153"/>
  <c r="O18" i="153"/>
  <c r="O19" i="153"/>
  <c r="O20" i="153"/>
  <c r="O21" i="153"/>
  <c r="O22" i="153"/>
  <c r="O23" i="153"/>
  <c r="O24" i="153"/>
  <c r="O25" i="153"/>
  <c r="O26" i="153"/>
  <c r="O27" i="153"/>
  <c r="O28" i="153"/>
  <c r="O29" i="153"/>
  <c r="O30" i="153"/>
  <c r="O31" i="153"/>
  <c r="O32" i="153"/>
  <c r="O33" i="153"/>
  <c r="O34" i="153"/>
  <c r="O35" i="153"/>
  <c r="O36" i="153"/>
  <c r="O37" i="153"/>
  <c r="O38" i="153"/>
  <c r="O39" i="153"/>
  <c r="O40" i="153"/>
  <c r="O41" i="153"/>
  <c r="O42" i="153"/>
  <c r="O43" i="153"/>
  <c r="O2" i="153"/>
  <c r="N16" i="153"/>
  <c r="N17" i="153" s="1"/>
  <c r="N18" i="153" s="1"/>
  <c r="N19" i="153" s="1"/>
  <c r="N20" i="153" s="1"/>
  <c r="N21" i="153" s="1"/>
  <c r="N22" i="153" s="1"/>
  <c r="N23" i="153" s="1"/>
  <c r="N24" i="153" s="1"/>
  <c r="N25" i="153" s="1"/>
  <c r="N26" i="153" s="1"/>
  <c r="N27" i="153" s="1"/>
  <c r="N28" i="153" s="1"/>
  <c r="N29" i="153" s="1"/>
  <c r="N30" i="153" s="1"/>
  <c r="N31" i="153" s="1"/>
  <c r="N32" i="153" s="1"/>
  <c r="N33" i="153" s="1"/>
  <c r="N34" i="153" s="1"/>
  <c r="N35" i="153" s="1"/>
  <c r="N36" i="153" s="1"/>
  <c r="N37" i="153" s="1"/>
  <c r="N38" i="153" s="1"/>
  <c r="N39" i="153" s="1"/>
  <c r="N40" i="153" s="1"/>
  <c r="N41" i="153" s="1"/>
  <c r="N42" i="153" s="1"/>
  <c r="N43" i="153" s="1"/>
  <c r="P16" i="153"/>
  <c r="P17" i="153" s="1"/>
  <c r="P18" i="153" s="1"/>
  <c r="P19" i="153" s="1"/>
  <c r="P20" i="153" s="1"/>
  <c r="P21" i="153" s="1"/>
  <c r="P22" i="153" s="1"/>
  <c r="P23" i="153" s="1"/>
  <c r="P24" i="153" s="1"/>
  <c r="P25" i="153" s="1"/>
  <c r="P26" i="153" s="1"/>
  <c r="P27" i="153" s="1"/>
  <c r="P28" i="153" s="1"/>
  <c r="P29" i="153" s="1"/>
  <c r="P30" i="153" s="1"/>
  <c r="P31" i="153" s="1"/>
  <c r="P32" i="153" s="1"/>
  <c r="P33" i="153" s="1"/>
  <c r="P34" i="153" s="1"/>
  <c r="P35" i="153" s="1"/>
  <c r="P36" i="153" s="1"/>
  <c r="P37" i="153" s="1"/>
  <c r="P38" i="153" s="1"/>
  <c r="P39" i="153" s="1"/>
  <c r="P40" i="153" s="1"/>
  <c r="P41" i="153" s="1"/>
  <c r="P42" i="153" s="1"/>
  <c r="P43" i="153" s="1"/>
  <c r="C7" i="120" l="1"/>
  <c r="C8" i="120" s="1"/>
  <c r="C2" i="139"/>
  <c r="C2" i="80"/>
  <c r="C2" i="93" s="1"/>
  <c r="C3" i="93" s="1"/>
  <c r="C4" i="93" s="1"/>
  <c r="C5" i="93" s="1"/>
  <c r="C6" i="93" s="1"/>
  <c r="C7" i="93" s="1"/>
  <c r="C8" i="93" s="1"/>
  <c r="C9" i="93" s="1"/>
  <c r="C10" i="93" s="1"/>
  <c r="C11" i="93" s="1"/>
  <c r="C12" i="93" s="1"/>
  <c r="C13" i="93" s="1"/>
  <c r="C14" i="93" s="1"/>
  <c r="C15" i="93" s="1"/>
  <c r="C16" i="93" s="1"/>
  <c r="C17" i="93" s="1"/>
  <c r="C18" i="93" s="1"/>
  <c r="C19" i="93" s="1"/>
  <c r="C20" i="93" s="1"/>
  <c r="C21" i="93" s="1"/>
  <c r="C22" i="93" s="1"/>
  <c r="C23" i="93" s="1"/>
  <c r="C24" i="93" s="1"/>
  <c r="C25" i="93" s="1"/>
  <c r="C26" i="93" s="1"/>
  <c r="C27" i="93" s="1"/>
  <c r="C28" i="93" s="1"/>
  <c r="C29" i="93" s="1"/>
  <c r="C30" i="93" s="1"/>
  <c r="C31" i="93" s="1"/>
  <c r="C32" i="93" s="1"/>
  <c r="C33" i="93" s="1"/>
  <c r="C34" i="93" s="1"/>
  <c r="C35" i="93" s="1"/>
  <c r="C36" i="93" s="1"/>
  <c r="C37" i="93" s="1"/>
  <c r="C38" i="93" s="1"/>
  <c r="C39" i="93" s="1"/>
  <c r="C40" i="93" s="1"/>
  <c r="C41" i="93" s="1"/>
  <c r="C42" i="93" s="1"/>
  <c r="C43" i="93" s="1"/>
  <c r="C44" i="93" s="1"/>
  <c r="C45" i="93" s="1"/>
  <c r="C46" i="93" s="1"/>
  <c r="C47" i="93" s="1"/>
  <c r="C48" i="93" s="1"/>
  <c r="C49" i="93" s="1"/>
  <c r="C50" i="93" s="1"/>
  <c r="C51" i="93" s="1"/>
  <c r="C52" i="93" s="1"/>
  <c r="C53" i="93" s="1"/>
  <c r="C54" i="93" s="1"/>
  <c r="C55" i="93" s="1"/>
  <c r="C56" i="93" s="1"/>
  <c r="C57" i="93" s="1"/>
  <c r="C58" i="93" s="1"/>
  <c r="C59" i="93" s="1"/>
  <c r="C60" i="93" s="1"/>
  <c r="C61" i="93" s="1"/>
  <c r="C62" i="93" s="1"/>
  <c r="C63" i="93" s="1"/>
  <c r="C64" i="93" s="1"/>
  <c r="C65" i="93" s="1"/>
  <c r="C66" i="93" s="1"/>
  <c r="C67" i="93" s="1"/>
  <c r="C68" i="93" s="1"/>
  <c r="C69" i="93" s="1"/>
  <c r="C70" i="93" s="1"/>
  <c r="C71" i="93" s="1"/>
  <c r="C72" i="93" s="1"/>
  <c r="C73" i="93" s="1"/>
  <c r="C74" i="93" s="1"/>
  <c r="C75" i="93" s="1"/>
  <c r="C76" i="93" s="1"/>
  <c r="C77" i="93" s="1"/>
  <c r="C78" i="93" s="1"/>
  <c r="C79" i="93" s="1"/>
  <c r="C80" i="93" s="1"/>
  <c r="C81" i="93" s="1"/>
  <c r="C82" i="93" s="1"/>
  <c r="C83" i="93" s="1"/>
  <c r="C84" i="93" s="1"/>
  <c r="C85" i="93" s="1"/>
  <c r="C86" i="93" s="1"/>
  <c r="C87" i="93" s="1"/>
  <c r="C88" i="93" s="1"/>
  <c r="C89" i="93" s="1"/>
  <c r="C90" i="93" s="1"/>
  <c r="C91" i="93" s="1"/>
  <c r="C92" i="93" s="1"/>
  <c r="C93" i="93" s="1"/>
  <c r="C94" i="93" s="1"/>
  <c r="C95" i="93" s="1"/>
  <c r="C96" i="93" s="1"/>
  <c r="C97" i="93" s="1"/>
  <c r="C98" i="93" s="1"/>
  <c r="C99" i="93" s="1"/>
  <c r="C100" i="93" s="1"/>
  <c r="C101" i="93" s="1"/>
  <c r="C102" i="93" s="1"/>
  <c r="C103" i="93" s="1"/>
  <c r="C104" i="93" s="1"/>
  <c r="C105" i="93" s="1"/>
  <c r="C106" i="93" s="1"/>
  <c r="C107" i="93" s="1"/>
  <c r="C108" i="93" s="1"/>
  <c r="C109" i="93" s="1"/>
  <c r="C110" i="93" s="1"/>
  <c r="C111" i="93" s="1"/>
  <c r="C112" i="93" s="1"/>
  <c r="C113" i="93" s="1"/>
  <c r="C114" i="93" s="1"/>
  <c r="C115" i="93" s="1"/>
  <c r="C116" i="93" s="1"/>
  <c r="C117" i="93" s="1"/>
  <c r="C118" i="93" s="1"/>
  <c r="C119" i="93" s="1"/>
  <c r="C120" i="93" s="1"/>
  <c r="C121" i="93" s="1"/>
  <c r="C122" i="93" s="1"/>
  <c r="C123" i="93" s="1"/>
  <c r="C124" i="93" s="1"/>
  <c r="C125" i="93" s="1"/>
  <c r="C126" i="93" s="1"/>
  <c r="C127" i="93" s="1"/>
  <c r="C128" i="93" s="1"/>
  <c r="C129" i="93" s="1"/>
  <c r="C130" i="93" s="1"/>
  <c r="C131" i="93" s="1"/>
  <c r="C132" i="93" s="1"/>
  <c r="C133" i="93" s="1"/>
  <c r="C134" i="93" s="1"/>
  <c r="C135" i="93" s="1"/>
  <c r="C136" i="93" s="1"/>
  <c r="C137" i="93" s="1"/>
  <c r="C138" i="93" s="1"/>
  <c r="C139" i="93" s="1"/>
  <c r="C140" i="93" s="1"/>
  <c r="C141" i="93" s="1"/>
  <c r="C142" i="93" s="1"/>
  <c r="C143" i="93" s="1"/>
  <c r="C144" i="93" s="1"/>
  <c r="C145" i="93" s="1"/>
  <c r="C146" i="93" s="1"/>
  <c r="C147" i="93" s="1"/>
  <c r="C148" i="93" s="1"/>
  <c r="C149" i="93" s="1"/>
  <c r="C150" i="93" s="1"/>
  <c r="C151" i="93" s="1"/>
  <c r="C152" i="93" s="1"/>
  <c r="C153" i="93" s="1"/>
  <c r="C154" i="93" s="1"/>
  <c r="C155" i="93" s="1"/>
  <c r="C156" i="93" s="1"/>
  <c r="C157" i="93" s="1"/>
  <c r="C158" i="93" s="1"/>
  <c r="C159" i="93" s="1"/>
  <c r="C160" i="93" s="1"/>
  <c r="C161" i="93" s="1"/>
  <c r="C162" i="93" s="1"/>
  <c r="C163" i="93" s="1"/>
  <c r="C164" i="93" s="1"/>
  <c r="C165" i="93" s="1"/>
  <c r="C166" i="93" s="1"/>
  <c r="C167" i="93" s="1"/>
  <c r="C168" i="93" s="1"/>
  <c r="C169" i="93" s="1"/>
  <c r="C170" i="93" s="1"/>
  <c r="C171" i="93" s="1"/>
  <c r="C172" i="93" s="1"/>
  <c r="C173" i="93" s="1"/>
  <c r="C174" i="93" s="1"/>
  <c r="C175" i="93" s="1"/>
  <c r="C176" i="93" s="1"/>
  <c r="C177" i="93" s="1"/>
  <c r="C178" i="93" s="1"/>
  <c r="C179" i="93" s="1"/>
  <c r="C180" i="93" s="1"/>
  <c r="C181" i="93" s="1"/>
  <c r="C182" i="93" s="1"/>
  <c r="C183" i="93" s="1"/>
  <c r="C184" i="93" s="1"/>
  <c r="C185" i="93" s="1"/>
  <c r="C186" i="93" s="1"/>
  <c r="C187" i="93" s="1"/>
  <c r="C188" i="93" s="1"/>
  <c r="C189" i="93" s="1"/>
  <c r="C190" i="93" s="1"/>
  <c r="C191" i="93" s="1"/>
  <c r="C192" i="93" s="1"/>
  <c r="C193" i="93" s="1"/>
  <c r="C194" i="93" s="1"/>
  <c r="C195" i="93" s="1"/>
  <c r="C196" i="93" s="1"/>
  <c r="C197" i="93" s="1"/>
  <c r="C198" i="93" s="1"/>
  <c r="C199" i="93" s="1"/>
  <c r="C200" i="93" s="1"/>
  <c r="C201" i="93" s="1"/>
  <c r="C202" i="93" s="1"/>
  <c r="C203" i="93" s="1"/>
  <c r="C204" i="93" s="1"/>
  <c r="C205" i="93" s="1"/>
  <c r="C206" i="93" s="1"/>
  <c r="C207" i="93" s="1"/>
  <c r="C208" i="93" s="1"/>
  <c r="C209" i="93" s="1"/>
  <c r="C210" i="93" s="1"/>
  <c r="C211" i="93" s="1"/>
  <c r="C212" i="93" s="1"/>
  <c r="C213" i="93" s="1"/>
  <c r="C214" i="93" s="1"/>
  <c r="C215" i="93" s="1"/>
  <c r="C216" i="93" s="1"/>
  <c r="C217" i="93" s="1"/>
  <c r="C218" i="93" s="1"/>
  <c r="C219" i="93" s="1"/>
  <c r="C220" i="93" s="1"/>
  <c r="C221" i="93" s="1"/>
  <c r="C222" i="93" s="1"/>
  <c r="C223" i="93" s="1"/>
  <c r="C224" i="93" s="1"/>
  <c r="C225" i="93" s="1"/>
  <c r="C226" i="93" s="1"/>
  <c r="C227" i="93" s="1"/>
  <c r="C228" i="93" s="1"/>
  <c r="C229" i="93" s="1"/>
  <c r="C230" i="93" s="1"/>
  <c r="C231" i="93" s="1"/>
  <c r="C232" i="93" s="1"/>
  <c r="C233" i="93" s="1"/>
  <c r="C234" i="93" s="1"/>
  <c r="C235" i="93" s="1"/>
  <c r="C236" i="93" s="1"/>
  <c r="C237" i="93" s="1"/>
  <c r="C238" i="93" s="1"/>
  <c r="C239" i="93" s="1"/>
  <c r="C240" i="93" s="1"/>
  <c r="C241" i="93" s="1"/>
  <c r="C242" i="93" s="1"/>
  <c r="C243" i="93" s="1"/>
  <c r="C244" i="93" s="1"/>
  <c r="C245" i="93" s="1"/>
  <c r="C246" i="93" s="1"/>
  <c r="C247" i="93" s="1"/>
  <c r="C248" i="93" s="1"/>
  <c r="C249" i="93" s="1"/>
  <c r="C250" i="93" s="1"/>
  <c r="C251" i="93" s="1"/>
  <c r="C252" i="93" s="1"/>
  <c r="C253" i="93" s="1"/>
  <c r="C254" i="93" s="1"/>
  <c r="C255" i="93" s="1"/>
  <c r="C256" i="93" s="1"/>
  <c r="C257" i="93" s="1"/>
  <c r="C258" i="93" s="1"/>
  <c r="C259" i="93" s="1"/>
  <c r="C260" i="93" s="1"/>
  <c r="C261" i="93" s="1"/>
  <c r="C262" i="93" s="1"/>
  <c r="C263" i="93" s="1"/>
  <c r="C264" i="93" s="1"/>
  <c r="C265" i="93" s="1"/>
  <c r="C266" i="93" s="1"/>
  <c r="C267" i="93" s="1"/>
  <c r="C268" i="93" s="1"/>
  <c r="C269" i="93" s="1"/>
  <c r="C270" i="93" s="1"/>
  <c r="C271" i="93" s="1"/>
  <c r="C272" i="93" s="1"/>
  <c r="C273" i="93" s="1"/>
  <c r="C274" i="93" s="1"/>
  <c r="C275" i="93" s="1"/>
  <c r="C276" i="93" s="1"/>
  <c r="C277" i="93" s="1"/>
  <c r="C278" i="93" s="1"/>
  <c r="C279" i="93" s="1"/>
  <c r="C280" i="93" s="1"/>
  <c r="C281" i="93" s="1"/>
  <c r="C282" i="93" s="1"/>
  <c r="C283" i="93" s="1"/>
  <c r="C284" i="93" s="1"/>
  <c r="C285" i="93" s="1"/>
  <c r="C286" i="93" s="1"/>
  <c r="C287" i="93" s="1"/>
  <c r="C288" i="93" s="1"/>
  <c r="C289" i="93" s="1"/>
  <c r="C290" i="93" s="1"/>
  <c r="C291" i="93" s="1"/>
  <c r="C292" i="93" s="1"/>
  <c r="C293" i="93" s="1"/>
  <c r="C294" i="93" s="1"/>
  <c r="C295" i="93" s="1"/>
  <c r="C296" i="93" s="1"/>
  <c r="C297" i="93" s="1"/>
  <c r="C298" i="93" s="1"/>
  <c r="C299" i="93" s="1"/>
  <c r="C300" i="93" s="1"/>
  <c r="C301" i="93" s="1"/>
  <c r="C302" i="93" s="1"/>
  <c r="C303" i="93" s="1"/>
  <c r="C304" i="93" s="1"/>
  <c r="C305" i="93" s="1"/>
  <c r="C306" i="93" s="1"/>
  <c r="C307" i="93" s="1"/>
  <c r="C308" i="93" s="1"/>
  <c r="C309" i="93" s="1"/>
  <c r="C310" i="93" s="1"/>
  <c r="C311" i="93" s="1"/>
  <c r="C312" i="93" s="1"/>
  <c r="C313" i="93" s="1"/>
  <c r="C314" i="93" s="1"/>
  <c r="C315" i="93" s="1"/>
  <c r="C316" i="93" s="1"/>
  <c r="C317" i="93" s="1"/>
  <c r="C318" i="93" s="1"/>
  <c r="C319" i="93" s="1"/>
  <c r="C320" i="93" s="1"/>
  <c r="C321" i="93" s="1"/>
  <c r="C322" i="93" s="1"/>
  <c r="C323" i="93" s="1"/>
  <c r="C324" i="93" s="1"/>
  <c r="C325" i="93" s="1"/>
  <c r="C326" i="93" s="1"/>
  <c r="C327" i="93" s="1"/>
  <c r="C328" i="93" s="1"/>
  <c r="C329" i="93" s="1"/>
  <c r="C330" i="93" s="1"/>
  <c r="C331" i="93" s="1"/>
  <c r="C332" i="93" s="1"/>
  <c r="C333" i="93" s="1"/>
  <c r="C334" i="93" s="1"/>
  <c r="C335" i="93" s="1"/>
  <c r="C336" i="93" s="1"/>
  <c r="C337" i="93" s="1"/>
  <c r="C338" i="93" s="1"/>
  <c r="C339" i="93" s="1"/>
  <c r="C340" i="93" s="1"/>
  <c r="C341" i="93" s="1"/>
  <c r="C342" i="93" s="1"/>
  <c r="C343" i="93" s="1"/>
  <c r="C344" i="93" s="1"/>
  <c r="C345" i="93" s="1"/>
  <c r="C346" i="93" s="1"/>
  <c r="C347" i="93" s="1"/>
  <c r="C348" i="93" s="1"/>
  <c r="C349" i="93" s="1"/>
  <c r="C350" i="93" s="1"/>
  <c r="C351" i="93" s="1"/>
  <c r="C352" i="93" s="1"/>
  <c r="C353" i="93" s="1"/>
  <c r="C354" i="93" s="1"/>
  <c r="C355" i="93" s="1"/>
  <c r="C356" i="93" s="1"/>
  <c r="C357" i="93" s="1"/>
  <c r="C358" i="93" s="1"/>
  <c r="C359" i="93" s="1"/>
  <c r="C360" i="93" s="1"/>
  <c r="C361" i="93" s="1"/>
  <c r="C362" i="93" s="1"/>
  <c r="C363" i="93" s="1"/>
  <c r="C364" i="93" s="1"/>
  <c r="C365" i="93" s="1"/>
  <c r="C366" i="93" s="1"/>
  <c r="C367" i="93" s="1"/>
  <c r="C368" i="93" s="1"/>
  <c r="C369" i="93" s="1"/>
  <c r="C370" i="93" s="1"/>
  <c r="C371" i="93" s="1"/>
  <c r="C372" i="93" s="1"/>
  <c r="C373" i="93" s="1"/>
  <c r="C374" i="93" s="1"/>
  <c r="C375" i="93" s="1"/>
  <c r="C376" i="93" s="1"/>
  <c r="C377" i="93" s="1"/>
  <c r="C378" i="93" s="1"/>
  <c r="C379" i="93" s="1"/>
  <c r="C380" i="93" s="1"/>
  <c r="C381" i="93" s="1"/>
  <c r="C382" i="93" s="1"/>
  <c r="C383" i="93" s="1"/>
  <c r="C384" i="93" s="1"/>
  <c r="C385" i="93" s="1"/>
  <c r="C386" i="93" s="1"/>
  <c r="C387" i="93" s="1"/>
  <c r="C388" i="93" s="1"/>
  <c r="C2" i="151"/>
  <c r="C2" i="74"/>
  <c r="B7" i="120"/>
  <c r="B8" i="120" s="1"/>
  <c r="B2" i="80"/>
  <c r="B2" i="93" s="1"/>
  <c r="B3" i="93" s="1"/>
  <c r="B4" i="93" s="1"/>
  <c r="B5" i="93" s="1"/>
  <c r="B6" i="93" s="1"/>
  <c r="B7" i="93" s="1"/>
  <c r="B8" i="93" s="1"/>
  <c r="B9" i="93" s="1"/>
  <c r="B10" i="93" s="1"/>
  <c r="B11" i="93" s="1"/>
  <c r="B12" i="93" s="1"/>
  <c r="B13" i="93" s="1"/>
  <c r="B14" i="93" s="1"/>
  <c r="B15" i="93" s="1"/>
  <c r="B16" i="93" s="1"/>
  <c r="B17" i="93" s="1"/>
  <c r="B18" i="93" s="1"/>
  <c r="B19" i="93" s="1"/>
  <c r="B20" i="93" s="1"/>
  <c r="B21" i="93" s="1"/>
  <c r="B22" i="93" s="1"/>
  <c r="B23" i="93" s="1"/>
  <c r="B24" i="93" s="1"/>
  <c r="B25" i="93" s="1"/>
  <c r="B26" i="93" s="1"/>
  <c r="B27" i="93" s="1"/>
  <c r="B28" i="93" s="1"/>
  <c r="B29" i="93" s="1"/>
  <c r="B30" i="93" s="1"/>
  <c r="B31" i="93" s="1"/>
  <c r="B32" i="93" s="1"/>
  <c r="B33" i="93" s="1"/>
  <c r="B34" i="93" s="1"/>
  <c r="B35" i="93" s="1"/>
  <c r="B36" i="93" s="1"/>
  <c r="B37" i="93" s="1"/>
  <c r="B38" i="93" s="1"/>
  <c r="B39" i="93" s="1"/>
  <c r="B40" i="93" s="1"/>
  <c r="B41" i="93" s="1"/>
  <c r="B42" i="93" s="1"/>
  <c r="B43" i="93" s="1"/>
  <c r="B44" i="93" s="1"/>
  <c r="B45" i="93" s="1"/>
  <c r="B46" i="93" s="1"/>
  <c r="B47" i="93" s="1"/>
  <c r="B48" i="93" s="1"/>
  <c r="B49" i="93" s="1"/>
  <c r="B50" i="93" s="1"/>
  <c r="B51" i="93" s="1"/>
  <c r="B52" i="93" s="1"/>
  <c r="B53" i="93" s="1"/>
  <c r="B54" i="93" s="1"/>
  <c r="B55" i="93" s="1"/>
  <c r="B56" i="93" s="1"/>
  <c r="B57" i="93" s="1"/>
  <c r="B58" i="93" s="1"/>
  <c r="B59" i="93" s="1"/>
  <c r="B60" i="93" s="1"/>
  <c r="B61" i="93" s="1"/>
  <c r="B62" i="93" s="1"/>
  <c r="B63" i="93" s="1"/>
  <c r="B64" i="93" s="1"/>
  <c r="B65" i="93" s="1"/>
  <c r="B66" i="93" s="1"/>
  <c r="B67" i="93" s="1"/>
  <c r="B68" i="93" s="1"/>
  <c r="B69" i="93" s="1"/>
  <c r="B70" i="93" s="1"/>
  <c r="B71" i="93" s="1"/>
  <c r="B72" i="93" s="1"/>
  <c r="B73" i="93" s="1"/>
  <c r="B74" i="93" s="1"/>
  <c r="B75" i="93" s="1"/>
  <c r="B76" i="93" s="1"/>
  <c r="B77" i="93" s="1"/>
  <c r="B78" i="93" s="1"/>
  <c r="B79" i="93" s="1"/>
  <c r="B80" i="93" s="1"/>
  <c r="B81" i="93" s="1"/>
  <c r="B82" i="93" s="1"/>
  <c r="B83" i="93" s="1"/>
  <c r="B84" i="93" s="1"/>
  <c r="B85" i="93" s="1"/>
  <c r="B86" i="93" s="1"/>
  <c r="B87" i="93" s="1"/>
  <c r="B88" i="93" s="1"/>
  <c r="B89" i="93" s="1"/>
  <c r="B90" i="93" s="1"/>
  <c r="B91" i="93" s="1"/>
  <c r="B92" i="93" s="1"/>
  <c r="B93" i="93" s="1"/>
  <c r="B94" i="93" s="1"/>
  <c r="B95" i="93" s="1"/>
  <c r="B96" i="93" s="1"/>
  <c r="B97" i="93" s="1"/>
  <c r="B98" i="93" s="1"/>
  <c r="B99" i="93" s="1"/>
  <c r="B100" i="93" s="1"/>
  <c r="B101" i="93" s="1"/>
  <c r="B102" i="93" s="1"/>
  <c r="B103" i="93" s="1"/>
  <c r="B104" i="93" s="1"/>
  <c r="B105" i="93" s="1"/>
  <c r="B106" i="93" s="1"/>
  <c r="B107" i="93" s="1"/>
  <c r="B108" i="93" s="1"/>
  <c r="B109" i="93" s="1"/>
  <c r="B110" i="93" s="1"/>
  <c r="B111" i="93" s="1"/>
  <c r="B112" i="93" s="1"/>
  <c r="B113" i="93" s="1"/>
  <c r="B114" i="93" s="1"/>
  <c r="B115" i="93" s="1"/>
  <c r="B116" i="93" s="1"/>
  <c r="B117" i="93" s="1"/>
  <c r="B118" i="93" s="1"/>
  <c r="B119" i="93" s="1"/>
  <c r="B120" i="93" s="1"/>
  <c r="B121" i="93" s="1"/>
  <c r="B122" i="93" s="1"/>
  <c r="B123" i="93" s="1"/>
  <c r="B124" i="93" s="1"/>
  <c r="B125" i="93" s="1"/>
  <c r="B126" i="93" s="1"/>
  <c r="B127" i="93" s="1"/>
  <c r="B128" i="93" s="1"/>
  <c r="B129" i="93" s="1"/>
  <c r="B130" i="93" s="1"/>
  <c r="B131" i="93" s="1"/>
  <c r="B132" i="93" s="1"/>
  <c r="B133" i="93" s="1"/>
  <c r="B134" i="93" s="1"/>
  <c r="B135" i="93" s="1"/>
  <c r="B136" i="93" s="1"/>
  <c r="B137" i="93" s="1"/>
  <c r="B138" i="93" s="1"/>
  <c r="B139" i="93" s="1"/>
  <c r="B140" i="93" s="1"/>
  <c r="B141" i="93" s="1"/>
  <c r="B142" i="93" s="1"/>
  <c r="B143" i="93" s="1"/>
  <c r="B144" i="93" s="1"/>
  <c r="B145" i="93" s="1"/>
  <c r="B146" i="93" s="1"/>
  <c r="B147" i="93" s="1"/>
  <c r="B148" i="93" s="1"/>
  <c r="B149" i="93" s="1"/>
  <c r="B150" i="93" s="1"/>
  <c r="B151" i="93" s="1"/>
  <c r="B152" i="93" s="1"/>
  <c r="B153" i="93" s="1"/>
  <c r="B154" i="93" s="1"/>
  <c r="B155" i="93" s="1"/>
  <c r="B156" i="93" s="1"/>
  <c r="B157" i="93" s="1"/>
  <c r="B158" i="93" s="1"/>
  <c r="B159" i="93" s="1"/>
  <c r="B160" i="93" s="1"/>
  <c r="B161" i="93" s="1"/>
  <c r="B162" i="93" s="1"/>
  <c r="B163" i="93" s="1"/>
  <c r="B164" i="93" s="1"/>
  <c r="B165" i="93" s="1"/>
  <c r="B166" i="93" s="1"/>
  <c r="B167" i="93" s="1"/>
  <c r="B168" i="93" s="1"/>
  <c r="B169" i="93" s="1"/>
  <c r="B170" i="93" s="1"/>
  <c r="B171" i="93" s="1"/>
  <c r="B172" i="93" s="1"/>
  <c r="B173" i="93" s="1"/>
  <c r="B174" i="93" s="1"/>
  <c r="B175" i="93" s="1"/>
  <c r="B176" i="93" s="1"/>
  <c r="B177" i="93" s="1"/>
  <c r="B178" i="93" s="1"/>
  <c r="B179" i="93" s="1"/>
  <c r="B180" i="93" s="1"/>
  <c r="B181" i="93" s="1"/>
  <c r="B182" i="93" s="1"/>
  <c r="B183" i="93" s="1"/>
  <c r="B184" i="93" s="1"/>
  <c r="B185" i="93" s="1"/>
  <c r="B186" i="93" s="1"/>
  <c r="B187" i="93" s="1"/>
  <c r="B188" i="93" s="1"/>
  <c r="B189" i="93" s="1"/>
  <c r="B190" i="93" s="1"/>
  <c r="B191" i="93" s="1"/>
  <c r="B192" i="93" s="1"/>
  <c r="B193" i="93" s="1"/>
  <c r="B194" i="93" s="1"/>
  <c r="B195" i="93" s="1"/>
  <c r="B196" i="93" s="1"/>
  <c r="B197" i="93" s="1"/>
  <c r="B198" i="93" s="1"/>
  <c r="B199" i="93" s="1"/>
  <c r="B200" i="93" s="1"/>
  <c r="B201" i="93" s="1"/>
  <c r="B202" i="93" s="1"/>
  <c r="B203" i="93" s="1"/>
  <c r="B204" i="93" s="1"/>
  <c r="B205" i="93" s="1"/>
  <c r="B206" i="93" s="1"/>
  <c r="B207" i="93" s="1"/>
  <c r="B208" i="93" s="1"/>
  <c r="B209" i="93" s="1"/>
  <c r="B210" i="93" s="1"/>
  <c r="B211" i="93" s="1"/>
  <c r="B212" i="93" s="1"/>
  <c r="B213" i="93" s="1"/>
  <c r="B214" i="93" s="1"/>
  <c r="B215" i="93" s="1"/>
  <c r="B216" i="93" s="1"/>
  <c r="B217" i="93" s="1"/>
  <c r="B218" i="93" s="1"/>
  <c r="B219" i="93" s="1"/>
  <c r="B220" i="93" s="1"/>
  <c r="B221" i="93" s="1"/>
  <c r="B222" i="93" s="1"/>
  <c r="B223" i="93" s="1"/>
  <c r="B224" i="93" s="1"/>
  <c r="B225" i="93" s="1"/>
  <c r="B226" i="93" s="1"/>
  <c r="B227" i="93" s="1"/>
  <c r="B228" i="93" s="1"/>
  <c r="B229" i="93" s="1"/>
  <c r="B230" i="93" s="1"/>
  <c r="B231" i="93" s="1"/>
  <c r="B232" i="93" s="1"/>
  <c r="B233" i="93" s="1"/>
  <c r="B234" i="93" s="1"/>
  <c r="B235" i="93" s="1"/>
  <c r="B236" i="93" s="1"/>
  <c r="B237" i="93" s="1"/>
  <c r="B238" i="93" s="1"/>
  <c r="B239" i="93" s="1"/>
  <c r="B240" i="93" s="1"/>
  <c r="B241" i="93" s="1"/>
  <c r="B242" i="93" s="1"/>
  <c r="B243" i="93" s="1"/>
  <c r="B244" i="93" s="1"/>
  <c r="B245" i="93" s="1"/>
  <c r="B246" i="93" s="1"/>
  <c r="B247" i="93" s="1"/>
  <c r="B248" i="93" s="1"/>
  <c r="B249" i="93" s="1"/>
  <c r="B250" i="93" s="1"/>
  <c r="B251" i="93" s="1"/>
  <c r="B252" i="93" s="1"/>
  <c r="B253" i="93" s="1"/>
  <c r="B254" i="93" s="1"/>
  <c r="B255" i="93" s="1"/>
  <c r="B256" i="93" s="1"/>
  <c r="B257" i="93" s="1"/>
  <c r="B258" i="93" s="1"/>
  <c r="B259" i="93" s="1"/>
  <c r="B260" i="93" s="1"/>
  <c r="B261" i="93" s="1"/>
  <c r="B262" i="93" s="1"/>
  <c r="B263" i="93" s="1"/>
  <c r="B264" i="93" s="1"/>
  <c r="B265" i="93" s="1"/>
  <c r="B266" i="93" s="1"/>
  <c r="B267" i="93" s="1"/>
  <c r="B268" i="93" s="1"/>
  <c r="B269" i="93" s="1"/>
  <c r="B270" i="93" s="1"/>
  <c r="B271" i="93" s="1"/>
  <c r="B272" i="93" s="1"/>
  <c r="B273" i="93" s="1"/>
  <c r="B274" i="93" s="1"/>
  <c r="B275" i="93" s="1"/>
  <c r="B276" i="93" s="1"/>
  <c r="B277" i="93" s="1"/>
  <c r="B278" i="93" s="1"/>
  <c r="B279" i="93" s="1"/>
  <c r="B280" i="93" s="1"/>
  <c r="B281" i="93" s="1"/>
  <c r="B282" i="93" s="1"/>
  <c r="B283" i="93" s="1"/>
  <c r="B284" i="93" s="1"/>
  <c r="B285" i="93" s="1"/>
  <c r="B286" i="93" s="1"/>
  <c r="B287" i="93" s="1"/>
  <c r="B288" i="93" s="1"/>
  <c r="B289" i="93" s="1"/>
  <c r="B290" i="93" s="1"/>
  <c r="B291" i="93" s="1"/>
  <c r="B292" i="93" s="1"/>
  <c r="B293" i="93" s="1"/>
  <c r="B294" i="93" s="1"/>
  <c r="B295" i="93" s="1"/>
  <c r="B296" i="93" s="1"/>
  <c r="B297" i="93" s="1"/>
  <c r="B298" i="93" s="1"/>
  <c r="B299" i="93" s="1"/>
  <c r="B300" i="93" s="1"/>
  <c r="B301" i="93" s="1"/>
  <c r="B302" i="93" s="1"/>
  <c r="B303" i="93" s="1"/>
  <c r="B304" i="93" s="1"/>
  <c r="B305" i="93" s="1"/>
  <c r="B306" i="93" s="1"/>
  <c r="B307" i="93" s="1"/>
  <c r="B308" i="93" s="1"/>
  <c r="B309" i="93" s="1"/>
  <c r="B310" i="93" s="1"/>
  <c r="B311" i="93" s="1"/>
  <c r="B312" i="93" s="1"/>
  <c r="B313" i="93" s="1"/>
  <c r="B314" i="93" s="1"/>
  <c r="B315" i="93" s="1"/>
  <c r="B316" i="93" s="1"/>
  <c r="B317" i="93" s="1"/>
  <c r="B318" i="93" s="1"/>
  <c r="B319" i="93" s="1"/>
  <c r="B320" i="93" s="1"/>
  <c r="B321" i="93" s="1"/>
  <c r="B322" i="93" s="1"/>
  <c r="B323" i="93" s="1"/>
  <c r="B324" i="93" s="1"/>
  <c r="B325" i="93" s="1"/>
  <c r="B326" i="93" s="1"/>
  <c r="B327" i="93" s="1"/>
  <c r="B328" i="93" s="1"/>
  <c r="B329" i="93" s="1"/>
  <c r="B330" i="93" s="1"/>
  <c r="B331" i="93" s="1"/>
  <c r="B332" i="93" s="1"/>
  <c r="B333" i="93" s="1"/>
  <c r="B334" i="93" s="1"/>
  <c r="B335" i="93" s="1"/>
  <c r="B336" i="93" s="1"/>
  <c r="B337" i="93" s="1"/>
  <c r="B338" i="93" s="1"/>
  <c r="B339" i="93" s="1"/>
  <c r="B340" i="93" s="1"/>
  <c r="B341" i="93" s="1"/>
  <c r="B342" i="93" s="1"/>
  <c r="B343" i="93" s="1"/>
  <c r="B344" i="93" s="1"/>
  <c r="B345" i="93" s="1"/>
  <c r="B346" i="93" s="1"/>
  <c r="B347" i="93" s="1"/>
  <c r="B348" i="93" s="1"/>
  <c r="B349" i="93" s="1"/>
  <c r="B350" i="93" s="1"/>
  <c r="B351" i="93" s="1"/>
  <c r="B352" i="93" s="1"/>
  <c r="B353" i="93" s="1"/>
  <c r="B354" i="93" s="1"/>
  <c r="B355" i="93" s="1"/>
  <c r="B356" i="93" s="1"/>
  <c r="B357" i="93" s="1"/>
  <c r="B358" i="93" s="1"/>
  <c r="B359" i="93" s="1"/>
  <c r="B360" i="93" s="1"/>
  <c r="B361" i="93" s="1"/>
  <c r="B362" i="93" s="1"/>
  <c r="B363" i="93" s="1"/>
  <c r="B364" i="93" s="1"/>
  <c r="B365" i="93" s="1"/>
  <c r="B366" i="93" s="1"/>
  <c r="B367" i="93" s="1"/>
  <c r="B368" i="93" s="1"/>
  <c r="B369" i="93" s="1"/>
  <c r="B370" i="93" s="1"/>
  <c r="B371" i="93" s="1"/>
  <c r="B372" i="93" s="1"/>
  <c r="B373" i="93" s="1"/>
  <c r="B374" i="93" s="1"/>
  <c r="B375" i="93" s="1"/>
  <c r="B376" i="93" s="1"/>
  <c r="B377" i="93" s="1"/>
  <c r="B378" i="93" s="1"/>
  <c r="B379" i="93" s="1"/>
  <c r="B380" i="93" s="1"/>
  <c r="B381" i="93" s="1"/>
  <c r="B382" i="93" s="1"/>
  <c r="B383" i="93" s="1"/>
  <c r="B384" i="93" s="1"/>
  <c r="B385" i="93" s="1"/>
  <c r="B386" i="93" s="1"/>
  <c r="B387" i="93" s="1"/>
  <c r="B388" i="93" s="1"/>
  <c r="B2" i="139"/>
  <c r="B2" i="151"/>
  <c r="B2" i="74"/>
  <c r="A4" i="153"/>
  <c r="A5" i="153" s="1"/>
  <c r="A6" i="153" s="1"/>
  <c r="A7" i="153" s="1"/>
  <c r="A8" i="153" s="1"/>
  <c r="A9" i="153" s="1"/>
  <c r="A10" i="153" s="1"/>
  <c r="A11" i="153" s="1"/>
  <c r="A12" i="153" s="1"/>
  <c r="A13" i="153" s="1"/>
  <c r="A14" i="153" s="1"/>
  <c r="A15" i="153" s="1"/>
  <c r="A16" i="153" s="1"/>
  <c r="A17" i="153" s="1"/>
  <c r="A18" i="153" s="1"/>
  <c r="A19" i="153" s="1"/>
  <c r="A20" i="153" s="1"/>
  <c r="A21" i="153" s="1"/>
  <c r="A22" i="153" s="1"/>
  <c r="A23" i="153" s="1"/>
  <c r="A24" i="153" s="1"/>
  <c r="A25" i="153" s="1"/>
  <c r="A26" i="153" s="1"/>
  <c r="A27" i="153" s="1"/>
  <c r="A28" i="153" s="1"/>
  <c r="A29" i="153" s="1"/>
  <c r="A30" i="153" s="1"/>
  <c r="A31" i="153" s="1"/>
  <c r="A32" i="153" s="1"/>
  <c r="A33" i="153" s="1"/>
  <c r="A34" i="153" s="1"/>
  <c r="A35" i="153" s="1"/>
  <c r="A36" i="153" s="1"/>
  <c r="A37" i="153" s="1"/>
  <c r="A38" i="153" s="1"/>
  <c r="A39" i="153" s="1"/>
  <c r="A40" i="153" s="1"/>
  <c r="A41" i="153" s="1"/>
  <c r="A42" i="153" s="1"/>
  <c r="A43" i="153" s="1"/>
  <c r="A3" i="153"/>
  <c r="C2" i="153"/>
  <c r="B2" i="153"/>
  <c r="P3" i="153"/>
  <c r="P4" i="153" s="1"/>
  <c r="P5" i="153" s="1"/>
  <c r="P6" i="153" s="1"/>
  <c r="P7" i="153" s="1"/>
  <c r="P8" i="153" s="1"/>
  <c r="P9" i="153" s="1"/>
  <c r="P10" i="153" s="1"/>
  <c r="P11" i="153" s="1"/>
  <c r="P12" i="153" s="1"/>
  <c r="P13" i="153" s="1"/>
  <c r="P14" i="153" s="1"/>
  <c r="P15" i="153" s="1"/>
  <c r="N3" i="153"/>
  <c r="N4" i="153" s="1"/>
  <c r="N5" i="153" s="1"/>
  <c r="N6" i="153" s="1"/>
  <c r="N7" i="153" s="1"/>
  <c r="N8" i="153" s="1"/>
  <c r="N9" i="153" s="1"/>
  <c r="N10" i="153" s="1"/>
  <c r="N11" i="153" s="1"/>
  <c r="N12" i="153" s="1"/>
  <c r="N13" i="153" s="1"/>
  <c r="N14" i="153" s="1"/>
  <c r="N15" i="153" s="1"/>
  <c r="O2" i="152"/>
  <c r="O3" i="152"/>
  <c r="O4" i="152"/>
  <c r="O5" i="152"/>
  <c r="O6" i="152"/>
  <c r="O7" i="152"/>
  <c r="O8" i="152"/>
  <c r="O9" i="152"/>
  <c r="O10" i="152"/>
  <c r="O11" i="152"/>
  <c r="O12" i="152"/>
  <c r="O13" i="152"/>
  <c r="O14" i="152"/>
  <c r="O15" i="152"/>
  <c r="O16" i="152"/>
  <c r="O17" i="152"/>
  <c r="O18" i="152"/>
  <c r="O19" i="152"/>
  <c r="O20" i="152"/>
  <c r="O21" i="152"/>
  <c r="O22" i="152"/>
  <c r="O23" i="152"/>
  <c r="O24" i="152"/>
  <c r="O25" i="152"/>
  <c r="O26" i="152"/>
  <c r="O27" i="152"/>
  <c r="O28" i="152"/>
  <c r="O29" i="152"/>
  <c r="O30" i="152"/>
  <c r="O31" i="152"/>
  <c r="O32" i="152"/>
  <c r="O34" i="152"/>
  <c r="O35" i="152"/>
  <c r="O36" i="152"/>
  <c r="O37" i="152"/>
  <c r="O38" i="152"/>
  <c r="O39" i="152"/>
  <c r="O40" i="152"/>
  <c r="O41" i="152"/>
  <c r="A3" i="152"/>
  <c r="A4" i="152" s="1"/>
  <c r="A5" i="152" s="1"/>
  <c r="A6" i="152" s="1"/>
  <c r="A7" i="152" s="1"/>
  <c r="A8" i="152" s="1"/>
  <c r="A9" i="152" s="1"/>
  <c r="A10" i="152" s="1"/>
  <c r="A11" i="152" s="1"/>
  <c r="A12" i="152" s="1"/>
  <c r="A13" i="152" s="1"/>
  <c r="A14" i="152" s="1"/>
  <c r="A15" i="152" s="1"/>
  <c r="A16" i="152" s="1"/>
  <c r="A17" i="152" s="1"/>
  <c r="A18" i="152" s="1"/>
  <c r="A19" i="152" s="1"/>
  <c r="A20" i="152" s="1"/>
  <c r="A21" i="152" s="1"/>
  <c r="A22" i="152" s="1"/>
  <c r="A23" i="152" s="1"/>
  <c r="A24" i="152" s="1"/>
  <c r="A25" i="152" s="1"/>
  <c r="A26" i="152" s="1"/>
  <c r="A27" i="152" s="1"/>
  <c r="A28" i="152" s="1"/>
  <c r="A29" i="152" s="1"/>
  <c r="A30" i="152" s="1"/>
  <c r="A31" i="152" s="1"/>
  <c r="A32" i="152" s="1"/>
  <c r="A33" i="152" s="1"/>
  <c r="A34" i="152" s="1"/>
  <c r="A35" i="152" s="1"/>
  <c r="A36" i="152" s="1"/>
  <c r="A37" i="152" s="1"/>
  <c r="A38" i="152" s="1"/>
  <c r="A39" i="152" s="1"/>
  <c r="A40" i="152" s="1"/>
  <c r="A41" i="152" s="1"/>
  <c r="C3" i="152"/>
  <c r="C4" i="152" s="1"/>
  <c r="C5" i="152" s="1"/>
  <c r="C6" i="152" s="1"/>
  <c r="B3" i="152"/>
  <c r="B4" i="152" s="1"/>
  <c r="B5" i="152" s="1"/>
  <c r="B6" i="152" s="1"/>
  <c r="O7" i="151"/>
  <c r="O8" i="151"/>
  <c r="O9" i="151"/>
  <c r="O10" i="151"/>
  <c r="O11" i="151"/>
  <c r="O12" i="151"/>
  <c r="O13" i="151"/>
  <c r="O14" i="151"/>
  <c r="O15" i="151"/>
  <c r="O16" i="151"/>
  <c r="O17" i="151"/>
  <c r="O18" i="151"/>
  <c r="O19" i="151"/>
  <c r="O20" i="151"/>
  <c r="O21" i="151"/>
  <c r="O22" i="151"/>
  <c r="O23" i="151"/>
  <c r="O24" i="151"/>
  <c r="O25" i="151"/>
  <c r="O26" i="151"/>
  <c r="O27" i="151"/>
  <c r="O28" i="151"/>
  <c r="O29" i="151"/>
  <c r="O30" i="151"/>
  <c r="O31" i="151"/>
  <c r="O32" i="151"/>
  <c r="O33" i="151"/>
  <c r="O34" i="151"/>
  <c r="O35" i="151"/>
  <c r="O36" i="151"/>
  <c r="O37" i="151"/>
  <c r="O38" i="151"/>
  <c r="O39" i="151"/>
  <c r="O40" i="151"/>
  <c r="O41" i="151"/>
  <c r="A42" i="151"/>
  <c r="A43" i="151" s="1"/>
  <c r="A44" i="151" s="1"/>
  <c r="A45" i="151" s="1"/>
  <c r="A46" i="151" s="1"/>
  <c r="A47" i="151" s="1"/>
  <c r="A48" i="151" s="1"/>
  <c r="P42" i="151"/>
  <c r="P43" i="151"/>
  <c r="P44" i="151"/>
  <c r="P45" i="151" s="1"/>
  <c r="P46" i="151" s="1"/>
  <c r="P47" i="151" s="1"/>
  <c r="P48" i="151" s="1"/>
  <c r="O43" i="151"/>
  <c r="O44" i="151"/>
  <c r="O45" i="151"/>
  <c r="O46" i="151"/>
  <c r="O47" i="151"/>
  <c r="O48" i="151"/>
  <c r="O42" i="151"/>
  <c r="O23" i="150"/>
  <c r="B9" i="120" l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B33" i="120" s="1"/>
  <c r="B34" i="120" s="1"/>
  <c r="B35" i="120" s="1"/>
  <c r="B36" i="120" s="1"/>
  <c r="B37" i="120" s="1"/>
  <c r="B38" i="120" s="1"/>
  <c r="B39" i="120" s="1"/>
  <c r="B40" i="120" s="1"/>
  <c r="B41" i="120" s="1"/>
  <c r="B42" i="120" s="1"/>
  <c r="B43" i="120" s="1"/>
  <c r="B44" i="120" s="1"/>
  <c r="B45" i="120" s="1"/>
  <c r="B46" i="120" s="1"/>
  <c r="B47" i="120" s="1"/>
  <c r="B48" i="120" s="1"/>
  <c r="B49" i="120" s="1"/>
  <c r="B50" i="120" s="1"/>
  <c r="B51" i="120" s="1"/>
  <c r="B52" i="120" s="1"/>
  <c r="B53" i="120" s="1"/>
  <c r="B54" i="120" s="1"/>
  <c r="B55" i="120" s="1"/>
  <c r="B56" i="120" s="1"/>
  <c r="B57" i="120" s="1"/>
  <c r="B58" i="120" s="1"/>
  <c r="B59" i="120" s="1"/>
  <c r="B60" i="120" s="1"/>
  <c r="B61" i="120" s="1"/>
  <c r="B62" i="120" s="1"/>
  <c r="B63" i="120" s="1"/>
  <c r="B64" i="120" s="1"/>
  <c r="B65" i="120" s="1"/>
  <c r="B66" i="120" s="1"/>
  <c r="B67" i="120" s="1"/>
  <c r="B68" i="120" s="1"/>
  <c r="B69" i="120" s="1"/>
  <c r="B70" i="120" s="1"/>
  <c r="B71" i="120" s="1"/>
  <c r="B72" i="120" s="1"/>
  <c r="B73" i="120" s="1"/>
  <c r="B74" i="120" s="1"/>
  <c r="B75" i="120" s="1"/>
  <c r="B76" i="120" s="1"/>
  <c r="B77" i="120" s="1"/>
  <c r="B78" i="120" s="1"/>
  <c r="B79" i="120" s="1"/>
  <c r="B80" i="120" s="1"/>
  <c r="B81" i="120" s="1"/>
  <c r="B82" i="120" s="1"/>
  <c r="B83" i="120" s="1"/>
  <c r="B84" i="120" s="1"/>
  <c r="B85" i="120" s="1"/>
  <c r="B86" i="120" s="1"/>
  <c r="B87" i="120" s="1"/>
  <c r="B88" i="120" s="1"/>
  <c r="B89" i="120" s="1"/>
  <c r="B90" i="120" s="1"/>
  <c r="B91" i="120" s="1"/>
  <c r="B92" i="120" s="1"/>
  <c r="B93" i="120" s="1"/>
  <c r="B94" i="120" s="1"/>
  <c r="B95" i="120" s="1"/>
  <c r="B96" i="120" s="1"/>
  <c r="B97" i="120" s="1"/>
  <c r="B98" i="120" s="1"/>
  <c r="B99" i="120" s="1"/>
  <c r="B100" i="120" s="1"/>
  <c r="B101" i="120" s="1"/>
  <c r="B102" i="120" s="1"/>
  <c r="B103" i="120" s="1"/>
  <c r="B104" i="120" s="1"/>
  <c r="B105" i="120" s="1"/>
  <c r="B106" i="120" s="1"/>
  <c r="B107" i="120" s="1"/>
  <c r="B108" i="120" s="1"/>
  <c r="B109" i="120" s="1"/>
  <c r="B110" i="120" s="1"/>
  <c r="B111" i="120" s="1"/>
  <c r="B112" i="120" s="1"/>
  <c r="B113" i="120" s="1"/>
  <c r="B114" i="120" s="1"/>
  <c r="B115" i="120" s="1"/>
  <c r="B116" i="120" s="1"/>
  <c r="B117" i="120" s="1"/>
  <c r="B118" i="120" s="1"/>
  <c r="B119" i="120" s="1"/>
  <c r="B120" i="120" s="1"/>
  <c r="B121" i="120" s="1"/>
  <c r="B122" i="120" s="1"/>
  <c r="B123" i="120" s="1"/>
  <c r="B124" i="120" s="1"/>
  <c r="B125" i="120" s="1"/>
  <c r="B126" i="120" s="1"/>
  <c r="B127" i="120" s="1"/>
  <c r="B128" i="120" s="1"/>
  <c r="B129" i="120" s="1"/>
  <c r="B130" i="120" s="1"/>
  <c r="B131" i="120" s="1"/>
  <c r="B132" i="120" s="1"/>
  <c r="B133" i="120" s="1"/>
  <c r="B134" i="120" s="1"/>
  <c r="B135" i="120" s="1"/>
  <c r="B136" i="120" s="1"/>
  <c r="B137" i="120" s="1"/>
  <c r="B138" i="120" s="1"/>
  <c r="B139" i="120" s="1"/>
  <c r="B140" i="120" s="1"/>
  <c r="B141" i="120" s="1"/>
  <c r="B142" i="120" s="1"/>
  <c r="B143" i="120" s="1"/>
  <c r="B144" i="120" s="1"/>
  <c r="B145" i="120" s="1"/>
  <c r="B146" i="120" s="1"/>
  <c r="B147" i="120" s="1"/>
  <c r="B148" i="120" s="1"/>
  <c r="B149" i="120" s="1"/>
  <c r="B150" i="120" s="1"/>
  <c r="B151" i="120" s="1"/>
  <c r="B152" i="120" s="1"/>
  <c r="B153" i="120" s="1"/>
  <c r="B154" i="120" s="1"/>
  <c r="B155" i="120" s="1"/>
  <c r="B156" i="120" s="1"/>
  <c r="B157" i="120" s="1"/>
  <c r="B158" i="120" s="1"/>
  <c r="B159" i="120" s="1"/>
  <c r="B160" i="120" s="1"/>
  <c r="B161" i="120" s="1"/>
  <c r="B162" i="120" s="1"/>
  <c r="B163" i="120" s="1"/>
  <c r="B164" i="120" s="1"/>
  <c r="B165" i="120" s="1"/>
  <c r="B166" i="120" s="1"/>
  <c r="B167" i="120" s="1"/>
  <c r="B168" i="120" s="1"/>
  <c r="B169" i="120" s="1"/>
  <c r="B170" i="120" s="1"/>
  <c r="B171" i="120" s="1"/>
  <c r="B172" i="120" s="1"/>
  <c r="B173" i="120" s="1"/>
  <c r="B174" i="120" s="1"/>
  <c r="B175" i="120" s="1"/>
  <c r="B176" i="120" s="1"/>
  <c r="B177" i="120" s="1"/>
  <c r="B178" i="120" s="1"/>
  <c r="B179" i="120" s="1"/>
  <c r="B180" i="120" s="1"/>
  <c r="B181" i="120" s="1"/>
  <c r="B182" i="120" s="1"/>
  <c r="B183" i="120" s="1"/>
  <c r="B184" i="120" s="1"/>
  <c r="B185" i="120" s="1"/>
  <c r="B186" i="120" s="1"/>
  <c r="B187" i="120" s="1"/>
  <c r="B188" i="120" s="1"/>
  <c r="B189" i="120" s="1"/>
  <c r="B190" i="120" s="1"/>
  <c r="B191" i="120" s="1"/>
  <c r="B192" i="120" s="1"/>
  <c r="B193" i="120" s="1"/>
  <c r="B194" i="120" s="1"/>
  <c r="B195" i="120" s="1"/>
  <c r="B196" i="120" s="1"/>
  <c r="B197" i="120" s="1"/>
  <c r="B198" i="120" s="1"/>
  <c r="B199" i="120" s="1"/>
  <c r="B200" i="120" s="1"/>
  <c r="B201" i="120" s="1"/>
  <c r="B202" i="120" s="1"/>
  <c r="B203" i="120" s="1"/>
  <c r="B204" i="120" s="1"/>
  <c r="B205" i="120" s="1"/>
  <c r="B206" i="120" s="1"/>
  <c r="B207" i="120" s="1"/>
  <c r="B208" i="120" s="1"/>
  <c r="B209" i="120" s="1"/>
  <c r="B210" i="120" s="1"/>
  <c r="B211" i="120" s="1"/>
  <c r="B212" i="120" s="1"/>
  <c r="B213" i="120" s="1"/>
  <c r="B214" i="120" s="1"/>
  <c r="B215" i="120" s="1"/>
  <c r="B216" i="120" s="1"/>
  <c r="B217" i="120" s="1"/>
  <c r="B218" i="120" s="1"/>
  <c r="B219" i="120" s="1"/>
  <c r="B220" i="120" s="1"/>
  <c r="B221" i="120" s="1"/>
  <c r="B222" i="120" s="1"/>
  <c r="B223" i="120" s="1"/>
  <c r="B224" i="120" s="1"/>
  <c r="B225" i="120" s="1"/>
  <c r="B226" i="120" s="1"/>
  <c r="B227" i="120" s="1"/>
  <c r="B228" i="120" s="1"/>
  <c r="B229" i="120" s="1"/>
  <c r="B230" i="120" s="1"/>
  <c r="B231" i="120" s="1"/>
  <c r="B232" i="120" s="1"/>
  <c r="B233" i="120" s="1"/>
  <c r="B234" i="120" s="1"/>
  <c r="B235" i="120" s="1"/>
  <c r="B236" i="120" s="1"/>
  <c r="B237" i="120" s="1"/>
  <c r="B2" i="159"/>
  <c r="B3" i="159" s="1"/>
  <c r="B4" i="159" s="1"/>
  <c r="B5" i="159" s="1"/>
  <c r="B6" i="159" s="1"/>
  <c r="B7" i="159" s="1"/>
  <c r="B8" i="159" s="1"/>
  <c r="B9" i="159" s="1"/>
  <c r="B10" i="159" s="1"/>
  <c r="B11" i="159" s="1"/>
  <c r="B12" i="159" s="1"/>
  <c r="B13" i="159" s="1"/>
  <c r="B14" i="159" s="1"/>
  <c r="B15" i="159" s="1"/>
  <c r="B16" i="159" s="1"/>
  <c r="B17" i="159" s="1"/>
  <c r="B18" i="159" s="1"/>
  <c r="B19" i="159" s="1"/>
  <c r="B20" i="159" s="1"/>
  <c r="B21" i="159" s="1"/>
  <c r="B22" i="159" s="1"/>
  <c r="B23" i="159" s="1"/>
  <c r="B24" i="159" s="1"/>
  <c r="B25" i="159" s="1"/>
  <c r="B26" i="159" s="1"/>
  <c r="B27" i="159" s="1"/>
  <c r="B28" i="159" s="1"/>
  <c r="B29" i="159" s="1"/>
  <c r="B30" i="159" s="1"/>
  <c r="B31" i="159" s="1"/>
  <c r="B32" i="159" s="1"/>
  <c r="B33" i="159" s="1"/>
  <c r="B34" i="159" s="1"/>
  <c r="B35" i="159" s="1"/>
  <c r="B36" i="159" s="1"/>
  <c r="B37" i="159" s="1"/>
  <c r="B38" i="159" s="1"/>
  <c r="B39" i="159" s="1"/>
  <c r="B40" i="159" s="1"/>
  <c r="B41" i="159" s="1"/>
  <c r="B42" i="159" s="1"/>
  <c r="B43" i="159" s="1"/>
  <c r="B44" i="159" s="1"/>
  <c r="B45" i="159" s="1"/>
  <c r="B46" i="159" s="1"/>
  <c r="B47" i="159" s="1"/>
  <c r="B48" i="159" s="1"/>
  <c r="B49" i="159" s="1"/>
  <c r="B50" i="159" s="1"/>
  <c r="B51" i="159" s="1"/>
  <c r="B52" i="159" s="1"/>
  <c r="B53" i="159" s="1"/>
  <c r="B54" i="159" s="1"/>
  <c r="B55" i="159" s="1"/>
  <c r="B56" i="159" s="1"/>
  <c r="B57" i="159" s="1"/>
  <c r="B58" i="159" s="1"/>
  <c r="B59" i="159" s="1"/>
  <c r="B60" i="159" s="1"/>
  <c r="B61" i="159" s="1"/>
  <c r="B62" i="159" s="1"/>
  <c r="B63" i="159" s="1"/>
  <c r="B64" i="159" s="1"/>
  <c r="B65" i="159" s="1"/>
  <c r="B66" i="159" s="1"/>
  <c r="C9" i="120"/>
  <c r="C10" i="120" s="1"/>
  <c r="C11" i="120" s="1"/>
  <c r="C12" i="120" s="1"/>
  <c r="C13" i="120" s="1"/>
  <c r="C14" i="120" s="1"/>
  <c r="C15" i="120" s="1"/>
  <c r="C16" i="120" s="1"/>
  <c r="C17" i="120" s="1"/>
  <c r="C18" i="120" s="1"/>
  <c r="C19" i="120" s="1"/>
  <c r="C20" i="120" s="1"/>
  <c r="C21" i="120" s="1"/>
  <c r="C22" i="120" s="1"/>
  <c r="C23" i="120" s="1"/>
  <c r="C24" i="120" s="1"/>
  <c r="C25" i="120" s="1"/>
  <c r="C26" i="120" s="1"/>
  <c r="C27" i="120" s="1"/>
  <c r="C28" i="120" s="1"/>
  <c r="C29" i="120" s="1"/>
  <c r="C30" i="120" s="1"/>
  <c r="C31" i="120" s="1"/>
  <c r="C32" i="120" s="1"/>
  <c r="C33" i="120" s="1"/>
  <c r="C34" i="120" s="1"/>
  <c r="C35" i="120" s="1"/>
  <c r="C36" i="120" s="1"/>
  <c r="C37" i="120" s="1"/>
  <c r="C38" i="120" s="1"/>
  <c r="C39" i="120" s="1"/>
  <c r="C40" i="120" s="1"/>
  <c r="C41" i="120" s="1"/>
  <c r="C42" i="120" s="1"/>
  <c r="C43" i="120" s="1"/>
  <c r="C44" i="120" s="1"/>
  <c r="C45" i="120" s="1"/>
  <c r="C46" i="120" s="1"/>
  <c r="C47" i="120" s="1"/>
  <c r="C48" i="120" s="1"/>
  <c r="C49" i="120" s="1"/>
  <c r="C50" i="120" s="1"/>
  <c r="C51" i="120" s="1"/>
  <c r="C52" i="120" s="1"/>
  <c r="C53" i="120" s="1"/>
  <c r="C54" i="120" s="1"/>
  <c r="C55" i="120" s="1"/>
  <c r="C56" i="120" s="1"/>
  <c r="C57" i="120" s="1"/>
  <c r="C58" i="120" s="1"/>
  <c r="C59" i="120" s="1"/>
  <c r="C60" i="120" s="1"/>
  <c r="C61" i="120" s="1"/>
  <c r="C62" i="120" s="1"/>
  <c r="C63" i="120" s="1"/>
  <c r="C64" i="120" s="1"/>
  <c r="C65" i="120" s="1"/>
  <c r="C66" i="120" s="1"/>
  <c r="C67" i="120" s="1"/>
  <c r="C68" i="120" s="1"/>
  <c r="C69" i="120" s="1"/>
  <c r="C70" i="120" s="1"/>
  <c r="C71" i="120" s="1"/>
  <c r="C72" i="120" s="1"/>
  <c r="C73" i="120" s="1"/>
  <c r="C74" i="120" s="1"/>
  <c r="C75" i="120" s="1"/>
  <c r="C76" i="120" s="1"/>
  <c r="C77" i="120" s="1"/>
  <c r="C78" i="120" s="1"/>
  <c r="C79" i="120" s="1"/>
  <c r="C80" i="120" s="1"/>
  <c r="C81" i="120" s="1"/>
  <c r="C82" i="120" s="1"/>
  <c r="C83" i="120" s="1"/>
  <c r="C84" i="120" s="1"/>
  <c r="C85" i="120" s="1"/>
  <c r="C86" i="120" s="1"/>
  <c r="C87" i="120" s="1"/>
  <c r="C88" i="120" s="1"/>
  <c r="C89" i="120" s="1"/>
  <c r="C90" i="120" s="1"/>
  <c r="C91" i="120" s="1"/>
  <c r="C92" i="120" s="1"/>
  <c r="C93" i="120" s="1"/>
  <c r="C94" i="120" s="1"/>
  <c r="C95" i="120" s="1"/>
  <c r="C96" i="120" s="1"/>
  <c r="C97" i="120" s="1"/>
  <c r="C98" i="120" s="1"/>
  <c r="C99" i="120" s="1"/>
  <c r="C100" i="120" s="1"/>
  <c r="C101" i="120" s="1"/>
  <c r="C102" i="120" s="1"/>
  <c r="C103" i="120" s="1"/>
  <c r="C104" i="120" s="1"/>
  <c r="C105" i="120" s="1"/>
  <c r="C106" i="120" s="1"/>
  <c r="C107" i="120" s="1"/>
  <c r="C108" i="120" s="1"/>
  <c r="C109" i="120" s="1"/>
  <c r="C110" i="120" s="1"/>
  <c r="C111" i="120" s="1"/>
  <c r="C112" i="120" s="1"/>
  <c r="C113" i="120" s="1"/>
  <c r="C114" i="120" s="1"/>
  <c r="C115" i="120" s="1"/>
  <c r="C116" i="120" s="1"/>
  <c r="C117" i="120" s="1"/>
  <c r="C118" i="120" s="1"/>
  <c r="C119" i="120" s="1"/>
  <c r="C120" i="120" s="1"/>
  <c r="C121" i="120" s="1"/>
  <c r="C122" i="120" s="1"/>
  <c r="C123" i="120" s="1"/>
  <c r="C124" i="120" s="1"/>
  <c r="C125" i="120" s="1"/>
  <c r="C126" i="120" s="1"/>
  <c r="C127" i="120" s="1"/>
  <c r="C128" i="120" s="1"/>
  <c r="C129" i="120" s="1"/>
  <c r="C130" i="120" s="1"/>
  <c r="C131" i="120" s="1"/>
  <c r="C132" i="120" s="1"/>
  <c r="C133" i="120" s="1"/>
  <c r="C134" i="120" s="1"/>
  <c r="C135" i="120" s="1"/>
  <c r="C136" i="120" s="1"/>
  <c r="C137" i="120" s="1"/>
  <c r="C138" i="120" s="1"/>
  <c r="C139" i="120" s="1"/>
  <c r="C140" i="120" s="1"/>
  <c r="C141" i="120" s="1"/>
  <c r="C142" i="120" s="1"/>
  <c r="C143" i="120" s="1"/>
  <c r="C144" i="120" s="1"/>
  <c r="C145" i="120" s="1"/>
  <c r="C146" i="120" s="1"/>
  <c r="C147" i="120" s="1"/>
  <c r="C148" i="120" s="1"/>
  <c r="C149" i="120" s="1"/>
  <c r="C150" i="120" s="1"/>
  <c r="C151" i="120" s="1"/>
  <c r="C152" i="120" s="1"/>
  <c r="C153" i="120" s="1"/>
  <c r="C154" i="120" s="1"/>
  <c r="C155" i="120" s="1"/>
  <c r="C156" i="120" s="1"/>
  <c r="C157" i="120" s="1"/>
  <c r="C158" i="120" s="1"/>
  <c r="C159" i="120" s="1"/>
  <c r="C160" i="120" s="1"/>
  <c r="C161" i="120" s="1"/>
  <c r="C162" i="120" s="1"/>
  <c r="C163" i="120" s="1"/>
  <c r="C164" i="120" s="1"/>
  <c r="C165" i="120" s="1"/>
  <c r="C166" i="120" s="1"/>
  <c r="C167" i="120" s="1"/>
  <c r="C168" i="120" s="1"/>
  <c r="C169" i="120" s="1"/>
  <c r="C170" i="120" s="1"/>
  <c r="C171" i="120" s="1"/>
  <c r="C172" i="120" s="1"/>
  <c r="C173" i="120" s="1"/>
  <c r="C174" i="120" s="1"/>
  <c r="C175" i="120" s="1"/>
  <c r="C176" i="120" s="1"/>
  <c r="C177" i="120" s="1"/>
  <c r="C178" i="120" s="1"/>
  <c r="C179" i="120" s="1"/>
  <c r="C180" i="120" s="1"/>
  <c r="C181" i="120" s="1"/>
  <c r="C182" i="120" s="1"/>
  <c r="C183" i="120" s="1"/>
  <c r="C184" i="120" s="1"/>
  <c r="C185" i="120" s="1"/>
  <c r="C186" i="120" s="1"/>
  <c r="C187" i="120" s="1"/>
  <c r="C188" i="120" s="1"/>
  <c r="C189" i="120" s="1"/>
  <c r="C190" i="120" s="1"/>
  <c r="C191" i="120" s="1"/>
  <c r="C192" i="120" s="1"/>
  <c r="C193" i="120" s="1"/>
  <c r="C194" i="120" s="1"/>
  <c r="C195" i="120" s="1"/>
  <c r="C196" i="120" s="1"/>
  <c r="C197" i="120" s="1"/>
  <c r="C198" i="120" s="1"/>
  <c r="C199" i="120" s="1"/>
  <c r="C200" i="120" s="1"/>
  <c r="C201" i="120" s="1"/>
  <c r="C202" i="120" s="1"/>
  <c r="C203" i="120" s="1"/>
  <c r="C204" i="120" s="1"/>
  <c r="C205" i="120" s="1"/>
  <c r="C206" i="120" s="1"/>
  <c r="C207" i="120" s="1"/>
  <c r="C208" i="120" s="1"/>
  <c r="C209" i="120" s="1"/>
  <c r="C210" i="120" s="1"/>
  <c r="C211" i="120" s="1"/>
  <c r="C212" i="120" s="1"/>
  <c r="C213" i="120" s="1"/>
  <c r="C214" i="120" s="1"/>
  <c r="C215" i="120" s="1"/>
  <c r="C216" i="120" s="1"/>
  <c r="C217" i="120" s="1"/>
  <c r="C218" i="120" s="1"/>
  <c r="C219" i="120" s="1"/>
  <c r="C220" i="120" s="1"/>
  <c r="C221" i="120" s="1"/>
  <c r="C222" i="120" s="1"/>
  <c r="C223" i="120" s="1"/>
  <c r="C224" i="120" s="1"/>
  <c r="C225" i="120" s="1"/>
  <c r="C226" i="120" s="1"/>
  <c r="C227" i="120" s="1"/>
  <c r="C228" i="120" s="1"/>
  <c r="C229" i="120" s="1"/>
  <c r="C230" i="120" s="1"/>
  <c r="C231" i="120" s="1"/>
  <c r="C232" i="120" s="1"/>
  <c r="C233" i="120" s="1"/>
  <c r="C234" i="120" s="1"/>
  <c r="C235" i="120" s="1"/>
  <c r="C236" i="120" s="1"/>
  <c r="C237" i="120" s="1"/>
  <c r="C2" i="159"/>
  <c r="C3" i="159" s="1"/>
  <c r="C4" i="159" s="1"/>
  <c r="C5" i="159" s="1"/>
  <c r="C6" i="159" s="1"/>
  <c r="C7" i="159" s="1"/>
  <c r="C8" i="159" s="1"/>
  <c r="C9" i="159" s="1"/>
  <c r="C10" i="159" s="1"/>
  <c r="C11" i="159" s="1"/>
  <c r="C12" i="159" s="1"/>
  <c r="C13" i="159" s="1"/>
  <c r="C14" i="159" s="1"/>
  <c r="C15" i="159" s="1"/>
  <c r="C16" i="159" s="1"/>
  <c r="C17" i="159" s="1"/>
  <c r="C18" i="159" s="1"/>
  <c r="C19" i="159" s="1"/>
  <c r="C20" i="159" s="1"/>
  <c r="C21" i="159" s="1"/>
  <c r="C22" i="159" s="1"/>
  <c r="C23" i="159" s="1"/>
  <c r="C24" i="159" s="1"/>
  <c r="C25" i="159" s="1"/>
  <c r="C26" i="159" s="1"/>
  <c r="C27" i="159" s="1"/>
  <c r="C28" i="159" s="1"/>
  <c r="C29" i="159" s="1"/>
  <c r="C30" i="159" s="1"/>
  <c r="C31" i="159" s="1"/>
  <c r="C32" i="159" s="1"/>
  <c r="C33" i="159" s="1"/>
  <c r="C34" i="159" s="1"/>
  <c r="C35" i="159" s="1"/>
  <c r="C36" i="159" s="1"/>
  <c r="C37" i="159" s="1"/>
  <c r="C38" i="159" s="1"/>
  <c r="C39" i="159" s="1"/>
  <c r="C40" i="159" s="1"/>
  <c r="C41" i="159" s="1"/>
  <c r="C42" i="159" s="1"/>
  <c r="C43" i="159" s="1"/>
  <c r="C44" i="159" s="1"/>
  <c r="C45" i="159" s="1"/>
  <c r="C46" i="159" s="1"/>
  <c r="C47" i="159" s="1"/>
  <c r="C48" i="159" s="1"/>
  <c r="C49" i="159" s="1"/>
  <c r="C50" i="159" s="1"/>
  <c r="C51" i="159" s="1"/>
  <c r="C52" i="159" s="1"/>
  <c r="C53" i="159" s="1"/>
  <c r="C54" i="159" s="1"/>
  <c r="C55" i="159" s="1"/>
  <c r="C56" i="159" s="1"/>
  <c r="C57" i="159" s="1"/>
  <c r="C58" i="159" s="1"/>
  <c r="C59" i="159" s="1"/>
  <c r="C60" i="159" s="1"/>
  <c r="C61" i="159" s="1"/>
  <c r="C62" i="159" s="1"/>
  <c r="C63" i="159" s="1"/>
  <c r="C64" i="159" s="1"/>
  <c r="C65" i="159" s="1"/>
  <c r="C66" i="159" s="1"/>
  <c r="B2" i="141"/>
  <c r="B3" i="141" s="1"/>
  <c r="B4" i="141" s="1"/>
  <c r="B5" i="141" s="1"/>
  <c r="B6" i="141" s="1"/>
  <c r="B7" i="141" s="1"/>
  <c r="B8" i="141" s="1"/>
  <c r="B9" i="141" s="1"/>
  <c r="B10" i="141" s="1"/>
  <c r="B11" i="141" s="1"/>
  <c r="B12" i="141" s="1"/>
  <c r="B13" i="141" s="1"/>
  <c r="B14" i="141" s="1"/>
  <c r="B15" i="141" s="1"/>
  <c r="B16" i="141" s="1"/>
  <c r="B17" i="141" s="1"/>
  <c r="B18" i="141" s="1"/>
  <c r="B19" i="141" s="1"/>
  <c r="B20" i="141" s="1"/>
  <c r="B21" i="141" s="1"/>
  <c r="B22" i="141" s="1"/>
  <c r="B23" i="141" s="1"/>
  <c r="B24" i="141" s="1"/>
  <c r="B25" i="141" s="1"/>
  <c r="B26" i="141" s="1"/>
  <c r="B27" i="141" s="1"/>
  <c r="B28" i="141" s="1"/>
  <c r="B29" i="141" s="1"/>
  <c r="B30" i="141" s="1"/>
  <c r="B31" i="141" s="1"/>
  <c r="B32" i="141" s="1"/>
  <c r="B33" i="141" s="1"/>
  <c r="B34" i="141" s="1"/>
  <c r="B35" i="141" s="1"/>
  <c r="B36" i="141" s="1"/>
  <c r="B37" i="141" s="1"/>
  <c r="B38" i="141" s="1"/>
  <c r="B39" i="141" s="1"/>
  <c r="B40" i="141" s="1"/>
  <c r="B41" i="141" s="1"/>
  <c r="B42" i="141" s="1"/>
  <c r="B43" i="141" s="1"/>
  <c r="B44" i="141" s="1"/>
  <c r="B45" i="141" s="1"/>
  <c r="B46" i="141" s="1"/>
  <c r="B47" i="141" s="1"/>
  <c r="B48" i="141" s="1"/>
  <c r="B49" i="141" s="1"/>
  <c r="B50" i="141" s="1"/>
  <c r="B51" i="141" s="1"/>
  <c r="B52" i="141" s="1"/>
  <c r="B53" i="141" s="1"/>
  <c r="B54" i="141" s="1"/>
  <c r="B55" i="141" s="1"/>
  <c r="B56" i="141" s="1"/>
  <c r="B57" i="141" s="1"/>
  <c r="B58" i="141" s="1"/>
  <c r="B59" i="141" s="1"/>
  <c r="B60" i="141" s="1"/>
  <c r="B61" i="141" s="1"/>
  <c r="B62" i="141" s="1"/>
  <c r="B63" i="141" s="1"/>
  <c r="B64" i="141" s="1"/>
  <c r="B65" i="141" s="1"/>
  <c r="B66" i="141" s="1"/>
  <c r="B67" i="141" s="1"/>
  <c r="B68" i="141" s="1"/>
  <c r="B69" i="141" s="1"/>
  <c r="B70" i="141" s="1"/>
  <c r="B71" i="141" s="1"/>
  <c r="B72" i="141" s="1"/>
  <c r="B73" i="141" s="1"/>
  <c r="B74" i="141" s="1"/>
  <c r="B75" i="141" s="1"/>
  <c r="B76" i="141" s="1"/>
  <c r="B77" i="141" s="1"/>
  <c r="B78" i="141" s="1"/>
  <c r="B79" i="141" s="1"/>
  <c r="B80" i="141" s="1"/>
  <c r="B81" i="141" s="1"/>
  <c r="B82" i="141" s="1"/>
  <c r="B83" i="141" s="1"/>
  <c r="B84" i="141" s="1"/>
  <c r="B85" i="141" s="1"/>
  <c r="B86" i="141" s="1"/>
  <c r="B87" i="141" s="1"/>
  <c r="B88" i="141" s="1"/>
  <c r="B89" i="141" s="1"/>
  <c r="B90" i="141" s="1"/>
  <c r="B91" i="141" s="1"/>
  <c r="B92" i="141" s="1"/>
  <c r="B93" i="141" s="1"/>
  <c r="B94" i="141" s="1"/>
  <c r="B95" i="141" s="1"/>
  <c r="B96" i="141" s="1"/>
  <c r="B97" i="141" s="1"/>
  <c r="B98" i="141" s="1"/>
  <c r="B99" i="141" s="1"/>
  <c r="B100" i="141" s="1"/>
  <c r="B101" i="141" s="1"/>
  <c r="B102" i="141" s="1"/>
  <c r="B103" i="141" s="1"/>
  <c r="B104" i="141" s="1"/>
  <c r="B105" i="141" s="1"/>
  <c r="B106" i="141" s="1"/>
  <c r="B107" i="141" s="1"/>
  <c r="B108" i="141" s="1"/>
  <c r="B109" i="141" s="1"/>
  <c r="B110" i="141" s="1"/>
  <c r="B111" i="141" s="1"/>
  <c r="B112" i="141" s="1"/>
  <c r="B113" i="141" s="1"/>
  <c r="B114" i="141" s="1"/>
  <c r="B115" i="141" s="1"/>
  <c r="B116" i="141" s="1"/>
  <c r="B117" i="141" s="1"/>
  <c r="B118" i="141" s="1"/>
  <c r="B119" i="141" s="1"/>
  <c r="B120" i="141" s="1"/>
  <c r="B121" i="141" s="1"/>
  <c r="B122" i="141" s="1"/>
  <c r="B123" i="141" s="1"/>
  <c r="B124" i="141" s="1"/>
  <c r="B125" i="141" s="1"/>
  <c r="B126" i="141" s="1"/>
  <c r="B127" i="141" s="1"/>
  <c r="B128" i="141" s="1"/>
  <c r="B129" i="141" s="1"/>
  <c r="B130" i="141" s="1"/>
  <c r="B131" i="141" s="1"/>
  <c r="B132" i="141" s="1"/>
  <c r="B133" i="141" s="1"/>
  <c r="B134" i="141" s="1"/>
  <c r="B135" i="141" s="1"/>
  <c r="B136" i="141" s="1"/>
  <c r="B137" i="141" s="1"/>
  <c r="B138" i="141" s="1"/>
  <c r="B139" i="141" s="1"/>
  <c r="B140" i="141" s="1"/>
  <c r="B141" i="141" s="1"/>
  <c r="B142" i="141" s="1"/>
  <c r="B143" i="141" s="1"/>
  <c r="B144" i="141" s="1"/>
  <c r="B145" i="141" s="1"/>
  <c r="B146" i="141" s="1"/>
  <c r="B147" i="141" s="1"/>
  <c r="B148" i="141" s="1"/>
  <c r="B149" i="141" s="1"/>
  <c r="B150" i="141" s="1"/>
  <c r="B151" i="141" s="1"/>
  <c r="B152" i="141" s="1"/>
  <c r="B153" i="141" s="1"/>
  <c r="B154" i="141" s="1"/>
  <c r="B155" i="141" s="1"/>
  <c r="B156" i="141" s="1"/>
  <c r="B157" i="141" s="1"/>
  <c r="B158" i="141" s="1"/>
  <c r="B159" i="141" s="1"/>
  <c r="B160" i="141" s="1"/>
  <c r="B161" i="141" s="1"/>
  <c r="B162" i="141" s="1"/>
  <c r="B163" i="141" s="1"/>
  <c r="B164" i="141" s="1"/>
  <c r="B165" i="141" s="1"/>
  <c r="B166" i="141" s="1"/>
  <c r="B167" i="141" s="1"/>
  <c r="B168" i="141" s="1"/>
  <c r="B169" i="141" s="1"/>
  <c r="B170" i="141" s="1"/>
  <c r="B171" i="141" s="1"/>
  <c r="B172" i="141" s="1"/>
  <c r="B173" i="141" s="1"/>
  <c r="B174" i="141" s="1"/>
  <c r="B175" i="141" s="1"/>
  <c r="B176" i="141" s="1"/>
  <c r="B177" i="141" s="1"/>
  <c r="B178" i="141" s="1"/>
  <c r="B179" i="141" s="1"/>
  <c r="B180" i="141" s="1"/>
  <c r="B181" i="141" s="1"/>
  <c r="B182" i="141" s="1"/>
  <c r="B183" i="141" s="1"/>
  <c r="B184" i="141" s="1"/>
  <c r="B185" i="141" s="1"/>
  <c r="B186" i="141" s="1"/>
  <c r="B187" i="141" s="1"/>
  <c r="B188" i="141" s="1"/>
  <c r="B189" i="141" s="1"/>
  <c r="B190" i="141" s="1"/>
  <c r="B191" i="141" s="1"/>
  <c r="B192" i="141" s="1"/>
  <c r="B193" i="141" s="1"/>
  <c r="B194" i="141" s="1"/>
  <c r="B195" i="141" s="1"/>
  <c r="B196" i="141" s="1"/>
  <c r="B197" i="141" s="1"/>
  <c r="B198" i="141" s="1"/>
  <c r="B199" i="141" s="1"/>
  <c r="B200" i="141" s="1"/>
  <c r="B201" i="141" s="1"/>
  <c r="B202" i="141" s="1"/>
  <c r="B203" i="141" s="1"/>
  <c r="B204" i="141" s="1"/>
  <c r="B205" i="141" s="1"/>
  <c r="B206" i="141" s="1"/>
  <c r="B207" i="141" s="1"/>
  <c r="B208" i="141" s="1"/>
  <c r="B209" i="141" s="1"/>
  <c r="B210" i="141" s="1"/>
  <c r="B211" i="141" s="1"/>
  <c r="B212" i="141" s="1"/>
  <c r="B213" i="141" s="1"/>
  <c r="B214" i="141" s="1"/>
  <c r="B215" i="141" s="1"/>
  <c r="B216" i="141" s="1"/>
  <c r="B217" i="141" s="1"/>
  <c r="B218" i="141" s="1"/>
  <c r="B219" i="141" s="1"/>
  <c r="B220" i="141" s="1"/>
  <c r="B221" i="141" s="1"/>
  <c r="B222" i="141" s="1"/>
  <c r="B223" i="141" s="1"/>
  <c r="B224" i="141" s="1"/>
  <c r="B225" i="141" s="1"/>
  <c r="B226" i="141" s="1"/>
  <c r="B227" i="141" s="1"/>
  <c r="B228" i="141" s="1"/>
  <c r="B229" i="141" s="1"/>
  <c r="B230" i="141" s="1"/>
  <c r="B231" i="141" s="1"/>
  <c r="B232" i="141" s="1"/>
  <c r="B233" i="141" s="1"/>
  <c r="B234" i="141" s="1"/>
  <c r="B235" i="141" s="1"/>
  <c r="B236" i="141" s="1"/>
  <c r="B237" i="141" s="1"/>
  <c r="B238" i="141" s="1"/>
  <c r="B239" i="141" s="1"/>
  <c r="B240" i="141" s="1"/>
  <c r="B241" i="141" s="1"/>
  <c r="B242" i="141" s="1"/>
  <c r="B243" i="141" s="1"/>
  <c r="B244" i="141" s="1"/>
  <c r="B245" i="141" s="1"/>
  <c r="B246" i="141" s="1"/>
  <c r="B247" i="141" s="1"/>
  <c r="B248" i="141" s="1"/>
  <c r="B249" i="141" s="1"/>
  <c r="B250" i="141" s="1"/>
  <c r="B251" i="141" s="1"/>
  <c r="B252" i="141" s="1"/>
  <c r="B253" i="141" s="1"/>
  <c r="B254" i="141" s="1"/>
  <c r="B255" i="141" s="1"/>
  <c r="B256" i="141" s="1"/>
  <c r="B257" i="141" s="1"/>
  <c r="B258" i="141" s="1"/>
  <c r="B259" i="141" s="1"/>
  <c r="B260" i="141" s="1"/>
  <c r="B261" i="141" s="1"/>
  <c r="B262" i="141" s="1"/>
  <c r="B263" i="141" s="1"/>
  <c r="B264" i="141" s="1"/>
  <c r="B265" i="141" s="1"/>
  <c r="B266" i="141" s="1"/>
  <c r="B267" i="141" s="1"/>
  <c r="B268" i="141" s="1"/>
  <c r="B269" i="141" s="1"/>
  <c r="B270" i="141" s="1"/>
  <c r="B271" i="141" s="1"/>
  <c r="B272" i="141" s="1"/>
  <c r="B273" i="141" s="1"/>
  <c r="B274" i="141" s="1"/>
  <c r="B275" i="141" s="1"/>
  <c r="B276" i="141" s="1"/>
  <c r="B277" i="141" s="1"/>
  <c r="B278" i="141" s="1"/>
  <c r="B279" i="141" s="1"/>
  <c r="B280" i="141" s="1"/>
  <c r="B281" i="141" s="1"/>
  <c r="B282" i="141" s="1"/>
  <c r="B283" i="141" s="1"/>
  <c r="B284" i="141" s="1"/>
  <c r="B285" i="141" s="1"/>
  <c r="B286" i="141" s="1"/>
  <c r="B287" i="141" s="1"/>
  <c r="B288" i="141" s="1"/>
  <c r="B289" i="141" s="1"/>
  <c r="B290" i="141" s="1"/>
  <c r="B291" i="141" s="1"/>
  <c r="B292" i="141" s="1"/>
  <c r="B293" i="141" s="1"/>
  <c r="B294" i="141" s="1"/>
  <c r="B295" i="141" s="1"/>
  <c r="B296" i="141" s="1"/>
  <c r="B297" i="141" s="1"/>
  <c r="B298" i="141" s="1"/>
  <c r="B299" i="141" s="1"/>
  <c r="B300" i="141" s="1"/>
  <c r="B301" i="141" s="1"/>
  <c r="B302" i="141" s="1"/>
  <c r="B303" i="141" s="1"/>
  <c r="B304" i="141" s="1"/>
  <c r="B305" i="141" s="1"/>
  <c r="B306" i="141" s="1"/>
  <c r="B307" i="141" s="1"/>
  <c r="B308" i="141" s="1"/>
  <c r="B309" i="141" s="1"/>
  <c r="B310" i="141" s="1"/>
  <c r="B311" i="141" s="1"/>
  <c r="B312" i="141" s="1"/>
  <c r="B313" i="141" s="1"/>
  <c r="B314" i="141" s="1"/>
  <c r="B315" i="141" s="1"/>
  <c r="B316" i="141" s="1"/>
  <c r="B317" i="141" s="1"/>
  <c r="B318" i="141" s="1"/>
  <c r="B319" i="141" s="1"/>
  <c r="B320" i="141" s="1"/>
  <c r="B321" i="141" s="1"/>
  <c r="B322" i="141" s="1"/>
  <c r="B323" i="141" s="1"/>
  <c r="B324" i="141" s="1"/>
  <c r="B325" i="141" s="1"/>
  <c r="B326" i="141" s="1"/>
  <c r="B327" i="141" s="1"/>
  <c r="B328" i="141" s="1"/>
  <c r="B329" i="141" s="1"/>
  <c r="B2" i="146"/>
  <c r="B2" i="147"/>
  <c r="B3" i="147" s="1"/>
  <c r="B4" i="147" s="1"/>
  <c r="B5" i="147" s="1"/>
  <c r="B6" i="147" s="1"/>
  <c r="B7" i="147" s="1"/>
  <c r="B8" i="147" s="1"/>
  <c r="B9" i="147" s="1"/>
  <c r="B10" i="147" s="1"/>
  <c r="B11" i="147" s="1"/>
  <c r="B12" i="147" s="1"/>
  <c r="B13" i="147" s="1"/>
  <c r="B14" i="147" s="1"/>
  <c r="B15" i="147" s="1"/>
  <c r="B16" i="147" s="1"/>
  <c r="B17" i="147" s="1"/>
  <c r="B18" i="147" s="1"/>
  <c r="B19" i="147" s="1"/>
  <c r="B20" i="147" s="1"/>
  <c r="B21" i="147" s="1"/>
  <c r="B22" i="147" s="1"/>
  <c r="B23" i="147" s="1"/>
  <c r="B24" i="147" s="1"/>
  <c r="B25" i="147" s="1"/>
  <c r="B26" i="147" s="1"/>
  <c r="B27" i="147" s="1"/>
  <c r="B28" i="147" s="1"/>
  <c r="B29" i="147" s="1"/>
  <c r="B30" i="147" s="1"/>
  <c r="B31" i="147" s="1"/>
  <c r="B32" i="147" s="1"/>
  <c r="B33" i="147" s="1"/>
  <c r="B34" i="147" s="1"/>
  <c r="B35" i="147" s="1"/>
  <c r="B36" i="147" s="1"/>
  <c r="B37" i="147" s="1"/>
  <c r="B38" i="147" s="1"/>
  <c r="B39" i="147" s="1"/>
  <c r="B40" i="147" s="1"/>
  <c r="B41" i="147" s="1"/>
  <c r="B42" i="147" s="1"/>
  <c r="B43" i="147" s="1"/>
  <c r="B44" i="147" s="1"/>
  <c r="B45" i="147" s="1"/>
  <c r="B46" i="147" s="1"/>
  <c r="B47" i="147" s="1"/>
  <c r="B48" i="147" s="1"/>
  <c r="B49" i="147" s="1"/>
  <c r="B50" i="147" s="1"/>
  <c r="B51" i="147" s="1"/>
  <c r="B52" i="147" s="1"/>
  <c r="B53" i="147" s="1"/>
  <c r="B54" i="147" s="1"/>
  <c r="B55" i="147" s="1"/>
  <c r="B56" i="147" s="1"/>
  <c r="B57" i="147" s="1"/>
  <c r="B58" i="147" s="1"/>
  <c r="B59" i="147" s="1"/>
  <c r="B60" i="147" s="1"/>
  <c r="B61" i="147" s="1"/>
  <c r="B62" i="147" s="1"/>
  <c r="B63" i="147" s="1"/>
  <c r="B64" i="147" s="1"/>
  <c r="B65" i="147" s="1"/>
  <c r="B66" i="147" s="1"/>
  <c r="B67" i="147" s="1"/>
  <c r="B68" i="147" s="1"/>
  <c r="B69" i="147" s="1"/>
  <c r="B70" i="147" s="1"/>
  <c r="B71" i="147" s="1"/>
  <c r="B72" i="147" s="1"/>
  <c r="B73" i="147" s="1"/>
  <c r="B74" i="147" s="1"/>
  <c r="B75" i="147" s="1"/>
  <c r="B76" i="147" s="1"/>
  <c r="B77" i="147" s="1"/>
  <c r="B78" i="147" s="1"/>
  <c r="B79" i="147" s="1"/>
  <c r="B80" i="147" s="1"/>
  <c r="B81" i="147" s="1"/>
  <c r="B82" i="147" s="1"/>
  <c r="B83" i="147" s="1"/>
  <c r="B84" i="147" s="1"/>
  <c r="B85" i="147" s="1"/>
  <c r="B86" i="147" s="1"/>
  <c r="B87" i="147" s="1"/>
  <c r="B88" i="147" s="1"/>
  <c r="B89" i="147" s="1"/>
  <c r="B90" i="147" s="1"/>
  <c r="B91" i="147" s="1"/>
  <c r="B92" i="147" s="1"/>
  <c r="B93" i="147" s="1"/>
  <c r="B94" i="147" s="1"/>
  <c r="B95" i="147" s="1"/>
  <c r="B96" i="147" s="1"/>
  <c r="B4" i="158"/>
  <c r="B5" i="158" s="1"/>
  <c r="B6" i="158" s="1"/>
  <c r="B7" i="158" s="1"/>
  <c r="B8" i="158" s="1"/>
  <c r="B9" i="158" s="1"/>
  <c r="B10" i="158" s="1"/>
  <c r="B11" i="158" s="1"/>
  <c r="B12" i="158" s="1"/>
  <c r="B13" i="158" s="1"/>
  <c r="B14" i="158" s="1"/>
  <c r="B15" i="158" s="1"/>
  <c r="B2" i="127"/>
  <c r="B3" i="127" s="1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B33" i="127" s="1"/>
  <c r="B34" i="127" s="1"/>
  <c r="B35" i="127" s="1"/>
  <c r="B36" i="127" s="1"/>
  <c r="B37" i="127" s="1"/>
  <c r="B38" i="127" s="1"/>
  <c r="B39" i="127" s="1"/>
  <c r="B40" i="127" s="1"/>
  <c r="B41" i="127" s="1"/>
  <c r="B42" i="127" s="1"/>
  <c r="B43" i="127" s="1"/>
  <c r="B44" i="127" s="1"/>
  <c r="B45" i="127" s="1"/>
  <c r="B46" i="127" s="1"/>
  <c r="B47" i="127" s="1"/>
  <c r="B48" i="127" s="1"/>
  <c r="B49" i="127" s="1"/>
  <c r="B50" i="127" s="1"/>
  <c r="B51" i="127" s="1"/>
  <c r="B52" i="127" s="1"/>
  <c r="B53" i="127" s="1"/>
  <c r="B54" i="127" s="1"/>
  <c r="B55" i="127" s="1"/>
  <c r="B56" i="127" s="1"/>
  <c r="B57" i="127" s="1"/>
  <c r="B58" i="127" s="1"/>
  <c r="B59" i="127" s="1"/>
  <c r="B60" i="127" s="1"/>
  <c r="B61" i="127" s="1"/>
  <c r="B62" i="127" s="1"/>
  <c r="B63" i="127" s="1"/>
  <c r="B64" i="127" s="1"/>
  <c r="B65" i="127" s="1"/>
  <c r="B66" i="127" s="1"/>
  <c r="B67" i="127" s="1"/>
  <c r="B68" i="127" s="1"/>
  <c r="B69" i="127" s="1"/>
  <c r="B70" i="127" s="1"/>
  <c r="B71" i="127" s="1"/>
  <c r="B72" i="127" s="1"/>
  <c r="B73" i="127" s="1"/>
  <c r="B74" i="127" s="1"/>
  <c r="B75" i="127" s="1"/>
  <c r="B76" i="127" s="1"/>
  <c r="B77" i="127" s="1"/>
  <c r="B78" i="127" s="1"/>
  <c r="B79" i="127" s="1"/>
  <c r="B80" i="127" s="1"/>
  <c r="B81" i="127" s="1"/>
  <c r="B82" i="127" s="1"/>
  <c r="B83" i="127" s="1"/>
  <c r="B84" i="127" s="1"/>
  <c r="B85" i="127" s="1"/>
  <c r="B86" i="127" s="1"/>
  <c r="B87" i="127" s="1"/>
  <c r="B88" i="127" s="1"/>
  <c r="B89" i="127" s="1"/>
  <c r="B90" i="127" s="1"/>
  <c r="B91" i="127" s="1"/>
  <c r="B92" i="127" s="1"/>
  <c r="B93" i="127" s="1"/>
  <c r="B94" i="127" s="1"/>
  <c r="B95" i="127" s="1"/>
  <c r="B96" i="127" s="1"/>
  <c r="B97" i="127" s="1"/>
  <c r="B98" i="127" s="1"/>
  <c r="B99" i="127" s="1"/>
  <c r="B100" i="127" s="1"/>
  <c r="B101" i="127" s="1"/>
  <c r="B102" i="127" s="1"/>
  <c r="B103" i="127" s="1"/>
  <c r="B104" i="127" s="1"/>
  <c r="B105" i="127" s="1"/>
  <c r="B106" i="127" s="1"/>
  <c r="B107" i="127" s="1"/>
  <c r="B108" i="127" s="1"/>
  <c r="B109" i="127" s="1"/>
  <c r="B110" i="127" s="1"/>
  <c r="B111" i="127" s="1"/>
  <c r="B112" i="127" s="1"/>
  <c r="B113" i="127" s="1"/>
  <c r="B114" i="127" s="1"/>
  <c r="B115" i="127" s="1"/>
  <c r="B116" i="127" s="1"/>
  <c r="B117" i="127" s="1"/>
  <c r="B118" i="127" s="1"/>
  <c r="B119" i="127" s="1"/>
  <c r="B120" i="127" s="1"/>
  <c r="B121" i="127" s="1"/>
  <c r="B122" i="127" s="1"/>
  <c r="B123" i="127" s="1"/>
  <c r="B124" i="127" s="1"/>
  <c r="B125" i="127" s="1"/>
  <c r="B126" i="127" s="1"/>
  <c r="B127" i="127" s="1"/>
  <c r="B128" i="127" s="1"/>
  <c r="B129" i="127" s="1"/>
  <c r="B130" i="127" s="1"/>
  <c r="B131" i="127" s="1"/>
  <c r="B132" i="127" s="1"/>
  <c r="B133" i="127" s="1"/>
  <c r="B134" i="127" s="1"/>
  <c r="B135" i="127" s="1"/>
  <c r="B136" i="127" s="1"/>
  <c r="B137" i="127" s="1"/>
  <c r="B138" i="127" s="1"/>
  <c r="B139" i="127" s="1"/>
  <c r="B140" i="127" s="1"/>
  <c r="B141" i="127" s="1"/>
  <c r="B142" i="127" s="1"/>
  <c r="B143" i="127" s="1"/>
  <c r="B144" i="127" s="1"/>
  <c r="B145" i="127" s="1"/>
  <c r="B146" i="127" s="1"/>
  <c r="B147" i="127" s="1"/>
  <c r="B148" i="127" s="1"/>
  <c r="B149" i="127" s="1"/>
  <c r="B150" i="127" s="1"/>
  <c r="B151" i="127" s="1"/>
  <c r="B152" i="127" s="1"/>
  <c r="B153" i="127" s="1"/>
  <c r="B154" i="127" s="1"/>
  <c r="B155" i="127" s="1"/>
  <c r="B156" i="127" s="1"/>
  <c r="B157" i="127" s="1"/>
  <c r="B158" i="127" s="1"/>
  <c r="B159" i="127" s="1"/>
  <c r="B160" i="127" s="1"/>
  <c r="B161" i="127" s="1"/>
  <c r="B162" i="127" s="1"/>
  <c r="B163" i="127" s="1"/>
  <c r="B164" i="127" s="1"/>
  <c r="B165" i="127" s="1"/>
  <c r="B166" i="127" s="1"/>
  <c r="B167" i="127" s="1"/>
  <c r="B168" i="127" s="1"/>
  <c r="B169" i="127" s="1"/>
  <c r="B170" i="127" s="1"/>
  <c r="B171" i="127" s="1"/>
  <c r="B172" i="127" s="1"/>
  <c r="B173" i="127" s="1"/>
  <c r="B174" i="127" s="1"/>
  <c r="B175" i="127" s="1"/>
  <c r="B176" i="127" s="1"/>
  <c r="B177" i="127" s="1"/>
  <c r="B178" i="127" s="1"/>
  <c r="B179" i="127" s="1"/>
  <c r="B180" i="127" s="1"/>
  <c r="B181" i="127" s="1"/>
  <c r="B182" i="127" s="1"/>
  <c r="B183" i="127" s="1"/>
  <c r="B184" i="127" s="1"/>
  <c r="B185" i="127" s="1"/>
  <c r="B186" i="127" s="1"/>
  <c r="B187" i="127" s="1"/>
  <c r="B188" i="127" s="1"/>
  <c r="B189" i="127" s="1"/>
  <c r="B190" i="127" s="1"/>
  <c r="B191" i="127" s="1"/>
  <c r="B192" i="127" s="1"/>
  <c r="B193" i="127" s="1"/>
  <c r="B194" i="127" s="1"/>
  <c r="B195" i="127" s="1"/>
  <c r="B196" i="127" s="1"/>
  <c r="B197" i="127" s="1"/>
  <c r="B198" i="127" s="1"/>
  <c r="B199" i="127" s="1"/>
  <c r="B200" i="127" s="1"/>
  <c r="B201" i="127" s="1"/>
  <c r="B202" i="127" s="1"/>
  <c r="B203" i="127" s="1"/>
  <c r="B204" i="127" s="1"/>
  <c r="B205" i="127" s="1"/>
  <c r="B206" i="127" s="1"/>
  <c r="B207" i="127" s="1"/>
  <c r="B208" i="127" s="1"/>
  <c r="B209" i="127" s="1"/>
  <c r="B210" i="127" s="1"/>
  <c r="B211" i="127" s="1"/>
  <c r="B212" i="127" s="1"/>
  <c r="B213" i="127" s="1"/>
  <c r="B214" i="127" s="1"/>
  <c r="B215" i="127" s="1"/>
  <c r="B216" i="127" s="1"/>
  <c r="B217" i="127" s="1"/>
  <c r="B218" i="127" s="1"/>
  <c r="B219" i="127" s="1"/>
  <c r="B220" i="127" s="1"/>
  <c r="B221" i="127" s="1"/>
  <c r="B222" i="127" s="1"/>
  <c r="B223" i="127" s="1"/>
  <c r="B224" i="127" s="1"/>
  <c r="B225" i="127" s="1"/>
  <c r="B226" i="127" s="1"/>
  <c r="B227" i="127" s="1"/>
  <c r="B228" i="127" s="1"/>
  <c r="B229" i="127" s="1"/>
  <c r="B230" i="127" s="1"/>
  <c r="B231" i="127" s="1"/>
  <c r="B232" i="127" s="1"/>
  <c r="B233" i="127" s="1"/>
  <c r="B234" i="127" s="1"/>
  <c r="B235" i="127" s="1"/>
  <c r="B236" i="127" s="1"/>
  <c r="B237" i="127" s="1"/>
  <c r="B238" i="127" s="1"/>
  <c r="B239" i="127" s="1"/>
  <c r="B240" i="127" s="1"/>
  <c r="B241" i="127" s="1"/>
  <c r="B242" i="127" s="1"/>
  <c r="B243" i="127" s="1"/>
  <c r="B244" i="127" s="1"/>
  <c r="B245" i="127" s="1"/>
  <c r="B246" i="127" s="1"/>
  <c r="B247" i="127" s="1"/>
  <c r="B248" i="127" s="1"/>
  <c r="B249" i="127" s="1"/>
  <c r="B250" i="127" s="1"/>
  <c r="B251" i="127" s="1"/>
  <c r="B252" i="127" s="1"/>
  <c r="B253" i="127" s="1"/>
  <c r="B254" i="127" s="1"/>
  <c r="B255" i="127" s="1"/>
  <c r="B256" i="127" s="1"/>
  <c r="B257" i="127" s="1"/>
  <c r="B258" i="127" s="1"/>
  <c r="B259" i="127" s="1"/>
  <c r="B260" i="127" s="1"/>
  <c r="B261" i="127" s="1"/>
  <c r="B262" i="127" s="1"/>
  <c r="B263" i="127" s="1"/>
  <c r="B264" i="127" s="1"/>
  <c r="B265" i="127" s="1"/>
  <c r="B266" i="127" s="1"/>
  <c r="B267" i="127" s="1"/>
  <c r="B268" i="127" s="1"/>
  <c r="B269" i="127" s="1"/>
  <c r="B270" i="127" s="1"/>
  <c r="B271" i="127" s="1"/>
  <c r="B272" i="127" s="1"/>
  <c r="B273" i="127" s="1"/>
  <c r="B274" i="127" s="1"/>
  <c r="B275" i="127" s="1"/>
  <c r="B276" i="127" s="1"/>
  <c r="B277" i="127" s="1"/>
  <c r="B278" i="127" s="1"/>
  <c r="B279" i="127" s="1"/>
  <c r="B280" i="127" s="1"/>
  <c r="B281" i="127" s="1"/>
  <c r="B282" i="127" s="1"/>
  <c r="B283" i="127" s="1"/>
  <c r="B284" i="127" s="1"/>
  <c r="B285" i="127" s="1"/>
  <c r="B286" i="127" s="1"/>
  <c r="B287" i="127" s="1"/>
  <c r="B288" i="127" s="1"/>
  <c r="B289" i="127" s="1"/>
  <c r="B290" i="127" s="1"/>
  <c r="B291" i="127" s="1"/>
  <c r="B292" i="127" s="1"/>
  <c r="B293" i="127" s="1"/>
  <c r="B294" i="127" s="1"/>
  <c r="B295" i="127" s="1"/>
  <c r="B296" i="127" s="1"/>
  <c r="B297" i="127" s="1"/>
  <c r="B298" i="127" s="1"/>
  <c r="B299" i="127" s="1"/>
  <c r="B300" i="127" s="1"/>
  <c r="B301" i="127" s="1"/>
  <c r="B302" i="127" s="1"/>
  <c r="B303" i="127" s="1"/>
  <c r="B2" i="56"/>
  <c r="B3" i="56" s="1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B101" i="56" s="1"/>
  <c r="B102" i="56" s="1"/>
  <c r="B103" i="56" s="1"/>
  <c r="B104" i="56" s="1"/>
  <c r="B105" i="56" s="1"/>
  <c r="B106" i="56" s="1"/>
  <c r="B107" i="56" s="1"/>
  <c r="B108" i="56" s="1"/>
  <c r="B109" i="56" s="1"/>
  <c r="B110" i="56" s="1"/>
  <c r="B111" i="56" s="1"/>
  <c r="B112" i="56" s="1"/>
  <c r="B113" i="56" s="1"/>
  <c r="B114" i="56" s="1"/>
  <c r="B115" i="56" s="1"/>
  <c r="B116" i="56" s="1"/>
  <c r="B117" i="56" s="1"/>
  <c r="B118" i="56" s="1"/>
  <c r="B119" i="56" s="1"/>
  <c r="B120" i="56" s="1"/>
  <c r="B121" i="56" s="1"/>
  <c r="B122" i="56" s="1"/>
  <c r="B123" i="56" s="1"/>
  <c r="B124" i="56" s="1"/>
  <c r="B125" i="56" s="1"/>
  <c r="B126" i="56" s="1"/>
  <c r="B127" i="56" s="1"/>
  <c r="B128" i="56" s="1"/>
  <c r="B129" i="56" s="1"/>
  <c r="B130" i="56" s="1"/>
  <c r="B131" i="56" s="1"/>
  <c r="B132" i="56" s="1"/>
  <c r="B133" i="56" s="1"/>
  <c r="B134" i="56" s="1"/>
  <c r="B135" i="56" s="1"/>
  <c r="B136" i="56" s="1"/>
  <c r="B137" i="56" s="1"/>
  <c r="B138" i="56" s="1"/>
  <c r="B139" i="56" s="1"/>
  <c r="B140" i="56" s="1"/>
  <c r="B141" i="56" s="1"/>
  <c r="B142" i="56" s="1"/>
  <c r="B143" i="56" s="1"/>
  <c r="B144" i="56" s="1"/>
  <c r="B145" i="56" s="1"/>
  <c r="B146" i="56" s="1"/>
  <c r="B147" i="56" s="1"/>
  <c r="B148" i="56" s="1"/>
  <c r="B149" i="56" s="1"/>
  <c r="B150" i="56" s="1"/>
  <c r="B151" i="56" s="1"/>
  <c r="B2" i="133"/>
  <c r="B3" i="133" s="1"/>
  <c r="B4" i="133" s="1"/>
  <c r="B5" i="133" s="1"/>
  <c r="B6" i="133" s="1"/>
  <c r="B7" i="133" s="1"/>
  <c r="B8" i="133" s="1"/>
  <c r="B9" i="133" s="1"/>
  <c r="B10" i="133" s="1"/>
  <c r="B11" i="133" s="1"/>
  <c r="B12" i="133" s="1"/>
  <c r="B13" i="133" s="1"/>
  <c r="B14" i="133" s="1"/>
  <c r="B15" i="133" s="1"/>
  <c r="B16" i="133" s="1"/>
  <c r="B17" i="133" s="1"/>
  <c r="B18" i="133" s="1"/>
  <c r="B19" i="133" s="1"/>
  <c r="B20" i="133" s="1"/>
  <c r="B21" i="133" s="1"/>
  <c r="B22" i="133" s="1"/>
  <c r="B23" i="133" s="1"/>
  <c r="B24" i="133" s="1"/>
  <c r="B25" i="133" s="1"/>
  <c r="B26" i="133" s="1"/>
  <c r="B27" i="133" s="1"/>
  <c r="B28" i="133" s="1"/>
  <c r="B29" i="133" s="1"/>
  <c r="B30" i="133" s="1"/>
  <c r="B31" i="133" s="1"/>
  <c r="B32" i="133" s="1"/>
  <c r="B33" i="133" s="1"/>
  <c r="B34" i="133" s="1"/>
  <c r="B35" i="133" s="1"/>
  <c r="B36" i="133" s="1"/>
  <c r="B37" i="133" s="1"/>
  <c r="B38" i="133" s="1"/>
  <c r="B39" i="133" s="1"/>
  <c r="B40" i="133" s="1"/>
  <c r="B41" i="133" s="1"/>
  <c r="B42" i="133" s="1"/>
  <c r="B43" i="133" s="1"/>
  <c r="B44" i="133" s="1"/>
  <c r="B45" i="133" s="1"/>
  <c r="B46" i="133" s="1"/>
  <c r="B47" i="133" s="1"/>
  <c r="B48" i="133" s="1"/>
  <c r="B49" i="133" s="1"/>
  <c r="B50" i="133" s="1"/>
  <c r="B51" i="133" s="1"/>
  <c r="B52" i="133" s="1"/>
  <c r="B53" i="133" s="1"/>
  <c r="B54" i="133" s="1"/>
  <c r="B55" i="133" s="1"/>
  <c r="B56" i="133" s="1"/>
  <c r="B57" i="133" s="1"/>
  <c r="B58" i="133" s="1"/>
  <c r="B59" i="133" s="1"/>
  <c r="B60" i="133" s="1"/>
  <c r="B61" i="133" s="1"/>
  <c r="B62" i="133" s="1"/>
  <c r="B63" i="133" s="1"/>
  <c r="B64" i="133" s="1"/>
  <c r="B65" i="133" s="1"/>
  <c r="B2" i="100"/>
  <c r="B3" i="100" s="1"/>
  <c r="B4" i="100" s="1"/>
  <c r="B5" i="100" s="1"/>
  <c r="B6" i="100" s="1"/>
  <c r="B7" i="100" s="1"/>
  <c r="B8" i="100" s="1"/>
  <c r="B9" i="100" s="1"/>
  <c r="B10" i="100" s="1"/>
  <c r="B11" i="100" s="1"/>
  <c r="B12" i="100" s="1"/>
  <c r="B13" i="100" s="1"/>
  <c r="B14" i="100" s="1"/>
  <c r="B15" i="100" s="1"/>
  <c r="B16" i="100" s="1"/>
  <c r="B17" i="100" s="1"/>
  <c r="B18" i="100" s="1"/>
  <c r="B19" i="100" s="1"/>
  <c r="B20" i="100" s="1"/>
  <c r="B21" i="100" s="1"/>
  <c r="B22" i="100" s="1"/>
  <c r="B23" i="100" s="1"/>
  <c r="B24" i="100" s="1"/>
  <c r="B25" i="100" s="1"/>
  <c r="B26" i="100" s="1"/>
  <c r="B27" i="100" s="1"/>
  <c r="B28" i="100" s="1"/>
  <c r="B29" i="100" s="1"/>
  <c r="B30" i="100" s="1"/>
  <c r="B31" i="100" s="1"/>
  <c r="B32" i="100" s="1"/>
  <c r="B33" i="100" s="1"/>
  <c r="B34" i="100" s="1"/>
  <c r="B35" i="100" s="1"/>
  <c r="B36" i="100" s="1"/>
  <c r="B37" i="100" s="1"/>
  <c r="B38" i="100" s="1"/>
  <c r="B39" i="100" s="1"/>
  <c r="B40" i="100" s="1"/>
  <c r="B41" i="100" s="1"/>
  <c r="B42" i="100" s="1"/>
  <c r="B43" i="100" s="1"/>
  <c r="B44" i="100" s="1"/>
  <c r="B45" i="100" s="1"/>
  <c r="B46" i="100" s="1"/>
  <c r="B47" i="100" s="1"/>
  <c r="B48" i="100" s="1"/>
  <c r="B49" i="100" s="1"/>
  <c r="B50" i="100" s="1"/>
  <c r="B51" i="100" s="1"/>
  <c r="B52" i="100" s="1"/>
  <c r="B53" i="100" s="1"/>
  <c r="B54" i="100" s="1"/>
  <c r="B55" i="100" s="1"/>
  <c r="B56" i="100" s="1"/>
  <c r="B57" i="100" s="1"/>
  <c r="B58" i="100" s="1"/>
  <c r="B59" i="100" s="1"/>
  <c r="B60" i="100" s="1"/>
  <c r="B61" i="100" s="1"/>
  <c r="B62" i="100" s="1"/>
  <c r="B63" i="100" s="1"/>
  <c r="B64" i="100" s="1"/>
  <c r="B65" i="100" s="1"/>
  <c r="B66" i="100" s="1"/>
  <c r="B67" i="100" s="1"/>
  <c r="B68" i="100" s="1"/>
  <c r="B69" i="100" s="1"/>
  <c r="B70" i="100" s="1"/>
  <c r="B71" i="100" s="1"/>
  <c r="B72" i="100" s="1"/>
  <c r="B73" i="100" s="1"/>
  <c r="B74" i="100" s="1"/>
  <c r="B75" i="100" s="1"/>
  <c r="B76" i="100" s="1"/>
  <c r="B77" i="100" s="1"/>
  <c r="B78" i="100" s="1"/>
  <c r="B79" i="100" s="1"/>
  <c r="B80" i="100" s="1"/>
  <c r="B81" i="100" s="1"/>
  <c r="B82" i="100" s="1"/>
  <c r="B83" i="100" s="1"/>
  <c r="B84" i="100" s="1"/>
  <c r="B85" i="100" s="1"/>
  <c r="B86" i="100" s="1"/>
  <c r="B87" i="100" s="1"/>
  <c r="B88" i="100" s="1"/>
  <c r="B89" i="100" s="1"/>
  <c r="B90" i="100" s="1"/>
  <c r="B91" i="100" s="1"/>
  <c r="B92" i="100" s="1"/>
  <c r="B93" i="100" s="1"/>
  <c r="B94" i="100" s="1"/>
  <c r="B95" i="100" s="1"/>
  <c r="B96" i="100" s="1"/>
  <c r="B97" i="100" s="1"/>
  <c r="B98" i="100" s="1"/>
  <c r="B99" i="100" s="1"/>
  <c r="B100" i="100" s="1"/>
  <c r="B101" i="100" s="1"/>
  <c r="B102" i="100" s="1"/>
  <c r="B103" i="100" s="1"/>
  <c r="B104" i="100" s="1"/>
  <c r="B105" i="100" s="1"/>
  <c r="B106" i="100" s="1"/>
  <c r="B107" i="100" s="1"/>
  <c r="B108" i="100" s="1"/>
  <c r="B109" i="100" s="1"/>
  <c r="B110" i="100" s="1"/>
  <c r="B111" i="100" s="1"/>
  <c r="B112" i="100" s="1"/>
  <c r="B113" i="100" s="1"/>
  <c r="B114" i="100" s="1"/>
  <c r="B115" i="100" s="1"/>
  <c r="B116" i="100" s="1"/>
  <c r="B117" i="100" s="1"/>
  <c r="B118" i="100" s="1"/>
  <c r="B2" i="134"/>
  <c r="B3" i="134" s="1"/>
  <c r="B4" i="134" s="1"/>
  <c r="B5" i="134" s="1"/>
  <c r="B6" i="134" s="1"/>
  <c r="B7" i="134" s="1"/>
  <c r="B8" i="134" s="1"/>
  <c r="B9" i="134" s="1"/>
  <c r="B10" i="134" s="1"/>
  <c r="B11" i="134" s="1"/>
  <c r="B12" i="134" s="1"/>
  <c r="B13" i="134" s="1"/>
  <c r="B14" i="134" s="1"/>
  <c r="B15" i="134" s="1"/>
  <c r="B16" i="134" s="1"/>
  <c r="B17" i="134" s="1"/>
  <c r="B18" i="134" s="1"/>
  <c r="B19" i="134" s="1"/>
  <c r="B20" i="134" s="1"/>
  <c r="B21" i="134" s="1"/>
  <c r="B22" i="134" s="1"/>
  <c r="B23" i="134" s="1"/>
  <c r="B24" i="134" s="1"/>
  <c r="B25" i="134" s="1"/>
  <c r="B26" i="134" s="1"/>
  <c r="B27" i="134" s="1"/>
  <c r="B28" i="134" s="1"/>
  <c r="B29" i="134" s="1"/>
  <c r="B30" i="134" s="1"/>
  <c r="B31" i="134" s="1"/>
  <c r="B32" i="134" s="1"/>
  <c r="B33" i="134" s="1"/>
  <c r="B34" i="134" s="1"/>
  <c r="B35" i="134" s="1"/>
  <c r="B36" i="134" s="1"/>
  <c r="B37" i="134" s="1"/>
  <c r="B38" i="134" s="1"/>
  <c r="B39" i="134" s="1"/>
  <c r="B40" i="134" s="1"/>
  <c r="B41" i="134" s="1"/>
  <c r="B42" i="134" s="1"/>
  <c r="B43" i="134" s="1"/>
  <c r="B44" i="134" s="1"/>
  <c r="B45" i="134" s="1"/>
  <c r="B46" i="134" s="1"/>
  <c r="B47" i="134" s="1"/>
  <c r="B48" i="134" s="1"/>
  <c r="B49" i="134" s="1"/>
  <c r="B50" i="134" s="1"/>
  <c r="B51" i="134" s="1"/>
  <c r="B52" i="134" s="1"/>
  <c r="B53" i="134" s="1"/>
  <c r="B54" i="134" s="1"/>
  <c r="B55" i="134" s="1"/>
  <c r="B56" i="134" s="1"/>
  <c r="B57" i="134" s="1"/>
  <c r="B58" i="134" s="1"/>
  <c r="B59" i="134" s="1"/>
  <c r="B60" i="134" s="1"/>
  <c r="B61" i="134" s="1"/>
  <c r="B62" i="134" s="1"/>
  <c r="B63" i="134" s="1"/>
  <c r="B3" i="80"/>
  <c r="B4" i="80" s="1"/>
  <c r="B5" i="80" s="1"/>
  <c r="B6" i="80" s="1"/>
  <c r="C4" i="158"/>
  <c r="C5" i="158" s="1"/>
  <c r="C6" i="158" s="1"/>
  <c r="C7" i="158" s="1"/>
  <c r="C8" i="158" s="1"/>
  <c r="C9" i="158" s="1"/>
  <c r="C10" i="158" s="1"/>
  <c r="C11" i="158" s="1"/>
  <c r="C12" i="158" s="1"/>
  <c r="C13" i="158" s="1"/>
  <c r="C14" i="158" s="1"/>
  <c r="C15" i="158" s="1"/>
  <c r="C2" i="146"/>
  <c r="C2" i="56"/>
  <c r="C3" i="56" s="1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C65" i="56" s="1"/>
  <c r="C66" i="56" s="1"/>
  <c r="C67" i="56" s="1"/>
  <c r="C68" i="56" s="1"/>
  <c r="C69" i="56" s="1"/>
  <c r="C70" i="56" s="1"/>
  <c r="C71" i="56" s="1"/>
  <c r="C72" i="56" s="1"/>
  <c r="C73" i="56" s="1"/>
  <c r="C74" i="56" s="1"/>
  <c r="C75" i="56" s="1"/>
  <c r="C76" i="56" s="1"/>
  <c r="C77" i="56" s="1"/>
  <c r="C78" i="56" s="1"/>
  <c r="C79" i="56" s="1"/>
  <c r="C80" i="56" s="1"/>
  <c r="C81" i="56" s="1"/>
  <c r="C82" i="56" s="1"/>
  <c r="C83" i="56" s="1"/>
  <c r="C84" i="56" s="1"/>
  <c r="C85" i="56" s="1"/>
  <c r="C86" i="56" s="1"/>
  <c r="C87" i="56" s="1"/>
  <c r="C88" i="56" s="1"/>
  <c r="C89" i="56" s="1"/>
  <c r="C90" i="56" s="1"/>
  <c r="C91" i="56" s="1"/>
  <c r="C92" i="56" s="1"/>
  <c r="C93" i="56" s="1"/>
  <c r="C94" i="56" s="1"/>
  <c r="C95" i="56" s="1"/>
  <c r="C96" i="56" s="1"/>
  <c r="C97" i="56" s="1"/>
  <c r="C98" i="56" s="1"/>
  <c r="C99" i="56" s="1"/>
  <c r="C100" i="56" s="1"/>
  <c r="C101" i="56" s="1"/>
  <c r="C102" i="56" s="1"/>
  <c r="C103" i="56" s="1"/>
  <c r="C104" i="56" s="1"/>
  <c r="C105" i="56" s="1"/>
  <c r="C106" i="56" s="1"/>
  <c r="C107" i="56" s="1"/>
  <c r="C108" i="56" s="1"/>
  <c r="C109" i="56" s="1"/>
  <c r="C110" i="56" s="1"/>
  <c r="C111" i="56" s="1"/>
  <c r="C112" i="56" s="1"/>
  <c r="C113" i="56" s="1"/>
  <c r="C114" i="56" s="1"/>
  <c r="C115" i="56" s="1"/>
  <c r="C116" i="56" s="1"/>
  <c r="C117" i="56" s="1"/>
  <c r="C118" i="56" s="1"/>
  <c r="C119" i="56" s="1"/>
  <c r="C120" i="56" s="1"/>
  <c r="C121" i="56" s="1"/>
  <c r="C122" i="56" s="1"/>
  <c r="C123" i="56" s="1"/>
  <c r="C124" i="56" s="1"/>
  <c r="C125" i="56" s="1"/>
  <c r="C126" i="56" s="1"/>
  <c r="C127" i="56" s="1"/>
  <c r="C128" i="56" s="1"/>
  <c r="C129" i="56" s="1"/>
  <c r="C130" i="56" s="1"/>
  <c r="C131" i="56" s="1"/>
  <c r="C132" i="56" s="1"/>
  <c r="C133" i="56" s="1"/>
  <c r="C134" i="56" s="1"/>
  <c r="C135" i="56" s="1"/>
  <c r="C136" i="56" s="1"/>
  <c r="C137" i="56" s="1"/>
  <c r="C138" i="56" s="1"/>
  <c r="C139" i="56" s="1"/>
  <c r="C140" i="56" s="1"/>
  <c r="C141" i="56" s="1"/>
  <c r="C142" i="56" s="1"/>
  <c r="C143" i="56" s="1"/>
  <c r="C144" i="56" s="1"/>
  <c r="C145" i="56" s="1"/>
  <c r="C146" i="56" s="1"/>
  <c r="C147" i="56" s="1"/>
  <c r="C148" i="56" s="1"/>
  <c r="C149" i="56" s="1"/>
  <c r="C150" i="56" s="1"/>
  <c r="C151" i="56" s="1"/>
  <c r="C2" i="100"/>
  <c r="C3" i="100" s="1"/>
  <c r="C4" i="100" s="1"/>
  <c r="C5" i="100" s="1"/>
  <c r="C6" i="100" s="1"/>
  <c r="C7" i="100" s="1"/>
  <c r="C8" i="100" s="1"/>
  <c r="C9" i="100" s="1"/>
  <c r="C10" i="100" s="1"/>
  <c r="C11" i="100" s="1"/>
  <c r="C12" i="100" s="1"/>
  <c r="C13" i="100" s="1"/>
  <c r="C14" i="100" s="1"/>
  <c r="C15" i="100" s="1"/>
  <c r="C16" i="100" s="1"/>
  <c r="C17" i="100" s="1"/>
  <c r="C18" i="100" s="1"/>
  <c r="C19" i="100" s="1"/>
  <c r="C20" i="100" s="1"/>
  <c r="C21" i="100" s="1"/>
  <c r="C22" i="100" s="1"/>
  <c r="C23" i="100" s="1"/>
  <c r="C24" i="100" s="1"/>
  <c r="C25" i="100" s="1"/>
  <c r="C26" i="100" s="1"/>
  <c r="C27" i="100" s="1"/>
  <c r="C28" i="100" s="1"/>
  <c r="C29" i="100" s="1"/>
  <c r="C30" i="100" s="1"/>
  <c r="C31" i="100" s="1"/>
  <c r="C32" i="100" s="1"/>
  <c r="C33" i="100" s="1"/>
  <c r="C34" i="100" s="1"/>
  <c r="C35" i="100" s="1"/>
  <c r="C36" i="100" s="1"/>
  <c r="C37" i="100" s="1"/>
  <c r="C38" i="100" s="1"/>
  <c r="C39" i="100" s="1"/>
  <c r="C40" i="100" s="1"/>
  <c r="C41" i="100" s="1"/>
  <c r="C42" i="100" s="1"/>
  <c r="C43" i="100" s="1"/>
  <c r="C44" i="100" s="1"/>
  <c r="C45" i="100" s="1"/>
  <c r="C46" i="100" s="1"/>
  <c r="C47" i="100" s="1"/>
  <c r="C48" i="100" s="1"/>
  <c r="C49" i="100" s="1"/>
  <c r="C50" i="100" s="1"/>
  <c r="C51" i="100" s="1"/>
  <c r="C52" i="100" s="1"/>
  <c r="C53" i="100" s="1"/>
  <c r="C54" i="100" s="1"/>
  <c r="C55" i="100" s="1"/>
  <c r="C56" i="100" s="1"/>
  <c r="C57" i="100" s="1"/>
  <c r="C58" i="100" s="1"/>
  <c r="C59" i="100" s="1"/>
  <c r="C60" i="100" s="1"/>
  <c r="C61" i="100" s="1"/>
  <c r="C62" i="100" s="1"/>
  <c r="C63" i="100" s="1"/>
  <c r="C64" i="100" s="1"/>
  <c r="C65" i="100" s="1"/>
  <c r="C66" i="100" s="1"/>
  <c r="C67" i="100" s="1"/>
  <c r="C68" i="100" s="1"/>
  <c r="C69" i="100" s="1"/>
  <c r="C70" i="100" s="1"/>
  <c r="C71" i="100" s="1"/>
  <c r="C72" i="100" s="1"/>
  <c r="C73" i="100" s="1"/>
  <c r="C74" i="100" s="1"/>
  <c r="C75" i="100" s="1"/>
  <c r="C76" i="100" s="1"/>
  <c r="C77" i="100" s="1"/>
  <c r="C78" i="100" s="1"/>
  <c r="C79" i="100" s="1"/>
  <c r="C80" i="100" s="1"/>
  <c r="C81" i="100" s="1"/>
  <c r="C82" i="100" s="1"/>
  <c r="C83" i="100" s="1"/>
  <c r="C84" i="100" s="1"/>
  <c r="C85" i="100" s="1"/>
  <c r="C86" i="100" s="1"/>
  <c r="C87" i="100" s="1"/>
  <c r="C88" i="100" s="1"/>
  <c r="C89" i="100" s="1"/>
  <c r="C90" i="100" s="1"/>
  <c r="C91" i="100" s="1"/>
  <c r="C92" i="100" s="1"/>
  <c r="C93" i="100" s="1"/>
  <c r="C94" i="100" s="1"/>
  <c r="C95" i="100" s="1"/>
  <c r="C96" i="100" s="1"/>
  <c r="C97" i="100" s="1"/>
  <c r="C98" i="100" s="1"/>
  <c r="C99" i="100" s="1"/>
  <c r="C100" i="100" s="1"/>
  <c r="C101" i="100" s="1"/>
  <c r="C102" i="100" s="1"/>
  <c r="C103" i="100" s="1"/>
  <c r="C104" i="100" s="1"/>
  <c r="C105" i="100" s="1"/>
  <c r="C106" i="100" s="1"/>
  <c r="C107" i="100" s="1"/>
  <c r="C108" i="100" s="1"/>
  <c r="C109" i="100" s="1"/>
  <c r="C110" i="100" s="1"/>
  <c r="C111" i="100" s="1"/>
  <c r="C112" i="100" s="1"/>
  <c r="C113" i="100" s="1"/>
  <c r="C114" i="100" s="1"/>
  <c r="C115" i="100" s="1"/>
  <c r="C116" i="100" s="1"/>
  <c r="C117" i="100" s="1"/>
  <c r="C118" i="100" s="1"/>
  <c r="C2" i="147"/>
  <c r="C3" i="147" s="1"/>
  <c r="C4" i="147" s="1"/>
  <c r="C5" i="147" s="1"/>
  <c r="C6" i="147" s="1"/>
  <c r="C7" i="147" s="1"/>
  <c r="C8" i="147" s="1"/>
  <c r="C9" i="147" s="1"/>
  <c r="C10" i="147" s="1"/>
  <c r="C11" i="147" s="1"/>
  <c r="C12" i="147" s="1"/>
  <c r="C13" i="147" s="1"/>
  <c r="C14" i="147" s="1"/>
  <c r="C15" i="147" s="1"/>
  <c r="C16" i="147" s="1"/>
  <c r="C17" i="147" s="1"/>
  <c r="C18" i="147" s="1"/>
  <c r="C19" i="147" s="1"/>
  <c r="C20" i="147" s="1"/>
  <c r="C21" i="147" s="1"/>
  <c r="C22" i="147" s="1"/>
  <c r="C23" i="147" s="1"/>
  <c r="C24" i="147" s="1"/>
  <c r="C25" i="147" s="1"/>
  <c r="C26" i="147" s="1"/>
  <c r="C27" i="147" s="1"/>
  <c r="C28" i="147" s="1"/>
  <c r="C29" i="147" s="1"/>
  <c r="C30" i="147" s="1"/>
  <c r="C31" i="147" s="1"/>
  <c r="C32" i="147" s="1"/>
  <c r="C33" i="147" s="1"/>
  <c r="C34" i="147" s="1"/>
  <c r="C35" i="147" s="1"/>
  <c r="C36" i="147" s="1"/>
  <c r="C37" i="147" s="1"/>
  <c r="C38" i="147" s="1"/>
  <c r="C39" i="147" s="1"/>
  <c r="C40" i="147" s="1"/>
  <c r="C41" i="147" s="1"/>
  <c r="C42" i="147" s="1"/>
  <c r="C43" i="147" s="1"/>
  <c r="C44" i="147" s="1"/>
  <c r="C45" i="147" s="1"/>
  <c r="C46" i="147" s="1"/>
  <c r="C47" i="147" s="1"/>
  <c r="C48" i="147" s="1"/>
  <c r="C49" i="147" s="1"/>
  <c r="C50" i="147" s="1"/>
  <c r="C51" i="147" s="1"/>
  <c r="C52" i="147" s="1"/>
  <c r="C53" i="147" s="1"/>
  <c r="C54" i="147" s="1"/>
  <c r="C55" i="147" s="1"/>
  <c r="C56" i="147" s="1"/>
  <c r="C57" i="147" s="1"/>
  <c r="C58" i="147" s="1"/>
  <c r="C59" i="147" s="1"/>
  <c r="C60" i="147" s="1"/>
  <c r="C61" i="147" s="1"/>
  <c r="C62" i="147" s="1"/>
  <c r="C63" i="147" s="1"/>
  <c r="C64" i="147" s="1"/>
  <c r="C65" i="147" s="1"/>
  <c r="C66" i="147" s="1"/>
  <c r="C67" i="147" s="1"/>
  <c r="C68" i="147" s="1"/>
  <c r="C69" i="147" s="1"/>
  <c r="C70" i="147" s="1"/>
  <c r="C71" i="147" s="1"/>
  <c r="C72" i="147" s="1"/>
  <c r="C73" i="147" s="1"/>
  <c r="C74" i="147" s="1"/>
  <c r="C75" i="147" s="1"/>
  <c r="C76" i="147" s="1"/>
  <c r="C77" i="147" s="1"/>
  <c r="C78" i="147" s="1"/>
  <c r="C79" i="147" s="1"/>
  <c r="C80" i="147" s="1"/>
  <c r="C81" i="147" s="1"/>
  <c r="C82" i="147" s="1"/>
  <c r="C83" i="147" s="1"/>
  <c r="C84" i="147" s="1"/>
  <c r="C85" i="147" s="1"/>
  <c r="C86" i="147" s="1"/>
  <c r="C87" i="147" s="1"/>
  <c r="C88" i="147" s="1"/>
  <c r="C89" i="147" s="1"/>
  <c r="C90" i="147" s="1"/>
  <c r="C91" i="147" s="1"/>
  <c r="C92" i="147" s="1"/>
  <c r="C93" i="147" s="1"/>
  <c r="C94" i="147" s="1"/>
  <c r="C95" i="147" s="1"/>
  <c r="C96" i="147" s="1"/>
  <c r="C2" i="141"/>
  <c r="C3" i="141" s="1"/>
  <c r="C4" i="141" s="1"/>
  <c r="C5" i="141" s="1"/>
  <c r="C6" i="141" s="1"/>
  <c r="C7" i="141" s="1"/>
  <c r="C8" i="141" s="1"/>
  <c r="C9" i="141" s="1"/>
  <c r="C10" i="141" s="1"/>
  <c r="C11" i="141" s="1"/>
  <c r="C12" i="141" s="1"/>
  <c r="C13" i="141" s="1"/>
  <c r="C14" i="141" s="1"/>
  <c r="C15" i="141" s="1"/>
  <c r="C16" i="141" s="1"/>
  <c r="C17" i="141" s="1"/>
  <c r="C18" i="141" s="1"/>
  <c r="C19" i="141" s="1"/>
  <c r="C20" i="141" s="1"/>
  <c r="C21" i="141" s="1"/>
  <c r="C22" i="141" s="1"/>
  <c r="C23" i="141" s="1"/>
  <c r="C24" i="141" s="1"/>
  <c r="C25" i="141" s="1"/>
  <c r="C26" i="141" s="1"/>
  <c r="C27" i="141" s="1"/>
  <c r="C28" i="141" s="1"/>
  <c r="C29" i="141" s="1"/>
  <c r="C30" i="141" s="1"/>
  <c r="C31" i="141" s="1"/>
  <c r="C32" i="141" s="1"/>
  <c r="C33" i="141" s="1"/>
  <c r="C34" i="141" s="1"/>
  <c r="C35" i="141" s="1"/>
  <c r="C36" i="141" s="1"/>
  <c r="C37" i="141" s="1"/>
  <c r="C38" i="141" s="1"/>
  <c r="C39" i="141" s="1"/>
  <c r="C40" i="141" s="1"/>
  <c r="C41" i="141" s="1"/>
  <c r="C42" i="141" s="1"/>
  <c r="C43" i="141" s="1"/>
  <c r="C44" i="141" s="1"/>
  <c r="C45" i="141" s="1"/>
  <c r="C46" i="141" s="1"/>
  <c r="C47" i="141" s="1"/>
  <c r="C48" i="141" s="1"/>
  <c r="C49" i="141" s="1"/>
  <c r="C50" i="141" s="1"/>
  <c r="C51" i="141" s="1"/>
  <c r="C52" i="141" s="1"/>
  <c r="C53" i="141" s="1"/>
  <c r="C54" i="141" s="1"/>
  <c r="C55" i="141" s="1"/>
  <c r="C56" i="141" s="1"/>
  <c r="C57" i="141" s="1"/>
  <c r="C58" i="141" s="1"/>
  <c r="C59" i="141" s="1"/>
  <c r="C60" i="141" s="1"/>
  <c r="C61" i="141" s="1"/>
  <c r="C62" i="141" s="1"/>
  <c r="C63" i="141" s="1"/>
  <c r="C64" i="141" s="1"/>
  <c r="C65" i="141" s="1"/>
  <c r="C66" i="141" s="1"/>
  <c r="C67" i="141" s="1"/>
  <c r="C68" i="141" s="1"/>
  <c r="C69" i="141" s="1"/>
  <c r="C70" i="141" s="1"/>
  <c r="C71" i="141" s="1"/>
  <c r="C72" i="141" s="1"/>
  <c r="C73" i="141" s="1"/>
  <c r="C74" i="141" s="1"/>
  <c r="C75" i="141" s="1"/>
  <c r="C76" i="141" s="1"/>
  <c r="C77" i="141" s="1"/>
  <c r="C78" i="141" s="1"/>
  <c r="C79" i="141" s="1"/>
  <c r="C80" i="141" s="1"/>
  <c r="C81" i="141" s="1"/>
  <c r="C82" i="141" s="1"/>
  <c r="C83" i="141" s="1"/>
  <c r="C84" i="141" s="1"/>
  <c r="C85" i="141" s="1"/>
  <c r="C86" i="141" s="1"/>
  <c r="C87" i="141" s="1"/>
  <c r="C88" i="141" s="1"/>
  <c r="C89" i="141" s="1"/>
  <c r="C90" i="141" s="1"/>
  <c r="C91" i="141" s="1"/>
  <c r="C92" i="141" s="1"/>
  <c r="C93" i="141" s="1"/>
  <c r="C94" i="141" s="1"/>
  <c r="C95" i="141" s="1"/>
  <c r="C96" i="141" s="1"/>
  <c r="C97" i="141" s="1"/>
  <c r="C98" i="141" s="1"/>
  <c r="C99" i="141" s="1"/>
  <c r="C100" i="141" s="1"/>
  <c r="C101" i="141" s="1"/>
  <c r="C102" i="141" s="1"/>
  <c r="C103" i="141" s="1"/>
  <c r="C104" i="141" s="1"/>
  <c r="C105" i="141" s="1"/>
  <c r="C106" i="141" s="1"/>
  <c r="C107" i="141" s="1"/>
  <c r="C108" i="141" s="1"/>
  <c r="C109" i="141" s="1"/>
  <c r="C110" i="141" s="1"/>
  <c r="C111" i="141" s="1"/>
  <c r="C112" i="141" s="1"/>
  <c r="C113" i="141" s="1"/>
  <c r="C114" i="141" s="1"/>
  <c r="C115" i="141" s="1"/>
  <c r="C116" i="141" s="1"/>
  <c r="C117" i="141" s="1"/>
  <c r="C118" i="141" s="1"/>
  <c r="C119" i="141" s="1"/>
  <c r="C120" i="141" s="1"/>
  <c r="C121" i="141" s="1"/>
  <c r="C122" i="141" s="1"/>
  <c r="C123" i="141" s="1"/>
  <c r="C124" i="141" s="1"/>
  <c r="C125" i="141" s="1"/>
  <c r="C126" i="141" s="1"/>
  <c r="C127" i="141" s="1"/>
  <c r="C128" i="141" s="1"/>
  <c r="C129" i="141" s="1"/>
  <c r="C130" i="141" s="1"/>
  <c r="C131" i="141" s="1"/>
  <c r="C132" i="141" s="1"/>
  <c r="C133" i="141" s="1"/>
  <c r="C134" i="141" s="1"/>
  <c r="C135" i="141" s="1"/>
  <c r="C136" i="141" s="1"/>
  <c r="C137" i="141" s="1"/>
  <c r="C138" i="141" s="1"/>
  <c r="C139" i="141" s="1"/>
  <c r="C140" i="141" s="1"/>
  <c r="C141" i="141" s="1"/>
  <c r="C142" i="141" s="1"/>
  <c r="C143" i="141" s="1"/>
  <c r="C144" i="141" s="1"/>
  <c r="C145" i="141" s="1"/>
  <c r="C146" i="141" s="1"/>
  <c r="C147" i="141" s="1"/>
  <c r="C148" i="141" s="1"/>
  <c r="C149" i="141" s="1"/>
  <c r="C150" i="141" s="1"/>
  <c r="C151" i="141" s="1"/>
  <c r="C152" i="141" s="1"/>
  <c r="C153" i="141" s="1"/>
  <c r="C154" i="141" s="1"/>
  <c r="C155" i="141" s="1"/>
  <c r="C156" i="141" s="1"/>
  <c r="C157" i="141" s="1"/>
  <c r="C158" i="141" s="1"/>
  <c r="C159" i="141" s="1"/>
  <c r="C160" i="141" s="1"/>
  <c r="C161" i="141" s="1"/>
  <c r="C162" i="141" s="1"/>
  <c r="C163" i="141" s="1"/>
  <c r="C164" i="141" s="1"/>
  <c r="C165" i="141" s="1"/>
  <c r="C166" i="141" s="1"/>
  <c r="C167" i="141" s="1"/>
  <c r="C168" i="141" s="1"/>
  <c r="C169" i="141" s="1"/>
  <c r="C170" i="141" s="1"/>
  <c r="C171" i="141" s="1"/>
  <c r="C172" i="141" s="1"/>
  <c r="C173" i="141" s="1"/>
  <c r="C174" i="141" s="1"/>
  <c r="C175" i="141" s="1"/>
  <c r="C176" i="141" s="1"/>
  <c r="C177" i="141" s="1"/>
  <c r="C178" i="141" s="1"/>
  <c r="C179" i="141" s="1"/>
  <c r="C180" i="141" s="1"/>
  <c r="C181" i="141" s="1"/>
  <c r="C182" i="141" s="1"/>
  <c r="C183" i="141" s="1"/>
  <c r="C184" i="141" s="1"/>
  <c r="C185" i="141" s="1"/>
  <c r="C186" i="141" s="1"/>
  <c r="C187" i="141" s="1"/>
  <c r="C188" i="141" s="1"/>
  <c r="C189" i="141" s="1"/>
  <c r="C190" i="141" s="1"/>
  <c r="C191" i="141" s="1"/>
  <c r="C192" i="141" s="1"/>
  <c r="C193" i="141" s="1"/>
  <c r="C194" i="141" s="1"/>
  <c r="C195" i="141" s="1"/>
  <c r="C196" i="141" s="1"/>
  <c r="C197" i="141" s="1"/>
  <c r="C198" i="141" s="1"/>
  <c r="C199" i="141" s="1"/>
  <c r="C200" i="141" s="1"/>
  <c r="C201" i="141" s="1"/>
  <c r="C202" i="141" s="1"/>
  <c r="C203" i="141" s="1"/>
  <c r="C204" i="141" s="1"/>
  <c r="C205" i="141" s="1"/>
  <c r="C206" i="141" s="1"/>
  <c r="C207" i="141" s="1"/>
  <c r="C208" i="141" s="1"/>
  <c r="C209" i="141" s="1"/>
  <c r="C210" i="141" s="1"/>
  <c r="C211" i="141" s="1"/>
  <c r="C212" i="141" s="1"/>
  <c r="C213" i="141" s="1"/>
  <c r="C214" i="141" s="1"/>
  <c r="C215" i="141" s="1"/>
  <c r="C216" i="141" s="1"/>
  <c r="C217" i="141" s="1"/>
  <c r="C218" i="141" s="1"/>
  <c r="C219" i="141" s="1"/>
  <c r="C220" i="141" s="1"/>
  <c r="C221" i="141" s="1"/>
  <c r="C222" i="141" s="1"/>
  <c r="C223" i="141" s="1"/>
  <c r="C224" i="141" s="1"/>
  <c r="C225" i="141" s="1"/>
  <c r="C226" i="141" s="1"/>
  <c r="C227" i="141" s="1"/>
  <c r="C228" i="141" s="1"/>
  <c r="C229" i="141" s="1"/>
  <c r="C230" i="141" s="1"/>
  <c r="C231" i="141" s="1"/>
  <c r="C232" i="141" s="1"/>
  <c r="C233" i="141" s="1"/>
  <c r="C234" i="141" s="1"/>
  <c r="C235" i="141" s="1"/>
  <c r="C236" i="141" s="1"/>
  <c r="C237" i="141" s="1"/>
  <c r="C238" i="141" s="1"/>
  <c r="C239" i="141" s="1"/>
  <c r="C240" i="141" s="1"/>
  <c r="C241" i="141" s="1"/>
  <c r="C242" i="141" s="1"/>
  <c r="C243" i="141" s="1"/>
  <c r="C244" i="141" s="1"/>
  <c r="C245" i="141" s="1"/>
  <c r="C246" i="141" s="1"/>
  <c r="C247" i="141" s="1"/>
  <c r="C248" i="141" s="1"/>
  <c r="C249" i="141" s="1"/>
  <c r="C250" i="141" s="1"/>
  <c r="C251" i="141" s="1"/>
  <c r="C252" i="141" s="1"/>
  <c r="C253" i="141" s="1"/>
  <c r="C254" i="141" s="1"/>
  <c r="C255" i="141" s="1"/>
  <c r="C256" i="141" s="1"/>
  <c r="C257" i="141" s="1"/>
  <c r="C258" i="141" s="1"/>
  <c r="C259" i="141" s="1"/>
  <c r="C260" i="141" s="1"/>
  <c r="C261" i="141" s="1"/>
  <c r="C262" i="141" s="1"/>
  <c r="C263" i="141" s="1"/>
  <c r="C264" i="141" s="1"/>
  <c r="C265" i="141" s="1"/>
  <c r="C266" i="141" s="1"/>
  <c r="C267" i="141" s="1"/>
  <c r="C268" i="141" s="1"/>
  <c r="C269" i="141" s="1"/>
  <c r="C270" i="141" s="1"/>
  <c r="C271" i="141" s="1"/>
  <c r="C272" i="141" s="1"/>
  <c r="C273" i="141" s="1"/>
  <c r="C274" i="141" s="1"/>
  <c r="C275" i="141" s="1"/>
  <c r="C276" i="141" s="1"/>
  <c r="C277" i="141" s="1"/>
  <c r="C278" i="141" s="1"/>
  <c r="C279" i="141" s="1"/>
  <c r="C280" i="141" s="1"/>
  <c r="C281" i="141" s="1"/>
  <c r="C282" i="141" s="1"/>
  <c r="C283" i="141" s="1"/>
  <c r="C284" i="141" s="1"/>
  <c r="C285" i="141" s="1"/>
  <c r="C286" i="141" s="1"/>
  <c r="C287" i="141" s="1"/>
  <c r="C288" i="141" s="1"/>
  <c r="C289" i="141" s="1"/>
  <c r="C290" i="141" s="1"/>
  <c r="C291" i="141" s="1"/>
  <c r="C292" i="141" s="1"/>
  <c r="C293" i="141" s="1"/>
  <c r="C294" i="141" s="1"/>
  <c r="C295" i="141" s="1"/>
  <c r="C296" i="141" s="1"/>
  <c r="C297" i="141" s="1"/>
  <c r="C298" i="141" s="1"/>
  <c r="C299" i="141" s="1"/>
  <c r="C300" i="141" s="1"/>
  <c r="C301" i="141" s="1"/>
  <c r="C302" i="141" s="1"/>
  <c r="C303" i="141" s="1"/>
  <c r="C304" i="141" s="1"/>
  <c r="C305" i="141" s="1"/>
  <c r="C306" i="141" s="1"/>
  <c r="C307" i="141" s="1"/>
  <c r="C308" i="141" s="1"/>
  <c r="C309" i="141" s="1"/>
  <c r="C310" i="141" s="1"/>
  <c r="C311" i="141" s="1"/>
  <c r="C312" i="141" s="1"/>
  <c r="C313" i="141" s="1"/>
  <c r="C314" i="141" s="1"/>
  <c r="C315" i="141" s="1"/>
  <c r="C316" i="141" s="1"/>
  <c r="C317" i="141" s="1"/>
  <c r="C318" i="141" s="1"/>
  <c r="C319" i="141" s="1"/>
  <c r="C320" i="141" s="1"/>
  <c r="C321" i="141" s="1"/>
  <c r="C322" i="141" s="1"/>
  <c r="C323" i="141" s="1"/>
  <c r="C324" i="141" s="1"/>
  <c r="C325" i="141" s="1"/>
  <c r="C326" i="141" s="1"/>
  <c r="C327" i="141" s="1"/>
  <c r="C328" i="141" s="1"/>
  <c r="C329" i="141" s="1"/>
  <c r="C2" i="134"/>
  <c r="C3" i="134" s="1"/>
  <c r="C4" i="134" s="1"/>
  <c r="C5" i="134" s="1"/>
  <c r="C6" i="134" s="1"/>
  <c r="C7" i="134" s="1"/>
  <c r="C8" i="134" s="1"/>
  <c r="C9" i="134" s="1"/>
  <c r="C10" i="134" s="1"/>
  <c r="C11" i="134" s="1"/>
  <c r="C12" i="134" s="1"/>
  <c r="C13" i="134" s="1"/>
  <c r="C14" i="134" s="1"/>
  <c r="C15" i="134" s="1"/>
  <c r="C16" i="134" s="1"/>
  <c r="C17" i="134" s="1"/>
  <c r="C18" i="134" s="1"/>
  <c r="C19" i="134" s="1"/>
  <c r="C20" i="134" s="1"/>
  <c r="C21" i="134" s="1"/>
  <c r="C22" i="134" s="1"/>
  <c r="C23" i="134" s="1"/>
  <c r="C24" i="134" s="1"/>
  <c r="C25" i="134" s="1"/>
  <c r="C26" i="134" s="1"/>
  <c r="C27" i="134" s="1"/>
  <c r="C28" i="134" s="1"/>
  <c r="C29" i="134" s="1"/>
  <c r="C30" i="134" s="1"/>
  <c r="C31" i="134" s="1"/>
  <c r="C32" i="134" s="1"/>
  <c r="C33" i="134" s="1"/>
  <c r="C34" i="134" s="1"/>
  <c r="C35" i="134" s="1"/>
  <c r="C36" i="134" s="1"/>
  <c r="C37" i="134" s="1"/>
  <c r="C38" i="134" s="1"/>
  <c r="C39" i="134" s="1"/>
  <c r="C40" i="134" s="1"/>
  <c r="C41" i="134" s="1"/>
  <c r="C42" i="134" s="1"/>
  <c r="C43" i="134" s="1"/>
  <c r="C44" i="134" s="1"/>
  <c r="C45" i="134" s="1"/>
  <c r="C46" i="134" s="1"/>
  <c r="C47" i="134" s="1"/>
  <c r="C48" i="134" s="1"/>
  <c r="C49" i="134" s="1"/>
  <c r="C50" i="134" s="1"/>
  <c r="C51" i="134" s="1"/>
  <c r="C52" i="134" s="1"/>
  <c r="C53" i="134" s="1"/>
  <c r="C54" i="134" s="1"/>
  <c r="C55" i="134" s="1"/>
  <c r="C56" i="134" s="1"/>
  <c r="C57" i="134" s="1"/>
  <c r="C58" i="134" s="1"/>
  <c r="C59" i="134" s="1"/>
  <c r="C60" i="134" s="1"/>
  <c r="C61" i="134" s="1"/>
  <c r="C62" i="134" s="1"/>
  <c r="C63" i="134" s="1"/>
  <c r="C2" i="133"/>
  <c r="C3" i="133" s="1"/>
  <c r="C4" i="133" s="1"/>
  <c r="C5" i="133" s="1"/>
  <c r="C6" i="133" s="1"/>
  <c r="C7" i="133" s="1"/>
  <c r="C8" i="133" s="1"/>
  <c r="C9" i="133" s="1"/>
  <c r="C10" i="133" s="1"/>
  <c r="C11" i="133" s="1"/>
  <c r="C12" i="133" s="1"/>
  <c r="C13" i="133" s="1"/>
  <c r="C14" i="133" s="1"/>
  <c r="C15" i="133" s="1"/>
  <c r="C16" i="133" s="1"/>
  <c r="C17" i="133" s="1"/>
  <c r="C18" i="133" s="1"/>
  <c r="C19" i="133" s="1"/>
  <c r="C20" i="133" s="1"/>
  <c r="C21" i="133" s="1"/>
  <c r="C22" i="133" s="1"/>
  <c r="C23" i="133" s="1"/>
  <c r="C24" i="133" s="1"/>
  <c r="C25" i="133" s="1"/>
  <c r="C26" i="133" s="1"/>
  <c r="C27" i="133" s="1"/>
  <c r="C28" i="133" s="1"/>
  <c r="C29" i="133" s="1"/>
  <c r="C30" i="133" s="1"/>
  <c r="C31" i="133" s="1"/>
  <c r="C32" i="133" s="1"/>
  <c r="C33" i="133" s="1"/>
  <c r="C34" i="133" s="1"/>
  <c r="C35" i="133" s="1"/>
  <c r="C36" i="133" s="1"/>
  <c r="C37" i="133" s="1"/>
  <c r="C38" i="133" s="1"/>
  <c r="C39" i="133" s="1"/>
  <c r="C40" i="133" s="1"/>
  <c r="C41" i="133" s="1"/>
  <c r="C42" i="133" s="1"/>
  <c r="C43" i="133" s="1"/>
  <c r="C44" i="133" s="1"/>
  <c r="C45" i="133" s="1"/>
  <c r="C46" i="133" s="1"/>
  <c r="C47" i="133" s="1"/>
  <c r="C48" i="133" s="1"/>
  <c r="C49" i="133" s="1"/>
  <c r="C50" i="133" s="1"/>
  <c r="C51" i="133" s="1"/>
  <c r="C52" i="133" s="1"/>
  <c r="C53" i="133" s="1"/>
  <c r="C54" i="133" s="1"/>
  <c r="C55" i="133" s="1"/>
  <c r="C56" i="133" s="1"/>
  <c r="C57" i="133" s="1"/>
  <c r="C58" i="133" s="1"/>
  <c r="C59" i="133" s="1"/>
  <c r="C60" i="133" s="1"/>
  <c r="C61" i="133" s="1"/>
  <c r="C62" i="133" s="1"/>
  <c r="C63" i="133" s="1"/>
  <c r="C64" i="133" s="1"/>
  <c r="C65" i="133" s="1"/>
  <c r="C2" i="127"/>
  <c r="C3" i="127" s="1"/>
  <c r="C4" i="127" s="1"/>
  <c r="C5" i="127" s="1"/>
  <c r="C6" i="127" s="1"/>
  <c r="C7" i="127" s="1"/>
  <c r="C8" i="127" s="1"/>
  <c r="C9" i="127" s="1"/>
  <c r="C10" i="127" s="1"/>
  <c r="C11" i="127" s="1"/>
  <c r="C12" i="127" s="1"/>
  <c r="C13" i="127" s="1"/>
  <c r="C14" i="127" s="1"/>
  <c r="C15" i="127" s="1"/>
  <c r="C16" i="127" s="1"/>
  <c r="C17" i="127" s="1"/>
  <c r="C18" i="127" s="1"/>
  <c r="C19" i="127" s="1"/>
  <c r="C20" i="127" s="1"/>
  <c r="C21" i="127" s="1"/>
  <c r="C22" i="127" s="1"/>
  <c r="C23" i="127" s="1"/>
  <c r="C24" i="127" s="1"/>
  <c r="C25" i="127" s="1"/>
  <c r="C26" i="127" s="1"/>
  <c r="C27" i="127" s="1"/>
  <c r="C28" i="127" s="1"/>
  <c r="C29" i="127" s="1"/>
  <c r="C30" i="127" s="1"/>
  <c r="C31" i="127" s="1"/>
  <c r="C32" i="127" s="1"/>
  <c r="C33" i="127" s="1"/>
  <c r="C34" i="127" s="1"/>
  <c r="C35" i="127" s="1"/>
  <c r="C36" i="127" s="1"/>
  <c r="C37" i="127" s="1"/>
  <c r="C38" i="127" s="1"/>
  <c r="C39" i="127" s="1"/>
  <c r="C40" i="127" s="1"/>
  <c r="C41" i="127" s="1"/>
  <c r="C42" i="127" s="1"/>
  <c r="C43" i="127" s="1"/>
  <c r="C44" i="127" s="1"/>
  <c r="C45" i="127" s="1"/>
  <c r="C46" i="127" s="1"/>
  <c r="C47" i="127" s="1"/>
  <c r="C48" i="127" s="1"/>
  <c r="C49" i="127" s="1"/>
  <c r="C50" i="127" s="1"/>
  <c r="C51" i="127" s="1"/>
  <c r="C52" i="127" s="1"/>
  <c r="C53" i="127" s="1"/>
  <c r="C54" i="127" s="1"/>
  <c r="C55" i="127" s="1"/>
  <c r="C56" i="127" s="1"/>
  <c r="C57" i="127" s="1"/>
  <c r="C58" i="127" s="1"/>
  <c r="C59" i="127" s="1"/>
  <c r="C60" i="127" s="1"/>
  <c r="C61" i="127" s="1"/>
  <c r="C62" i="127" s="1"/>
  <c r="C63" i="127" s="1"/>
  <c r="C64" i="127" s="1"/>
  <c r="C65" i="127" s="1"/>
  <c r="C66" i="127" s="1"/>
  <c r="C67" i="127" s="1"/>
  <c r="C68" i="127" s="1"/>
  <c r="C69" i="127" s="1"/>
  <c r="C70" i="127" s="1"/>
  <c r="C71" i="127" s="1"/>
  <c r="C72" i="127" s="1"/>
  <c r="C73" i="127" s="1"/>
  <c r="C74" i="127" s="1"/>
  <c r="C75" i="127" s="1"/>
  <c r="C76" i="127" s="1"/>
  <c r="C77" i="127" s="1"/>
  <c r="C78" i="127" s="1"/>
  <c r="C79" i="127" s="1"/>
  <c r="C80" i="127" s="1"/>
  <c r="C81" i="127" s="1"/>
  <c r="C82" i="127" s="1"/>
  <c r="C83" i="127" s="1"/>
  <c r="C84" i="127" s="1"/>
  <c r="C85" i="127" s="1"/>
  <c r="C86" i="127" s="1"/>
  <c r="C87" i="127" s="1"/>
  <c r="C88" i="127" s="1"/>
  <c r="C89" i="127" s="1"/>
  <c r="C90" i="127" s="1"/>
  <c r="C91" i="127" s="1"/>
  <c r="C92" i="127" s="1"/>
  <c r="C93" i="127" s="1"/>
  <c r="C94" i="127" s="1"/>
  <c r="C95" i="127" s="1"/>
  <c r="C96" i="127" s="1"/>
  <c r="C97" i="127" s="1"/>
  <c r="C98" i="127" s="1"/>
  <c r="C99" i="127" s="1"/>
  <c r="C100" i="127" s="1"/>
  <c r="C101" i="127" s="1"/>
  <c r="C102" i="127" s="1"/>
  <c r="C103" i="127" s="1"/>
  <c r="C104" i="127" s="1"/>
  <c r="C105" i="127" s="1"/>
  <c r="C106" i="127" s="1"/>
  <c r="C107" i="127" s="1"/>
  <c r="C108" i="127" s="1"/>
  <c r="C109" i="127" s="1"/>
  <c r="C110" i="127" s="1"/>
  <c r="C111" i="127" s="1"/>
  <c r="C112" i="127" s="1"/>
  <c r="C113" i="127" s="1"/>
  <c r="C114" i="127" s="1"/>
  <c r="C115" i="127" s="1"/>
  <c r="C116" i="127" s="1"/>
  <c r="C117" i="127" s="1"/>
  <c r="C118" i="127" s="1"/>
  <c r="C119" i="127" s="1"/>
  <c r="C120" i="127" s="1"/>
  <c r="C121" i="127" s="1"/>
  <c r="C122" i="127" s="1"/>
  <c r="C123" i="127" s="1"/>
  <c r="C124" i="127" s="1"/>
  <c r="C125" i="127" s="1"/>
  <c r="C126" i="127" s="1"/>
  <c r="C127" i="127" s="1"/>
  <c r="C128" i="127" s="1"/>
  <c r="C129" i="127" s="1"/>
  <c r="C130" i="127" s="1"/>
  <c r="C131" i="127" s="1"/>
  <c r="C132" i="127" s="1"/>
  <c r="C133" i="127" s="1"/>
  <c r="C134" i="127" s="1"/>
  <c r="C135" i="127" s="1"/>
  <c r="C136" i="127" s="1"/>
  <c r="C137" i="127" s="1"/>
  <c r="C138" i="127" s="1"/>
  <c r="C139" i="127" s="1"/>
  <c r="C140" i="127" s="1"/>
  <c r="C141" i="127" s="1"/>
  <c r="C142" i="127" s="1"/>
  <c r="C143" i="127" s="1"/>
  <c r="C144" i="127" s="1"/>
  <c r="C145" i="127" s="1"/>
  <c r="C146" i="127" s="1"/>
  <c r="C147" i="127" s="1"/>
  <c r="C148" i="127" s="1"/>
  <c r="C149" i="127" s="1"/>
  <c r="C150" i="127" s="1"/>
  <c r="C151" i="127" s="1"/>
  <c r="C152" i="127" s="1"/>
  <c r="C153" i="127" s="1"/>
  <c r="C154" i="127" s="1"/>
  <c r="C155" i="127" s="1"/>
  <c r="C156" i="127" s="1"/>
  <c r="C157" i="127" s="1"/>
  <c r="C158" i="127" s="1"/>
  <c r="C159" i="127" s="1"/>
  <c r="C160" i="127" s="1"/>
  <c r="C161" i="127" s="1"/>
  <c r="C162" i="127" s="1"/>
  <c r="C163" i="127" s="1"/>
  <c r="C164" i="127" s="1"/>
  <c r="C165" i="127" s="1"/>
  <c r="C166" i="127" s="1"/>
  <c r="C167" i="127" s="1"/>
  <c r="C168" i="127" s="1"/>
  <c r="C169" i="127" s="1"/>
  <c r="C170" i="127" s="1"/>
  <c r="C171" i="127" s="1"/>
  <c r="C172" i="127" s="1"/>
  <c r="C173" i="127" s="1"/>
  <c r="C174" i="127" s="1"/>
  <c r="C175" i="127" s="1"/>
  <c r="C176" i="127" s="1"/>
  <c r="C177" i="127" s="1"/>
  <c r="C178" i="127" s="1"/>
  <c r="C179" i="127" s="1"/>
  <c r="C180" i="127" s="1"/>
  <c r="C181" i="127" s="1"/>
  <c r="C182" i="127" s="1"/>
  <c r="C183" i="127" s="1"/>
  <c r="C184" i="127" s="1"/>
  <c r="C185" i="127" s="1"/>
  <c r="C186" i="127" s="1"/>
  <c r="C187" i="127" s="1"/>
  <c r="C188" i="127" s="1"/>
  <c r="C189" i="127" s="1"/>
  <c r="C190" i="127" s="1"/>
  <c r="C191" i="127" s="1"/>
  <c r="C192" i="127" s="1"/>
  <c r="C193" i="127" s="1"/>
  <c r="C194" i="127" s="1"/>
  <c r="C195" i="127" s="1"/>
  <c r="C196" i="127" s="1"/>
  <c r="C197" i="127" s="1"/>
  <c r="C198" i="127" s="1"/>
  <c r="C199" i="127" s="1"/>
  <c r="C200" i="127" s="1"/>
  <c r="C201" i="127" s="1"/>
  <c r="C202" i="127" s="1"/>
  <c r="C203" i="127" s="1"/>
  <c r="C204" i="127" s="1"/>
  <c r="C205" i="127" s="1"/>
  <c r="C206" i="127" s="1"/>
  <c r="C207" i="127" s="1"/>
  <c r="C208" i="127" s="1"/>
  <c r="C209" i="127" s="1"/>
  <c r="C210" i="127" s="1"/>
  <c r="C211" i="127" s="1"/>
  <c r="C212" i="127" s="1"/>
  <c r="C213" i="127" s="1"/>
  <c r="C214" i="127" s="1"/>
  <c r="C215" i="127" s="1"/>
  <c r="C216" i="127" s="1"/>
  <c r="C217" i="127" s="1"/>
  <c r="C218" i="127" s="1"/>
  <c r="C219" i="127" s="1"/>
  <c r="C220" i="127" s="1"/>
  <c r="C221" i="127" s="1"/>
  <c r="C222" i="127" s="1"/>
  <c r="C223" i="127" s="1"/>
  <c r="C224" i="127" s="1"/>
  <c r="C225" i="127" s="1"/>
  <c r="C226" i="127" s="1"/>
  <c r="C227" i="127" s="1"/>
  <c r="C228" i="127" s="1"/>
  <c r="C229" i="127" s="1"/>
  <c r="C230" i="127" s="1"/>
  <c r="C231" i="127" s="1"/>
  <c r="C232" i="127" s="1"/>
  <c r="C233" i="127" s="1"/>
  <c r="C234" i="127" s="1"/>
  <c r="C235" i="127" s="1"/>
  <c r="C236" i="127" s="1"/>
  <c r="C237" i="127" s="1"/>
  <c r="C238" i="127" s="1"/>
  <c r="C239" i="127" s="1"/>
  <c r="C240" i="127" s="1"/>
  <c r="C241" i="127" s="1"/>
  <c r="C242" i="127" s="1"/>
  <c r="C243" i="127" s="1"/>
  <c r="C244" i="127" s="1"/>
  <c r="C245" i="127" s="1"/>
  <c r="C246" i="127" s="1"/>
  <c r="C247" i="127" s="1"/>
  <c r="C248" i="127" s="1"/>
  <c r="C249" i="127" s="1"/>
  <c r="C250" i="127" s="1"/>
  <c r="C251" i="127" s="1"/>
  <c r="C252" i="127" s="1"/>
  <c r="C253" i="127" s="1"/>
  <c r="C254" i="127" s="1"/>
  <c r="C255" i="127" s="1"/>
  <c r="C256" i="127" s="1"/>
  <c r="C257" i="127" s="1"/>
  <c r="C258" i="127" s="1"/>
  <c r="C259" i="127" s="1"/>
  <c r="C260" i="127" s="1"/>
  <c r="C261" i="127" s="1"/>
  <c r="C262" i="127" s="1"/>
  <c r="C263" i="127" s="1"/>
  <c r="C264" i="127" s="1"/>
  <c r="C265" i="127" s="1"/>
  <c r="C266" i="127" s="1"/>
  <c r="C267" i="127" s="1"/>
  <c r="C268" i="127" s="1"/>
  <c r="C269" i="127" s="1"/>
  <c r="C270" i="127" s="1"/>
  <c r="C271" i="127" s="1"/>
  <c r="C272" i="127" s="1"/>
  <c r="C273" i="127" s="1"/>
  <c r="C274" i="127" s="1"/>
  <c r="C275" i="127" s="1"/>
  <c r="C276" i="127" s="1"/>
  <c r="C277" i="127" s="1"/>
  <c r="C278" i="127" s="1"/>
  <c r="C279" i="127" s="1"/>
  <c r="C280" i="127" s="1"/>
  <c r="C281" i="127" s="1"/>
  <c r="C282" i="127" s="1"/>
  <c r="C283" i="127" s="1"/>
  <c r="C284" i="127" s="1"/>
  <c r="C285" i="127" s="1"/>
  <c r="C286" i="127" s="1"/>
  <c r="C287" i="127" s="1"/>
  <c r="C288" i="127" s="1"/>
  <c r="C289" i="127" s="1"/>
  <c r="C290" i="127" s="1"/>
  <c r="C291" i="127" s="1"/>
  <c r="C292" i="127" s="1"/>
  <c r="C293" i="127" s="1"/>
  <c r="C294" i="127" s="1"/>
  <c r="C295" i="127" s="1"/>
  <c r="C296" i="127" s="1"/>
  <c r="C297" i="127" s="1"/>
  <c r="C298" i="127" s="1"/>
  <c r="C299" i="127" s="1"/>
  <c r="C300" i="127" s="1"/>
  <c r="C301" i="127" s="1"/>
  <c r="C302" i="127" s="1"/>
  <c r="C303" i="127" s="1"/>
  <c r="C3" i="80"/>
  <c r="C4" i="80" s="1"/>
  <c r="C5" i="80" s="1"/>
  <c r="C6" i="80" s="1"/>
  <c r="C2" i="132" s="1"/>
  <c r="C3" i="132" s="1"/>
  <c r="C4" i="132" s="1"/>
  <c r="C5" i="132" s="1"/>
  <c r="C6" i="132" s="1"/>
  <c r="C7" i="132" s="1"/>
  <c r="C8" i="132" s="1"/>
  <c r="C9" i="132" s="1"/>
  <c r="C10" i="132" s="1"/>
  <c r="C11" i="132" s="1"/>
  <c r="C12" i="132" s="1"/>
  <c r="C13" i="132" s="1"/>
  <c r="C14" i="132" s="1"/>
  <c r="C15" i="132" s="1"/>
  <c r="C16" i="132" s="1"/>
  <c r="C17" i="132" s="1"/>
  <c r="C18" i="132" s="1"/>
  <c r="C19" i="132" s="1"/>
  <c r="C20" i="132" s="1"/>
  <c r="C21" i="132" s="1"/>
  <c r="C22" i="132" s="1"/>
  <c r="C23" i="132" s="1"/>
  <c r="C24" i="132" s="1"/>
  <c r="C25" i="132" s="1"/>
  <c r="C26" i="132" s="1"/>
  <c r="C27" i="132" s="1"/>
  <c r="C28" i="132" s="1"/>
  <c r="C29" i="132" s="1"/>
  <c r="C30" i="132" s="1"/>
  <c r="C31" i="132" s="1"/>
  <c r="C32" i="132" s="1"/>
  <c r="C33" i="132" s="1"/>
  <c r="C34" i="132" s="1"/>
  <c r="C35" i="132" s="1"/>
  <c r="C36" i="132" s="1"/>
  <c r="C37" i="132" s="1"/>
  <c r="C38" i="132" s="1"/>
  <c r="C39" i="132" s="1"/>
  <c r="C40" i="132" s="1"/>
  <c r="C41" i="132" s="1"/>
  <c r="C42" i="132" s="1"/>
  <c r="C43" i="132" s="1"/>
  <c r="C44" i="132" s="1"/>
  <c r="C45" i="132" s="1"/>
  <c r="C46" i="132" s="1"/>
  <c r="C47" i="132" s="1"/>
  <c r="C48" i="132" s="1"/>
  <c r="C49" i="132" s="1"/>
  <c r="C50" i="132" s="1"/>
  <c r="C51" i="132" s="1"/>
  <c r="C52" i="132" s="1"/>
  <c r="C53" i="132" s="1"/>
  <c r="C54" i="132" s="1"/>
  <c r="C55" i="132" s="1"/>
  <c r="C56" i="132" s="1"/>
  <c r="C57" i="132" s="1"/>
  <c r="C58" i="132" s="1"/>
  <c r="C59" i="132" s="1"/>
  <c r="C60" i="132" s="1"/>
  <c r="C61" i="132" s="1"/>
  <c r="C62" i="132" s="1"/>
  <c r="C63" i="132" s="1"/>
  <c r="C64" i="132" s="1"/>
  <c r="C65" i="132" s="1"/>
  <c r="C66" i="132" s="1"/>
  <c r="C67" i="132" s="1"/>
  <c r="C68" i="132" s="1"/>
  <c r="C69" i="132" s="1"/>
  <c r="C70" i="132" s="1"/>
  <c r="C3" i="153"/>
  <c r="C4" i="153" s="1"/>
  <c r="C5" i="153" s="1"/>
  <c r="C6" i="153" s="1"/>
  <c r="C7" i="153" s="1"/>
  <c r="C8" i="153" s="1"/>
  <c r="C9" i="153" s="1"/>
  <c r="C10" i="153" s="1"/>
  <c r="C11" i="153" s="1"/>
  <c r="C12" i="153" s="1"/>
  <c r="C13" i="153" s="1"/>
  <c r="C14" i="153" s="1"/>
  <c r="C15" i="153" s="1"/>
  <c r="C16" i="153" s="1"/>
  <c r="C17" i="153" s="1"/>
  <c r="C18" i="153" s="1"/>
  <c r="C19" i="153" s="1"/>
  <c r="C20" i="153" s="1"/>
  <c r="C21" i="153" s="1"/>
  <c r="C22" i="153" s="1"/>
  <c r="C23" i="153" s="1"/>
  <c r="C24" i="153" s="1"/>
  <c r="C25" i="153" s="1"/>
  <c r="C26" i="153" s="1"/>
  <c r="C27" i="153" s="1"/>
  <c r="C28" i="153" s="1"/>
  <c r="C29" i="153" s="1"/>
  <c r="C30" i="153" s="1"/>
  <c r="C31" i="153" s="1"/>
  <c r="C32" i="153" s="1"/>
  <c r="C33" i="153" s="1"/>
  <c r="C34" i="153" s="1"/>
  <c r="C35" i="153" s="1"/>
  <c r="C36" i="153" s="1"/>
  <c r="C37" i="153" s="1"/>
  <c r="C38" i="153" s="1"/>
  <c r="C39" i="153" s="1"/>
  <c r="C40" i="153" s="1"/>
  <c r="C41" i="153" s="1"/>
  <c r="C42" i="153" s="1"/>
  <c r="C43" i="153" s="1"/>
  <c r="B3" i="153"/>
  <c r="B4" i="153" s="1"/>
  <c r="B5" i="153" s="1"/>
  <c r="B6" i="153" s="1"/>
  <c r="B7" i="153" s="1"/>
  <c r="B8" i="153" s="1"/>
  <c r="B9" i="153" s="1"/>
  <c r="B10" i="153" s="1"/>
  <c r="B11" i="153" s="1"/>
  <c r="B12" i="153" s="1"/>
  <c r="B13" i="153" s="1"/>
  <c r="B14" i="153" s="1"/>
  <c r="B15" i="153" s="1"/>
  <c r="B16" i="153" s="1"/>
  <c r="B17" i="153" s="1"/>
  <c r="B18" i="153" s="1"/>
  <c r="B19" i="153" s="1"/>
  <c r="B20" i="153" s="1"/>
  <c r="B21" i="153" s="1"/>
  <c r="B22" i="153" s="1"/>
  <c r="B23" i="153" s="1"/>
  <c r="B24" i="153" s="1"/>
  <c r="B25" i="153" s="1"/>
  <c r="B26" i="153" s="1"/>
  <c r="B27" i="153" s="1"/>
  <c r="B28" i="153" s="1"/>
  <c r="B29" i="153" s="1"/>
  <c r="B30" i="153" s="1"/>
  <c r="B31" i="153" s="1"/>
  <c r="B32" i="153" s="1"/>
  <c r="B33" i="153" s="1"/>
  <c r="B34" i="153" s="1"/>
  <c r="B35" i="153" s="1"/>
  <c r="B36" i="153" s="1"/>
  <c r="B37" i="153" s="1"/>
  <c r="B38" i="153" s="1"/>
  <c r="B39" i="153" s="1"/>
  <c r="B40" i="153" s="1"/>
  <c r="B41" i="153" s="1"/>
  <c r="B42" i="153" s="1"/>
  <c r="B43" i="153" s="1"/>
  <c r="O2" i="151"/>
  <c r="O2" i="74"/>
  <c r="O3" i="150"/>
  <c r="O4" i="150"/>
  <c r="O5" i="150"/>
  <c r="O6" i="150"/>
  <c r="O7" i="150"/>
  <c r="O8" i="150"/>
  <c r="O9" i="150"/>
  <c r="O10" i="150"/>
  <c r="O11" i="150"/>
  <c r="O12" i="150"/>
  <c r="O13" i="150"/>
  <c r="O14" i="150"/>
  <c r="O15" i="150"/>
  <c r="O16" i="150"/>
  <c r="O17" i="150"/>
  <c r="O18" i="150"/>
  <c r="O19" i="150"/>
  <c r="O20" i="150"/>
  <c r="O21" i="150"/>
  <c r="O22" i="150"/>
  <c r="O24" i="150"/>
  <c r="O25" i="150"/>
  <c r="O26" i="150"/>
  <c r="O27" i="150"/>
  <c r="O28" i="150"/>
  <c r="O29" i="150"/>
  <c r="O30" i="150"/>
  <c r="O31" i="150"/>
  <c r="O32" i="150"/>
  <c r="O33" i="150"/>
  <c r="O34" i="150"/>
  <c r="O35" i="150"/>
  <c r="O2" i="150"/>
  <c r="N3" i="150"/>
  <c r="C7" i="80" l="1"/>
  <c r="C2" i="154" s="1"/>
  <c r="C3" i="154" s="1"/>
  <c r="C4" i="154" s="1"/>
  <c r="C5" i="154" s="1"/>
  <c r="C6" i="154" s="1"/>
  <c r="C7" i="154" s="1"/>
  <c r="C8" i="154" s="1"/>
  <c r="C9" i="154" s="1"/>
  <c r="C10" i="154" s="1"/>
  <c r="C11" i="154" s="1"/>
  <c r="C12" i="154" s="1"/>
  <c r="C13" i="154" s="1"/>
  <c r="C14" i="154" s="1"/>
  <c r="C15" i="154" s="1"/>
  <c r="C16" i="154" s="1"/>
  <c r="C17" i="154" s="1"/>
  <c r="B3" i="146"/>
  <c r="B5" i="146" s="1"/>
  <c r="B6" i="146" s="1"/>
  <c r="B7" i="146" s="1"/>
  <c r="B8" i="146" s="1"/>
  <c r="B9" i="146" s="1"/>
  <c r="B10" i="146" s="1"/>
  <c r="B11" i="146" s="1"/>
  <c r="B12" i="146" s="1"/>
  <c r="B13" i="146" s="1"/>
  <c r="B14" i="146" s="1"/>
  <c r="B15" i="146" s="1"/>
  <c r="B16" i="146" s="1"/>
  <c r="B17" i="146" s="1"/>
  <c r="B18" i="146" s="1"/>
  <c r="B19" i="146" s="1"/>
  <c r="B20" i="146" s="1"/>
  <c r="B21" i="146" s="1"/>
  <c r="B22" i="146" s="1"/>
  <c r="B23" i="146" s="1"/>
  <c r="B24" i="146" s="1"/>
  <c r="B25" i="146" s="1"/>
  <c r="B26" i="146" s="1"/>
  <c r="B27" i="146" s="1"/>
  <c r="B28" i="146" s="1"/>
  <c r="B29" i="146" s="1"/>
  <c r="B30" i="146" s="1"/>
  <c r="B31" i="146" s="1"/>
  <c r="B32" i="146" s="1"/>
  <c r="B33" i="146" s="1"/>
  <c r="B34" i="146" s="1"/>
  <c r="B35" i="146" s="1"/>
  <c r="B36" i="146" s="1"/>
  <c r="B4" i="146"/>
  <c r="C3" i="146"/>
  <c r="C5" i="146" s="1"/>
  <c r="C6" i="146" s="1"/>
  <c r="C7" i="146" s="1"/>
  <c r="C8" i="146" s="1"/>
  <c r="C9" i="146" s="1"/>
  <c r="C10" i="146" s="1"/>
  <c r="C11" i="146" s="1"/>
  <c r="C12" i="146" s="1"/>
  <c r="C13" i="146" s="1"/>
  <c r="C14" i="146" s="1"/>
  <c r="C15" i="146" s="1"/>
  <c r="C16" i="146" s="1"/>
  <c r="C17" i="146" s="1"/>
  <c r="C18" i="146" s="1"/>
  <c r="C19" i="146" s="1"/>
  <c r="C20" i="146" s="1"/>
  <c r="C21" i="146" s="1"/>
  <c r="C22" i="146" s="1"/>
  <c r="C23" i="146" s="1"/>
  <c r="C24" i="146" s="1"/>
  <c r="C25" i="146" s="1"/>
  <c r="C26" i="146" s="1"/>
  <c r="C27" i="146" s="1"/>
  <c r="C28" i="146" s="1"/>
  <c r="C29" i="146" s="1"/>
  <c r="C30" i="146" s="1"/>
  <c r="C31" i="146" s="1"/>
  <c r="C32" i="146" s="1"/>
  <c r="C33" i="146" s="1"/>
  <c r="C34" i="146" s="1"/>
  <c r="C35" i="146" s="1"/>
  <c r="C36" i="146" s="1"/>
  <c r="C4" i="146"/>
  <c r="B2" i="132"/>
  <c r="B3" i="132" s="1"/>
  <c r="B4" i="132" s="1"/>
  <c r="B5" i="132" s="1"/>
  <c r="B6" i="132" s="1"/>
  <c r="B7" i="132" s="1"/>
  <c r="B8" i="132" s="1"/>
  <c r="B9" i="132" s="1"/>
  <c r="B10" i="132" s="1"/>
  <c r="B11" i="132" s="1"/>
  <c r="B12" i="132" s="1"/>
  <c r="B13" i="132" s="1"/>
  <c r="B14" i="132" s="1"/>
  <c r="B15" i="132" s="1"/>
  <c r="B16" i="132" s="1"/>
  <c r="B17" i="132" s="1"/>
  <c r="B18" i="132" s="1"/>
  <c r="B19" i="132" s="1"/>
  <c r="B20" i="132" s="1"/>
  <c r="B21" i="132" s="1"/>
  <c r="B22" i="132" s="1"/>
  <c r="B23" i="132" s="1"/>
  <c r="B24" i="132" s="1"/>
  <c r="B25" i="132" s="1"/>
  <c r="B26" i="132" s="1"/>
  <c r="B27" i="132" s="1"/>
  <c r="B28" i="132" s="1"/>
  <c r="B29" i="132" s="1"/>
  <c r="B30" i="132" s="1"/>
  <c r="B31" i="132" s="1"/>
  <c r="B32" i="132" s="1"/>
  <c r="B33" i="132" s="1"/>
  <c r="B34" i="132" s="1"/>
  <c r="B35" i="132" s="1"/>
  <c r="B36" i="132" s="1"/>
  <c r="B37" i="132" s="1"/>
  <c r="B38" i="132" s="1"/>
  <c r="B39" i="132" s="1"/>
  <c r="B40" i="132" s="1"/>
  <c r="B41" i="132" s="1"/>
  <c r="B42" i="132" s="1"/>
  <c r="B43" i="132" s="1"/>
  <c r="B44" i="132" s="1"/>
  <c r="B45" i="132" s="1"/>
  <c r="B46" i="132" s="1"/>
  <c r="B47" i="132" s="1"/>
  <c r="B48" i="132" s="1"/>
  <c r="B49" i="132" s="1"/>
  <c r="B50" i="132" s="1"/>
  <c r="B51" i="132" s="1"/>
  <c r="B52" i="132" s="1"/>
  <c r="B53" i="132" s="1"/>
  <c r="B54" i="132" s="1"/>
  <c r="B55" i="132" s="1"/>
  <c r="B56" i="132" s="1"/>
  <c r="B57" i="132" s="1"/>
  <c r="B58" i="132" s="1"/>
  <c r="B59" i="132" s="1"/>
  <c r="B60" i="132" s="1"/>
  <c r="B61" i="132" s="1"/>
  <c r="B62" i="132" s="1"/>
  <c r="B63" i="132" s="1"/>
  <c r="B64" i="132" s="1"/>
  <c r="B65" i="132" s="1"/>
  <c r="B66" i="132" s="1"/>
  <c r="B67" i="132" s="1"/>
  <c r="B68" i="132" s="1"/>
  <c r="B69" i="132" s="1"/>
  <c r="B70" i="132" s="1"/>
  <c r="B7" i="80"/>
  <c r="P3" i="151"/>
  <c r="P4" i="151" s="1"/>
  <c r="P5" i="151" s="1"/>
  <c r="P6" i="151" s="1"/>
  <c r="P7" i="151" s="1"/>
  <c r="P8" i="151" s="1"/>
  <c r="P9" i="151" s="1"/>
  <c r="P10" i="151" s="1"/>
  <c r="P11" i="151" s="1"/>
  <c r="P12" i="151" s="1"/>
  <c r="P13" i="151" s="1"/>
  <c r="P14" i="151" s="1"/>
  <c r="P15" i="151" s="1"/>
  <c r="P16" i="151" s="1"/>
  <c r="P17" i="151" s="1"/>
  <c r="P18" i="151" s="1"/>
  <c r="P19" i="151" s="1"/>
  <c r="P20" i="151" s="1"/>
  <c r="P21" i="151" s="1"/>
  <c r="P22" i="151" s="1"/>
  <c r="P23" i="151" s="1"/>
  <c r="P24" i="151" s="1"/>
  <c r="P25" i="151" s="1"/>
  <c r="P26" i="151" s="1"/>
  <c r="P27" i="151" s="1"/>
  <c r="P28" i="151" s="1"/>
  <c r="P29" i="151" s="1"/>
  <c r="P30" i="151" s="1"/>
  <c r="P31" i="151" s="1"/>
  <c r="P32" i="151" s="1"/>
  <c r="P33" i="151" s="1"/>
  <c r="P34" i="151" s="1"/>
  <c r="P35" i="151" s="1"/>
  <c r="P36" i="151" s="1"/>
  <c r="P37" i="151" s="1"/>
  <c r="P38" i="151" s="1"/>
  <c r="P39" i="151" s="1"/>
  <c r="P40" i="151" s="1"/>
  <c r="P41" i="151" s="1"/>
  <c r="O3" i="151"/>
  <c r="O4" i="151" s="1"/>
  <c r="O5" i="151" s="1"/>
  <c r="O6" i="151" s="1"/>
  <c r="N3" i="151"/>
  <c r="N4" i="151" s="1"/>
  <c r="N5" i="151" s="1"/>
  <c r="N6" i="151" s="1"/>
  <c r="N7" i="151" s="1"/>
  <c r="N8" i="151" s="1"/>
  <c r="N9" i="151" s="1"/>
  <c r="N10" i="151" s="1"/>
  <c r="N11" i="151" s="1"/>
  <c r="N12" i="151" s="1"/>
  <c r="N13" i="151" s="1"/>
  <c r="N14" i="151" s="1"/>
  <c r="N15" i="151" s="1"/>
  <c r="N16" i="151" s="1"/>
  <c r="N17" i="151" s="1"/>
  <c r="N18" i="151" s="1"/>
  <c r="N19" i="151" s="1"/>
  <c r="N20" i="151" s="1"/>
  <c r="N21" i="151" s="1"/>
  <c r="N22" i="151" s="1"/>
  <c r="N23" i="151" s="1"/>
  <c r="N24" i="151" s="1"/>
  <c r="N25" i="151" s="1"/>
  <c r="N26" i="151" s="1"/>
  <c r="N27" i="151" s="1"/>
  <c r="N28" i="151" s="1"/>
  <c r="N29" i="151" s="1"/>
  <c r="N30" i="151" s="1"/>
  <c r="N31" i="151" s="1"/>
  <c r="N32" i="151" s="1"/>
  <c r="N33" i="151" s="1"/>
  <c r="N34" i="151" s="1"/>
  <c r="N35" i="151" s="1"/>
  <c r="N36" i="151" s="1"/>
  <c r="N37" i="151" s="1"/>
  <c r="N38" i="151" s="1"/>
  <c r="N39" i="151" s="1"/>
  <c r="N40" i="151" s="1"/>
  <c r="N41" i="151" s="1"/>
  <c r="N42" i="151" s="1"/>
  <c r="N43" i="151" s="1"/>
  <c r="N44" i="151" s="1"/>
  <c r="N45" i="151" s="1"/>
  <c r="N46" i="151" s="1"/>
  <c r="N47" i="151" s="1"/>
  <c r="N48" i="151" s="1"/>
  <c r="C3" i="151"/>
  <c r="C4" i="151" s="1"/>
  <c r="C5" i="151" s="1"/>
  <c r="C6" i="151" s="1"/>
  <c r="C7" i="151" s="1"/>
  <c r="C8" i="151" s="1"/>
  <c r="C9" i="151" s="1"/>
  <c r="C10" i="151" s="1"/>
  <c r="C11" i="151" s="1"/>
  <c r="C12" i="151" s="1"/>
  <c r="C13" i="151" s="1"/>
  <c r="C14" i="151" s="1"/>
  <c r="C15" i="151" s="1"/>
  <c r="C16" i="151" s="1"/>
  <c r="C17" i="151" s="1"/>
  <c r="C18" i="151" s="1"/>
  <c r="C19" i="151" s="1"/>
  <c r="C20" i="151" s="1"/>
  <c r="C21" i="151" s="1"/>
  <c r="C22" i="151" s="1"/>
  <c r="C23" i="151" s="1"/>
  <c r="C24" i="151" s="1"/>
  <c r="C25" i="151" s="1"/>
  <c r="C26" i="151" s="1"/>
  <c r="C27" i="151" s="1"/>
  <c r="C28" i="151" s="1"/>
  <c r="C29" i="151" s="1"/>
  <c r="C30" i="151" s="1"/>
  <c r="C31" i="151" s="1"/>
  <c r="C32" i="151" s="1"/>
  <c r="C33" i="151" s="1"/>
  <c r="C34" i="151" s="1"/>
  <c r="C35" i="151" s="1"/>
  <c r="C36" i="151" s="1"/>
  <c r="C37" i="151" s="1"/>
  <c r="C38" i="151" s="1"/>
  <c r="C39" i="151" s="1"/>
  <c r="C40" i="151" s="1"/>
  <c r="C41" i="151" s="1"/>
  <c r="C42" i="151" s="1"/>
  <c r="C43" i="151" s="1"/>
  <c r="C44" i="151" s="1"/>
  <c r="C45" i="151" s="1"/>
  <c r="C46" i="151" s="1"/>
  <c r="C47" i="151" s="1"/>
  <c r="C48" i="151" s="1"/>
  <c r="B3" i="151"/>
  <c r="B4" i="151" s="1"/>
  <c r="B5" i="151" s="1"/>
  <c r="B6" i="151" s="1"/>
  <c r="B7" i="151" s="1"/>
  <c r="B8" i="151" s="1"/>
  <c r="B9" i="151" s="1"/>
  <c r="B10" i="151" s="1"/>
  <c r="B11" i="151" s="1"/>
  <c r="B12" i="151" s="1"/>
  <c r="B13" i="151" s="1"/>
  <c r="B14" i="151" s="1"/>
  <c r="B15" i="151" s="1"/>
  <c r="B16" i="151" s="1"/>
  <c r="B17" i="151" s="1"/>
  <c r="B18" i="151" s="1"/>
  <c r="B19" i="151" s="1"/>
  <c r="B20" i="151" s="1"/>
  <c r="B21" i="151" s="1"/>
  <c r="B22" i="151" s="1"/>
  <c r="B23" i="151" s="1"/>
  <c r="B24" i="151" s="1"/>
  <c r="B25" i="151" s="1"/>
  <c r="B26" i="151" s="1"/>
  <c r="B27" i="151" s="1"/>
  <c r="B28" i="151" s="1"/>
  <c r="B29" i="151" s="1"/>
  <c r="B30" i="151" s="1"/>
  <c r="B31" i="151" s="1"/>
  <c r="B32" i="151" s="1"/>
  <c r="B33" i="151" s="1"/>
  <c r="B34" i="151" s="1"/>
  <c r="B35" i="151" s="1"/>
  <c r="B36" i="151" s="1"/>
  <c r="B37" i="151" s="1"/>
  <c r="B38" i="151" s="1"/>
  <c r="B39" i="151" s="1"/>
  <c r="B40" i="151" s="1"/>
  <c r="B41" i="151" s="1"/>
  <c r="B42" i="151" s="1"/>
  <c r="B43" i="151" s="1"/>
  <c r="B44" i="151" s="1"/>
  <c r="B45" i="151" s="1"/>
  <c r="B46" i="151" s="1"/>
  <c r="B47" i="151" s="1"/>
  <c r="B48" i="151" s="1"/>
  <c r="A3" i="151"/>
  <c r="A4" i="151" s="1"/>
  <c r="A5" i="151" s="1"/>
  <c r="A6" i="151" s="1"/>
  <c r="A7" i="151" s="1"/>
  <c r="A8" i="151" s="1"/>
  <c r="A9" i="151" s="1"/>
  <c r="A10" i="151" s="1"/>
  <c r="A11" i="151" s="1"/>
  <c r="A12" i="151" s="1"/>
  <c r="A13" i="151" s="1"/>
  <c r="A14" i="151" s="1"/>
  <c r="A15" i="151" s="1"/>
  <c r="A16" i="151" s="1"/>
  <c r="A17" i="151" s="1"/>
  <c r="A18" i="151" s="1"/>
  <c r="A19" i="151" s="1"/>
  <c r="A20" i="151" s="1"/>
  <c r="A21" i="151" s="1"/>
  <c r="A22" i="151" s="1"/>
  <c r="A23" i="151" s="1"/>
  <c r="A24" i="151" s="1"/>
  <c r="A25" i="151" s="1"/>
  <c r="A26" i="151" s="1"/>
  <c r="A27" i="151" s="1"/>
  <c r="A28" i="151" s="1"/>
  <c r="A29" i="151" s="1"/>
  <c r="A30" i="151" s="1"/>
  <c r="A31" i="151" s="1"/>
  <c r="A32" i="151" s="1"/>
  <c r="A33" i="151" s="1"/>
  <c r="A34" i="151" s="1"/>
  <c r="A35" i="151" s="1"/>
  <c r="A36" i="151" s="1"/>
  <c r="A37" i="151" s="1"/>
  <c r="A38" i="151" s="1"/>
  <c r="A39" i="151" s="1"/>
  <c r="A40" i="151" s="1"/>
  <c r="A41" i="151" s="1"/>
  <c r="N5" i="150"/>
  <c r="N6" i="150" s="1"/>
  <c r="N7" i="150" s="1"/>
  <c r="N8" i="150" s="1"/>
  <c r="N9" i="150" s="1"/>
  <c r="N10" i="150" s="1"/>
  <c r="N11" i="150" s="1"/>
  <c r="N12" i="150" s="1"/>
  <c r="N13" i="150" s="1"/>
  <c r="N14" i="150" s="1"/>
  <c r="N15" i="150" s="1"/>
  <c r="N16" i="150" s="1"/>
  <c r="N17" i="150" s="1"/>
  <c r="N18" i="150" s="1"/>
  <c r="N19" i="150" s="1"/>
  <c r="N20" i="150" s="1"/>
  <c r="N21" i="150" s="1"/>
  <c r="N22" i="150" s="1"/>
  <c r="N23" i="150" s="1"/>
  <c r="N24" i="150" s="1"/>
  <c r="N25" i="150" s="1"/>
  <c r="N26" i="150" s="1"/>
  <c r="N27" i="150" s="1"/>
  <c r="N28" i="150" s="1"/>
  <c r="N29" i="150" s="1"/>
  <c r="N30" i="150" s="1"/>
  <c r="N31" i="150" s="1"/>
  <c r="N32" i="150" s="1"/>
  <c r="N33" i="150" s="1"/>
  <c r="N34" i="150" s="1"/>
  <c r="N35" i="150" s="1"/>
  <c r="N4" i="150"/>
  <c r="P3" i="150"/>
  <c r="P4" i="150" s="1"/>
  <c r="P5" i="150" s="1"/>
  <c r="P6" i="150" s="1"/>
  <c r="P7" i="150" s="1"/>
  <c r="P8" i="150" s="1"/>
  <c r="P9" i="150" s="1"/>
  <c r="P10" i="150" s="1"/>
  <c r="P11" i="150" s="1"/>
  <c r="P12" i="150" s="1"/>
  <c r="P13" i="150" s="1"/>
  <c r="P14" i="150" s="1"/>
  <c r="P15" i="150" s="1"/>
  <c r="P16" i="150" s="1"/>
  <c r="P17" i="150" s="1"/>
  <c r="P18" i="150" s="1"/>
  <c r="P19" i="150" s="1"/>
  <c r="P20" i="150" s="1"/>
  <c r="P21" i="150" s="1"/>
  <c r="P22" i="150" s="1"/>
  <c r="P23" i="150" s="1"/>
  <c r="P24" i="150" s="1"/>
  <c r="P25" i="150" s="1"/>
  <c r="P26" i="150" s="1"/>
  <c r="P27" i="150" s="1"/>
  <c r="P28" i="150" s="1"/>
  <c r="P29" i="150" s="1"/>
  <c r="P30" i="150" s="1"/>
  <c r="P31" i="150" s="1"/>
  <c r="P32" i="150" s="1"/>
  <c r="P33" i="150" s="1"/>
  <c r="P34" i="150" s="1"/>
  <c r="P35" i="150" s="1"/>
  <c r="C3" i="150"/>
  <c r="C4" i="150" s="1"/>
  <c r="C5" i="150" s="1"/>
  <c r="C6" i="150" s="1"/>
  <c r="C7" i="150" s="1"/>
  <c r="C8" i="150" s="1"/>
  <c r="C9" i="150" s="1"/>
  <c r="C10" i="150" s="1"/>
  <c r="C11" i="150" s="1"/>
  <c r="C12" i="150" s="1"/>
  <c r="C13" i="150" s="1"/>
  <c r="C14" i="150" s="1"/>
  <c r="C15" i="150" s="1"/>
  <c r="C16" i="150" s="1"/>
  <c r="C17" i="150" s="1"/>
  <c r="C18" i="150" s="1"/>
  <c r="C19" i="150" s="1"/>
  <c r="C20" i="150" s="1"/>
  <c r="C21" i="150" s="1"/>
  <c r="C22" i="150" s="1"/>
  <c r="C23" i="150" s="1"/>
  <c r="C24" i="150" s="1"/>
  <c r="C25" i="150" s="1"/>
  <c r="C26" i="150" s="1"/>
  <c r="C27" i="150" s="1"/>
  <c r="C28" i="150" s="1"/>
  <c r="C29" i="150" s="1"/>
  <c r="C30" i="150" s="1"/>
  <c r="C31" i="150" s="1"/>
  <c r="C32" i="150" s="1"/>
  <c r="C33" i="150" s="1"/>
  <c r="C34" i="150" s="1"/>
  <c r="C35" i="150" s="1"/>
  <c r="B3" i="150"/>
  <c r="B4" i="150" s="1"/>
  <c r="B5" i="150" s="1"/>
  <c r="B6" i="150" s="1"/>
  <c r="B7" i="150" s="1"/>
  <c r="B8" i="150" s="1"/>
  <c r="B9" i="150" s="1"/>
  <c r="B10" i="150" s="1"/>
  <c r="B11" i="150" s="1"/>
  <c r="B12" i="150" s="1"/>
  <c r="B13" i="150" s="1"/>
  <c r="B14" i="150" s="1"/>
  <c r="B15" i="150" s="1"/>
  <c r="B16" i="150" s="1"/>
  <c r="B17" i="150" s="1"/>
  <c r="B18" i="150" s="1"/>
  <c r="B19" i="150" s="1"/>
  <c r="B20" i="150" s="1"/>
  <c r="B21" i="150" s="1"/>
  <c r="B22" i="150" s="1"/>
  <c r="B23" i="150" s="1"/>
  <c r="B24" i="150" s="1"/>
  <c r="B25" i="150" s="1"/>
  <c r="B26" i="150" s="1"/>
  <c r="B27" i="150" s="1"/>
  <c r="B28" i="150" s="1"/>
  <c r="B29" i="150" s="1"/>
  <c r="B30" i="150" s="1"/>
  <c r="B31" i="150" s="1"/>
  <c r="B32" i="150" s="1"/>
  <c r="B33" i="150" s="1"/>
  <c r="B34" i="150" s="1"/>
  <c r="B35" i="150" s="1"/>
  <c r="A3" i="150"/>
  <c r="A4" i="150" s="1"/>
  <c r="A5" i="150" s="1"/>
  <c r="A6" i="150" s="1"/>
  <c r="A7" i="150" s="1"/>
  <c r="A8" i="150" s="1"/>
  <c r="A9" i="150" s="1"/>
  <c r="A10" i="150" s="1"/>
  <c r="A11" i="150" s="1"/>
  <c r="A12" i="150" s="1"/>
  <c r="A13" i="150" s="1"/>
  <c r="A14" i="150" s="1"/>
  <c r="A15" i="150" s="1"/>
  <c r="A16" i="150" s="1"/>
  <c r="A17" i="150" s="1"/>
  <c r="A18" i="150" s="1"/>
  <c r="A19" i="150" s="1"/>
  <c r="A20" i="150" s="1"/>
  <c r="A21" i="150" s="1"/>
  <c r="A22" i="150" s="1"/>
  <c r="A23" i="150" s="1"/>
  <c r="A24" i="150" s="1"/>
  <c r="A25" i="150" s="1"/>
  <c r="A26" i="150" s="1"/>
  <c r="A27" i="150" s="1"/>
  <c r="A28" i="150" s="1"/>
  <c r="A29" i="150" s="1"/>
  <c r="A30" i="150" s="1"/>
  <c r="A31" i="150" s="1"/>
  <c r="A32" i="150" s="1"/>
  <c r="A33" i="150" s="1"/>
  <c r="A34" i="150" s="1"/>
  <c r="A35" i="150" s="1"/>
  <c r="C8" i="80" l="1"/>
  <c r="C9" i="80" s="1"/>
  <c r="C2" i="145" s="1"/>
  <c r="C3" i="145" s="1"/>
  <c r="C4" i="145" s="1"/>
  <c r="C5" i="145" s="1"/>
  <c r="C6" i="145" s="1"/>
  <c r="C7" i="145" s="1"/>
  <c r="C8" i="145" s="1"/>
  <c r="C9" i="145" s="1"/>
  <c r="C10" i="145" s="1"/>
  <c r="C11" i="145" s="1"/>
  <c r="C12" i="145" s="1"/>
  <c r="C13" i="145" s="1"/>
  <c r="C14" i="145" s="1"/>
  <c r="C15" i="145" s="1"/>
  <c r="C16" i="145" s="1"/>
  <c r="C17" i="145" s="1"/>
  <c r="C18" i="145" s="1"/>
  <c r="C19" i="145" s="1"/>
  <c r="C20" i="145" s="1"/>
  <c r="C21" i="145" s="1"/>
  <c r="C22" i="145" s="1"/>
  <c r="C23" i="145" s="1"/>
  <c r="C24" i="145" s="1"/>
  <c r="C25" i="145" s="1"/>
  <c r="C26" i="145" s="1"/>
  <c r="C27" i="145" s="1"/>
  <c r="C28" i="145" s="1"/>
  <c r="C29" i="145" s="1"/>
  <c r="C30" i="145" s="1"/>
  <c r="C31" i="145" s="1"/>
  <c r="C32" i="145" s="1"/>
  <c r="C33" i="145" s="1"/>
  <c r="C34" i="145" s="1"/>
  <c r="C35" i="145" s="1"/>
  <c r="C36" i="145" s="1"/>
  <c r="C37" i="145" s="1"/>
  <c r="C38" i="145" s="1"/>
  <c r="C39" i="145" s="1"/>
  <c r="C40" i="145" s="1"/>
  <c r="C41" i="145" s="1"/>
  <c r="C42" i="145" s="1"/>
  <c r="C43" i="145" s="1"/>
  <c r="C44" i="145" s="1"/>
  <c r="C45" i="145" s="1"/>
  <c r="C46" i="145" s="1"/>
  <c r="C47" i="145" s="1"/>
  <c r="C48" i="145" s="1"/>
  <c r="C49" i="145" s="1"/>
  <c r="C50" i="145" s="1"/>
  <c r="C51" i="145" s="1"/>
  <c r="C52" i="145" s="1"/>
  <c r="C53" i="145" s="1"/>
  <c r="C54" i="145" s="1"/>
  <c r="C55" i="145" s="1"/>
  <c r="B8" i="80"/>
  <c r="B9" i="80" s="1"/>
  <c r="B2" i="154"/>
  <c r="B3" i="154" s="1"/>
  <c r="B4" i="154" s="1"/>
  <c r="B5" i="154" s="1"/>
  <c r="B6" i="154" s="1"/>
  <c r="B7" i="154" s="1"/>
  <c r="B8" i="154" s="1"/>
  <c r="B9" i="154" s="1"/>
  <c r="B10" i="154" s="1"/>
  <c r="B11" i="154" s="1"/>
  <c r="B12" i="154" s="1"/>
  <c r="B13" i="154" s="1"/>
  <c r="B14" i="154" s="1"/>
  <c r="B15" i="154" s="1"/>
  <c r="B16" i="154" s="1"/>
  <c r="B17" i="154" s="1"/>
  <c r="C2" i="155" l="1"/>
  <c r="C3" i="155" s="1"/>
  <c r="C4" i="155" s="1"/>
  <c r="C5" i="155" s="1"/>
  <c r="C6" i="155" s="1"/>
  <c r="C7" i="155" s="1"/>
  <c r="C8" i="155" s="1"/>
  <c r="C9" i="155" s="1"/>
  <c r="C10" i="155" s="1"/>
  <c r="C11" i="155" s="1"/>
  <c r="C12" i="155" s="1"/>
  <c r="C13" i="155" s="1"/>
  <c r="C14" i="155" s="1"/>
  <c r="C15" i="155" s="1"/>
  <c r="C10" i="80"/>
  <c r="C11" i="80" s="1"/>
  <c r="B2" i="145"/>
  <c r="B3" i="145" s="1"/>
  <c r="B4" i="145" s="1"/>
  <c r="B5" i="145" s="1"/>
  <c r="B6" i="145" s="1"/>
  <c r="B7" i="145" s="1"/>
  <c r="B8" i="145" s="1"/>
  <c r="B9" i="145" s="1"/>
  <c r="B10" i="145" s="1"/>
  <c r="B11" i="145" s="1"/>
  <c r="B12" i="145" s="1"/>
  <c r="B13" i="145" s="1"/>
  <c r="B14" i="145" s="1"/>
  <c r="B15" i="145" s="1"/>
  <c r="B16" i="145" s="1"/>
  <c r="B17" i="145" s="1"/>
  <c r="B18" i="145" s="1"/>
  <c r="B19" i="145" s="1"/>
  <c r="B20" i="145" s="1"/>
  <c r="B21" i="145" s="1"/>
  <c r="B22" i="145" s="1"/>
  <c r="B23" i="145" s="1"/>
  <c r="B24" i="145" s="1"/>
  <c r="B25" i="145" s="1"/>
  <c r="B26" i="145" s="1"/>
  <c r="B27" i="145" s="1"/>
  <c r="B28" i="145" s="1"/>
  <c r="B29" i="145" s="1"/>
  <c r="B30" i="145" s="1"/>
  <c r="B31" i="145" s="1"/>
  <c r="B32" i="145" s="1"/>
  <c r="B33" i="145" s="1"/>
  <c r="B34" i="145" s="1"/>
  <c r="B35" i="145" s="1"/>
  <c r="B36" i="145" s="1"/>
  <c r="B37" i="145" s="1"/>
  <c r="B38" i="145" s="1"/>
  <c r="B39" i="145" s="1"/>
  <c r="B40" i="145" s="1"/>
  <c r="B41" i="145" s="1"/>
  <c r="B42" i="145" s="1"/>
  <c r="B43" i="145" s="1"/>
  <c r="B44" i="145" s="1"/>
  <c r="B45" i="145" s="1"/>
  <c r="B46" i="145" s="1"/>
  <c r="B47" i="145" s="1"/>
  <c r="B48" i="145" s="1"/>
  <c r="B49" i="145" s="1"/>
  <c r="B50" i="145" s="1"/>
  <c r="B51" i="145" s="1"/>
  <c r="B52" i="145" s="1"/>
  <c r="B53" i="145" s="1"/>
  <c r="B54" i="145" s="1"/>
  <c r="B55" i="145" s="1"/>
  <c r="B10" i="80"/>
  <c r="B11" i="80" s="1"/>
  <c r="B2" i="155"/>
  <c r="B3" i="155" s="1"/>
  <c r="B4" i="155" s="1"/>
  <c r="B5" i="155" s="1"/>
  <c r="B6" i="155" s="1"/>
  <c r="B7" i="155" s="1"/>
  <c r="B8" i="155" s="1"/>
  <c r="B9" i="155" s="1"/>
  <c r="B10" i="155" s="1"/>
  <c r="B11" i="155" s="1"/>
  <c r="B12" i="155" s="1"/>
  <c r="B13" i="155" s="1"/>
  <c r="B14" i="155" s="1"/>
  <c r="B15" i="155" s="1"/>
  <c r="O3" i="90"/>
  <c r="O4" i="90"/>
  <c r="O5" i="90"/>
  <c r="O6" i="90"/>
  <c r="O7" i="90"/>
  <c r="O8" i="90"/>
  <c r="O9" i="90"/>
  <c r="O10" i="90"/>
  <c r="O11" i="90"/>
  <c r="O12" i="90"/>
  <c r="O13" i="90"/>
  <c r="O14" i="90"/>
  <c r="O15" i="90"/>
  <c r="O16" i="90"/>
  <c r="O17" i="90"/>
  <c r="O18" i="90"/>
  <c r="O19" i="90"/>
  <c r="O20" i="90"/>
  <c r="O21" i="90"/>
  <c r="O22" i="90"/>
  <c r="O23" i="90"/>
  <c r="O24" i="90"/>
  <c r="O25" i="90"/>
  <c r="O26" i="90"/>
  <c r="O27" i="90"/>
  <c r="O28" i="90"/>
  <c r="O29" i="90"/>
  <c r="O30" i="90"/>
  <c r="O31" i="90"/>
  <c r="O32" i="90"/>
  <c r="O33" i="90"/>
  <c r="O34" i="90"/>
  <c r="O35" i="90"/>
  <c r="O36" i="90"/>
  <c r="O37" i="90"/>
  <c r="O38" i="90"/>
  <c r="O39" i="90"/>
  <c r="O40" i="90"/>
  <c r="O41" i="90"/>
  <c r="O42" i="90"/>
  <c r="O43" i="90"/>
  <c r="O44" i="90"/>
  <c r="O45" i="90"/>
  <c r="O46" i="90"/>
  <c r="O47" i="90"/>
  <c r="O48" i="90"/>
  <c r="O49" i="90"/>
  <c r="O50" i="90"/>
  <c r="O51" i="90"/>
  <c r="O52" i="90"/>
  <c r="O53" i="90"/>
  <c r="O54" i="90"/>
  <c r="O55" i="90"/>
  <c r="O56" i="90"/>
  <c r="O57" i="90"/>
  <c r="O58" i="90"/>
  <c r="O59" i="90"/>
  <c r="O60" i="90"/>
  <c r="O61" i="90"/>
  <c r="O62" i="90"/>
  <c r="O63" i="90"/>
  <c r="O64" i="90"/>
  <c r="O65" i="90"/>
  <c r="O66" i="90"/>
  <c r="O67" i="90"/>
  <c r="O68" i="90"/>
  <c r="O69" i="90"/>
  <c r="O70" i="90"/>
  <c r="O71" i="90"/>
  <c r="O72" i="90"/>
  <c r="O73" i="90"/>
  <c r="O74" i="90"/>
  <c r="O75" i="90"/>
  <c r="O76" i="90"/>
  <c r="O77" i="90"/>
  <c r="O78" i="90"/>
  <c r="O79" i="90"/>
  <c r="O80" i="90"/>
  <c r="O81" i="90"/>
  <c r="O82" i="90"/>
  <c r="O83" i="90"/>
  <c r="O84" i="90"/>
  <c r="O85" i="90"/>
  <c r="O86" i="90"/>
  <c r="O87" i="90"/>
  <c r="O88" i="90"/>
  <c r="O89" i="90"/>
  <c r="O90" i="90"/>
  <c r="O91" i="90"/>
  <c r="O92" i="90"/>
  <c r="O93" i="90"/>
  <c r="O94" i="90"/>
  <c r="O95" i="90"/>
  <c r="O96" i="90"/>
  <c r="O97" i="90"/>
  <c r="O98" i="90"/>
  <c r="O99" i="90"/>
  <c r="O100" i="90"/>
  <c r="O101" i="90"/>
  <c r="O102" i="90"/>
  <c r="O103" i="90"/>
  <c r="O104" i="90"/>
  <c r="O105" i="90"/>
  <c r="O106" i="90"/>
  <c r="O107" i="90"/>
  <c r="O108" i="90"/>
  <c r="O109" i="90"/>
  <c r="O110" i="90"/>
  <c r="O111" i="90"/>
  <c r="O112" i="90"/>
  <c r="O113" i="90"/>
  <c r="O114" i="90"/>
  <c r="O115" i="90"/>
  <c r="O116" i="90"/>
  <c r="O117" i="90"/>
  <c r="O118" i="90"/>
  <c r="O119" i="90"/>
  <c r="O120" i="90"/>
  <c r="O121" i="90"/>
  <c r="O122" i="90"/>
  <c r="O123" i="90"/>
  <c r="O124" i="90"/>
  <c r="O125" i="90"/>
  <c r="O126" i="90"/>
  <c r="O127" i="90"/>
  <c r="O128" i="90"/>
  <c r="O129" i="90"/>
  <c r="O130" i="90"/>
  <c r="O131" i="90"/>
  <c r="O132" i="90"/>
  <c r="O133" i="90"/>
  <c r="O134" i="90"/>
  <c r="O135" i="90"/>
  <c r="O136" i="90"/>
  <c r="O137" i="90"/>
  <c r="O138" i="90"/>
  <c r="O139" i="90"/>
  <c r="O140" i="90"/>
  <c r="O141" i="90"/>
  <c r="O142" i="90"/>
  <c r="O143" i="90"/>
  <c r="O144" i="90"/>
  <c r="O145" i="90"/>
  <c r="O146" i="90"/>
  <c r="O147" i="90"/>
  <c r="O148" i="90"/>
  <c r="O149" i="90"/>
  <c r="O150" i="90"/>
  <c r="O151" i="90"/>
  <c r="O152" i="90"/>
  <c r="O153" i="90"/>
  <c r="O154" i="90"/>
  <c r="O155" i="90"/>
  <c r="O156" i="90"/>
  <c r="O157" i="90"/>
  <c r="O158" i="90"/>
  <c r="O159" i="90"/>
  <c r="O160" i="90"/>
  <c r="O161" i="90"/>
  <c r="O162" i="90"/>
  <c r="O163" i="90"/>
  <c r="O164" i="90"/>
  <c r="O165" i="90"/>
  <c r="O166" i="90"/>
  <c r="O167" i="90"/>
  <c r="O168" i="90"/>
  <c r="O169" i="90"/>
  <c r="O170" i="90"/>
  <c r="O171" i="90"/>
  <c r="O172" i="90"/>
  <c r="O173" i="90"/>
  <c r="O174" i="90"/>
  <c r="O175" i="90"/>
  <c r="O176" i="90"/>
  <c r="O177" i="90"/>
  <c r="O178" i="90"/>
  <c r="O179" i="90"/>
  <c r="O180" i="90"/>
  <c r="O181" i="90"/>
  <c r="O182" i="90"/>
  <c r="O183" i="90"/>
  <c r="O184" i="90"/>
  <c r="O185" i="90"/>
  <c r="O186" i="90"/>
  <c r="O187" i="90"/>
  <c r="O188" i="90"/>
  <c r="O189" i="90"/>
  <c r="O190" i="90"/>
  <c r="O191" i="90"/>
  <c r="O192" i="90"/>
  <c r="O193" i="90"/>
  <c r="O194" i="90"/>
  <c r="O195" i="90"/>
  <c r="O196" i="90"/>
  <c r="O197" i="90"/>
  <c r="O198" i="90"/>
  <c r="O199" i="90"/>
  <c r="O200" i="90"/>
  <c r="O201" i="90"/>
  <c r="O202" i="90"/>
  <c r="O203" i="90"/>
  <c r="O204" i="90"/>
  <c r="O205" i="90"/>
  <c r="O2" i="90"/>
  <c r="N3" i="90"/>
  <c r="N4" i="90" s="1"/>
  <c r="N5" i="90" s="1"/>
  <c r="N6" i="90" s="1"/>
  <c r="N7" i="90" s="1"/>
  <c r="N8" i="90" s="1"/>
  <c r="N9" i="90" s="1"/>
  <c r="N10" i="90" s="1"/>
  <c r="N11" i="90" s="1"/>
  <c r="N12" i="90" s="1"/>
  <c r="N13" i="90" s="1"/>
  <c r="N14" i="90" s="1"/>
  <c r="N15" i="90" s="1"/>
  <c r="N16" i="90" s="1"/>
  <c r="N17" i="90" s="1"/>
  <c r="N18" i="90" s="1"/>
  <c r="N19" i="90" s="1"/>
  <c r="N20" i="90" s="1"/>
  <c r="N21" i="90" s="1"/>
  <c r="N22" i="90" s="1"/>
  <c r="N23" i="90" s="1"/>
  <c r="N24" i="90" s="1"/>
  <c r="N25" i="90" s="1"/>
  <c r="N26" i="90" s="1"/>
  <c r="N27" i="90" s="1"/>
  <c r="N28" i="90" s="1"/>
  <c r="N29" i="90" s="1"/>
  <c r="N30" i="90" s="1"/>
  <c r="N31" i="90" s="1"/>
  <c r="N32" i="90" s="1"/>
  <c r="N33" i="90" s="1"/>
  <c r="N34" i="90" s="1"/>
  <c r="N35" i="90" s="1"/>
  <c r="N36" i="90" s="1"/>
  <c r="N37" i="90" s="1"/>
  <c r="N38" i="90" s="1"/>
  <c r="N39" i="90" s="1"/>
  <c r="N40" i="90" s="1"/>
  <c r="N41" i="90" s="1"/>
  <c r="N42" i="90" s="1"/>
  <c r="N43" i="90" s="1"/>
  <c r="N44" i="90" s="1"/>
  <c r="N45" i="90" s="1"/>
  <c r="N46" i="90" s="1"/>
  <c r="N47" i="90" s="1"/>
  <c r="N48" i="90" s="1"/>
  <c r="N49" i="90" s="1"/>
  <c r="N50" i="90" s="1"/>
  <c r="N51" i="90" s="1"/>
  <c r="N52" i="90" s="1"/>
  <c r="N53" i="90" s="1"/>
  <c r="N54" i="90" s="1"/>
  <c r="N55" i="90" s="1"/>
  <c r="N56" i="90" s="1"/>
  <c r="N57" i="90" s="1"/>
  <c r="N58" i="90" s="1"/>
  <c r="N59" i="90" s="1"/>
  <c r="N60" i="90" s="1"/>
  <c r="N61" i="90" s="1"/>
  <c r="N62" i="90" s="1"/>
  <c r="N63" i="90" s="1"/>
  <c r="N64" i="90" s="1"/>
  <c r="N65" i="90" s="1"/>
  <c r="N66" i="90" s="1"/>
  <c r="N67" i="90" s="1"/>
  <c r="N68" i="90" s="1"/>
  <c r="N69" i="90" s="1"/>
  <c r="N70" i="90" s="1"/>
  <c r="N71" i="90" s="1"/>
  <c r="N72" i="90" s="1"/>
  <c r="N73" i="90" s="1"/>
  <c r="N74" i="90" s="1"/>
  <c r="N75" i="90" s="1"/>
  <c r="N76" i="90" s="1"/>
  <c r="N77" i="90" s="1"/>
  <c r="N78" i="90" s="1"/>
  <c r="N79" i="90" s="1"/>
  <c r="N80" i="90" s="1"/>
  <c r="N81" i="90" s="1"/>
  <c r="N82" i="90" s="1"/>
  <c r="N83" i="90" s="1"/>
  <c r="N84" i="90" s="1"/>
  <c r="N85" i="90" s="1"/>
  <c r="N86" i="90" s="1"/>
  <c r="N87" i="90" s="1"/>
  <c r="N88" i="90" s="1"/>
  <c r="N89" i="90" s="1"/>
  <c r="N90" i="90" s="1"/>
  <c r="N91" i="90" s="1"/>
  <c r="N92" i="90" s="1"/>
  <c r="N93" i="90" s="1"/>
  <c r="N94" i="90" s="1"/>
  <c r="N95" i="90" s="1"/>
  <c r="N96" i="90" s="1"/>
  <c r="N97" i="90" s="1"/>
  <c r="N98" i="90" s="1"/>
  <c r="N99" i="90" s="1"/>
  <c r="N100" i="90" s="1"/>
  <c r="N101" i="90" s="1"/>
  <c r="N102" i="90" s="1"/>
  <c r="N103" i="90" s="1"/>
  <c r="N104" i="90" s="1"/>
  <c r="N105" i="90" s="1"/>
  <c r="N106" i="90" s="1"/>
  <c r="N107" i="90" s="1"/>
  <c r="N108" i="90" s="1"/>
  <c r="N109" i="90" s="1"/>
  <c r="N110" i="90" s="1"/>
  <c r="N111" i="90" s="1"/>
  <c r="N112" i="90" s="1"/>
  <c r="N113" i="90" s="1"/>
  <c r="N114" i="90" s="1"/>
  <c r="N115" i="90" s="1"/>
  <c r="N116" i="90" s="1"/>
  <c r="N117" i="90" s="1"/>
  <c r="N118" i="90" s="1"/>
  <c r="N119" i="90" s="1"/>
  <c r="N120" i="90" s="1"/>
  <c r="N121" i="90" s="1"/>
  <c r="N122" i="90" s="1"/>
  <c r="N123" i="90" s="1"/>
  <c r="N124" i="90" s="1"/>
  <c r="N125" i="90" s="1"/>
  <c r="N126" i="90" s="1"/>
  <c r="N127" i="90" s="1"/>
  <c r="N128" i="90" s="1"/>
  <c r="N129" i="90" s="1"/>
  <c r="N130" i="90" s="1"/>
  <c r="N131" i="90" s="1"/>
  <c r="N132" i="90" s="1"/>
  <c r="N133" i="90" s="1"/>
  <c r="N134" i="90" s="1"/>
  <c r="N135" i="90" s="1"/>
  <c r="N136" i="90" s="1"/>
  <c r="N137" i="90" s="1"/>
  <c r="N138" i="90" s="1"/>
  <c r="N139" i="90" s="1"/>
  <c r="N140" i="90" s="1"/>
  <c r="N141" i="90" s="1"/>
  <c r="N142" i="90" s="1"/>
  <c r="N143" i="90" s="1"/>
  <c r="N144" i="90" s="1"/>
  <c r="N145" i="90" s="1"/>
  <c r="N146" i="90" s="1"/>
  <c r="N147" i="90" s="1"/>
  <c r="N148" i="90" s="1"/>
  <c r="N149" i="90" s="1"/>
  <c r="N150" i="90" s="1"/>
  <c r="N151" i="90" s="1"/>
  <c r="N152" i="90" s="1"/>
  <c r="N153" i="90" s="1"/>
  <c r="N154" i="90" s="1"/>
  <c r="N155" i="90" s="1"/>
  <c r="N156" i="90" s="1"/>
  <c r="N157" i="90" s="1"/>
  <c r="N158" i="90" s="1"/>
  <c r="N159" i="90" s="1"/>
  <c r="N160" i="90" s="1"/>
  <c r="N161" i="90" s="1"/>
  <c r="N162" i="90" s="1"/>
  <c r="N163" i="90" s="1"/>
  <c r="N164" i="90" s="1"/>
  <c r="N165" i="90" s="1"/>
  <c r="N166" i="90" s="1"/>
  <c r="N167" i="90" s="1"/>
  <c r="N168" i="90" s="1"/>
  <c r="N169" i="90" s="1"/>
  <c r="N170" i="90" s="1"/>
  <c r="N171" i="90" s="1"/>
  <c r="N172" i="90" s="1"/>
  <c r="N173" i="90" s="1"/>
  <c r="N174" i="90" s="1"/>
  <c r="N175" i="90" s="1"/>
  <c r="N176" i="90" s="1"/>
  <c r="N177" i="90" s="1"/>
  <c r="N178" i="90" s="1"/>
  <c r="N179" i="90" s="1"/>
  <c r="N180" i="90" s="1"/>
  <c r="N181" i="90" s="1"/>
  <c r="N182" i="90" s="1"/>
  <c r="N183" i="90" s="1"/>
  <c r="N184" i="90" s="1"/>
  <c r="N185" i="90" s="1"/>
  <c r="N186" i="90" s="1"/>
  <c r="N187" i="90" s="1"/>
  <c r="N188" i="90" s="1"/>
  <c r="N189" i="90" s="1"/>
  <c r="N190" i="90" s="1"/>
  <c r="N191" i="90" s="1"/>
  <c r="N192" i="90" s="1"/>
  <c r="N193" i="90" s="1"/>
  <c r="N194" i="90" s="1"/>
  <c r="N195" i="90" s="1"/>
  <c r="N196" i="90" s="1"/>
  <c r="N197" i="90" s="1"/>
  <c r="N198" i="90" s="1"/>
  <c r="N199" i="90" s="1"/>
  <c r="N200" i="90" s="1"/>
  <c r="N201" i="90" s="1"/>
  <c r="N202" i="90" s="1"/>
  <c r="N203" i="90" s="1"/>
  <c r="N204" i="90" s="1"/>
  <c r="N205" i="90" s="1"/>
  <c r="A3" i="90"/>
  <c r="A4" i="90" s="1"/>
  <c r="A5" i="90" s="1"/>
  <c r="A6" i="90" s="1"/>
  <c r="A7" i="90" s="1"/>
  <c r="A8" i="90" s="1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A38" i="90" s="1"/>
  <c r="A39" i="90" s="1"/>
  <c r="A40" i="90" s="1"/>
  <c r="A41" i="90" s="1"/>
  <c r="A42" i="90" s="1"/>
  <c r="A43" i="90" s="1"/>
  <c r="A44" i="90" s="1"/>
  <c r="A45" i="90" s="1"/>
  <c r="A46" i="90" s="1"/>
  <c r="A47" i="90" s="1"/>
  <c r="A48" i="90" s="1"/>
  <c r="A49" i="90" s="1"/>
  <c r="A50" i="90" s="1"/>
  <c r="A51" i="90" s="1"/>
  <c r="A52" i="90" s="1"/>
  <c r="A53" i="90" s="1"/>
  <c r="A54" i="90" s="1"/>
  <c r="A55" i="90" s="1"/>
  <c r="A56" i="90" s="1"/>
  <c r="A57" i="90" s="1"/>
  <c r="A58" i="90" s="1"/>
  <c r="A59" i="90" s="1"/>
  <c r="A60" i="90" s="1"/>
  <c r="A61" i="90" s="1"/>
  <c r="A62" i="90" s="1"/>
  <c r="A63" i="90" s="1"/>
  <c r="A64" i="90" s="1"/>
  <c r="A65" i="90" s="1"/>
  <c r="A66" i="90" s="1"/>
  <c r="A67" i="90" s="1"/>
  <c r="A68" i="90" s="1"/>
  <c r="A69" i="90" s="1"/>
  <c r="A70" i="90" s="1"/>
  <c r="A71" i="90" s="1"/>
  <c r="A72" i="90" s="1"/>
  <c r="A73" i="90" s="1"/>
  <c r="A74" i="90" s="1"/>
  <c r="A75" i="90" s="1"/>
  <c r="A76" i="90" s="1"/>
  <c r="A77" i="90" s="1"/>
  <c r="A78" i="90" s="1"/>
  <c r="A79" i="90" s="1"/>
  <c r="A80" i="90" s="1"/>
  <c r="A81" i="90" s="1"/>
  <c r="A82" i="90" s="1"/>
  <c r="A83" i="90" s="1"/>
  <c r="A84" i="90" s="1"/>
  <c r="A85" i="90" s="1"/>
  <c r="A86" i="90" s="1"/>
  <c r="A87" i="90" s="1"/>
  <c r="A88" i="90" s="1"/>
  <c r="A89" i="90" s="1"/>
  <c r="A90" i="90" s="1"/>
  <c r="A91" i="90" s="1"/>
  <c r="A92" i="90" s="1"/>
  <c r="A93" i="90" s="1"/>
  <c r="A94" i="90" s="1"/>
  <c r="A95" i="90" s="1"/>
  <c r="A96" i="90" s="1"/>
  <c r="A97" i="90" s="1"/>
  <c r="A98" i="90" s="1"/>
  <c r="A99" i="90" s="1"/>
  <c r="A100" i="90" s="1"/>
  <c r="A101" i="90" s="1"/>
  <c r="A102" i="90" s="1"/>
  <c r="A103" i="90" s="1"/>
  <c r="A104" i="90" s="1"/>
  <c r="A105" i="90" s="1"/>
  <c r="A106" i="90" s="1"/>
  <c r="A107" i="90" s="1"/>
  <c r="A108" i="90" s="1"/>
  <c r="A109" i="90" s="1"/>
  <c r="A110" i="90" s="1"/>
  <c r="A111" i="90" s="1"/>
  <c r="A112" i="90" s="1"/>
  <c r="A113" i="90" s="1"/>
  <c r="A114" i="90" s="1"/>
  <c r="A115" i="90" s="1"/>
  <c r="A116" i="90" s="1"/>
  <c r="A117" i="90" s="1"/>
  <c r="A118" i="90" s="1"/>
  <c r="A119" i="90" s="1"/>
  <c r="A120" i="90" s="1"/>
  <c r="A121" i="90" s="1"/>
  <c r="A122" i="90" s="1"/>
  <c r="A123" i="90" s="1"/>
  <c r="A124" i="90" s="1"/>
  <c r="A125" i="90" s="1"/>
  <c r="A126" i="90" s="1"/>
  <c r="A127" i="90" s="1"/>
  <c r="A128" i="90" s="1"/>
  <c r="A129" i="90" s="1"/>
  <c r="A130" i="90" s="1"/>
  <c r="A131" i="90" s="1"/>
  <c r="A132" i="90" s="1"/>
  <c r="A133" i="90" s="1"/>
  <c r="A134" i="90" s="1"/>
  <c r="A135" i="90" s="1"/>
  <c r="A136" i="90" s="1"/>
  <c r="A137" i="90" s="1"/>
  <c r="A138" i="90" s="1"/>
  <c r="A139" i="90" s="1"/>
  <c r="A140" i="90" s="1"/>
  <c r="A141" i="90" s="1"/>
  <c r="A142" i="90" s="1"/>
  <c r="A143" i="90" s="1"/>
  <c r="A144" i="90" s="1"/>
  <c r="A145" i="90" s="1"/>
  <c r="A146" i="90" s="1"/>
  <c r="A147" i="90" s="1"/>
  <c r="A148" i="90" s="1"/>
  <c r="A149" i="90" s="1"/>
  <c r="A150" i="90" s="1"/>
  <c r="A151" i="90" s="1"/>
  <c r="A152" i="90" s="1"/>
  <c r="A153" i="90" s="1"/>
  <c r="A154" i="90" s="1"/>
  <c r="A155" i="90" s="1"/>
  <c r="A156" i="90" s="1"/>
  <c r="A157" i="90" s="1"/>
  <c r="A158" i="90" s="1"/>
  <c r="A159" i="90" s="1"/>
  <c r="A160" i="90" s="1"/>
  <c r="A161" i="90" s="1"/>
  <c r="A162" i="90" s="1"/>
  <c r="A163" i="90" s="1"/>
  <c r="A164" i="90" s="1"/>
  <c r="A165" i="90" s="1"/>
  <c r="A166" i="90" s="1"/>
  <c r="A167" i="90" s="1"/>
  <c r="A168" i="90" s="1"/>
  <c r="A169" i="90" s="1"/>
  <c r="A170" i="90" s="1"/>
  <c r="A171" i="90" s="1"/>
  <c r="A172" i="90" s="1"/>
  <c r="A173" i="90" s="1"/>
  <c r="A174" i="90" s="1"/>
  <c r="A175" i="90" s="1"/>
  <c r="A176" i="90" s="1"/>
  <c r="A177" i="90" s="1"/>
  <c r="A178" i="90" s="1"/>
  <c r="A179" i="90" s="1"/>
  <c r="A180" i="90" s="1"/>
  <c r="A181" i="90" s="1"/>
  <c r="A182" i="90" s="1"/>
  <c r="A183" i="90" s="1"/>
  <c r="A184" i="90" s="1"/>
  <c r="A185" i="90" s="1"/>
  <c r="A186" i="90" s="1"/>
  <c r="A187" i="90" s="1"/>
  <c r="A188" i="90" s="1"/>
  <c r="A189" i="90" s="1"/>
  <c r="A190" i="90" s="1"/>
  <c r="A191" i="90" s="1"/>
  <c r="A192" i="90" s="1"/>
  <c r="A193" i="90" s="1"/>
  <c r="A194" i="90" s="1"/>
  <c r="A195" i="90" s="1"/>
  <c r="A196" i="90" s="1"/>
  <c r="A197" i="90" s="1"/>
  <c r="A198" i="90" s="1"/>
  <c r="A199" i="90" s="1"/>
  <c r="A200" i="90" s="1"/>
  <c r="A201" i="90" s="1"/>
  <c r="A202" i="90" s="1"/>
  <c r="A203" i="90" s="1"/>
  <c r="A204" i="90" s="1"/>
  <c r="A205" i="90" s="1"/>
  <c r="O269" i="139"/>
  <c r="O268" i="139"/>
  <c r="O267" i="139"/>
  <c r="O266" i="139"/>
  <c r="O265" i="139"/>
  <c r="O264" i="139"/>
  <c r="O263" i="139"/>
  <c r="O262" i="139"/>
  <c r="O261" i="139"/>
  <c r="O260" i="139"/>
  <c r="O259" i="139"/>
  <c r="O258" i="139"/>
  <c r="O257" i="139"/>
  <c r="O256" i="139"/>
  <c r="O255" i="139"/>
  <c r="O254" i="139"/>
  <c r="O253" i="139"/>
  <c r="O252" i="139"/>
  <c r="O251" i="139"/>
  <c r="O250" i="139"/>
  <c r="O249" i="139"/>
  <c r="O248" i="139"/>
  <c r="O247" i="139"/>
  <c r="O246" i="139"/>
  <c r="O245" i="139"/>
  <c r="O244" i="139"/>
  <c r="O243" i="139"/>
  <c r="O242" i="139"/>
  <c r="O241" i="139"/>
  <c r="O240" i="139"/>
  <c r="O239" i="139"/>
  <c r="O238" i="139"/>
  <c r="O237" i="139"/>
  <c r="O236" i="139"/>
  <c r="O235" i="139"/>
  <c r="O234" i="139"/>
  <c r="O233" i="139"/>
  <c r="O232" i="139"/>
  <c r="O231" i="139"/>
  <c r="O230" i="139"/>
  <c r="O229" i="139"/>
  <c r="O228" i="139"/>
  <c r="O227" i="139"/>
  <c r="O226" i="139"/>
  <c r="O225" i="139"/>
  <c r="O224" i="139"/>
  <c r="O223" i="139"/>
  <c r="O222" i="139"/>
  <c r="O221" i="139"/>
  <c r="O220" i="139"/>
  <c r="O219" i="139"/>
  <c r="O218" i="139"/>
  <c r="O217" i="139"/>
  <c r="O216" i="139"/>
  <c r="O215" i="139"/>
  <c r="O214" i="139"/>
  <c r="O213" i="139"/>
  <c r="O212" i="139"/>
  <c r="O211" i="139"/>
  <c r="O210" i="139"/>
  <c r="O209" i="139"/>
  <c r="O208" i="139"/>
  <c r="O207" i="139"/>
  <c r="O206" i="139"/>
  <c r="O205" i="139"/>
  <c r="O204" i="139"/>
  <c r="O203" i="139"/>
  <c r="O202" i="139"/>
  <c r="O201" i="139"/>
  <c r="O200" i="139"/>
  <c r="O199" i="139"/>
  <c r="O198" i="139"/>
  <c r="O197" i="139"/>
  <c r="O196" i="139"/>
  <c r="O195" i="139"/>
  <c r="O194" i="139"/>
  <c r="O193" i="139"/>
  <c r="O192" i="139"/>
  <c r="O191" i="139"/>
  <c r="O190" i="139"/>
  <c r="O189" i="139"/>
  <c r="O188" i="139"/>
  <c r="O187" i="139"/>
  <c r="O186" i="139"/>
  <c r="O185" i="139"/>
  <c r="O184" i="139"/>
  <c r="O183" i="139"/>
  <c r="O182" i="139"/>
  <c r="O181" i="139"/>
  <c r="O180" i="139"/>
  <c r="O179" i="139"/>
  <c r="O178" i="139"/>
  <c r="O177" i="139"/>
  <c r="O176" i="139"/>
  <c r="O175" i="139"/>
  <c r="O174" i="139"/>
  <c r="O173" i="139"/>
  <c r="O172" i="139"/>
  <c r="O171" i="139"/>
  <c r="O170" i="139"/>
  <c r="O169" i="139"/>
  <c r="O168" i="139"/>
  <c r="O167" i="139"/>
  <c r="O166" i="139"/>
  <c r="O165" i="139"/>
  <c r="O164" i="139"/>
  <c r="O163" i="139"/>
  <c r="O162" i="139"/>
  <c r="O161" i="139"/>
  <c r="O160" i="139"/>
  <c r="O159" i="139"/>
  <c r="O158" i="139"/>
  <c r="O157" i="139"/>
  <c r="O156" i="139"/>
  <c r="O155" i="139"/>
  <c r="O154" i="139"/>
  <c r="O153" i="139"/>
  <c r="O152" i="139"/>
  <c r="O151" i="139"/>
  <c r="O150" i="139"/>
  <c r="O149" i="139"/>
  <c r="O148" i="139"/>
  <c r="O147" i="139"/>
  <c r="O146" i="139"/>
  <c r="O145" i="139"/>
  <c r="O144" i="139"/>
  <c r="O143" i="139"/>
  <c r="O142" i="139"/>
  <c r="O141" i="139"/>
  <c r="O140" i="139"/>
  <c r="O139" i="139"/>
  <c r="O138" i="139"/>
  <c r="O137" i="139"/>
  <c r="O136" i="139"/>
  <c r="O135" i="139"/>
  <c r="O134" i="139"/>
  <c r="O133" i="139"/>
  <c r="O132" i="139"/>
  <c r="O131" i="139"/>
  <c r="O130" i="139"/>
  <c r="O129" i="139"/>
  <c r="O128" i="139"/>
  <c r="O127" i="139"/>
  <c r="O126" i="139"/>
  <c r="O125" i="139"/>
  <c r="O124" i="139"/>
  <c r="O123" i="139"/>
  <c r="O122" i="139"/>
  <c r="O121" i="139"/>
  <c r="O120" i="139"/>
  <c r="O119" i="139"/>
  <c r="O118" i="139"/>
  <c r="O117" i="139"/>
  <c r="O116" i="139"/>
  <c r="O115" i="139"/>
  <c r="O114" i="139"/>
  <c r="O113" i="139"/>
  <c r="O112" i="139"/>
  <c r="O111" i="139"/>
  <c r="O110" i="139"/>
  <c r="O109" i="139"/>
  <c r="O108" i="139"/>
  <c r="O107" i="139"/>
  <c r="O106" i="139"/>
  <c r="O105" i="139"/>
  <c r="O104" i="139"/>
  <c r="O103" i="139"/>
  <c r="O102" i="139"/>
  <c r="O101" i="139"/>
  <c r="O100" i="139"/>
  <c r="O99" i="139"/>
  <c r="O98" i="139"/>
  <c r="O97" i="139"/>
  <c r="O96" i="139"/>
  <c r="O95" i="139"/>
  <c r="O94" i="139"/>
  <c r="O93" i="139"/>
  <c r="O92" i="139"/>
  <c r="O91" i="139"/>
  <c r="O90" i="139"/>
  <c r="O89" i="139"/>
  <c r="O88" i="139"/>
  <c r="O87" i="139"/>
  <c r="O86" i="139"/>
  <c r="O85" i="139"/>
  <c r="O84" i="139"/>
  <c r="O83" i="139"/>
  <c r="O82" i="139"/>
  <c r="O81" i="139"/>
  <c r="O80" i="139"/>
  <c r="O79" i="139"/>
  <c r="O78" i="139"/>
  <c r="O77" i="139"/>
  <c r="O76" i="139"/>
  <c r="O75" i="139"/>
  <c r="O74" i="139"/>
  <c r="O73" i="139"/>
  <c r="O72" i="139"/>
  <c r="O71" i="139"/>
  <c r="O70" i="139"/>
  <c r="O69" i="139"/>
  <c r="O68" i="139"/>
  <c r="O67" i="139"/>
  <c r="O66" i="139"/>
  <c r="O65" i="139"/>
  <c r="O64" i="139"/>
  <c r="O63" i="139"/>
  <c r="O62" i="139"/>
  <c r="O61" i="139"/>
  <c r="O60" i="139"/>
  <c r="O59" i="139"/>
  <c r="O58" i="139"/>
  <c r="O57" i="139"/>
  <c r="O56" i="139"/>
  <c r="O55" i="139"/>
  <c r="O54" i="139"/>
  <c r="O53" i="139"/>
  <c r="O52" i="139"/>
  <c r="O51" i="139"/>
  <c r="O50" i="139"/>
  <c r="O49" i="139"/>
  <c r="O48" i="139"/>
  <c r="O47" i="139"/>
  <c r="O46" i="139"/>
  <c r="O45" i="139"/>
  <c r="O44" i="139"/>
  <c r="O43" i="139"/>
  <c r="O42" i="139"/>
  <c r="O41" i="139"/>
  <c r="O40" i="139"/>
  <c r="O39" i="139"/>
  <c r="O38" i="139"/>
  <c r="O37" i="139"/>
  <c r="O36" i="139"/>
  <c r="O35" i="139"/>
  <c r="O34" i="139"/>
  <c r="O33" i="139"/>
  <c r="O32" i="139"/>
  <c r="O31" i="139"/>
  <c r="O30" i="139"/>
  <c r="O29" i="139"/>
  <c r="O28" i="139"/>
  <c r="O27" i="139"/>
  <c r="O26" i="139"/>
  <c r="O25" i="139"/>
  <c r="O24" i="139"/>
  <c r="O23" i="139"/>
  <c r="O22" i="139"/>
  <c r="O21" i="139"/>
  <c r="O20" i="139"/>
  <c r="O19" i="139"/>
  <c r="O18" i="139"/>
  <c r="O17" i="139"/>
  <c r="O16" i="139"/>
  <c r="O15" i="139"/>
  <c r="O14" i="139"/>
  <c r="O13" i="139"/>
  <c r="O12" i="139"/>
  <c r="O11" i="139"/>
  <c r="O10" i="139"/>
  <c r="O9" i="139"/>
  <c r="O8" i="139"/>
  <c r="O7" i="139"/>
  <c r="O6" i="139"/>
  <c r="O5" i="139"/>
  <c r="O4" i="139"/>
  <c r="O3" i="139"/>
  <c r="N3" i="139"/>
  <c r="N4" i="139" s="1"/>
  <c r="N5" i="139" s="1"/>
  <c r="N6" i="139" s="1"/>
  <c r="N7" i="139" s="1"/>
  <c r="N8" i="139" s="1"/>
  <c r="N9" i="139" s="1"/>
  <c r="N10" i="139" s="1"/>
  <c r="N11" i="139" s="1"/>
  <c r="N12" i="139" s="1"/>
  <c r="N13" i="139" s="1"/>
  <c r="N14" i="139" s="1"/>
  <c r="N15" i="139" s="1"/>
  <c r="N16" i="139" s="1"/>
  <c r="N17" i="139" s="1"/>
  <c r="N18" i="139" s="1"/>
  <c r="N19" i="139" s="1"/>
  <c r="N20" i="139" s="1"/>
  <c r="N21" i="139" s="1"/>
  <c r="N22" i="139" s="1"/>
  <c r="N23" i="139" s="1"/>
  <c r="N24" i="139" s="1"/>
  <c r="N25" i="139" s="1"/>
  <c r="N26" i="139" s="1"/>
  <c r="N27" i="139" s="1"/>
  <c r="N28" i="139" s="1"/>
  <c r="N29" i="139" s="1"/>
  <c r="N30" i="139" s="1"/>
  <c r="N31" i="139" s="1"/>
  <c r="N32" i="139" s="1"/>
  <c r="N33" i="139" s="1"/>
  <c r="N34" i="139" s="1"/>
  <c r="N35" i="139" s="1"/>
  <c r="N36" i="139" s="1"/>
  <c r="N37" i="139" s="1"/>
  <c r="N38" i="139" s="1"/>
  <c r="N39" i="139" s="1"/>
  <c r="N40" i="139" s="1"/>
  <c r="N41" i="139" s="1"/>
  <c r="N42" i="139" s="1"/>
  <c r="N43" i="139" s="1"/>
  <c r="N44" i="139" s="1"/>
  <c r="N45" i="139" s="1"/>
  <c r="N46" i="139" s="1"/>
  <c r="N47" i="139" s="1"/>
  <c r="N48" i="139" s="1"/>
  <c r="N49" i="139" s="1"/>
  <c r="N50" i="139" s="1"/>
  <c r="N51" i="139" s="1"/>
  <c r="N52" i="139" s="1"/>
  <c r="N53" i="139" s="1"/>
  <c r="N54" i="139" s="1"/>
  <c r="N55" i="139" s="1"/>
  <c r="N56" i="139" s="1"/>
  <c r="N57" i="139" s="1"/>
  <c r="N58" i="139" s="1"/>
  <c r="N59" i="139" s="1"/>
  <c r="N60" i="139" s="1"/>
  <c r="N61" i="139" s="1"/>
  <c r="N62" i="139" s="1"/>
  <c r="N63" i="139" s="1"/>
  <c r="N64" i="139" s="1"/>
  <c r="N65" i="139" s="1"/>
  <c r="N66" i="139" s="1"/>
  <c r="N67" i="139" s="1"/>
  <c r="N68" i="139" s="1"/>
  <c r="N69" i="139" s="1"/>
  <c r="N70" i="139" s="1"/>
  <c r="N71" i="139" s="1"/>
  <c r="N72" i="139" s="1"/>
  <c r="N73" i="139" s="1"/>
  <c r="N74" i="139" s="1"/>
  <c r="N75" i="139" s="1"/>
  <c r="N76" i="139" s="1"/>
  <c r="N77" i="139" s="1"/>
  <c r="N78" i="139" s="1"/>
  <c r="N79" i="139" s="1"/>
  <c r="N80" i="139" s="1"/>
  <c r="N81" i="139" s="1"/>
  <c r="N82" i="139" s="1"/>
  <c r="N83" i="139" s="1"/>
  <c r="N84" i="139" s="1"/>
  <c r="N85" i="139" s="1"/>
  <c r="N86" i="139" s="1"/>
  <c r="N87" i="139" s="1"/>
  <c r="N88" i="139" s="1"/>
  <c r="N89" i="139" s="1"/>
  <c r="N90" i="139" s="1"/>
  <c r="N91" i="139" s="1"/>
  <c r="N92" i="139" s="1"/>
  <c r="N93" i="139" s="1"/>
  <c r="N94" i="139" s="1"/>
  <c r="N95" i="139" s="1"/>
  <c r="N96" i="139" s="1"/>
  <c r="N97" i="139" s="1"/>
  <c r="N98" i="139" s="1"/>
  <c r="N99" i="139" s="1"/>
  <c r="N100" i="139" s="1"/>
  <c r="N101" i="139" s="1"/>
  <c r="N102" i="139" s="1"/>
  <c r="N103" i="139" s="1"/>
  <c r="N104" i="139" s="1"/>
  <c r="N105" i="139" s="1"/>
  <c r="N106" i="139" s="1"/>
  <c r="N107" i="139" s="1"/>
  <c r="N108" i="139" s="1"/>
  <c r="N109" i="139" s="1"/>
  <c r="N110" i="139" s="1"/>
  <c r="N111" i="139" s="1"/>
  <c r="N112" i="139" s="1"/>
  <c r="N113" i="139" s="1"/>
  <c r="N114" i="139" s="1"/>
  <c r="N115" i="139" s="1"/>
  <c r="N116" i="139" s="1"/>
  <c r="N117" i="139" s="1"/>
  <c r="N118" i="139" s="1"/>
  <c r="N119" i="139" s="1"/>
  <c r="N120" i="139" s="1"/>
  <c r="N121" i="139" s="1"/>
  <c r="N122" i="139" s="1"/>
  <c r="N123" i="139" s="1"/>
  <c r="N124" i="139" s="1"/>
  <c r="N125" i="139" s="1"/>
  <c r="N126" i="139" s="1"/>
  <c r="N127" i="139" s="1"/>
  <c r="N128" i="139" s="1"/>
  <c r="N129" i="139" s="1"/>
  <c r="N130" i="139" s="1"/>
  <c r="N131" i="139" s="1"/>
  <c r="N132" i="139" s="1"/>
  <c r="N133" i="139" s="1"/>
  <c r="N134" i="139" s="1"/>
  <c r="N135" i="139" s="1"/>
  <c r="N136" i="139" s="1"/>
  <c r="N137" i="139" s="1"/>
  <c r="N138" i="139" s="1"/>
  <c r="N139" i="139" s="1"/>
  <c r="N140" i="139" s="1"/>
  <c r="N141" i="139" s="1"/>
  <c r="N142" i="139" s="1"/>
  <c r="N143" i="139" s="1"/>
  <c r="N144" i="139" s="1"/>
  <c r="N145" i="139" s="1"/>
  <c r="N146" i="139" s="1"/>
  <c r="N147" i="139" s="1"/>
  <c r="N148" i="139" s="1"/>
  <c r="N149" i="139" s="1"/>
  <c r="N150" i="139" s="1"/>
  <c r="N151" i="139" s="1"/>
  <c r="N152" i="139" s="1"/>
  <c r="N153" i="139" s="1"/>
  <c r="N154" i="139" s="1"/>
  <c r="N155" i="139" s="1"/>
  <c r="N156" i="139" s="1"/>
  <c r="N157" i="139" s="1"/>
  <c r="N158" i="139" s="1"/>
  <c r="N159" i="139" s="1"/>
  <c r="N160" i="139" s="1"/>
  <c r="N161" i="139" s="1"/>
  <c r="N162" i="139" s="1"/>
  <c r="N163" i="139" s="1"/>
  <c r="N164" i="139" s="1"/>
  <c r="N165" i="139" s="1"/>
  <c r="N166" i="139" s="1"/>
  <c r="N167" i="139" s="1"/>
  <c r="N168" i="139" s="1"/>
  <c r="N169" i="139" s="1"/>
  <c r="N170" i="139" s="1"/>
  <c r="N171" i="139" s="1"/>
  <c r="N172" i="139" s="1"/>
  <c r="N173" i="139" s="1"/>
  <c r="N174" i="139" s="1"/>
  <c r="N175" i="139" s="1"/>
  <c r="N176" i="139" s="1"/>
  <c r="N177" i="139" s="1"/>
  <c r="N178" i="139" s="1"/>
  <c r="N179" i="139" s="1"/>
  <c r="N180" i="139" s="1"/>
  <c r="N181" i="139" s="1"/>
  <c r="N182" i="139" s="1"/>
  <c r="N183" i="139" s="1"/>
  <c r="N184" i="139" s="1"/>
  <c r="N185" i="139" s="1"/>
  <c r="N186" i="139" s="1"/>
  <c r="N187" i="139" s="1"/>
  <c r="N188" i="139" s="1"/>
  <c r="N189" i="139" s="1"/>
  <c r="N190" i="139" s="1"/>
  <c r="N191" i="139" s="1"/>
  <c r="N192" i="139" s="1"/>
  <c r="N193" i="139" s="1"/>
  <c r="N194" i="139" s="1"/>
  <c r="N195" i="139" s="1"/>
  <c r="N196" i="139" s="1"/>
  <c r="N197" i="139" s="1"/>
  <c r="N198" i="139" s="1"/>
  <c r="N199" i="139" s="1"/>
  <c r="N200" i="139" s="1"/>
  <c r="N201" i="139" s="1"/>
  <c r="N202" i="139" s="1"/>
  <c r="N203" i="139" s="1"/>
  <c r="N204" i="139" s="1"/>
  <c r="N205" i="139" s="1"/>
  <c r="N206" i="139" s="1"/>
  <c r="N207" i="139" s="1"/>
  <c r="N208" i="139" s="1"/>
  <c r="N209" i="139" s="1"/>
  <c r="N210" i="139" s="1"/>
  <c r="N211" i="139" s="1"/>
  <c r="N212" i="139" s="1"/>
  <c r="N213" i="139" s="1"/>
  <c r="N214" i="139" s="1"/>
  <c r="N215" i="139" s="1"/>
  <c r="N216" i="139" s="1"/>
  <c r="N217" i="139" s="1"/>
  <c r="N218" i="139" s="1"/>
  <c r="N219" i="139" s="1"/>
  <c r="N220" i="139" s="1"/>
  <c r="N221" i="139" s="1"/>
  <c r="N222" i="139" s="1"/>
  <c r="N223" i="139" s="1"/>
  <c r="N224" i="139" s="1"/>
  <c r="N225" i="139" s="1"/>
  <c r="N226" i="139" s="1"/>
  <c r="N227" i="139" s="1"/>
  <c r="N228" i="139" s="1"/>
  <c r="N229" i="139" s="1"/>
  <c r="N230" i="139" s="1"/>
  <c r="N231" i="139" s="1"/>
  <c r="N232" i="139" s="1"/>
  <c r="N233" i="139" s="1"/>
  <c r="N234" i="139" s="1"/>
  <c r="N235" i="139" s="1"/>
  <c r="N236" i="139" s="1"/>
  <c r="N237" i="139" s="1"/>
  <c r="N238" i="139" s="1"/>
  <c r="N239" i="139" s="1"/>
  <c r="N240" i="139" s="1"/>
  <c r="N241" i="139" s="1"/>
  <c r="N242" i="139" s="1"/>
  <c r="N243" i="139" s="1"/>
  <c r="N244" i="139" s="1"/>
  <c r="N245" i="139" s="1"/>
  <c r="N246" i="139" s="1"/>
  <c r="N247" i="139" s="1"/>
  <c r="N248" i="139" s="1"/>
  <c r="N249" i="139" s="1"/>
  <c r="N250" i="139" s="1"/>
  <c r="N251" i="139" s="1"/>
  <c r="N252" i="139" s="1"/>
  <c r="N253" i="139" s="1"/>
  <c r="N254" i="139" s="1"/>
  <c r="N255" i="139" s="1"/>
  <c r="N256" i="139" s="1"/>
  <c r="N257" i="139" s="1"/>
  <c r="N258" i="139" s="1"/>
  <c r="N259" i="139" s="1"/>
  <c r="N260" i="139" s="1"/>
  <c r="N261" i="139" s="1"/>
  <c r="N262" i="139" s="1"/>
  <c r="N263" i="139" s="1"/>
  <c r="N264" i="139" s="1"/>
  <c r="N265" i="139" s="1"/>
  <c r="N266" i="139" s="1"/>
  <c r="N267" i="139" s="1"/>
  <c r="N268" i="139" s="1"/>
  <c r="N269" i="139" s="1"/>
  <c r="A3" i="139"/>
  <c r="A4" i="139" s="1"/>
  <c r="A5" i="139" s="1"/>
  <c r="A6" i="139" s="1"/>
  <c r="A7" i="139" s="1"/>
  <c r="A8" i="139" s="1"/>
  <c r="A9" i="139" s="1"/>
  <c r="A10" i="139" s="1"/>
  <c r="A11" i="139" s="1"/>
  <c r="A12" i="139" s="1"/>
  <c r="A13" i="139" s="1"/>
  <c r="A14" i="139" s="1"/>
  <c r="A15" i="139" s="1"/>
  <c r="A16" i="139" s="1"/>
  <c r="A17" i="139" s="1"/>
  <c r="A18" i="139" s="1"/>
  <c r="A19" i="139" s="1"/>
  <c r="A20" i="139" s="1"/>
  <c r="A21" i="139" s="1"/>
  <c r="A22" i="139" s="1"/>
  <c r="A23" i="139" s="1"/>
  <c r="A24" i="139" s="1"/>
  <c r="A25" i="139" s="1"/>
  <c r="A26" i="139" s="1"/>
  <c r="A27" i="139" s="1"/>
  <c r="A28" i="139" s="1"/>
  <c r="A29" i="139" s="1"/>
  <c r="A30" i="139" s="1"/>
  <c r="A31" i="139" s="1"/>
  <c r="A32" i="139" s="1"/>
  <c r="A33" i="139" s="1"/>
  <c r="A34" i="139" s="1"/>
  <c r="A35" i="139" s="1"/>
  <c r="A36" i="139" s="1"/>
  <c r="A37" i="139" s="1"/>
  <c r="A38" i="139" s="1"/>
  <c r="A39" i="139" s="1"/>
  <c r="A40" i="139" s="1"/>
  <c r="A41" i="139" s="1"/>
  <c r="A42" i="139" s="1"/>
  <c r="A43" i="139" s="1"/>
  <c r="A44" i="139" s="1"/>
  <c r="A45" i="139" s="1"/>
  <c r="A46" i="139" s="1"/>
  <c r="A47" i="139" s="1"/>
  <c r="A48" i="139" s="1"/>
  <c r="A49" i="139" s="1"/>
  <c r="A50" i="139" s="1"/>
  <c r="A51" i="139" s="1"/>
  <c r="A52" i="139" s="1"/>
  <c r="A53" i="139" s="1"/>
  <c r="A54" i="139" s="1"/>
  <c r="A55" i="139" s="1"/>
  <c r="A56" i="139" s="1"/>
  <c r="A57" i="139" s="1"/>
  <c r="A58" i="139" s="1"/>
  <c r="A59" i="139" s="1"/>
  <c r="A60" i="139" s="1"/>
  <c r="A61" i="139" s="1"/>
  <c r="A62" i="139" s="1"/>
  <c r="A63" i="139" s="1"/>
  <c r="A64" i="139" s="1"/>
  <c r="A65" i="139" s="1"/>
  <c r="A66" i="139" s="1"/>
  <c r="A67" i="139" s="1"/>
  <c r="A68" i="139" s="1"/>
  <c r="A69" i="139" s="1"/>
  <c r="A70" i="139" s="1"/>
  <c r="A71" i="139" s="1"/>
  <c r="A72" i="139" s="1"/>
  <c r="A73" i="139" s="1"/>
  <c r="A74" i="139" s="1"/>
  <c r="A75" i="139" s="1"/>
  <c r="A76" i="139" s="1"/>
  <c r="A77" i="139" s="1"/>
  <c r="A78" i="139" s="1"/>
  <c r="A79" i="139" s="1"/>
  <c r="A80" i="139" s="1"/>
  <c r="A81" i="139" s="1"/>
  <c r="A82" i="139" s="1"/>
  <c r="A83" i="139" s="1"/>
  <c r="A84" i="139" s="1"/>
  <c r="A85" i="139" s="1"/>
  <c r="A86" i="139" s="1"/>
  <c r="A87" i="139" s="1"/>
  <c r="A88" i="139" s="1"/>
  <c r="A89" i="139" s="1"/>
  <c r="A90" i="139" s="1"/>
  <c r="A91" i="139" s="1"/>
  <c r="A92" i="139" s="1"/>
  <c r="A93" i="139" s="1"/>
  <c r="A94" i="139" s="1"/>
  <c r="A95" i="139" s="1"/>
  <c r="A96" i="139" s="1"/>
  <c r="A97" i="139" s="1"/>
  <c r="A98" i="139" s="1"/>
  <c r="A99" i="139" s="1"/>
  <c r="A100" i="139" s="1"/>
  <c r="A101" i="139" s="1"/>
  <c r="A102" i="139" s="1"/>
  <c r="A103" i="139" s="1"/>
  <c r="A104" i="139" s="1"/>
  <c r="A105" i="139" s="1"/>
  <c r="A106" i="139" s="1"/>
  <c r="A107" i="139" s="1"/>
  <c r="A108" i="139" s="1"/>
  <c r="A109" i="139" s="1"/>
  <c r="A110" i="139" s="1"/>
  <c r="A111" i="139" s="1"/>
  <c r="A112" i="139" s="1"/>
  <c r="A113" i="139" s="1"/>
  <c r="A114" i="139" s="1"/>
  <c r="A115" i="139" s="1"/>
  <c r="A116" i="139" s="1"/>
  <c r="A117" i="139" s="1"/>
  <c r="A118" i="139" s="1"/>
  <c r="A119" i="139" s="1"/>
  <c r="A120" i="139" s="1"/>
  <c r="A121" i="139" s="1"/>
  <c r="A122" i="139" s="1"/>
  <c r="A123" i="139" s="1"/>
  <c r="A124" i="139" s="1"/>
  <c r="A125" i="139" s="1"/>
  <c r="A126" i="139" s="1"/>
  <c r="A127" i="139" s="1"/>
  <c r="A128" i="139" s="1"/>
  <c r="A129" i="139" s="1"/>
  <c r="A130" i="139" s="1"/>
  <c r="A131" i="139" s="1"/>
  <c r="A132" i="139" s="1"/>
  <c r="A133" i="139" s="1"/>
  <c r="A134" i="139" s="1"/>
  <c r="A135" i="139" s="1"/>
  <c r="A136" i="139" s="1"/>
  <c r="A137" i="139" s="1"/>
  <c r="A138" i="139" s="1"/>
  <c r="A139" i="139" s="1"/>
  <c r="A140" i="139" s="1"/>
  <c r="A141" i="139" s="1"/>
  <c r="A142" i="139" s="1"/>
  <c r="A143" i="139" s="1"/>
  <c r="A144" i="139" s="1"/>
  <c r="A145" i="139" s="1"/>
  <c r="A146" i="139" s="1"/>
  <c r="A147" i="139" s="1"/>
  <c r="A148" i="139" s="1"/>
  <c r="A149" i="139" s="1"/>
  <c r="A150" i="139" s="1"/>
  <c r="A151" i="139" s="1"/>
  <c r="A152" i="139" s="1"/>
  <c r="A153" i="139" s="1"/>
  <c r="A154" i="139" s="1"/>
  <c r="A155" i="139" s="1"/>
  <c r="A156" i="139" s="1"/>
  <c r="A157" i="139" s="1"/>
  <c r="A158" i="139" s="1"/>
  <c r="A159" i="139" s="1"/>
  <c r="A160" i="139" s="1"/>
  <c r="A161" i="139" s="1"/>
  <c r="A162" i="139" s="1"/>
  <c r="A163" i="139" s="1"/>
  <c r="A164" i="139" s="1"/>
  <c r="A165" i="139" s="1"/>
  <c r="A166" i="139" s="1"/>
  <c r="A167" i="139" s="1"/>
  <c r="A168" i="139" s="1"/>
  <c r="A169" i="139" s="1"/>
  <c r="A170" i="139" s="1"/>
  <c r="A171" i="139" s="1"/>
  <c r="A172" i="139" s="1"/>
  <c r="A173" i="139" s="1"/>
  <c r="A174" i="139" s="1"/>
  <c r="A175" i="139" s="1"/>
  <c r="A176" i="139" s="1"/>
  <c r="A177" i="139" s="1"/>
  <c r="A178" i="139" s="1"/>
  <c r="A179" i="139" s="1"/>
  <c r="A180" i="139" s="1"/>
  <c r="A181" i="139" s="1"/>
  <c r="A182" i="139" s="1"/>
  <c r="A183" i="139" s="1"/>
  <c r="A184" i="139" s="1"/>
  <c r="A185" i="139" s="1"/>
  <c r="A186" i="139" s="1"/>
  <c r="A187" i="139" s="1"/>
  <c r="A188" i="139" s="1"/>
  <c r="A189" i="139" s="1"/>
  <c r="A190" i="139" s="1"/>
  <c r="A191" i="139" s="1"/>
  <c r="A192" i="139" s="1"/>
  <c r="A193" i="139" s="1"/>
  <c r="A194" i="139" s="1"/>
  <c r="A195" i="139" s="1"/>
  <c r="A196" i="139" s="1"/>
  <c r="A197" i="139" s="1"/>
  <c r="A198" i="139" s="1"/>
  <c r="A199" i="139" s="1"/>
  <c r="A200" i="139" s="1"/>
  <c r="A201" i="139" s="1"/>
  <c r="A202" i="139" s="1"/>
  <c r="A203" i="139" s="1"/>
  <c r="A204" i="139" s="1"/>
  <c r="A205" i="139" s="1"/>
  <c r="A206" i="139" s="1"/>
  <c r="A207" i="139" s="1"/>
  <c r="A208" i="139" s="1"/>
  <c r="A209" i="139" s="1"/>
  <c r="A210" i="139" s="1"/>
  <c r="A211" i="139" s="1"/>
  <c r="A212" i="139" s="1"/>
  <c r="A213" i="139" s="1"/>
  <c r="A214" i="139" s="1"/>
  <c r="A215" i="139" s="1"/>
  <c r="A216" i="139" s="1"/>
  <c r="A217" i="139" s="1"/>
  <c r="A218" i="139" s="1"/>
  <c r="A219" i="139" s="1"/>
  <c r="A220" i="139" s="1"/>
  <c r="A221" i="139" s="1"/>
  <c r="A222" i="139" s="1"/>
  <c r="A223" i="139" s="1"/>
  <c r="A224" i="139" s="1"/>
  <c r="A225" i="139" s="1"/>
  <c r="A226" i="139" s="1"/>
  <c r="A227" i="139" s="1"/>
  <c r="A228" i="139" s="1"/>
  <c r="A229" i="139" s="1"/>
  <c r="A230" i="139" s="1"/>
  <c r="A231" i="139" s="1"/>
  <c r="A232" i="139" s="1"/>
  <c r="A233" i="139" s="1"/>
  <c r="A234" i="139" s="1"/>
  <c r="A235" i="139" s="1"/>
  <c r="A236" i="139" s="1"/>
  <c r="A237" i="139" s="1"/>
  <c r="A238" i="139" s="1"/>
  <c r="A239" i="139" s="1"/>
  <c r="A240" i="139" s="1"/>
  <c r="A241" i="139" s="1"/>
  <c r="A242" i="139" s="1"/>
  <c r="A243" i="139" s="1"/>
  <c r="A244" i="139" s="1"/>
  <c r="A245" i="139" s="1"/>
  <c r="A246" i="139" s="1"/>
  <c r="A247" i="139" s="1"/>
  <c r="A248" i="139" s="1"/>
  <c r="A249" i="139" s="1"/>
  <c r="A250" i="139" s="1"/>
  <c r="A251" i="139" s="1"/>
  <c r="A252" i="139" s="1"/>
  <c r="A253" i="139" s="1"/>
  <c r="A254" i="139" s="1"/>
  <c r="A255" i="139" s="1"/>
  <c r="A256" i="139" s="1"/>
  <c r="A257" i="139" s="1"/>
  <c r="A258" i="139" s="1"/>
  <c r="A259" i="139" s="1"/>
  <c r="A260" i="139" s="1"/>
  <c r="A261" i="139" s="1"/>
  <c r="A262" i="139" s="1"/>
  <c r="A263" i="139" s="1"/>
  <c r="A264" i="139" s="1"/>
  <c r="A265" i="139" s="1"/>
  <c r="A266" i="139" s="1"/>
  <c r="A267" i="139" s="1"/>
  <c r="A268" i="139" s="1"/>
  <c r="A269" i="139" s="1"/>
  <c r="C12" i="80" l="1"/>
  <c r="C13" i="80" s="1"/>
  <c r="C14" i="80" s="1"/>
  <c r="C15" i="80" s="1"/>
  <c r="C16" i="80" s="1"/>
  <c r="C17" i="80" s="1"/>
  <c r="C18" i="80" s="1"/>
  <c r="C19" i="80" s="1"/>
  <c r="C20" i="80" s="1"/>
  <c r="C21" i="80" s="1"/>
  <c r="C22" i="80" s="1"/>
  <c r="C23" i="80" s="1"/>
  <c r="C24" i="80" s="1"/>
  <c r="C25" i="80" s="1"/>
  <c r="C26" i="80" s="1"/>
  <c r="C27" i="80" s="1"/>
  <c r="C28" i="80" s="1"/>
  <c r="C29" i="80" s="1"/>
  <c r="B12" i="80"/>
  <c r="B13" i="80" s="1"/>
  <c r="B14" i="80" s="1"/>
  <c r="B15" i="80" s="1"/>
  <c r="B16" i="80" s="1"/>
  <c r="B17" i="80" s="1"/>
  <c r="B18" i="80" s="1"/>
  <c r="B19" i="80" s="1"/>
  <c r="B20" i="80" s="1"/>
  <c r="B21" i="80" s="1"/>
  <c r="B22" i="80" s="1"/>
  <c r="B23" i="80" s="1"/>
  <c r="B24" i="80" s="1"/>
  <c r="B25" i="80" s="1"/>
  <c r="B26" i="80" s="1"/>
  <c r="B27" i="80" s="1"/>
  <c r="B28" i="80" s="1"/>
  <c r="B29" i="80" s="1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" i="1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" i="17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2" i="18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" i="24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228" i="25"/>
  <c r="O229" i="25"/>
  <c r="O230" i="25"/>
  <c r="O231" i="25"/>
  <c r="O232" i="25"/>
  <c r="O233" i="25"/>
  <c r="O234" i="25"/>
  <c r="O235" i="25"/>
  <c r="O236" i="25"/>
  <c r="O237" i="25"/>
  <c r="O238" i="25"/>
  <c r="O239" i="25"/>
  <c r="O240" i="25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260" i="25"/>
  <c r="O261" i="25"/>
  <c r="O262" i="25"/>
  <c r="O263" i="25"/>
  <c r="O264" i="25"/>
  <c r="O265" i="25"/>
  <c r="O266" i="25"/>
  <c r="O3" i="25"/>
  <c r="O2" i="25"/>
  <c r="O4" i="76" l="1"/>
  <c r="O5" i="76"/>
  <c r="O6" i="76"/>
  <c r="O7" i="76"/>
  <c r="O8" i="76"/>
  <c r="O9" i="76"/>
  <c r="O10" i="76"/>
  <c r="O11" i="76"/>
  <c r="O12" i="76"/>
  <c r="O13" i="76"/>
  <c r="O14" i="76"/>
  <c r="O15" i="76"/>
  <c r="O16" i="76"/>
  <c r="O17" i="76"/>
  <c r="O18" i="76"/>
  <c r="O19" i="76"/>
  <c r="O20" i="76"/>
  <c r="O21" i="76"/>
  <c r="O22" i="76"/>
  <c r="O23" i="76"/>
  <c r="O24" i="76"/>
  <c r="O25" i="76"/>
  <c r="O26" i="76"/>
  <c r="O27" i="76"/>
  <c r="O28" i="76"/>
  <c r="O29" i="76"/>
  <c r="O30" i="76"/>
  <c r="O31" i="76"/>
  <c r="O32" i="76"/>
  <c r="O33" i="76"/>
  <c r="O34" i="76"/>
  <c r="O35" i="76"/>
  <c r="O36" i="76"/>
  <c r="O37" i="76"/>
  <c r="O38" i="76"/>
  <c r="O39" i="76"/>
  <c r="O40" i="76"/>
  <c r="O41" i="76"/>
  <c r="O42" i="76"/>
  <c r="O43" i="76"/>
  <c r="O44" i="76"/>
  <c r="O45" i="76"/>
  <c r="O46" i="76"/>
  <c r="O47" i="76"/>
  <c r="O48" i="76"/>
  <c r="O49" i="76"/>
  <c r="O50" i="76"/>
  <c r="O51" i="76"/>
  <c r="O52" i="76"/>
  <c r="O53" i="76"/>
  <c r="O54" i="76"/>
  <c r="O55" i="76"/>
  <c r="O56" i="76"/>
  <c r="O57" i="76"/>
  <c r="O58" i="76"/>
  <c r="O59" i="76"/>
  <c r="O60" i="76"/>
  <c r="O61" i="76"/>
  <c r="O62" i="76"/>
  <c r="O63" i="76"/>
  <c r="O64" i="76"/>
  <c r="O65" i="76"/>
  <c r="O66" i="76"/>
  <c r="O67" i="76"/>
  <c r="O68" i="76"/>
  <c r="O69" i="76"/>
  <c r="O70" i="76"/>
  <c r="O71" i="76"/>
  <c r="O72" i="76"/>
  <c r="O73" i="76"/>
  <c r="O74" i="76"/>
  <c r="O75" i="76"/>
  <c r="O76" i="76"/>
  <c r="O77" i="76"/>
  <c r="O78" i="76"/>
  <c r="O79" i="76"/>
  <c r="O80" i="76"/>
  <c r="O81" i="76"/>
  <c r="O82" i="76"/>
  <c r="O83" i="76"/>
  <c r="O84" i="76"/>
  <c r="O85" i="76"/>
  <c r="O86" i="76"/>
  <c r="O87" i="76"/>
  <c r="O88" i="76"/>
  <c r="O89" i="76"/>
  <c r="O90" i="76"/>
  <c r="O91" i="76"/>
  <c r="O92" i="76"/>
  <c r="O93" i="76"/>
  <c r="O94" i="76"/>
  <c r="O95" i="76"/>
  <c r="O96" i="76"/>
  <c r="O97" i="76"/>
  <c r="O98" i="76"/>
  <c r="O99" i="76"/>
  <c r="O100" i="76"/>
  <c r="O101" i="76"/>
  <c r="O102" i="76"/>
  <c r="O103" i="76"/>
  <c r="O104" i="76"/>
  <c r="O105" i="76"/>
  <c r="O106" i="76"/>
  <c r="O107" i="76"/>
  <c r="O108" i="76"/>
  <c r="O109" i="76"/>
  <c r="O110" i="76"/>
  <c r="O111" i="76"/>
  <c r="O112" i="76"/>
  <c r="O113" i="76"/>
  <c r="O114" i="76"/>
  <c r="O115" i="76"/>
  <c r="O116" i="76"/>
  <c r="O117" i="76"/>
  <c r="O118" i="76"/>
  <c r="O119" i="76"/>
  <c r="O120" i="76"/>
  <c r="O121" i="76"/>
  <c r="O122" i="76"/>
  <c r="O123" i="76"/>
  <c r="O124" i="76"/>
  <c r="O125" i="76"/>
  <c r="O126" i="76"/>
  <c r="O127" i="76"/>
  <c r="O128" i="76"/>
  <c r="O129" i="76"/>
  <c r="O130" i="76"/>
  <c r="O131" i="76"/>
  <c r="O132" i="76"/>
  <c r="O133" i="76"/>
  <c r="O134" i="76"/>
  <c r="O135" i="76"/>
  <c r="O136" i="76"/>
  <c r="O137" i="76"/>
  <c r="O138" i="76"/>
  <c r="O139" i="76"/>
  <c r="O140" i="76"/>
  <c r="O141" i="76"/>
  <c r="O142" i="76"/>
  <c r="O143" i="76"/>
  <c r="O144" i="76"/>
  <c r="O145" i="76"/>
  <c r="O146" i="76"/>
  <c r="O3" i="76"/>
  <c r="O2" i="76"/>
  <c r="O4" i="75"/>
  <c r="O5" i="75"/>
  <c r="O6" i="75"/>
  <c r="O7" i="75"/>
  <c r="O8" i="75"/>
  <c r="O9" i="75"/>
  <c r="O10" i="75"/>
  <c r="O11" i="75"/>
  <c r="O12" i="75"/>
  <c r="O13" i="75"/>
  <c r="O14" i="75"/>
  <c r="O15" i="75"/>
  <c r="O16" i="75"/>
  <c r="O17" i="75"/>
  <c r="O18" i="75"/>
  <c r="O19" i="75"/>
  <c r="O20" i="75"/>
  <c r="O21" i="75"/>
  <c r="O22" i="75"/>
  <c r="O23" i="75"/>
  <c r="O24" i="75"/>
  <c r="O25" i="75"/>
  <c r="O26" i="75"/>
  <c r="O27" i="75"/>
  <c r="O28" i="75"/>
  <c r="O29" i="75"/>
  <c r="O30" i="75"/>
  <c r="O31" i="75"/>
  <c r="O32" i="75"/>
  <c r="O33" i="75"/>
  <c r="O34" i="75"/>
  <c r="O35" i="75"/>
  <c r="O36" i="75"/>
  <c r="O37" i="75"/>
  <c r="O38" i="75"/>
  <c r="O39" i="75"/>
  <c r="O40" i="75"/>
  <c r="O41" i="75"/>
  <c r="O42" i="75"/>
  <c r="O43" i="75"/>
  <c r="O44" i="75"/>
  <c r="O45" i="75"/>
  <c r="O46" i="75"/>
  <c r="O47" i="75"/>
  <c r="O48" i="75"/>
  <c r="O49" i="75"/>
  <c r="O50" i="75"/>
  <c r="O51" i="75"/>
  <c r="O52" i="75"/>
  <c r="O53" i="75"/>
  <c r="O54" i="75"/>
  <c r="O55" i="75"/>
  <c r="O56" i="75"/>
  <c r="O57" i="75"/>
  <c r="O58" i="75"/>
  <c r="O59" i="75"/>
  <c r="O60" i="75"/>
  <c r="O61" i="75"/>
  <c r="O62" i="75"/>
  <c r="O63" i="75"/>
  <c r="O64" i="75"/>
  <c r="O65" i="75"/>
  <c r="O66" i="75"/>
  <c r="O67" i="75"/>
  <c r="O68" i="75"/>
  <c r="O69" i="75"/>
  <c r="O70" i="75"/>
  <c r="O71" i="75"/>
  <c r="O72" i="75"/>
  <c r="O73" i="75"/>
  <c r="O74" i="75"/>
  <c r="O75" i="75"/>
  <c r="O76" i="75"/>
  <c r="O77" i="75"/>
  <c r="O78" i="75"/>
  <c r="O79" i="75"/>
  <c r="O80" i="75"/>
  <c r="O81" i="75"/>
  <c r="O82" i="75"/>
  <c r="O83" i="75"/>
  <c r="O84" i="75"/>
  <c r="O85" i="75"/>
  <c r="O86" i="75"/>
  <c r="O87" i="75"/>
  <c r="O88" i="75"/>
  <c r="O89" i="75"/>
  <c r="O90" i="75"/>
  <c r="O91" i="75"/>
  <c r="O92" i="75"/>
  <c r="O93" i="75"/>
  <c r="O94" i="75"/>
  <c r="O95" i="75"/>
  <c r="O96" i="75"/>
  <c r="O97" i="75"/>
  <c r="O98" i="75"/>
  <c r="O99" i="75"/>
  <c r="O100" i="75"/>
  <c r="O101" i="75"/>
  <c r="O102" i="75"/>
  <c r="O103" i="75"/>
  <c r="O104" i="75"/>
  <c r="O105" i="75"/>
  <c r="O106" i="75"/>
  <c r="O107" i="75"/>
  <c r="O108" i="75"/>
  <c r="O109" i="75"/>
  <c r="O110" i="75"/>
  <c r="O111" i="75"/>
  <c r="O112" i="75"/>
  <c r="O113" i="75"/>
  <c r="O114" i="75"/>
  <c r="O115" i="75"/>
  <c r="O116" i="75"/>
  <c r="O117" i="75"/>
  <c r="O118" i="75"/>
  <c r="O119" i="75"/>
  <c r="O120" i="75"/>
  <c r="O121" i="75"/>
  <c r="O122" i="75"/>
  <c r="O123" i="75"/>
  <c r="O124" i="75"/>
  <c r="O125" i="75"/>
  <c r="O126" i="75"/>
  <c r="O127" i="75"/>
  <c r="O128" i="75"/>
  <c r="O129" i="75"/>
  <c r="O130" i="75"/>
  <c r="O131" i="75"/>
  <c r="O132" i="75"/>
  <c r="O133" i="75"/>
  <c r="O134" i="75"/>
  <c r="O135" i="75"/>
  <c r="O136" i="75"/>
  <c r="O137" i="75"/>
  <c r="O138" i="75"/>
  <c r="O139" i="75"/>
  <c r="O140" i="75"/>
  <c r="O141" i="75"/>
  <c r="O142" i="75"/>
  <c r="O143" i="75"/>
  <c r="O144" i="75"/>
  <c r="O145" i="75"/>
  <c r="O146" i="75"/>
  <c r="O147" i="75"/>
  <c r="O148" i="75"/>
  <c r="O149" i="75"/>
  <c r="O150" i="75"/>
  <c r="O151" i="75"/>
  <c r="O152" i="75"/>
  <c r="O153" i="75"/>
  <c r="O154" i="75"/>
  <c r="O155" i="75"/>
  <c r="O156" i="75"/>
  <c r="O157" i="75"/>
  <c r="O158" i="75"/>
  <c r="O159" i="75"/>
  <c r="O160" i="75"/>
  <c r="O161" i="75"/>
  <c r="O162" i="75"/>
  <c r="O163" i="75"/>
  <c r="O164" i="75"/>
  <c r="O165" i="75"/>
  <c r="O166" i="75"/>
  <c r="O167" i="75"/>
  <c r="O168" i="75"/>
  <c r="O169" i="75"/>
  <c r="O170" i="75"/>
  <c r="O171" i="75"/>
  <c r="O172" i="75"/>
  <c r="O173" i="75"/>
  <c r="O174" i="75"/>
  <c r="O175" i="75"/>
  <c r="O176" i="75"/>
  <c r="O177" i="75"/>
  <c r="O178" i="75"/>
  <c r="O179" i="75"/>
  <c r="O180" i="75"/>
  <c r="O181" i="75"/>
  <c r="O182" i="75"/>
  <c r="O183" i="75"/>
  <c r="O184" i="75"/>
  <c r="O185" i="75"/>
  <c r="O186" i="75"/>
  <c r="O187" i="75"/>
  <c r="O188" i="75"/>
  <c r="O189" i="75"/>
  <c r="O190" i="75"/>
  <c r="O191" i="75"/>
  <c r="O192" i="75"/>
  <c r="O193" i="75"/>
  <c r="O194" i="75"/>
  <c r="O195" i="75"/>
  <c r="O196" i="75"/>
  <c r="O197" i="75"/>
  <c r="O198" i="75"/>
  <c r="O199" i="75"/>
  <c r="O200" i="75"/>
  <c r="O201" i="75"/>
  <c r="O202" i="75"/>
  <c r="O203" i="75"/>
  <c r="O204" i="75"/>
  <c r="O205" i="75"/>
  <c r="O206" i="75"/>
  <c r="O207" i="75"/>
  <c r="O208" i="75"/>
  <c r="O209" i="75"/>
  <c r="O210" i="75"/>
  <c r="O211" i="75"/>
  <c r="O212" i="75"/>
  <c r="O213" i="75"/>
  <c r="O214" i="75"/>
  <c r="O215" i="75"/>
  <c r="O216" i="75"/>
  <c r="O217" i="75"/>
  <c r="O218" i="75"/>
  <c r="O219" i="75"/>
  <c r="O220" i="75"/>
  <c r="O221" i="75"/>
  <c r="O222" i="75"/>
  <c r="O223" i="75"/>
  <c r="O224" i="75"/>
  <c r="O225" i="75"/>
  <c r="O226" i="75"/>
  <c r="O227" i="75"/>
  <c r="O228" i="75"/>
  <c r="O3" i="75"/>
  <c r="O2" i="75"/>
  <c r="O4" i="74"/>
  <c r="O5" i="74"/>
  <c r="O6" i="74"/>
  <c r="O7" i="74"/>
  <c r="O8" i="74"/>
  <c r="O9" i="74"/>
  <c r="O10" i="74"/>
  <c r="O11" i="74"/>
  <c r="O12" i="74"/>
  <c r="O13" i="74"/>
  <c r="O14" i="74"/>
  <c r="O15" i="74"/>
  <c r="O16" i="74"/>
  <c r="O17" i="74"/>
  <c r="O18" i="74"/>
  <c r="O19" i="74"/>
  <c r="O20" i="74"/>
  <c r="O21" i="74"/>
  <c r="O22" i="74"/>
  <c r="O23" i="74"/>
  <c r="O24" i="74"/>
  <c r="O25" i="74"/>
  <c r="O26" i="74"/>
  <c r="O27" i="74"/>
  <c r="O28" i="74"/>
  <c r="O29" i="74"/>
  <c r="O30" i="74"/>
  <c r="O31" i="74"/>
  <c r="O32" i="74"/>
  <c r="O33" i="74"/>
  <c r="O34" i="74"/>
  <c r="O35" i="74"/>
  <c r="O36" i="74"/>
  <c r="O37" i="74"/>
  <c r="O38" i="74"/>
  <c r="O39" i="74"/>
  <c r="O40" i="74"/>
  <c r="O41" i="74"/>
  <c r="O42" i="74"/>
  <c r="O43" i="74"/>
  <c r="O44" i="74"/>
  <c r="O45" i="74"/>
  <c r="O46" i="74"/>
  <c r="O47" i="74"/>
  <c r="O48" i="74"/>
  <c r="O49" i="74"/>
  <c r="O50" i="74"/>
  <c r="O51" i="74"/>
  <c r="O52" i="74"/>
  <c r="O53" i="74"/>
  <c r="O54" i="74"/>
  <c r="O55" i="74"/>
  <c r="O56" i="74"/>
  <c r="O57" i="74"/>
  <c r="O58" i="74"/>
  <c r="O59" i="74"/>
  <c r="O60" i="74"/>
  <c r="O61" i="74"/>
  <c r="O62" i="74"/>
  <c r="O63" i="74"/>
  <c r="O64" i="74"/>
  <c r="O65" i="74"/>
  <c r="O66" i="74"/>
  <c r="O67" i="74"/>
  <c r="O68" i="74"/>
  <c r="O69" i="74"/>
  <c r="O70" i="74"/>
  <c r="O71" i="74"/>
  <c r="O72" i="74"/>
  <c r="O73" i="74"/>
  <c r="O3" i="74"/>
  <c r="O211" i="26" l="1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B3" i="139" l="1"/>
  <c r="B4" i="139" s="1"/>
  <c r="B5" i="139" s="1"/>
  <c r="B6" i="139" s="1"/>
  <c r="B7" i="139" s="1"/>
  <c r="B8" i="139" s="1"/>
  <c r="B9" i="139" s="1"/>
  <c r="B10" i="139" s="1"/>
  <c r="B11" i="139" s="1"/>
  <c r="B12" i="139" s="1"/>
  <c r="B13" i="139" s="1"/>
  <c r="B14" i="139" s="1"/>
  <c r="B15" i="139" s="1"/>
  <c r="B16" i="139" s="1"/>
  <c r="B17" i="139" s="1"/>
  <c r="B18" i="139" s="1"/>
  <c r="B19" i="139" s="1"/>
  <c r="B20" i="139" s="1"/>
  <c r="B21" i="139" s="1"/>
  <c r="B22" i="139" s="1"/>
  <c r="B23" i="139" s="1"/>
  <c r="B24" i="139" s="1"/>
  <c r="B25" i="139" s="1"/>
  <c r="B26" i="139" s="1"/>
  <c r="B27" i="139" s="1"/>
  <c r="B28" i="139" s="1"/>
  <c r="B29" i="139" s="1"/>
  <c r="B30" i="139" s="1"/>
  <c r="B31" i="139" s="1"/>
  <c r="B32" i="139" s="1"/>
  <c r="B33" i="139" s="1"/>
  <c r="B34" i="139" s="1"/>
  <c r="B35" i="139" s="1"/>
  <c r="B36" i="139" s="1"/>
  <c r="B37" i="139" s="1"/>
  <c r="B38" i="139" s="1"/>
  <c r="B39" i="139" s="1"/>
  <c r="B40" i="139" s="1"/>
  <c r="B41" i="139" s="1"/>
  <c r="B42" i="139" s="1"/>
  <c r="B43" i="139" s="1"/>
  <c r="B44" i="139" s="1"/>
  <c r="B45" i="139" s="1"/>
  <c r="B46" i="139" s="1"/>
  <c r="B47" i="139" s="1"/>
  <c r="B48" i="139" s="1"/>
  <c r="B49" i="139" s="1"/>
  <c r="B50" i="139" s="1"/>
  <c r="B51" i="139" s="1"/>
  <c r="B52" i="139" s="1"/>
  <c r="B53" i="139" s="1"/>
  <c r="B54" i="139" s="1"/>
  <c r="B55" i="139" s="1"/>
  <c r="B56" i="139" s="1"/>
  <c r="B57" i="139" s="1"/>
  <c r="B58" i="139" s="1"/>
  <c r="B59" i="139" s="1"/>
  <c r="B60" i="139" s="1"/>
  <c r="B61" i="139" s="1"/>
  <c r="B62" i="139" s="1"/>
  <c r="B63" i="139" s="1"/>
  <c r="B64" i="139" s="1"/>
  <c r="B65" i="139" s="1"/>
  <c r="B66" i="139" s="1"/>
  <c r="B67" i="139" s="1"/>
  <c r="B68" i="139" s="1"/>
  <c r="B69" i="139" s="1"/>
  <c r="B70" i="139" s="1"/>
  <c r="B71" i="139" s="1"/>
  <c r="B72" i="139" s="1"/>
  <c r="B73" i="139" s="1"/>
  <c r="B74" i="139" s="1"/>
  <c r="B75" i="139" s="1"/>
  <c r="B76" i="139" s="1"/>
  <c r="B77" i="139" s="1"/>
  <c r="B78" i="139" s="1"/>
  <c r="B79" i="139" s="1"/>
  <c r="B80" i="139" s="1"/>
  <c r="B81" i="139" s="1"/>
  <c r="B82" i="139" s="1"/>
  <c r="B83" i="139" s="1"/>
  <c r="B84" i="139" s="1"/>
  <c r="B85" i="139" s="1"/>
  <c r="B86" i="139" s="1"/>
  <c r="B87" i="139" s="1"/>
  <c r="B88" i="139" s="1"/>
  <c r="B89" i="139" s="1"/>
  <c r="B90" i="139" s="1"/>
  <c r="B91" i="139" s="1"/>
  <c r="B92" i="139" s="1"/>
  <c r="B93" i="139" s="1"/>
  <c r="B94" i="139" s="1"/>
  <c r="B95" i="139" s="1"/>
  <c r="B96" i="139" s="1"/>
  <c r="B97" i="139" s="1"/>
  <c r="B98" i="139" s="1"/>
  <c r="B99" i="139" s="1"/>
  <c r="B100" i="139" s="1"/>
  <c r="B101" i="139" s="1"/>
  <c r="B102" i="139" s="1"/>
  <c r="B103" i="139" s="1"/>
  <c r="B104" i="139" s="1"/>
  <c r="B105" i="139" s="1"/>
  <c r="B106" i="139" s="1"/>
  <c r="B107" i="139" s="1"/>
  <c r="B108" i="139" s="1"/>
  <c r="B109" i="139" s="1"/>
  <c r="B110" i="139" s="1"/>
  <c r="B111" i="139" s="1"/>
  <c r="B112" i="139" s="1"/>
  <c r="B113" i="139" s="1"/>
  <c r="B114" i="139" s="1"/>
  <c r="B115" i="139" s="1"/>
  <c r="B116" i="139" s="1"/>
  <c r="B117" i="139" s="1"/>
  <c r="B118" i="139" s="1"/>
  <c r="B119" i="139" s="1"/>
  <c r="B120" i="139" s="1"/>
  <c r="B121" i="139" s="1"/>
  <c r="B122" i="139" s="1"/>
  <c r="B123" i="139" s="1"/>
  <c r="B124" i="139" s="1"/>
  <c r="B125" i="139" s="1"/>
  <c r="B126" i="139" s="1"/>
  <c r="B127" i="139" s="1"/>
  <c r="B128" i="139" s="1"/>
  <c r="B129" i="139" s="1"/>
  <c r="B130" i="139" s="1"/>
  <c r="B131" i="139" s="1"/>
  <c r="B132" i="139" s="1"/>
  <c r="B133" i="139" s="1"/>
  <c r="B134" i="139" s="1"/>
  <c r="B135" i="139" s="1"/>
  <c r="B136" i="139" s="1"/>
  <c r="B137" i="139" s="1"/>
  <c r="B138" i="139" s="1"/>
  <c r="B139" i="139" s="1"/>
  <c r="B140" i="139" s="1"/>
  <c r="B141" i="139" s="1"/>
  <c r="B142" i="139" s="1"/>
  <c r="B143" i="139" s="1"/>
  <c r="B144" i="139" s="1"/>
  <c r="B145" i="139" s="1"/>
  <c r="B146" i="139" s="1"/>
  <c r="B147" i="139" s="1"/>
  <c r="B148" i="139" s="1"/>
  <c r="B149" i="139" s="1"/>
  <c r="B150" i="139" s="1"/>
  <c r="B151" i="139" s="1"/>
  <c r="B152" i="139" s="1"/>
  <c r="B153" i="139" s="1"/>
  <c r="B154" i="139" s="1"/>
  <c r="B155" i="139" s="1"/>
  <c r="B156" i="139" s="1"/>
  <c r="B157" i="139" s="1"/>
  <c r="B158" i="139" s="1"/>
  <c r="B159" i="139" s="1"/>
  <c r="B160" i="139" s="1"/>
  <c r="B161" i="139" s="1"/>
  <c r="B162" i="139" s="1"/>
  <c r="B163" i="139" s="1"/>
  <c r="B164" i="139" s="1"/>
  <c r="B165" i="139" s="1"/>
  <c r="B166" i="139" s="1"/>
  <c r="B167" i="139" s="1"/>
  <c r="B168" i="139" s="1"/>
  <c r="B169" i="139" s="1"/>
  <c r="B170" i="139" s="1"/>
  <c r="B171" i="139" s="1"/>
  <c r="B172" i="139" s="1"/>
  <c r="B173" i="139" s="1"/>
  <c r="B174" i="139" s="1"/>
  <c r="B175" i="139" s="1"/>
  <c r="B176" i="139" s="1"/>
  <c r="B177" i="139" s="1"/>
  <c r="B178" i="139" s="1"/>
  <c r="B179" i="139" s="1"/>
  <c r="B180" i="139" s="1"/>
  <c r="B181" i="139" s="1"/>
  <c r="B182" i="139" s="1"/>
  <c r="B183" i="139" s="1"/>
  <c r="B184" i="139" s="1"/>
  <c r="B185" i="139" s="1"/>
  <c r="B186" i="139" s="1"/>
  <c r="B187" i="139" s="1"/>
  <c r="B188" i="139" s="1"/>
  <c r="B189" i="139" s="1"/>
  <c r="B190" i="139" s="1"/>
  <c r="B191" i="139" s="1"/>
  <c r="B192" i="139" s="1"/>
  <c r="B193" i="139" s="1"/>
  <c r="B194" i="139" s="1"/>
  <c r="B195" i="139" s="1"/>
  <c r="B196" i="139" s="1"/>
  <c r="B197" i="139" s="1"/>
  <c r="B198" i="139" s="1"/>
  <c r="B199" i="139" s="1"/>
  <c r="B200" i="139" s="1"/>
  <c r="B201" i="139" s="1"/>
  <c r="B202" i="139" s="1"/>
  <c r="B203" i="139" s="1"/>
  <c r="B204" i="139" s="1"/>
  <c r="B205" i="139" s="1"/>
  <c r="B206" i="139" s="1"/>
  <c r="B207" i="139" s="1"/>
  <c r="B208" i="139" s="1"/>
  <c r="B209" i="139" s="1"/>
  <c r="B210" i="139" s="1"/>
  <c r="B211" i="139" s="1"/>
  <c r="B212" i="139" s="1"/>
  <c r="B213" i="139" s="1"/>
  <c r="B214" i="139" s="1"/>
  <c r="B215" i="139" s="1"/>
  <c r="B216" i="139" s="1"/>
  <c r="B217" i="139" s="1"/>
  <c r="B218" i="139" s="1"/>
  <c r="B219" i="139" s="1"/>
  <c r="B220" i="139" s="1"/>
  <c r="B221" i="139" s="1"/>
  <c r="B222" i="139" s="1"/>
  <c r="B223" i="139" s="1"/>
  <c r="B224" i="139" s="1"/>
  <c r="B225" i="139" s="1"/>
  <c r="B226" i="139" s="1"/>
  <c r="B227" i="139" s="1"/>
  <c r="B228" i="139" s="1"/>
  <c r="B229" i="139" s="1"/>
  <c r="B230" i="139" s="1"/>
  <c r="B231" i="139" s="1"/>
  <c r="B232" i="139" s="1"/>
  <c r="B233" i="139" s="1"/>
  <c r="B234" i="139" s="1"/>
  <c r="B235" i="139" s="1"/>
  <c r="B236" i="139" s="1"/>
  <c r="B237" i="139" s="1"/>
  <c r="B238" i="139" s="1"/>
  <c r="B239" i="139" s="1"/>
  <c r="B240" i="139" s="1"/>
  <c r="B241" i="139" s="1"/>
  <c r="B242" i="139" s="1"/>
  <c r="B243" i="139" s="1"/>
  <c r="B244" i="139" s="1"/>
  <c r="B245" i="139" s="1"/>
  <c r="B246" i="139" s="1"/>
  <c r="B247" i="139" s="1"/>
  <c r="B248" i="139" s="1"/>
  <c r="B249" i="139" s="1"/>
  <c r="B250" i="139" s="1"/>
  <c r="B251" i="139" s="1"/>
  <c r="B252" i="139" s="1"/>
  <c r="B253" i="139" s="1"/>
  <c r="B254" i="139" s="1"/>
  <c r="B255" i="139" s="1"/>
  <c r="B256" i="139" s="1"/>
  <c r="B257" i="139" s="1"/>
  <c r="B258" i="139" s="1"/>
  <c r="B259" i="139" s="1"/>
  <c r="B260" i="139" s="1"/>
  <c r="B261" i="139" s="1"/>
  <c r="B262" i="139" s="1"/>
  <c r="B263" i="139" s="1"/>
  <c r="B264" i="139" s="1"/>
  <c r="B265" i="139" s="1"/>
  <c r="B266" i="139" s="1"/>
  <c r="B267" i="139" s="1"/>
  <c r="B268" i="139" s="1"/>
  <c r="B269" i="139" s="1"/>
  <c r="B270" i="139" s="1"/>
  <c r="B271" i="139" s="1"/>
  <c r="B272" i="139" s="1"/>
  <c r="B273" i="139" s="1"/>
  <c r="B274" i="139" s="1"/>
  <c r="B275" i="139" s="1"/>
  <c r="B276" i="139" s="1"/>
  <c r="B277" i="139" s="1"/>
  <c r="B278" i="139" s="1"/>
  <c r="B279" i="139" s="1"/>
  <c r="B280" i="139" s="1"/>
  <c r="B281" i="139" s="1"/>
  <c r="B282" i="139" s="1"/>
  <c r="B283" i="139" s="1"/>
  <c r="B284" i="139" s="1"/>
  <c r="B285" i="139" s="1"/>
  <c r="B286" i="139" s="1"/>
  <c r="B287" i="139" s="1"/>
  <c r="B288" i="139" s="1"/>
  <c r="B289" i="139" s="1"/>
  <c r="B290" i="139" s="1"/>
  <c r="B291" i="139" s="1"/>
  <c r="B292" i="139" s="1"/>
  <c r="B293" i="139" s="1"/>
  <c r="B294" i="139" s="1"/>
  <c r="B295" i="139" s="1"/>
  <c r="B296" i="139" s="1"/>
  <c r="B297" i="139" s="1"/>
  <c r="B298" i="139" s="1"/>
  <c r="B299" i="139" s="1"/>
  <c r="B300" i="139" s="1"/>
  <c r="B301" i="139" s="1"/>
  <c r="B302" i="139" s="1"/>
  <c r="B303" i="139" s="1"/>
  <c r="B304" i="139" s="1"/>
  <c r="B305" i="139" s="1"/>
  <c r="B306" i="139" s="1"/>
  <c r="B307" i="139" s="1"/>
  <c r="B308" i="139" s="1"/>
  <c r="B309" i="139" s="1"/>
  <c r="B310" i="139" s="1"/>
  <c r="B311" i="139" s="1"/>
  <c r="B312" i="139" s="1"/>
  <c r="B313" i="139" s="1"/>
  <c r="B314" i="139" s="1"/>
  <c r="B315" i="139" s="1"/>
  <c r="B316" i="139" s="1"/>
  <c r="B317" i="139" s="1"/>
  <c r="B318" i="139" s="1"/>
  <c r="B319" i="139" s="1"/>
  <c r="B320" i="139" s="1"/>
  <c r="B321" i="139" s="1"/>
  <c r="B322" i="139" s="1"/>
  <c r="B323" i="139" s="1"/>
  <c r="B324" i="139" s="1"/>
  <c r="B325" i="139" s="1"/>
  <c r="B326" i="139" s="1"/>
  <c r="B327" i="139" s="1"/>
  <c r="B328" i="139" s="1"/>
  <c r="B329" i="139" s="1"/>
  <c r="B330" i="139" s="1"/>
  <c r="B331" i="139" s="1"/>
  <c r="B332" i="139" s="1"/>
  <c r="B333" i="139" s="1"/>
  <c r="B334" i="139" s="1"/>
  <c r="B335" i="139" s="1"/>
  <c r="B336" i="139" s="1"/>
  <c r="B337" i="139" s="1"/>
  <c r="B338" i="139" s="1"/>
  <c r="B339" i="139" s="1"/>
  <c r="B340" i="139" s="1"/>
  <c r="B341" i="139" s="1"/>
  <c r="B342" i="139" s="1"/>
  <c r="B343" i="139" s="1"/>
  <c r="B344" i="139" s="1"/>
  <c r="B345" i="139" s="1"/>
  <c r="B346" i="139" s="1"/>
  <c r="B347" i="139" s="1"/>
  <c r="B348" i="139" s="1"/>
  <c r="B349" i="139" s="1"/>
  <c r="B350" i="139" s="1"/>
  <c r="B351" i="139" s="1"/>
  <c r="B352" i="139" s="1"/>
  <c r="B353" i="139" s="1"/>
  <c r="B354" i="139" s="1"/>
  <c r="B355" i="139" s="1"/>
  <c r="B356" i="139" s="1"/>
  <c r="B357" i="139" s="1"/>
  <c r="B358" i="139" s="1"/>
  <c r="B359" i="139" s="1"/>
  <c r="B360" i="139" s="1"/>
  <c r="B361" i="139" s="1"/>
  <c r="B362" i="139" s="1"/>
  <c r="B363" i="139" s="1"/>
  <c r="B364" i="139" s="1"/>
  <c r="B365" i="139" s="1"/>
  <c r="B366" i="139" s="1"/>
  <c r="B367" i="139" s="1"/>
  <c r="B368" i="139" s="1"/>
  <c r="B369" i="139" s="1"/>
  <c r="B370" i="139" s="1"/>
  <c r="B371" i="139" s="1"/>
  <c r="B372" i="139" s="1"/>
  <c r="B373" i="139" s="1"/>
  <c r="B374" i="139" s="1"/>
  <c r="B375" i="139" s="1"/>
  <c r="B376" i="139" s="1"/>
  <c r="B377" i="139" s="1"/>
  <c r="B378" i="139" s="1"/>
  <c r="B379" i="139" s="1"/>
  <c r="B380" i="139" s="1"/>
  <c r="B381" i="139" s="1"/>
  <c r="B382" i="139" s="1"/>
  <c r="B383" i="139" s="1"/>
  <c r="B384" i="139" s="1"/>
  <c r="B385" i="139" s="1"/>
  <c r="B386" i="139" s="1"/>
  <c r="B387" i="139" s="1"/>
  <c r="B388" i="139" s="1"/>
  <c r="B389" i="139" s="1"/>
  <c r="B390" i="139" s="1"/>
  <c r="B391" i="139" s="1"/>
  <c r="B392" i="139" s="1"/>
  <c r="B393" i="139" s="1"/>
  <c r="B394" i="139" s="1"/>
  <c r="B395" i="139" s="1"/>
  <c r="B396" i="139" s="1"/>
  <c r="B397" i="139" s="1"/>
  <c r="B398" i="139" s="1"/>
  <c r="B399" i="139" s="1"/>
  <c r="B400" i="139" s="1"/>
  <c r="B401" i="139" s="1"/>
  <c r="B402" i="139" s="1"/>
  <c r="B403" i="139" s="1"/>
  <c r="B404" i="139" s="1"/>
  <c r="B405" i="139" s="1"/>
  <c r="B406" i="139" s="1"/>
  <c r="B407" i="139" s="1"/>
  <c r="B408" i="139" s="1"/>
  <c r="B409" i="139" s="1"/>
  <c r="B410" i="139" s="1"/>
  <c r="B411" i="139" s="1"/>
  <c r="B412" i="139" s="1"/>
  <c r="B413" i="139" s="1"/>
  <c r="B414" i="139" s="1"/>
  <c r="B415" i="139" s="1"/>
  <c r="B416" i="139" s="1"/>
  <c r="B417" i="139" s="1"/>
  <c r="B418" i="139" s="1"/>
  <c r="B419" i="139" s="1"/>
  <c r="B420" i="139" s="1"/>
  <c r="B421" i="139" s="1"/>
  <c r="B422" i="139" s="1"/>
  <c r="B423" i="139" s="1"/>
  <c r="B424" i="139" s="1"/>
  <c r="B425" i="139" s="1"/>
  <c r="B426" i="139" s="1"/>
  <c r="B427" i="139" s="1"/>
  <c r="B428" i="139" s="1"/>
  <c r="B429" i="139" s="1"/>
  <c r="B430" i="139" s="1"/>
  <c r="B431" i="139" s="1"/>
  <c r="B432" i="139" s="1"/>
  <c r="B433" i="139" s="1"/>
  <c r="B434" i="139" s="1"/>
  <c r="B435" i="139" s="1"/>
  <c r="B436" i="139" s="1"/>
  <c r="B437" i="139" s="1"/>
  <c r="B438" i="139" s="1"/>
  <c r="B439" i="139" s="1"/>
  <c r="B440" i="139" s="1"/>
  <c r="B441" i="139" s="1"/>
  <c r="B442" i="139" s="1"/>
  <c r="B443" i="139" s="1"/>
  <c r="B444" i="139" s="1"/>
  <c r="B445" i="139" s="1"/>
  <c r="B446" i="139" s="1"/>
  <c r="B447" i="139" s="1"/>
  <c r="B448" i="139" s="1"/>
  <c r="B449" i="139" s="1"/>
  <c r="B450" i="139" s="1"/>
  <c r="B451" i="139" s="1"/>
  <c r="B452" i="139" s="1"/>
  <c r="B453" i="139" s="1"/>
  <c r="B454" i="139" s="1"/>
  <c r="B455" i="139" s="1"/>
  <c r="B456" i="139" s="1"/>
  <c r="B457" i="139" s="1"/>
  <c r="B458" i="139" s="1"/>
  <c r="B459" i="139" s="1"/>
  <c r="B460" i="139" s="1"/>
  <c r="B461" i="139" s="1"/>
  <c r="B462" i="139" s="1"/>
  <c r="B463" i="139" s="1"/>
  <c r="B464" i="139" s="1"/>
  <c r="B465" i="139" s="1"/>
  <c r="B466" i="139" s="1"/>
  <c r="B467" i="139" s="1"/>
  <c r="B468" i="139" s="1"/>
  <c r="B469" i="139" s="1"/>
  <c r="B470" i="139" s="1"/>
  <c r="B471" i="139" s="1"/>
  <c r="B472" i="139" s="1"/>
  <c r="B473" i="139" s="1"/>
  <c r="B474" i="139" s="1"/>
  <c r="B475" i="139" s="1"/>
  <c r="B476" i="139" s="1"/>
  <c r="B477" i="139" s="1"/>
  <c r="B478" i="139" s="1"/>
  <c r="B479" i="139" s="1"/>
  <c r="B480" i="139" s="1"/>
  <c r="B481" i="139" s="1"/>
  <c r="B482" i="139" s="1"/>
  <c r="B483" i="139" s="1"/>
  <c r="B484" i="139" s="1"/>
  <c r="B485" i="139" s="1"/>
  <c r="B486" i="139" s="1"/>
  <c r="B487" i="139" s="1"/>
  <c r="B488" i="139" s="1"/>
  <c r="B489" i="139" s="1"/>
  <c r="B490" i="139" s="1"/>
  <c r="B491" i="139" s="1"/>
  <c r="B492" i="139" s="1"/>
  <c r="B493" i="139" s="1"/>
  <c r="B494" i="139" s="1"/>
  <c r="B495" i="139" s="1"/>
  <c r="B496" i="139" s="1"/>
  <c r="B497" i="139" s="1"/>
  <c r="B498" i="139" s="1"/>
  <c r="B499" i="139" s="1"/>
  <c r="B500" i="139" s="1"/>
  <c r="B501" i="139" s="1"/>
  <c r="B502" i="139" s="1"/>
  <c r="B503" i="139" s="1"/>
  <c r="B504" i="139" s="1"/>
  <c r="B505" i="139" s="1"/>
  <c r="B506" i="139" s="1"/>
  <c r="B507" i="139" s="1"/>
  <c r="B508" i="139" s="1"/>
  <c r="B509" i="139" s="1"/>
  <c r="B510" i="139" s="1"/>
  <c r="B511" i="139" s="1"/>
  <c r="B512" i="139" s="1"/>
  <c r="B177" i="94"/>
  <c r="B178" i="94" s="1"/>
  <c r="B179" i="94" s="1"/>
  <c r="B180" i="94" s="1"/>
  <c r="B181" i="94" s="1"/>
  <c r="B182" i="94" s="1"/>
  <c r="B183" i="94" s="1"/>
  <c r="B184" i="94" s="1"/>
  <c r="B185" i="94" s="1"/>
  <c r="B186" i="94" s="1"/>
  <c r="B187" i="94" s="1"/>
  <c r="B188" i="94" s="1"/>
  <c r="B189" i="94" s="1"/>
  <c r="B190" i="94" s="1"/>
  <c r="B191" i="94" s="1"/>
  <c r="B192" i="94" s="1"/>
  <c r="B193" i="94" s="1"/>
  <c r="B194" i="94" s="1"/>
  <c r="B195" i="94" s="1"/>
  <c r="B196" i="94" s="1"/>
  <c r="B197" i="94" s="1"/>
  <c r="B198" i="94" s="1"/>
  <c r="B199" i="94" s="1"/>
  <c r="B200" i="94" s="1"/>
  <c r="B201" i="94" s="1"/>
  <c r="B202" i="94" s="1"/>
  <c r="B203" i="94" s="1"/>
  <c r="B204" i="94" s="1"/>
  <c r="B2" i="81" l="1"/>
  <c r="B3" i="81" s="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B33" i="81" s="1"/>
  <c r="B2" i="24"/>
  <c r="B3" i="24" s="1"/>
  <c r="B4" i="24" s="1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B102" i="24" s="1"/>
  <c r="B103" i="24" s="1"/>
  <c r="B104" i="24" s="1"/>
  <c r="B105" i="24" s="1"/>
  <c r="B106" i="24" s="1"/>
  <c r="B107" i="24" s="1"/>
  <c r="B108" i="24" s="1"/>
  <c r="B109" i="24" s="1"/>
  <c r="B110" i="24" s="1"/>
  <c r="B111" i="24" s="1"/>
  <c r="B112" i="24" s="1"/>
  <c r="B113" i="24" s="1"/>
  <c r="B114" i="24" s="1"/>
  <c r="B115" i="24" s="1"/>
  <c r="B116" i="24" s="1"/>
  <c r="B117" i="24" s="1"/>
  <c r="B118" i="24" s="1"/>
  <c r="B119" i="24" s="1"/>
  <c r="B120" i="24" s="1"/>
  <c r="B121" i="24" s="1"/>
  <c r="B122" i="24" s="1"/>
  <c r="B123" i="24" s="1"/>
  <c r="B124" i="24" s="1"/>
  <c r="B125" i="24" s="1"/>
  <c r="B126" i="24" s="1"/>
  <c r="B127" i="24" s="1"/>
  <c r="B128" i="24" s="1"/>
  <c r="B129" i="24" s="1"/>
  <c r="B130" i="24" s="1"/>
  <c r="B131" i="24" s="1"/>
  <c r="B132" i="24" s="1"/>
  <c r="B133" i="24" s="1"/>
  <c r="B134" i="24" s="1"/>
  <c r="B135" i="24" s="1"/>
  <c r="B136" i="24" s="1"/>
  <c r="B137" i="24" s="1"/>
  <c r="B138" i="24" s="1"/>
  <c r="B139" i="24" s="1"/>
  <c r="B140" i="24" s="1"/>
  <c r="B141" i="24" s="1"/>
  <c r="B142" i="24" s="1"/>
  <c r="B143" i="24" s="1"/>
  <c r="B144" i="24" s="1"/>
  <c r="B145" i="24" s="1"/>
  <c r="B146" i="24" s="1"/>
  <c r="B147" i="24" s="1"/>
  <c r="B148" i="24" s="1"/>
  <c r="B149" i="24" s="1"/>
  <c r="B150" i="24" s="1"/>
  <c r="B151" i="24" s="1"/>
  <c r="B152" i="24" s="1"/>
  <c r="B153" i="24" s="1"/>
  <c r="B154" i="24" s="1"/>
  <c r="B155" i="24" s="1"/>
  <c r="B156" i="24" s="1"/>
  <c r="B157" i="24" s="1"/>
  <c r="B158" i="24" s="1"/>
  <c r="B159" i="24" s="1"/>
  <c r="B160" i="24" s="1"/>
  <c r="B161" i="24" s="1"/>
  <c r="B162" i="24" s="1"/>
  <c r="B163" i="24" s="1"/>
  <c r="B164" i="24" s="1"/>
  <c r="B165" i="24" s="1"/>
  <c r="B166" i="24" s="1"/>
  <c r="B167" i="24" s="1"/>
  <c r="B168" i="24" s="1"/>
  <c r="B169" i="24" s="1"/>
  <c r="B170" i="24" s="1"/>
  <c r="B171" i="24" s="1"/>
  <c r="B172" i="24" s="1"/>
  <c r="B173" i="24" s="1"/>
  <c r="B174" i="24" s="1"/>
  <c r="B175" i="24" s="1"/>
  <c r="B176" i="24" s="1"/>
  <c r="B177" i="24" s="1"/>
  <c r="B178" i="24" s="1"/>
  <c r="B179" i="24" s="1"/>
  <c r="B180" i="24" s="1"/>
  <c r="B181" i="24" s="1"/>
  <c r="B182" i="24" s="1"/>
  <c r="B183" i="24" s="1"/>
  <c r="B184" i="24" s="1"/>
  <c r="B185" i="24" s="1"/>
  <c r="B186" i="24" s="1"/>
  <c r="B187" i="24" s="1"/>
  <c r="B188" i="24" s="1"/>
  <c r="B189" i="24" s="1"/>
  <c r="B190" i="24" s="1"/>
  <c r="B191" i="24" s="1"/>
  <c r="B192" i="24" s="1"/>
  <c r="B193" i="24" s="1"/>
  <c r="B194" i="24" s="1"/>
  <c r="B195" i="24" s="1"/>
  <c r="B196" i="24" s="1"/>
  <c r="B197" i="24" s="1"/>
  <c r="B198" i="24" s="1"/>
  <c r="B199" i="24" s="1"/>
  <c r="B200" i="24" s="1"/>
  <c r="B201" i="24" s="1"/>
  <c r="B202" i="24" s="1"/>
  <c r="B203" i="24" s="1"/>
  <c r="B204" i="24" s="1"/>
  <c r="B205" i="24" s="1"/>
  <c r="B206" i="24" s="1"/>
  <c r="B207" i="24" s="1"/>
  <c r="B208" i="24" s="1"/>
  <c r="B209" i="24" s="1"/>
  <c r="B210" i="24" s="1"/>
  <c r="B211" i="24" s="1"/>
  <c r="B212" i="24" s="1"/>
  <c r="B213" i="24" s="1"/>
  <c r="B214" i="24" s="1"/>
  <c r="B215" i="24" s="1"/>
  <c r="B216" i="24" s="1"/>
  <c r="B217" i="24" s="1"/>
  <c r="B218" i="24" s="1"/>
  <c r="B219" i="24" s="1"/>
  <c r="B220" i="24" s="1"/>
  <c r="B221" i="24" s="1"/>
  <c r="B222" i="24" s="1"/>
  <c r="B223" i="24" s="1"/>
  <c r="B224" i="24" s="1"/>
  <c r="B225" i="24" s="1"/>
  <c r="B226" i="24" s="1"/>
  <c r="B227" i="24" s="1"/>
  <c r="B228" i="24" s="1"/>
  <c r="B229" i="24" s="1"/>
  <c r="B230" i="24" s="1"/>
  <c r="B231" i="24" s="1"/>
  <c r="B232" i="24" s="1"/>
  <c r="B233" i="24" s="1"/>
  <c r="B234" i="24" s="1"/>
  <c r="B235" i="24" s="1"/>
  <c r="B236" i="24" s="1"/>
  <c r="B237" i="24" s="1"/>
  <c r="B238" i="24" s="1"/>
  <c r="B239" i="24" s="1"/>
  <c r="B240" i="24" s="1"/>
  <c r="B241" i="24" s="1"/>
  <c r="B242" i="24" s="1"/>
  <c r="B243" i="24" s="1"/>
  <c r="B244" i="24" s="1"/>
  <c r="B245" i="24" s="1"/>
  <c r="B246" i="24" s="1"/>
  <c r="B247" i="24" s="1"/>
  <c r="B248" i="24" s="1"/>
  <c r="B2" i="90"/>
  <c r="B3" i="90" s="1"/>
  <c r="B4" i="90" s="1"/>
  <c r="B5" i="90" s="1"/>
  <c r="B6" i="90" s="1"/>
  <c r="B7" i="90" s="1"/>
  <c r="B8" i="90" s="1"/>
  <c r="B9" i="90" s="1"/>
  <c r="B10" i="90" s="1"/>
  <c r="B11" i="90" s="1"/>
  <c r="B12" i="90" s="1"/>
  <c r="B13" i="90" s="1"/>
  <c r="B14" i="90" s="1"/>
  <c r="B15" i="90" s="1"/>
  <c r="B16" i="90" s="1"/>
  <c r="B17" i="90" s="1"/>
  <c r="B18" i="90" s="1"/>
  <c r="B19" i="90" s="1"/>
  <c r="B20" i="90" s="1"/>
  <c r="B21" i="90" s="1"/>
  <c r="B22" i="90" s="1"/>
  <c r="B23" i="90" s="1"/>
  <c r="B24" i="90" s="1"/>
  <c r="B25" i="90" s="1"/>
  <c r="B26" i="90" s="1"/>
  <c r="B27" i="90" s="1"/>
  <c r="B28" i="90" s="1"/>
  <c r="B29" i="90" s="1"/>
  <c r="B30" i="90" s="1"/>
  <c r="B31" i="90" s="1"/>
  <c r="B32" i="90" s="1"/>
  <c r="B33" i="90" s="1"/>
  <c r="B34" i="90" s="1"/>
  <c r="B35" i="90" s="1"/>
  <c r="B36" i="90" s="1"/>
  <c r="B37" i="90" s="1"/>
  <c r="B38" i="90" s="1"/>
  <c r="B39" i="90" s="1"/>
  <c r="B40" i="90" s="1"/>
  <c r="B41" i="90" s="1"/>
  <c r="B42" i="90" s="1"/>
  <c r="B43" i="90" s="1"/>
  <c r="B44" i="90" s="1"/>
  <c r="B45" i="90" s="1"/>
  <c r="B46" i="90" s="1"/>
  <c r="B47" i="90" s="1"/>
  <c r="B48" i="90" s="1"/>
  <c r="B49" i="90" s="1"/>
  <c r="B50" i="90" s="1"/>
  <c r="B51" i="90" s="1"/>
  <c r="B52" i="90" s="1"/>
  <c r="B53" i="90" s="1"/>
  <c r="B54" i="90" s="1"/>
  <c r="B55" i="90" s="1"/>
  <c r="B56" i="90" s="1"/>
  <c r="B57" i="90" s="1"/>
  <c r="B58" i="90" s="1"/>
  <c r="B59" i="90" s="1"/>
  <c r="B60" i="90" s="1"/>
  <c r="B61" i="90" s="1"/>
  <c r="B62" i="90" s="1"/>
  <c r="B63" i="90" s="1"/>
  <c r="B64" i="90" s="1"/>
  <c r="B65" i="90" s="1"/>
  <c r="B66" i="90" s="1"/>
  <c r="B67" i="90" s="1"/>
  <c r="B68" i="90" s="1"/>
  <c r="B69" i="90" s="1"/>
  <c r="B70" i="90" s="1"/>
  <c r="B71" i="90" s="1"/>
  <c r="B72" i="90" s="1"/>
  <c r="B73" i="90" s="1"/>
  <c r="B74" i="90" s="1"/>
  <c r="B75" i="90" s="1"/>
  <c r="B76" i="90" s="1"/>
  <c r="B77" i="90" s="1"/>
  <c r="B78" i="90" s="1"/>
  <c r="B79" i="90" s="1"/>
  <c r="B80" i="90" s="1"/>
  <c r="B81" i="90" s="1"/>
  <c r="B82" i="90" s="1"/>
  <c r="B83" i="90" s="1"/>
  <c r="B84" i="90" s="1"/>
  <c r="B85" i="90" s="1"/>
  <c r="B86" i="90" s="1"/>
  <c r="B87" i="90" s="1"/>
  <c r="B88" i="90" s="1"/>
  <c r="B89" i="90" s="1"/>
  <c r="B90" i="90" s="1"/>
  <c r="B91" i="90" s="1"/>
  <c r="B92" i="90" s="1"/>
  <c r="B93" i="90" s="1"/>
  <c r="B94" i="90" s="1"/>
  <c r="B95" i="90" s="1"/>
  <c r="B96" i="90" s="1"/>
  <c r="B97" i="90" s="1"/>
  <c r="B98" i="90" s="1"/>
  <c r="B99" i="90" s="1"/>
  <c r="B100" i="90" s="1"/>
  <c r="B101" i="90" s="1"/>
  <c r="B102" i="90" s="1"/>
  <c r="B103" i="90" s="1"/>
  <c r="B104" i="90" s="1"/>
  <c r="B105" i="90" s="1"/>
  <c r="B106" i="90" s="1"/>
  <c r="B107" i="90" s="1"/>
  <c r="B108" i="90" s="1"/>
  <c r="B109" i="90" s="1"/>
  <c r="B110" i="90" s="1"/>
  <c r="B111" i="90" s="1"/>
  <c r="B112" i="90" s="1"/>
  <c r="B113" i="90" s="1"/>
  <c r="B114" i="90" s="1"/>
  <c r="B115" i="90" s="1"/>
  <c r="B116" i="90" s="1"/>
  <c r="B117" i="90" s="1"/>
  <c r="B118" i="90" s="1"/>
  <c r="B119" i="90" s="1"/>
  <c r="B120" i="90" s="1"/>
  <c r="B121" i="90" s="1"/>
  <c r="B122" i="90" s="1"/>
  <c r="B123" i="90" s="1"/>
  <c r="B124" i="90" s="1"/>
  <c r="B125" i="90" s="1"/>
  <c r="B126" i="90" s="1"/>
  <c r="B127" i="90" s="1"/>
  <c r="B128" i="90" s="1"/>
  <c r="B129" i="90" s="1"/>
  <c r="B130" i="90" s="1"/>
  <c r="B131" i="90" s="1"/>
  <c r="B132" i="90" s="1"/>
  <c r="B133" i="90" s="1"/>
  <c r="B134" i="90" s="1"/>
  <c r="B135" i="90" s="1"/>
  <c r="B136" i="90" s="1"/>
  <c r="B137" i="90" s="1"/>
  <c r="B138" i="90" s="1"/>
  <c r="B139" i="90" s="1"/>
  <c r="B140" i="90" s="1"/>
  <c r="B141" i="90" s="1"/>
  <c r="B142" i="90" s="1"/>
  <c r="B143" i="90" s="1"/>
  <c r="B144" i="90" s="1"/>
  <c r="B145" i="90" s="1"/>
  <c r="B146" i="90" s="1"/>
  <c r="B147" i="90" s="1"/>
  <c r="B148" i="90" s="1"/>
  <c r="B149" i="90" s="1"/>
  <c r="B150" i="90" s="1"/>
  <c r="B151" i="90" s="1"/>
  <c r="B152" i="90" s="1"/>
  <c r="B153" i="90" s="1"/>
  <c r="B154" i="90" s="1"/>
  <c r="B155" i="90" s="1"/>
  <c r="B156" i="90" s="1"/>
  <c r="B157" i="90" s="1"/>
  <c r="B158" i="90" s="1"/>
  <c r="B159" i="90" s="1"/>
  <c r="B160" i="90" s="1"/>
  <c r="B161" i="90" s="1"/>
  <c r="B162" i="90" s="1"/>
  <c r="B163" i="90" s="1"/>
  <c r="B164" i="90" s="1"/>
  <c r="B165" i="90" s="1"/>
  <c r="B166" i="90" s="1"/>
  <c r="B167" i="90" s="1"/>
  <c r="B168" i="90" s="1"/>
  <c r="B169" i="90" s="1"/>
  <c r="B170" i="90" s="1"/>
  <c r="B171" i="90" s="1"/>
  <c r="B172" i="90" s="1"/>
  <c r="B173" i="90" s="1"/>
  <c r="B174" i="90" s="1"/>
  <c r="B175" i="90" s="1"/>
  <c r="B176" i="90" s="1"/>
  <c r="B177" i="90" s="1"/>
  <c r="B178" i="90" s="1"/>
  <c r="B179" i="90" s="1"/>
  <c r="B180" i="90" s="1"/>
  <c r="B181" i="90" s="1"/>
  <c r="B182" i="90" s="1"/>
  <c r="B183" i="90" s="1"/>
  <c r="B184" i="90" s="1"/>
  <c r="B185" i="90" s="1"/>
  <c r="B186" i="90" s="1"/>
  <c r="B187" i="90" s="1"/>
  <c r="B188" i="90" s="1"/>
  <c r="B189" i="90" s="1"/>
  <c r="B190" i="90" s="1"/>
  <c r="B191" i="90" s="1"/>
  <c r="B192" i="90" s="1"/>
  <c r="B193" i="90" s="1"/>
  <c r="B194" i="90" s="1"/>
  <c r="B195" i="90" s="1"/>
  <c r="B196" i="90" s="1"/>
  <c r="B197" i="90" s="1"/>
  <c r="B198" i="90" s="1"/>
  <c r="B199" i="90" s="1"/>
  <c r="B200" i="90" s="1"/>
  <c r="B201" i="90" s="1"/>
  <c r="B202" i="90" s="1"/>
  <c r="B203" i="90" s="1"/>
  <c r="B204" i="90" s="1"/>
  <c r="B205" i="90" s="1"/>
  <c r="B2" i="17"/>
  <c r="B3" i="17" s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191" i="17" s="1"/>
  <c r="B192" i="17" s="1"/>
  <c r="B193" i="17" s="1"/>
  <c r="B194" i="17" s="1"/>
  <c r="B195" i="17" s="1"/>
  <c r="B196" i="17" s="1"/>
  <c r="B197" i="17" s="1"/>
  <c r="B198" i="17" s="1"/>
  <c r="B199" i="17" s="1"/>
  <c r="B200" i="17" s="1"/>
  <c r="B201" i="17" s="1"/>
  <c r="B2" i="18"/>
  <c r="B3" i="18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2" i="25"/>
  <c r="B3" i="25" s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" i="10"/>
  <c r="B3" i="10" s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" i="1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" i="75"/>
  <c r="B3" i="75" s="1"/>
  <c r="B4" i="75" s="1"/>
  <c r="B5" i="75" s="1"/>
  <c r="B6" i="75" s="1"/>
  <c r="B7" i="75" s="1"/>
  <c r="B8" i="75" s="1"/>
  <c r="B9" i="75" s="1"/>
  <c r="B10" i="75" s="1"/>
  <c r="B11" i="75" s="1"/>
  <c r="B12" i="75" s="1"/>
  <c r="B13" i="75" s="1"/>
  <c r="B14" i="75" s="1"/>
  <c r="B15" i="75" s="1"/>
  <c r="B16" i="75" s="1"/>
  <c r="B17" i="75" s="1"/>
  <c r="B18" i="75" s="1"/>
  <c r="B19" i="75" s="1"/>
  <c r="B20" i="75" s="1"/>
  <c r="B21" i="75" s="1"/>
  <c r="B22" i="75" s="1"/>
  <c r="B23" i="75" s="1"/>
  <c r="B24" i="75" s="1"/>
  <c r="B25" i="75" s="1"/>
  <c r="B26" i="75" s="1"/>
  <c r="B27" i="75" s="1"/>
  <c r="B28" i="75" s="1"/>
  <c r="B29" i="75" s="1"/>
  <c r="B30" i="75" s="1"/>
  <c r="B31" i="75" s="1"/>
  <c r="B32" i="75" s="1"/>
  <c r="B33" i="75" s="1"/>
  <c r="B34" i="75" s="1"/>
  <c r="B35" i="75" s="1"/>
  <c r="B36" i="75" s="1"/>
  <c r="B37" i="75" s="1"/>
  <c r="B38" i="75" s="1"/>
  <c r="B39" i="75" s="1"/>
  <c r="B40" i="75" s="1"/>
  <c r="B41" i="75" s="1"/>
  <c r="B42" i="75" s="1"/>
  <c r="B43" i="75" s="1"/>
  <c r="B44" i="75" s="1"/>
  <c r="B45" i="75" s="1"/>
  <c r="B46" i="75" s="1"/>
  <c r="B47" i="75" s="1"/>
  <c r="B48" i="75" s="1"/>
  <c r="B49" i="75" s="1"/>
  <c r="B50" i="75" s="1"/>
  <c r="B51" i="75" s="1"/>
  <c r="B52" i="75" s="1"/>
  <c r="B53" i="75" s="1"/>
  <c r="B54" i="75" s="1"/>
  <c r="B55" i="75" s="1"/>
  <c r="B56" i="75" s="1"/>
  <c r="B57" i="75" s="1"/>
  <c r="B58" i="75" s="1"/>
  <c r="B59" i="75" s="1"/>
  <c r="B60" i="75" s="1"/>
  <c r="B61" i="75" s="1"/>
  <c r="B62" i="75" s="1"/>
  <c r="B63" i="75" s="1"/>
  <c r="B64" i="75" s="1"/>
  <c r="B65" i="75" s="1"/>
  <c r="B66" i="75" s="1"/>
  <c r="B67" i="75" s="1"/>
  <c r="B68" i="75" s="1"/>
  <c r="B69" i="75" s="1"/>
  <c r="B70" i="75" s="1"/>
  <c r="B71" i="75" s="1"/>
  <c r="B72" i="75" s="1"/>
  <c r="B73" i="75" s="1"/>
  <c r="B74" i="75" s="1"/>
  <c r="B75" i="75" s="1"/>
  <c r="B76" i="75" s="1"/>
  <c r="B77" i="75" s="1"/>
  <c r="B78" i="75" s="1"/>
  <c r="B79" i="75" s="1"/>
  <c r="B80" i="75" s="1"/>
  <c r="B81" i="75" s="1"/>
  <c r="B82" i="75" s="1"/>
  <c r="B83" i="75" s="1"/>
  <c r="B84" i="75" s="1"/>
  <c r="B85" i="75" s="1"/>
  <c r="B86" i="75" s="1"/>
  <c r="B87" i="75" s="1"/>
  <c r="B88" i="75" s="1"/>
  <c r="B89" i="75" s="1"/>
  <c r="B90" i="75" s="1"/>
  <c r="B91" i="75" s="1"/>
  <c r="B92" i="75" s="1"/>
  <c r="B93" i="75" s="1"/>
  <c r="B94" i="75" s="1"/>
  <c r="B95" i="75" s="1"/>
  <c r="B96" i="75" s="1"/>
  <c r="B97" i="75" s="1"/>
  <c r="B98" i="75" s="1"/>
  <c r="B99" i="75" s="1"/>
  <c r="B100" i="75" s="1"/>
  <c r="B101" i="75" s="1"/>
  <c r="B102" i="75" s="1"/>
  <c r="B103" i="75" s="1"/>
  <c r="B104" i="75" s="1"/>
  <c r="B105" i="75" s="1"/>
  <c r="B106" i="75" s="1"/>
  <c r="B107" i="75" s="1"/>
  <c r="B108" i="75" s="1"/>
  <c r="B109" i="75" s="1"/>
  <c r="B110" i="75" s="1"/>
  <c r="B111" i="75" s="1"/>
  <c r="B112" i="75" s="1"/>
  <c r="B113" i="75" s="1"/>
  <c r="B114" i="75" s="1"/>
  <c r="B115" i="75" s="1"/>
  <c r="B116" i="75" s="1"/>
  <c r="B117" i="75" s="1"/>
  <c r="B118" i="75" s="1"/>
  <c r="B119" i="75" s="1"/>
  <c r="B120" i="75" s="1"/>
  <c r="B121" i="75" s="1"/>
  <c r="B122" i="75" s="1"/>
  <c r="B123" i="75" s="1"/>
  <c r="B124" i="75" s="1"/>
  <c r="B125" i="75" s="1"/>
  <c r="B126" i="75" s="1"/>
  <c r="B127" i="75" s="1"/>
  <c r="B128" i="75" s="1"/>
  <c r="B129" i="75" s="1"/>
  <c r="B130" i="75" s="1"/>
  <c r="B131" i="75" s="1"/>
  <c r="B132" i="75" s="1"/>
  <c r="B133" i="75" s="1"/>
  <c r="B134" i="75" s="1"/>
  <c r="B135" i="75" s="1"/>
  <c r="B136" i="75" s="1"/>
  <c r="B137" i="75" s="1"/>
  <c r="B138" i="75" s="1"/>
  <c r="B139" i="75" s="1"/>
  <c r="B140" i="75" s="1"/>
  <c r="B141" i="75" s="1"/>
  <c r="B142" i="75" s="1"/>
  <c r="B143" i="75" s="1"/>
  <c r="B144" i="75" s="1"/>
  <c r="B145" i="75" s="1"/>
  <c r="B146" i="75" s="1"/>
  <c r="B147" i="75" s="1"/>
  <c r="B148" i="75" s="1"/>
  <c r="B149" i="75" s="1"/>
  <c r="B150" i="75" s="1"/>
  <c r="B151" i="75" s="1"/>
  <c r="B152" i="75" s="1"/>
  <c r="B153" i="75" s="1"/>
  <c r="B154" i="75" s="1"/>
  <c r="B155" i="75" s="1"/>
  <c r="B156" i="75" s="1"/>
  <c r="B157" i="75" s="1"/>
  <c r="B158" i="75" s="1"/>
  <c r="B159" i="75" s="1"/>
  <c r="B160" i="75" s="1"/>
  <c r="B161" i="75" s="1"/>
  <c r="B162" i="75" s="1"/>
  <c r="B163" i="75" s="1"/>
  <c r="B164" i="75" s="1"/>
  <c r="B165" i="75" s="1"/>
  <c r="B166" i="75" s="1"/>
  <c r="B167" i="75" s="1"/>
  <c r="B168" i="75" s="1"/>
  <c r="B169" i="75" s="1"/>
  <c r="B170" i="75" s="1"/>
  <c r="B171" i="75" s="1"/>
  <c r="B172" i="75" s="1"/>
  <c r="B173" i="75" s="1"/>
  <c r="B174" i="75" s="1"/>
  <c r="B175" i="75" s="1"/>
  <c r="B176" i="75" s="1"/>
  <c r="B177" i="75" s="1"/>
  <c r="B178" i="75" s="1"/>
  <c r="B179" i="75" s="1"/>
  <c r="B180" i="75" s="1"/>
  <c r="B181" i="75" s="1"/>
  <c r="B182" i="75" s="1"/>
  <c r="B183" i="75" s="1"/>
  <c r="B184" i="75" s="1"/>
  <c r="B185" i="75" s="1"/>
  <c r="B186" i="75" s="1"/>
  <c r="B187" i="75" s="1"/>
  <c r="B188" i="75" s="1"/>
  <c r="B189" i="75" s="1"/>
  <c r="B190" i="75" s="1"/>
  <c r="B191" i="75" s="1"/>
  <c r="B192" i="75" s="1"/>
  <c r="B193" i="75" s="1"/>
  <c r="B194" i="75" s="1"/>
  <c r="B195" i="75" s="1"/>
  <c r="B196" i="75" s="1"/>
  <c r="B197" i="75" s="1"/>
  <c r="B198" i="75" s="1"/>
  <c r="B199" i="75" s="1"/>
  <c r="B200" i="75" s="1"/>
  <c r="B201" i="75" s="1"/>
  <c r="B202" i="75" s="1"/>
  <c r="B203" i="75" s="1"/>
  <c r="B204" i="75" s="1"/>
  <c r="B205" i="75" s="1"/>
  <c r="B206" i="75" s="1"/>
  <c r="B207" i="75" s="1"/>
  <c r="B208" i="75" s="1"/>
  <c r="B209" i="75" s="1"/>
  <c r="B210" i="75" s="1"/>
  <c r="B211" i="75" s="1"/>
  <c r="B212" i="75" s="1"/>
  <c r="B213" i="75" s="1"/>
  <c r="B214" i="75" s="1"/>
  <c r="B215" i="75" s="1"/>
  <c r="B216" i="75" s="1"/>
  <c r="B217" i="75" s="1"/>
  <c r="B218" i="75" s="1"/>
  <c r="B219" i="75" s="1"/>
  <c r="B220" i="75" s="1"/>
  <c r="B221" i="75" s="1"/>
  <c r="B222" i="75" s="1"/>
  <c r="B223" i="75" s="1"/>
  <c r="B224" i="75" s="1"/>
  <c r="B225" i="75" s="1"/>
  <c r="B226" i="75" s="1"/>
  <c r="B227" i="75" s="1"/>
  <c r="B228" i="75" s="1"/>
  <c r="B2" i="19"/>
  <c r="B3" i="19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" i="12"/>
  <c r="B2" i="76"/>
  <c r="B3" i="76" s="1"/>
  <c r="B4" i="76" s="1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B52" i="76" s="1"/>
  <c r="B53" i="76" s="1"/>
  <c r="B54" i="76" s="1"/>
  <c r="B55" i="76" s="1"/>
  <c r="B56" i="76" s="1"/>
  <c r="B57" i="76" s="1"/>
  <c r="B58" i="76" s="1"/>
  <c r="B59" i="76" s="1"/>
  <c r="B60" i="76" s="1"/>
  <c r="B61" i="76" s="1"/>
  <c r="B62" i="76" s="1"/>
  <c r="B63" i="76" s="1"/>
  <c r="B64" i="76" s="1"/>
  <c r="B65" i="76" s="1"/>
  <c r="B66" i="76" s="1"/>
  <c r="B67" i="76" s="1"/>
  <c r="B68" i="76" s="1"/>
  <c r="B69" i="76" s="1"/>
  <c r="B70" i="76" s="1"/>
  <c r="B71" i="76" s="1"/>
  <c r="B72" i="76" s="1"/>
  <c r="B73" i="76" s="1"/>
  <c r="B74" i="76" s="1"/>
  <c r="B75" i="76" s="1"/>
  <c r="B76" i="76" s="1"/>
  <c r="B77" i="76" s="1"/>
  <c r="B78" i="76" s="1"/>
  <c r="B79" i="76" s="1"/>
  <c r="B80" i="76" s="1"/>
  <c r="B81" i="76" s="1"/>
  <c r="B82" i="76" s="1"/>
  <c r="B83" i="76" s="1"/>
  <c r="B84" i="76" s="1"/>
  <c r="B85" i="76" s="1"/>
  <c r="B86" i="76" s="1"/>
  <c r="B87" i="76" s="1"/>
  <c r="B88" i="76" s="1"/>
  <c r="B89" i="76" s="1"/>
  <c r="B90" i="76" s="1"/>
  <c r="B91" i="76" s="1"/>
  <c r="B92" i="76" s="1"/>
  <c r="B93" i="76" s="1"/>
  <c r="B94" i="76" s="1"/>
  <c r="B95" i="76" s="1"/>
  <c r="B96" i="76" s="1"/>
  <c r="B97" i="76" s="1"/>
  <c r="B98" i="76" s="1"/>
  <c r="B99" i="76" s="1"/>
  <c r="B100" i="76" s="1"/>
  <c r="B101" i="76" s="1"/>
  <c r="B102" i="76" s="1"/>
  <c r="B103" i="76" s="1"/>
  <c r="B104" i="76" s="1"/>
  <c r="B105" i="76" s="1"/>
  <c r="B106" i="76" s="1"/>
  <c r="B107" i="76" s="1"/>
  <c r="B108" i="76" s="1"/>
  <c r="B109" i="76" s="1"/>
  <c r="B110" i="76" s="1"/>
  <c r="B111" i="76" s="1"/>
  <c r="B112" i="76" s="1"/>
  <c r="B113" i="76" s="1"/>
  <c r="B114" i="76" s="1"/>
  <c r="B115" i="76" s="1"/>
  <c r="B116" i="76" s="1"/>
  <c r="B117" i="76" s="1"/>
  <c r="B118" i="76" s="1"/>
  <c r="B119" i="76" s="1"/>
  <c r="B120" i="76" s="1"/>
  <c r="B121" i="76" s="1"/>
  <c r="B122" i="76" s="1"/>
  <c r="B123" i="76" s="1"/>
  <c r="B124" i="76" s="1"/>
  <c r="B125" i="76" s="1"/>
  <c r="B126" i="76" s="1"/>
  <c r="B127" i="76" s="1"/>
  <c r="B128" i="76" s="1"/>
  <c r="B129" i="76" s="1"/>
  <c r="B130" i="76" s="1"/>
  <c r="B131" i="76" s="1"/>
  <c r="B132" i="76" s="1"/>
  <c r="B133" i="76" s="1"/>
  <c r="B134" i="76" s="1"/>
  <c r="B135" i="76" s="1"/>
  <c r="B136" i="76" s="1"/>
  <c r="B137" i="76" s="1"/>
  <c r="B138" i="76" s="1"/>
  <c r="B139" i="76" s="1"/>
  <c r="B140" i="76" s="1"/>
  <c r="B141" i="76" s="1"/>
  <c r="B142" i="76" s="1"/>
  <c r="B143" i="76" s="1"/>
  <c r="B144" i="76" s="1"/>
  <c r="B145" i="76" s="1"/>
  <c r="B146" i="76" s="1"/>
  <c r="B2" i="26"/>
  <c r="B3" i="26" s="1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109" i="26" s="1"/>
  <c r="B110" i="26" s="1"/>
  <c r="B111" i="26" s="1"/>
  <c r="B112" i="26" s="1"/>
  <c r="B113" i="26" s="1"/>
  <c r="B114" i="26" s="1"/>
  <c r="B115" i="26" s="1"/>
  <c r="B116" i="26" s="1"/>
  <c r="B117" i="26" s="1"/>
  <c r="B118" i="26" s="1"/>
  <c r="B119" i="26" s="1"/>
  <c r="B120" i="26" s="1"/>
  <c r="B121" i="26" s="1"/>
  <c r="B122" i="26" s="1"/>
  <c r="B123" i="26" s="1"/>
  <c r="B124" i="26" s="1"/>
  <c r="B125" i="26" s="1"/>
  <c r="B126" i="26" s="1"/>
  <c r="B127" i="26" s="1"/>
  <c r="B128" i="26" s="1"/>
  <c r="B129" i="26" s="1"/>
  <c r="B130" i="26" s="1"/>
  <c r="B131" i="26" s="1"/>
  <c r="B132" i="26" s="1"/>
  <c r="B133" i="26" s="1"/>
  <c r="B134" i="26" s="1"/>
  <c r="B135" i="26" s="1"/>
  <c r="B136" i="26" s="1"/>
  <c r="B137" i="26" s="1"/>
  <c r="B138" i="26" s="1"/>
  <c r="B139" i="26" s="1"/>
  <c r="B140" i="26" s="1"/>
  <c r="B141" i="26" s="1"/>
  <c r="B142" i="26" s="1"/>
  <c r="B143" i="26" s="1"/>
  <c r="B144" i="26" s="1"/>
  <c r="B145" i="26" s="1"/>
  <c r="B146" i="26" s="1"/>
  <c r="B147" i="26" s="1"/>
  <c r="B148" i="26" s="1"/>
  <c r="B149" i="26" s="1"/>
  <c r="B150" i="26" s="1"/>
  <c r="B151" i="26" s="1"/>
  <c r="B152" i="26" s="1"/>
  <c r="B153" i="26" s="1"/>
  <c r="B154" i="26" s="1"/>
  <c r="B155" i="26" s="1"/>
  <c r="B156" i="26" s="1"/>
  <c r="B157" i="26" s="1"/>
  <c r="B158" i="26" s="1"/>
  <c r="B159" i="26" s="1"/>
  <c r="B160" i="26" s="1"/>
  <c r="B161" i="26" s="1"/>
  <c r="B162" i="26" s="1"/>
  <c r="B163" i="26" s="1"/>
  <c r="B164" i="26" s="1"/>
  <c r="B165" i="26" s="1"/>
  <c r="B166" i="26" s="1"/>
  <c r="B167" i="26" s="1"/>
  <c r="B168" i="26" s="1"/>
  <c r="B169" i="26" s="1"/>
  <c r="B170" i="26" s="1"/>
  <c r="B171" i="26" s="1"/>
  <c r="B172" i="26" s="1"/>
  <c r="B173" i="26" s="1"/>
  <c r="B174" i="26" s="1"/>
  <c r="B175" i="26" s="1"/>
  <c r="B176" i="26" s="1"/>
  <c r="B177" i="26" s="1"/>
  <c r="B178" i="26" s="1"/>
  <c r="B179" i="26" s="1"/>
  <c r="B180" i="26" s="1"/>
  <c r="B181" i="26" s="1"/>
  <c r="B182" i="26" s="1"/>
  <c r="B183" i="26" s="1"/>
  <c r="B184" i="26" s="1"/>
  <c r="B185" i="26" s="1"/>
  <c r="B186" i="26" s="1"/>
  <c r="B187" i="26" s="1"/>
  <c r="B188" i="26" s="1"/>
  <c r="B189" i="26" s="1"/>
  <c r="B190" i="26" s="1"/>
  <c r="B191" i="26" s="1"/>
  <c r="B192" i="26" s="1"/>
  <c r="B193" i="26" s="1"/>
  <c r="B194" i="26" s="1"/>
  <c r="B195" i="26" s="1"/>
  <c r="B196" i="26" s="1"/>
  <c r="B197" i="26" s="1"/>
  <c r="B198" i="26" s="1"/>
  <c r="B199" i="26" s="1"/>
  <c r="B200" i="26" s="1"/>
  <c r="B201" i="26" s="1"/>
  <c r="B202" i="26" s="1"/>
  <c r="B203" i="26" s="1"/>
  <c r="B204" i="26" s="1"/>
  <c r="B205" i="26" s="1"/>
  <c r="B206" i="26" s="1"/>
  <c r="B207" i="26" s="1"/>
  <c r="B208" i="26" s="1"/>
  <c r="B209" i="26" s="1"/>
  <c r="B210" i="26" s="1"/>
  <c r="B211" i="26" s="1"/>
  <c r="B2" i="110" l="1"/>
  <c r="B3" i="110" s="1"/>
  <c r="B4" i="110" s="1"/>
  <c r="B5" i="110" s="1"/>
  <c r="B6" i="110" s="1"/>
  <c r="B7" i="110" s="1"/>
  <c r="B8" i="110" s="1"/>
  <c r="B9" i="110" s="1"/>
  <c r="B10" i="110" s="1"/>
  <c r="B11" i="110" s="1"/>
  <c r="B12" i="110" s="1"/>
  <c r="B13" i="110" s="1"/>
  <c r="B3" i="12"/>
  <c r="B3" i="74"/>
  <c r="B4" i="74" s="1"/>
  <c r="B5" i="74" l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B64" i="74" s="1"/>
  <c r="B65" i="74" s="1"/>
  <c r="B66" i="74" s="1"/>
  <c r="B67" i="74" s="1"/>
  <c r="B68" i="74" s="1"/>
  <c r="B69" i="74" s="1"/>
  <c r="B70" i="74" s="1"/>
  <c r="B71" i="74" s="1"/>
  <c r="B72" i="74" s="1"/>
  <c r="B73" i="74" s="1"/>
  <c r="B4" i="12"/>
  <c r="B5" i="12" l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C3" i="139" l="1"/>
  <c r="C4" i="139" s="1"/>
  <c r="C5" i="139" s="1"/>
  <c r="C6" i="139" s="1"/>
  <c r="C7" i="139" s="1"/>
  <c r="C8" i="139" s="1"/>
  <c r="C9" i="139" s="1"/>
  <c r="C10" i="139" s="1"/>
  <c r="C11" i="139" s="1"/>
  <c r="C12" i="139" s="1"/>
  <c r="C13" i="139" s="1"/>
  <c r="C14" i="139" s="1"/>
  <c r="C15" i="139" s="1"/>
  <c r="C16" i="139" s="1"/>
  <c r="C17" i="139" s="1"/>
  <c r="C18" i="139" s="1"/>
  <c r="C19" i="139" s="1"/>
  <c r="C20" i="139" s="1"/>
  <c r="C21" i="139" s="1"/>
  <c r="C22" i="139" s="1"/>
  <c r="C23" i="139" s="1"/>
  <c r="C24" i="139" s="1"/>
  <c r="C25" i="139" s="1"/>
  <c r="C26" i="139" s="1"/>
  <c r="C27" i="139" s="1"/>
  <c r="C28" i="139" s="1"/>
  <c r="C29" i="139" s="1"/>
  <c r="C30" i="139" s="1"/>
  <c r="C31" i="139" s="1"/>
  <c r="C32" i="139" s="1"/>
  <c r="C33" i="139" s="1"/>
  <c r="C34" i="139" s="1"/>
  <c r="C35" i="139" s="1"/>
  <c r="C36" i="139" s="1"/>
  <c r="C37" i="139" s="1"/>
  <c r="C38" i="139" s="1"/>
  <c r="C39" i="139" s="1"/>
  <c r="C40" i="139" s="1"/>
  <c r="C41" i="139" s="1"/>
  <c r="C42" i="139" s="1"/>
  <c r="C43" i="139" s="1"/>
  <c r="C44" i="139" s="1"/>
  <c r="C45" i="139" s="1"/>
  <c r="C46" i="139" s="1"/>
  <c r="C47" i="139" s="1"/>
  <c r="C48" i="139" s="1"/>
  <c r="C49" i="139" s="1"/>
  <c r="C50" i="139" s="1"/>
  <c r="C51" i="139" s="1"/>
  <c r="C52" i="139" s="1"/>
  <c r="C53" i="139" s="1"/>
  <c r="C54" i="139" s="1"/>
  <c r="C55" i="139" s="1"/>
  <c r="C56" i="139" s="1"/>
  <c r="C57" i="139" s="1"/>
  <c r="C58" i="139" s="1"/>
  <c r="C59" i="139" s="1"/>
  <c r="C60" i="139" s="1"/>
  <c r="C61" i="139" s="1"/>
  <c r="C62" i="139" s="1"/>
  <c r="C63" i="139" s="1"/>
  <c r="C64" i="139" s="1"/>
  <c r="C65" i="139" s="1"/>
  <c r="C66" i="139" s="1"/>
  <c r="C67" i="139" s="1"/>
  <c r="C68" i="139" s="1"/>
  <c r="C69" i="139" s="1"/>
  <c r="C70" i="139" s="1"/>
  <c r="C71" i="139" s="1"/>
  <c r="C72" i="139" s="1"/>
  <c r="C73" i="139" s="1"/>
  <c r="C74" i="139" s="1"/>
  <c r="C75" i="139" s="1"/>
  <c r="C76" i="139" s="1"/>
  <c r="C77" i="139" s="1"/>
  <c r="C78" i="139" s="1"/>
  <c r="C79" i="139" s="1"/>
  <c r="C80" i="139" s="1"/>
  <c r="C81" i="139" s="1"/>
  <c r="C82" i="139" s="1"/>
  <c r="C83" i="139" s="1"/>
  <c r="C84" i="139" s="1"/>
  <c r="C85" i="139" s="1"/>
  <c r="C86" i="139" s="1"/>
  <c r="C87" i="139" s="1"/>
  <c r="C88" i="139" s="1"/>
  <c r="C89" i="139" s="1"/>
  <c r="C90" i="139" s="1"/>
  <c r="C91" i="139" s="1"/>
  <c r="C92" i="139" s="1"/>
  <c r="C93" i="139" s="1"/>
  <c r="C94" i="139" s="1"/>
  <c r="C95" i="139" s="1"/>
  <c r="C96" i="139" s="1"/>
  <c r="C97" i="139" s="1"/>
  <c r="C98" i="139" s="1"/>
  <c r="C99" i="139" s="1"/>
  <c r="C100" i="139" s="1"/>
  <c r="C101" i="139" s="1"/>
  <c r="C102" i="139" s="1"/>
  <c r="C103" i="139" s="1"/>
  <c r="C104" i="139" s="1"/>
  <c r="C105" i="139" s="1"/>
  <c r="C106" i="139" s="1"/>
  <c r="C107" i="139" s="1"/>
  <c r="C108" i="139" s="1"/>
  <c r="C109" i="139" s="1"/>
  <c r="C110" i="139" s="1"/>
  <c r="C111" i="139" s="1"/>
  <c r="C112" i="139" s="1"/>
  <c r="C113" i="139" s="1"/>
  <c r="C114" i="139" s="1"/>
  <c r="C115" i="139" s="1"/>
  <c r="C116" i="139" s="1"/>
  <c r="C117" i="139" s="1"/>
  <c r="C118" i="139" s="1"/>
  <c r="C119" i="139" s="1"/>
  <c r="C120" i="139" s="1"/>
  <c r="C121" i="139" s="1"/>
  <c r="C122" i="139" s="1"/>
  <c r="C123" i="139" s="1"/>
  <c r="C124" i="139" s="1"/>
  <c r="C125" i="139" s="1"/>
  <c r="C126" i="139" s="1"/>
  <c r="C127" i="139" s="1"/>
  <c r="C128" i="139" s="1"/>
  <c r="C129" i="139" s="1"/>
  <c r="C130" i="139" s="1"/>
  <c r="C131" i="139" s="1"/>
  <c r="C132" i="139" s="1"/>
  <c r="C133" i="139" s="1"/>
  <c r="C134" i="139" s="1"/>
  <c r="C135" i="139" s="1"/>
  <c r="C136" i="139" s="1"/>
  <c r="C137" i="139" s="1"/>
  <c r="C138" i="139" s="1"/>
  <c r="C139" i="139" s="1"/>
  <c r="C140" i="139" s="1"/>
  <c r="C141" i="139" s="1"/>
  <c r="C142" i="139" s="1"/>
  <c r="C143" i="139" s="1"/>
  <c r="C144" i="139" s="1"/>
  <c r="C145" i="139" s="1"/>
  <c r="C146" i="139" s="1"/>
  <c r="C147" i="139" s="1"/>
  <c r="C148" i="139" s="1"/>
  <c r="C149" i="139" s="1"/>
  <c r="C150" i="139" s="1"/>
  <c r="C151" i="139" s="1"/>
  <c r="C152" i="139" s="1"/>
  <c r="C153" i="139" s="1"/>
  <c r="C154" i="139" s="1"/>
  <c r="C155" i="139" s="1"/>
  <c r="C156" i="139" s="1"/>
  <c r="C157" i="139" s="1"/>
  <c r="C158" i="139" s="1"/>
  <c r="C159" i="139" s="1"/>
  <c r="C160" i="139" s="1"/>
  <c r="C161" i="139" s="1"/>
  <c r="C162" i="139" s="1"/>
  <c r="C163" i="139" s="1"/>
  <c r="C164" i="139" s="1"/>
  <c r="C165" i="139" s="1"/>
  <c r="C166" i="139" s="1"/>
  <c r="C167" i="139" s="1"/>
  <c r="C168" i="139" s="1"/>
  <c r="C169" i="139" s="1"/>
  <c r="C170" i="139" s="1"/>
  <c r="C171" i="139" s="1"/>
  <c r="C172" i="139" s="1"/>
  <c r="C173" i="139" s="1"/>
  <c r="C174" i="139" s="1"/>
  <c r="C175" i="139" s="1"/>
  <c r="C176" i="139" s="1"/>
  <c r="C177" i="139" s="1"/>
  <c r="C178" i="139" s="1"/>
  <c r="C179" i="139" s="1"/>
  <c r="C180" i="139" s="1"/>
  <c r="C181" i="139" s="1"/>
  <c r="C182" i="139" s="1"/>
  <c r="C183" i="139" s="1"/>
  <c r="C184" i="139" s="1"/>
  <c r="C185" i="139" s="1"/>
  <c r="C186" i="139" s="1"/>
  <c r="C187" i="139" s="1"/>
  <c r="C188" i="139" s="1"/>
  <c r="C189" i="139" s="1"/>
  <c r="C190" i="139" s="1"/>
  <c r="C191" i="139" s="1"/>
  <c r="C192" i="139" s="1"/>
  <c r="C193" i="139" s="1"/>
  <c r="C194" i="139" s="1"/>
  <c r="C195" i="139" s="1"/>
  <c r="C196" i="139" s="1"/>
  <c r="C197" i="139" s="1"/>
  <c r="C198" i="139" s="1"/>
  <c r="C199" i="139" s="1"/>
  <c r="C200" i="139" s="1"/>
  <c r="C201" i="139" s="1"/>
  <c r="C202" i="139" s="1"/>
  <c r="C203" i="139" s="1"/>
  <c r="C204" i="139" s="1"/>
  <c r="C205" i="139" s="1"/>
  <c r="C206" i="139" s="1"/>
  <c r="C207" i="139" s="1"/>
  <c r="C208" i="139" s="1"/>
  <c r="C209" i="139" s="1"/>
  <c r="C210" i="139" s="1"/>
  <c r="C211" i="139" s="1"/>
  <c r="C212" i="139" s="1"/>
  <c r="C213" i="139" s="1"/>
  <c r="C214" i="139" s="1"/>
  <c r="C215" i="139" s="1"/>
  <c r="C216" i="139" s="1"/>
  <c r="C217" i="139" s="1"/>
  <c r="C218" i="139" s="1"/>
  <c r="C219" i="139" s="1"/>
  <c r="C220" i="139" s="1"/>
  <c r="C221" i="139" s="1"/>
  <c r="C222" i="139" s="1"/>
  <c r="C223" i="139" s="1"/>
  <c r="C224" i="139" s="1"/>
  <c r="C225" i="139" s="1"/>
  <c r="C226" i="139" s="1"/>
  <c r="C227" i="139" s="1"/>
  <c r="C228" i="139" s="1"/>
  <c r="C229" i="139" s="1"/>
  <c r="C230" i="139" s="1"/>
  <c r="C231" i="139" s="1"/>
  <c r="C232" i="139" s="1"/>
  <c r="C233" i="139" s="1"/>
  <c r="C234" i="139" s="1"/>
  <c r="C235" i="139" s="1"/>
  <c r="C236" i="139" s="1"/>
  <c r="C237" i="139" s="1"/>
  <c r="C238" i="139" s="1"/>
  <c r="C239" i="139" s="1"/>
  <c r="C240" i="139" s="1"/>
  <c r="C241" i="139" s="1"/>
  <c r="C242" i="139" s="1"/>
  <c r="C243" i="139" s="1"/>
  <c r="C244" i="139" s="1"/>
  <c r="C245" i="139" s="1"/>
  <c r="C246" i="139" s="1"/>
  <c r="C247" i="139" s="1"/>
  <c r="C248" i="139" s="1"/>
  <c r="C249" i="139" s="1"/>
  <c r="C250" i="139" s="1"/>
  <c r="C251" i="139" s="1"/>
  <c r="C252" i="139" s="1"/>
  <c r="C253" i="139" s="1"/>
  <c r="C254" i="139" s="1"/>
  <c r="C255" i="139" s="1"/>
  <c r="C256" i="139" s="1"/>
  <c r="C257" i="139" s="1"/>
  <c r="C258" i="139" s="1"/>
  <c r="C259" i="139" s="1"/>
  <c r="C260" i="139" s="1"/>
  <c r="C261" i="139" s="1"/>
  <c r="C262" i="139" s="1"/>
  <c r="C263" i="139" s="1"/>
  <c r="C264" i="139" s="1"/>
  <c r="C265" i="139" s="1"/>
  <c r="C266" i="139" s="1"/>
  <c r="C267" i="139" s="1"/>
  <c r="C268" i="139" s="1"/>
  <c r="C269" i="139" s="1"/>
  <c r="C270" i="139" s="1"/>
  <c r="C271" i="139" s="1"/>
  <c r="C272" i="139" s="1"/>
  <c r="C273" i="139" s="1"/>
  <c r="C274" i="139" s="1"/>
  <c r="C275" i="139" s="1"/>
  <c r="C276" i="139" s="1"/>
  <c r="C277" i="139" s="1"/>
  <c r="C278" i="139" s="1"/>
  <c r="C279" i="139" s="1"/>
  <c r="C280" i="139" s="1"/>
  <c r="C281" i="139" s="1"/>
  <c r="C282" i="139" s="1"/>
  <c r="C283" i="139" s="1"/>
  <c r="C284" i="139" s="1"/>
  <c r="C285" i="139" s="1"/>
  <c r="C286" i="139" s="1"/>
  <c r="C287" i="139" s="1"/>
  <c r="C288" i="139" s="1"/>
  <c r="C289" i="139" s="1"/>
  <c r="C290" i="139" s="1"/>
  <c r="C291" i="139" s="1"/>
  <c r="C292" i="139" s="1"/>
  <c r="C293" i="139" s="1"/>
  <c r="C294" i="139" s="1"/>
  <c r="C295" i="139" s="1"/>
  <c r="C296" i="139" s="1"/>
  <c r="C297" i="139" s="1"/>
  <c r="C298" i="139" s="1"/>
  <c r="C299" i="139" s="1"/>
  <c r="C300" i="139" s="1"/>
  <c r="C301" i="139" s="1"/>
  <c r="C302" i="139" s="1"/>
  <c r="C303" i="139" s="1"/>
  <c r="C304" i="139" s="1"/>
  <c r="C305" i="139" s="1"/>
  <c r="C306" i="139" s="1"/>
  <c r="C307" i="139" s="1"/>
  <c r="C308" i="139" s="1"/>
  <c r="C309" i="139" s="1"/>
  <c r="C310" i="139" s="1"/>
  <c r="C311" i="139" s="1"/>
  <c r="C312" i="139" s="1"/>
  <c r="C313" i="139" s="1"/>
  <c r="C314" i="139" s="1"/>
  <c r="C315" i="139" s="1"/>
  <c r="C316" i="139" s="1"/>
  <c r="C317" i="139" s="1"/>
  <c r="C318" i="139" s="1"/>
  <c r="C319" i="139" s="1"/>
  <c r="C320" i="139" s="1"/>
  <c r="C321" i="139" s="1"/>
  <c r="C322" i="139" s="1"/>
  <c r="C323" i="139" s="1"/>
  <c r="C324" i="139" s="1"/>
  <c r="C325" i="139" s="1"/>
  <c r="C326" i="139" s="1"/>
  <c r="C327" i="139" s="1"/>
  <c r="C328" i="139" s="1"/>
  <c r="C329" i="139" s="1"/>
  <c r="C330" i="139" s="1"/>
  <c r="C331" i="139" s="1"/>
  <c r="C332" i="139" s="1"/>
  <c r="C333" i="139" s="1"/>
  <c r="C334" i="139" s="1"/>
  <c r="C335" i="139" s="1"/>
  <c r="C336" i="139" s="1"/>
  <c r="C337" i="139" s="1"/>
  <c r="C338" i="139" s="1"/>
  <c r="C339" i="139" s="1"/>
  <c r="C340" i="139" s="1"/>
  <c r="C341" i="139" s="1"/>
  <c r="C342" i="139" s="1"/>
  <c r="C343" i="139" s="1"/>
  <c r="C344" i="139" s="1"/>
  <c r="C345" i="139" s="1"/>
  <c r="C346" i="139" s="1"/>
  <c r="C347" i="139" s="1"/>
  <c r="C348" i="139" s="1"/>
  <c r="C349" i="139" s="1"/>
  <c r="C350" i="139" s="1"/>
  <c r="C351" i="139" s="1"/>
  <c r="C352" i="139" s="1"/>
  <c r="C353" i="139" s="1"/>
  <c r="C354" i="139" s="1"/>
  <c r="C355" i="139" s="1"/>
  <c r="C356" i="139" s="1"/>
  <c r="C357" i="139" s="1"/>
  <c r="C358" i="139" s="1"/>
  <c r="C359" i="139" s="1"/>
  <c r="C360" i="139" s="1"/>
  <c r="C361" i="139" s="1"/>
  <c r="C362" i="139" s="1"/>
  <c r="C363" i="139" s="1"/>
  <c r="C364" i="139" s="1"/>
  <c r="C365" i="139" s="1"/>
  <c r="C366" i="139" s="1"/>
  <c r="C367" i="139" s="1"/>
  <c r="C368" i="139" s="1"/>
  <c r="C369" i="139" s="1"/>
  <c r="C370" i="139" s="1"/>
  <c r="C371" i="139" s="1"/>
  <c r="C372" i="139" s="1"/>
  <c r="C373" i="139" s="1"/>
  <c r="C374" i="139" s="1"/>
  <c r="C375" i="139" s="1"/>
  <c r="C376" i="139" s="1"/>
  <c r="C377" i="139" s="1"/>
  <c r="C378" i="139" s="1"/>
  <c r="C379" i="139" s="1"/>
  <c r="C380" i="139" s="1"/>
  <c r="C381" i="139" s="1"/>
  <c r="C382" i="139" s="1"/>
  <c r="C383" i="139" s="1"/>
  <c r="C384" i="139" s="1"/>
  <c r="C385" i="139" s="1"/>
  <c r="C386" i="139" s="1"/>
  <c r="C387" i="139" s="1"/>
  <c r="C388" i="139" s="1"/>
  <c r="C389" i="139" s="1"/>
  <c r="C390" i="139" s="1"/>
  <c r="C391" i="139" s="1"/>
  <c r="C392" i="139" s="1"/>
  <c r="C393" i="139" s="1"/>
  <c r="C394" i="139" s="1"/>
  <c r="C395" i="139" s="1"/>
  <c r="C396" i="139" s="1"/>
  <c r="C397" i="139" s="1"/>
  <c r="C398" i="139" s="1"/>
  <c r="C399" i="139" s="1"/>
  <c r="C400" i="139" s="1"/>
  <c r="C401" i="139" s="1"/>
  <c r="C402" i="139" s="1"/>
  <c r="C403" i="139" s="1"/>
  <c r="C404" i="139" s="1"/>
  <c r="C405" i="139" s="1"/>
  <c r="C406" i="139" s="1"/>
  <c r="C407" i="139" s="1"/>
  <c r="C408" i="139" s="1"/>
  <c r="C409" i="139" s="1"/>
  <c r="C410" i="139" s="1"/>
  <c r="C411" i="139" s="1"/>
  <c r="C412" i="139" s="1"/>
  <c r="C413" i="139" s="1"/>
  <c r="C414" i="139" s="1"/>
  <c r="C415" i="139" s="1"/>
  <c r="C416" i="139" s="1"/>
  <c r="C417" i="139" s="1"/>
  <c r="C418" i="139" s="1"/>
  <c r="C419" i="139" s="1"/>
  <c r="C420" i="139" s="1"/>
  <c r="C421" i="139" s="1"/>
  <c r="C422" i="139" s="1"/>
  <c r="C423" i="139" s="1"/>
  <c r="C424" i="139" s="1"/>
  <c r="C425" i="139" s="1"/>
  <c r="C426" i="139" s="1"/>
  <c r="C427" i="139" s="1"/>
  <c r="C428" i="139" s="1"/>
  <c r="C429" i="139" s="1"/>
  <c r="C430" i="139" s="1"/>
  <c r="C431" i="139" s="1"/>
  <c r="C432" i="139" s="1"/>
  <c r="C433" i="139" s="1"/>
  <c r="C434" i="139" s="1"/>
  <c r="C435" i="139" s="1"/>
  <c r="C436" i="139" s="1"/>
  <c r="C437" i="139" s="1"/>
  <c r="C438" i="139" s="1"/>
  <c r="C439" i="139" s="1"/>
  <c r="C440" i="139" s="1"/>
  <c r="C441" i="139" s="1"/>
  <c r="C442" i="139" s="1"/>
  <c r="C443" i="139" s="1"/>
  <c r="C444" i="139" s="1"/>
  <c r="C445" i="139" s="1"/>
  <c r="C446" i="139" s="1"/>
  <c r="C447" i="139" s="1"/>
  <c r="C448" i="139" s="1"/>
  <c r="C449" i="139" s="1"/>
  <c r="C450" i="139" s="1"/>
  <c r="C451" i="139" s="1"/>
  <c r="C452" i="139" s="1"/>
  <c r="C453" i="139" s="1"/>
  <c r="C454" i="139" s="1"/>
  <c r="C455" i="139" s="1"/>
  <c r="C456" i="139" s="1"/>
  <c r="C457" i="139" s="1"/>
  <c r="C458" i="139" s="1"/>
  <c r="C459" i="139" s="1"/>
  <c r="C460" i="139" s="1"/>
  <c r="C461" i="139" s="1"/>
  <c r="C462" i="139" s="1"/>
  <c r="C463" i="139" s="1"/>
  <c r="C464" i="139" s="1"/>
  <c r="C465" i="139" s="1"/>
  <c r="C466" i="139" s="1"/>
  <c r="C467" i="139" s="1"/>
  <c r="C468" i="139" s="1"/>
  <c r="C469" i="139" s="1"/>
  <c r="C470" i="139" s="1"/>
  <c r="C471" i="139" s="1"/>
  <c r="C472" i="139" s="1"/>
  <c r="C473" i="139" s="1"/>
  <c r="C474" i="139" s="1"/>
  <c r="C475" i="139" s="1"/>
  <c r="C476" i="139" s="1"/>
  <c r="C477" i="139" s="1"/>
  <c r="C478" i="139" s="1"/>
  <c r="C479" i="139" s="1"/>
  <c r="C480" i="139" s="1"/>
  <c r="C481" i="139" s="1"/>
  <c r="C482" i="139" s="1"/>
  <c r="C483" i="139" s="1"/>
  <c r="C484" i="139" s="1"/>
  <c r="C485" i="139" s="1"/>
  <c r="C486" i="139" s="1"/>
  <c r="C487" i="139" s="1"/>
  <c r="C488" i="139" s="1"/>
  <c r="C489" i="139" s="1"/>
  <c r="C490" i="139" s="1"/>
  <c r="C491" i="139" s="1"/>
  <c r="C492" i="139" s="1"/>
  <c r="C493" i="139" s="1"/>
  <c r="C494" i="139" s="1"/>
  <c r="C495" i="139" s="1"/>
  <c r="C496" i="139" s="1"/>
  <c r="C497" i="139" s="1"/>
  <c r="C498" i="139" s="1"/>
  <c r="C499" i="139" s="1"/>
  <c r="C500" i="139" s="1"/>
  <c r="C501" i="139" s="1"/>
  <c r="C502" i="139" s="1"/>
  <c r="C503" i="139" s="1"/>
  <c r="C504" i="139" s="1"/>
  <c r="C505" i="139" s="1"/>
  <c r="C506" i="139" s="1"/>
  <c r="C507" i="139" s="1"/>
  <c r="C508" i="139" s="1"/>
  <c r="C509" i="139" s="1"/>
  <c r="C510" i="139" s="1"/>
  <c r="C511" i="139" s="1"/>
  <c r="C512" i="139" s="1"/>
  <c r="C177" i="94"/>
  <c r="C178" i="94" s="1"/>
  <c r="C179" i="94" s="1"/>
  <c r="C180" i="94" s="1"/>
  <c r="C181" i="94" s="1"/>
  <c r="C182" i="94" s="1"/>
  <c r="C183" i="94" s="1"/>
  <c r="C184" i="94" s="1"/>
  <c r="C185" i="94" s="1"/>
  <c r="C186" i="94" s="1"/>
  <c r="C187" i="94" s="1"/>
  <c r="C188" i="94" s="1"/>
  <c r="C189" i="94" s="1"/>
  <c r="C190" i="94" s="1"/>
  <c r="C191" i="94" s="1"/>
  <c r="C192" i="94" s="1"/>
  <c r="C193" i="94" s="1"/>
  <c r="C194" i="94" s="1"/>
  <c r="C195" i="94" s="1"/>
  <c r="C196" i="94" s="1"/>
  <c r="C197" i="94" s="1"/>
  <c r="C198" i="94" s="1"/>
  <c r="C199" i="94" s="1"/>
  <c r="C200" i="94" s="1"/>
  <c r="C201" i="94" s="1"/>
  <c r="C202" i="94" s="1"/>
  <c r="C203" i="94" s="1"/>
  <c r="C204" i="94" s="1"/>
  <c r="C2" i="17" l="1"/>
  <c r="C3" i="17" s="1"/>
  <c r="C4" i="17" s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49" i="17" s="1"/>
  <c r="C150" i="17" s="1"/>
  <c r="C151" i="17" s="1"/>
  <c r="C152" i="17" s="1"/>
  <c r="C153" i="17" s="1"/>
  <c r="C154" i="17" s="1"/>
  <c r="C155" i="17" s="1"/>
  <c r="C156" i="17" s="1"/>
  <c r="C157" i="17" s="1"/>
  <c r="C158" i="17" s="1"/>
  <c r="C159" i="17" s="1"/>
  <c r="C160" i="17" s="1"/>
  <c r="C161" i="17" s="1"/>
  <c r="C162" i="17" s="1"/>
  <c r="C163" i="17" s="1"/>
  <c r="C164" i="17" s="1"/>
  <c r="C165" i="17" s="1"/>
  <c r="C166" i="17" s="1"/>
  <c r="C167" i="17" s="1"/>
  <c r="C168" i="17" s="1"/>
  <c r="C169" i="17" s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197" i="17" s="1"/>
  <c r="C198" i="17" s="1"/>
  <c r="C199" i="17" s="1"/>
  <c r="C200" i="17" s="1"/>
  <c r="C201" i="17" s="1"/>
  <c r="C2" i="76"/>
  <c r="C3" i="76" s="1"/>
  <c r="C4" i="76" s="1"/>
  <c r="C5" i="76" s="1"/>
  <c r="C6" i="76" s="1"/>
  <c r="C7" i="76" s="1"/>
  <c r="C8" i="76" s="1"/>
  <c r="C9" i="76" s="1"/>
  <c r="C10" i="76" s="1"/>
  <c r="C11" i="76" s="1"/>
  <c r="C12" i="76" s="1"/>
  <c r="C13" i="76" s="1"/>
  <c r="C14" i="76" s="1"/>
  <c r="C15" i="76" s="1"/>
  <c r="C16" i="76" s="1"/>
  <c r="C17" i="76" s="1"/>
  <c r="C18" i="76" s="1"/>
  <c r="C19" i="76" s="1"/>
  <c r="C20" i="76" s="1"/>
  <c r="C21" i="76" s="1"/>
  <c r="C22" i="76" s="1"/>
  <c r="C23" i="76" s="1"/>
  <c r="C24" i="76" s="1"/>
  <c r="C25" i="76" s="1"/>
  <c r="C26" i="76" s="1"/>
  <c r="C27" i="76" s="1"/>
  <c r="C28" i="76" s="1"/>
  <c r="C29" i="76" s="1"/>
  <c r="C30" i="76" s="1"/>
  <c r="C31" i="76" s="1"/>
  <c r="C32" i="76" s="1"/>
  <c r="C33" i="76" s="1"/>
  <c r="C34" i="76" s="1"/>
  <c r="C35" i="76" s="1"/>
  <c r="C36" i="76" s="1"/>
  <c r="C37" i="76" s="1"/>
  <c r="C38" i="76" s="1"/>
  <c r="C39" i="76" s="1"/>
  <c r="C40" i="76" s="1"/>
  <c r="C41" i="76" s="1"/>
  <c r="C42" i="76" s="1"/>
  <c r="C43" i="76" s="1"/>
  <c r="C44" i="76" s="1"/>
  <c r="C45" i="76" s="1"/>
  <c r="C46" i="76" s="1"/>
  <c r="C47" i="76" s="1"/>
  <c r="C48" i="76" s="1"/>
  <c r="C49" i="76" s="1"/>
  <c r="C50" i="76" s="1"/>
  <c r="C51" i="76" s="1"/>
  <c r="C52" i="76" s="1"/>
  <c r="C53" i="76" s="1"/>
  <c r="C54" i="76" s="1"/>
  <c r="C55" i="76" s="1"/>
  <c r="C56" i="76" s="1"/>
  <c r="C57" i="76" s="1"/>
  <c r="C58" i="76" s="1"/>
  <c r="C59" i="76" s="1"/>
  <c r="C60" i="76" s="1"/>
  <c r="C61" i="76" s="1"/>
  <c r="C62" i="76" s="1"/>
  <c r="C63" i="76" s="1"/>
  <c r="C64" i="76" s="1"/>
  <c r="C65" i="76" s="1"/>
  <c r="C66" i="76" s="1"/>
  <c r="C67" i="76" s="1"/>
  <c r="C68" i="76" s="1"/>
  <c r="C69" i="76" s="1"/>
  <c r="C70" i="76" s="1"/>
  <c r="C71" i="76" s="1"/>
  <c r="C72" i="76" s="1"/>
  <c r="C73" i="76" s="1"/>
  <c r="C74" i="76" s="1"/>
  <c r="C75" i="76" s="1"/>
  <c r="C76" i="76" s="1"/>
  <c r="C77" i="76" s="1"/>
  <c r="C78" i="76" s="1"/>
  <c r="C79" i="76" s="1"/>
  <c r="C80" i="76" s="1"/>
  <c r="C81" i="76" s="1"/>
  <c r="C82" i="76" s="1"/>
  <c r="C83" i="76" s="1"/>
  <c r="C84" i="76" s="1"/>
  <c r="C85" i="76" s="1"/>
  <c r="C86" i="76" s="1"/>
  <c r="C87" i="76" s="1"/>
  <c r="C88" i="76" s="1"/>
  <c r="C89" i="76" s="1"/>
  <c r="C90" i="76" s="1"/>
  <c r="C91" i="76" s="1"/>
  <c r="C92" i="76" s="1"/>
  <c r="C93" i="76" s="1"/>
  <c r="C94" i="76" s="1"/>
  <c r="C95" i="76" s="1"/>
  <c r="C96" i="76" s="1"/>
  <c r="C97" i="76" s="1"/>
  <c r="C98" i="76" s="1"/>
  <c r="C99" i="76" s="1"/>
  <c r="C100" i="76" s="1"/>
  <c r="C101" i="76" s="1"/>
  <c r="C102" i="76" s="1"/>
  <c r="C103" i="76" s="1"/>
  <c r="C104" i="76" s="1"/>
  <c r="C105" i="76" s="1"/>
  <c r="C106" i="76" s="1"/>
  <c r="C107" i="76" s="1"/>
  <c r="C108" i="76" s="1"/>
  <c r="C109" i="76" s="1"/>
  <c r="C110" i="76" s="1"/>
  <c r="C111" i="76" s="1"/>
  <c r="C112" i="76" s="1"/>
  <c r="C113" i="76" s="1"/>
  <c r="C114" i="76" s="1"/>
  <c r="C115" i="76" s="1"/>
  <c r="C116" i="76" s="1"/>
  <c r="C117" i="76" s="1"/>
  <c r="C118" i="76" s="1"/>
  <c r="C119" i="76" s="1"/>
  <c r="C120" i="76" s="1"/>
  <c r="C121" i="76" s="1"/>
  <c r="C122" i="76" s="1"/>
  <c r="C123" i="76" s="1"/>
  <c r="C124" i="76" s="1"/>
  <c r="C125" i="76" s="1"/>
  <c r="C126" i="76" s="1"/>
  <c r="C127" i="76" s="1"/>
  <c r="C128" i="76" s="1"/>
  <c r="C129" i="76" s="1"/>
  <c r="C130" i="76" s="1"/>
  <c r="C131" i="76" s="1"/>
  <c r="C132" i="76" s="1"/>
  <c r="C133" i="76" s="1"/>
  <c r="C134" i="76" s="1"/>
  <c r="C135" i="76" s="1"/>
  <c r="C136" i="76" s="1"/>
  <c r="C137" i="76" s="1"/>
  <c r="C138" i="76" s="1"/>
  <c r="C139" i="76" s="1"/>
  <c r="C140" i="76" s="1"/>
  <c r="C141" i="76" s="1"/>
  <c r="C142" i="76" s="1"/>
  <c r="C143" i="76" s="1"/>
  <c r="C144" i="76" s="1"/>
  <c r="C145" i="76" s="1"/>
  <c r="C146" i="76" s="1"/>
  <c r="C2" i="10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" i="12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" i="75"/>
  <c r="C3" i="75" s="1"/>
  <c r="C4" i="75" s="1"/>
  <c r="C5" i="75" s="1"/>
  <c r="C6" i="75" s="1"/>
  <c r="C7" i="75" s="1"/>
  <c r="C8" i="75" s="1"/>
  <c r="C9" i="75" s="1"/>
  <c r="C10" i="75" s="1"/>
  <c r="C11" i="75" s="1"/>
  <c r="C12" i="75" s="1"/>
  <c r="C13" i="75" s="1"/>
  <c r="C14" i="75" s="1"/>
  <c r="C15" i="75" s="1"/>
  <c r="C16" i="75" s="1"/>
  <c r="C17" i="75" s="1"/>
  <c r="C18" i="75" s="1"/>
  <c r="C19" i="75" s="1"/>
  <c r="C20" i="75" s="1"/>
  <c r="C21" i="75" s="1"/>
  <c r="C22" i="75" s="1"/>
  <c r="C23" i="75" s="1"/>
  <c r="C24" i="75" s="1"/>
  <c r="C25" i="75" s="1"/>
  <c r="C26" i="75" s="1"/>
  <c r="C27" i="75" s="1"/>
  <c r="C28" i="75" s="1"/>
  <c r="C29" i="75" s="1"/>
  <c r="C30" i="75" s="1"/>
  <c r="C31" i="75" s="1"/>
  <c r="C32" i="75" s="1"/>
  <c r="C33" i="75" s="1"/>
  <c r="C34" i="75" s="1"/>
  <c r="C35" i="75" s="1"/>
  <c r="C36" i="75" s="1"/>
  <c r="C37" i="75" s="1"/>
  <c r="C38" i="75" s="1"/>
  <c r="C39" i="75" s="1"/>
  <c r="C40" i="75" s="1"/>
  <c r="C41" i="75" s="1"/>
  <c r="C42" i="75" s="1"/>
  <c r="C43" i="75" s="1"/>
  <c r="C44" i="75" s="1"/>
  <c r="C45" i="75" s="1"/>
  <c r="C46" i="75" s="1"/>
  <c r="C47" i="75" s="1"/>
  <c r="C48" i="75" s="1"/>
  <c r="C49" i="75" s="1"/>
  <c r="C50" i="75" s="1"/>
  <c r="C51" i="75" s="1"/>
  <c r="C52" i="75" s="1"/>
  <c r="C53" i="75" s="1"/>
  <c r="C54" i="75" s="1"/>
  <c r="C55" i="75" s="1"/>
  <c r="C56" i="75" s="1"/>
  <c r="C57" i="75" s="1"/>
  <c r="C58" i="75" s="1"/>
  <c r="C59" i="75" s="1"/>
  <c r="C60" i="75" s="1"/>
  <c r="C61" i="75" s="1"/>
  <c r="C62" i="75" s="1"/>
  <c r="C63" i="75" s="1"/>
  <c r="C64" i="75" s="1"/>
  <c r="C65" i="75" s="1"/>
  <c r="C66" i="75" s="1"/>
  <c r="C67" i="75" s="1"/>
  <c r="C68" i="75" s="1"/>
  <c r="C69" i="75" s="1"/>
  <c r="C70" i="75" s="1"/>
  <c r="C71" i="75" s="1"/>
  <c r="C72" i="75" s="1"/>
  <c r="C73" i="75" s="1"/>
  <c r="C74" i="75" s="1"/>
  <c r="C75" i="75" s="1"/>
  <c r="C76" i="75" s="1"/>
  <c r="C77" i="75" s="1"/>
  <c r="C78" i="75" s="1"/>
  <c r="C79" i="75" s="1"/>
  <c r="C80" i="75" s="1"/>
  <c r="C81" i="75" s="1"/>
  <c r="C82" i="75" s="1"/>
  <c r="C83" i="75" s="1"/>
  <c r="C84" i="75" s="1"/>
  <c r="C85" i="75" s="1"/>
  <c r="C86" i="75" s="1"/>
  <c r="C87" i="75" s="1"/>
  <c r="C88" i="75" s="1"/>
  <c r="C89" i="75" s="1"/>
  <c r="C90" i="75" s="1"/>
  <c r="C91" i="75" s="1"/>
  <c r="C92" i="75" s="1"/>
  <c r="C93" i="75" s="1"/>
  <c r="C94" i="75" s="1"/>
  <c r="C95" i="75" s="1"/>
  <c r="C96" i="75" s="1"/>
  <c r="C97" i="75" s="1"/>
  <c r="C98" i="75" s="1"/>
  <c r="C99" i="75" s="1"/>
  <c r="C100" i="75" s="1"/>
  <c r="C101" i="75" s="1"/>
  <c r="C102" i="75" s="1"/>
  <c r="C103" i="75" s="1"/>
  <c r="C104" i="75" s="1"/>
  <c r="C105" i="75" s="1"/>
  <c r="C106" i="75" s="1"/>
  <c r="C107" i="75" s="1"/>
  <c r="C108" i="75" s="1"/>
  <c r="C109" i="75" s="1"/>
  <c r="C110" i="75" s="1"/>
  <c r="C111" i="75" s="1"/>
  <c r="C112" i="75" s="1"/>
  <c r="C113" i="75" s="1"/>
  <c r="C114" i="75" s="1"/>
  <c r="C115" i="75" s="1"/>
  <c r="C116" i="75" s="1"/>
  <c r="C117" i="75" s="1"/>
  <c r="C118" i="75" s="1"/>
  <c r="C119" i="75" s="1"/>
  <c r="C120" i="75" s="1"/>
  <c r="C121" i="75" s="1"/>
  <c r="C122" i="75" s="1"/>
  <c r="C123" i="75" s="1"/>
  <c r="C124" i="75" s="1"/>
  <c r="C125" i="75" s="1"/>
  <c r="C126" i="75" s="1"/>
  <c r="C127" i="75" s="1"/>
  <c r="C128" i="75" s="1"/>
  <c r="C129" i="75" s="1"/>
  <c r="C130" i="75" s="1"/>
  <c r="C131" i="75" s="1"/>
  <c r="C132" i="75" s="1"/>
  <c r="C133" i="75" s="1"/>
  <c r="C134" i="75" s="1"/>
  <c r="C135" i="75" s="1"/>
  <c r="C136" i="75" s="1"/>
  <c r="C137" i="75" s="1"/>
  <c r="C138" i="75" s="1"/>
  <c r="C139" i="75" s="1"/>
  <c r="C140" i="75" s="1"/>
  <c r="C141" i="75" s="1"/>
  <c r="C142" i="75" s="1"/>
  <c r="C143" i="75" s="1"/>
  <c r="C144" i="75" s="1"/>
  <c r="C145" i="75" s="1"/>
  <c r="C146" i="75" s="1"/>
  <c r="C147" i="75" s="1"/>
  <c r="C148" i="75" s="1"/>
  <c r="C149" i="75" s="1"/>
  <c r="C150" i="75" s="1"/>
  <c r="C151" i="75" s="1"/>
  <c r="C152" i="75" s="1"/>
  <c r="C153" i="75" s="1"/>
  <c r="C154" i="75" s="1"/>
  <c r="C155" i="75" s="1"/>
  <c r="C156" i="75" s="1"/>
  <c r="C157" i="75" s="1"/>
  <c r="C158" i="75" s="1"/>
  <c r="C159" i="75" s="1"/>
  <c r="C160" i="75" s="1"/>
  <c r="C161" i="75" s="1"/>
  <c r="C162" i="75" s="1"/>
  <c r="C163" i="75" s="1"/>
  <c r="C164" i="75" s="1"/>
  <c r="C165" i="75" s="1"/>
  <c r="C166" i="75" s="1"/>
  <c r="C167" i="75" s="1"/>
  <c r="C168" i="75" s="1"/>
  <c r="C169" i="75" s="1"/>
  <c r="C170" i="75" s="1"/>
  <c r="C171" i="75" s="1"/>
  <c r="C172" i="75" s="1"/>
  <c r="C173" i="75" s="1"/>
  <c r="C174" i="75" s="1"/>
  <c r="C175" i="75" s="1"/>
  <c r="C176" i="75" s="1"/>
  <c r="C177" i="75" s="1"/>
  <c r="C178" i="75" s="1"/>
  <c r="C179" i="75" s="1"/>
  <c r="C180" i="75" s="1"/>
  <c r="C181" i="75" s="1"/>
  <c r="C182" i="75" s="1"/>
  <c r="C183" i="75" s="1"/>
  <c r="C184" i="75" s="1"/>
  <c r="C185" i="75" s="1"/>
  <c r="C186" i="75" s="1"/>
  <c r="C187" i="75" s="1"/>
  <c r="C188" i="75" s="1"/>
  <c r="C189" i="75" s="1"/>
  <c r="C190" i="75" s="1"/>
  <c r="C191" i="75" s="1"/>
  <c r="C192" i="75" s="1"/>
  <c r="C193" i="75" s="1"/>
  <c r="C194" i="75" s="1"/>
  <c r="C195" i="75" s="1"/>
  <c r="C196" i="75" s="1"/>
  <c r="C197" i="75" s="1"/>
  <c r="C198" i="75" s="1"/>
  <c r="C199" i="75" s="1"/>
  <c r="C200" i="75" s="1"/>
  <c r="C201" i="75" s="1"/>
  <c r="C202" i="75" s="1"/>
  <c r="C203" i="75" s="1"/>
  <c r="C204" i="75" s="1"/>
  <c r="C205" i="75" s="1"/>
  <c r="C206" i="75" s="1"/>
  <c r="C207" i="75" s="1"/>
  <c r="C208" i="75" s="1"/>
  <c r="C209" i="75" s="1"/>
  <c r="C210" i="75" s="1"/>
  <c r="C211" i="75" s="1"/>
  <c r="C212" i="75" s="1"/>
  <c r="C213" i="75" s="1"/>
  <c r="C214" i="75" s="1"/>
  <c r="C215" i="75" s="1"/>
  <c r="C216" i="75" s="1"/>
  <c r="C217" i="75" s="1"/>
  <c r="C218" i="75" s="1"/>
  <c r="C219" i="75" s="1"/>
  <c r="C220" i="75" s="1"/>
  <c r="C221" i="75" s="1"/>
  <c r="C222" i="75" s="1"/>
  <c r="C223" i="75" s="1"/>
  <c r="C224" i="75" s="1"/>
  <c r="C225" i="75" s="1"/>
  <c r="C226" i="75" s="1"/>
  <c r="C227" i="75" s="1"/>
  <c r="C228" i="75" s="1"/>
  <c r="C2" i="26"/>
  <c r="C3" i="26" s="1"/>
  <c r="C4" i="26" s="1"/>
  <c r="C5" i="26" s="1"/>
  <c r="C6" i="26" s="1"/>
  <c r="C7" i="26" s="1"/>
  <c r="C8" i="26" s="1"/>
  <c r="C9" i="26" s="1"/>
  <c r="C10" i="26" s="1"/>
  <c r="C11" i="26" s="1"/>
  <c r="C12" i="26" s="1"/>
  <c r="C13" i="26" s="1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26" i="26" s="1"/>
  <c r="C27" i="26" s="1"/>
  <c r="C28" i="26" s="1"/>
  <c r="C29" i="26" s="1"/>
  <c r="C30" i="26" s="1"/>
  <c r="C31" i="26" s="1"/>
  <c r="C32" i="26" s="1"/>
  <c r="C33" i="26" s="1"/>
  <c r="C34" i="26" s="1"/>
  <c r="C35" i="26" s="1"/>
  <c r="C36" i="26" s="1"/>
  <c r="C37" i="26" s="1"/>
  <c r="C38" i="26" s="1"/>
  <c r="C39" i="26" s="1"/>
  <c r="C40" i="26" s="1"/>
  <c r="C41" i="26" s="1"/>
  <c r="C42" i="26" s="1"/>
  <c r="C43" i="26" s="1"/>
  <c r="C44" i="26" s="1"/>
  <c r="C45" i="26" s="1"/>
  <c r="C46" i="26" s="1"/>
  <c r="C47" i="26" s="1"/>
  <c r="C48" i="26" s="1"/>
  <c r="C49" i="26" s="1"/>
  <c r="C50" i="26" s="1"/>
  <c r="C51" i="26" s="1"/>
  <c r="C52" i="26" s="1"/>
  <c r="C53" i="26" s="1"/>
  <c r="C54" i="26" s="1"/>
  <c r="C55" i="26" s="1"/>
  <c r="C56" i="26" s="1"/>
  <c r="C57" i="26" s="1"/>
  <c r="C58" i="26" s="1"/>
  <c r="C59" i="26" s="1"/>
  <c r="C60" i="26" s="1"/>
  <c r="C61" i="26" s="1"/>
  <c r="C62" i="26" s="1"/>
  <c r="C63" i="26" s="1"/>
  <c r="C64" i="26" s="1"/>
  <c r="C65" i="26" s="1"/>
  <c r="C66" i="26" s="1"/>
  <c r="C67" i="26" s="1"/>
  <c r="C68" i="26" s="1"/>
  <c r="C69" i="26" s="1"/>
  <c r="C70" i="26" s="1"/>
  <c r="C71" i="26" s="1"/>
  <c r="C72" i="26" s="1"/>
  <c r="C73" i="26" s="1"/>
  <c r="C74" i="26" s="1"/>
  <c r="C75" i="26" s="1"/>
  <c r="C76" i="26" s="1"/>
  <c r="C77" i="26" s="1"/>
  <c r="C78" i="26" s="1"/>
  <c r="C79" i="26" s="1"/>
  <c r="C80" i="26" s="1"/>
  <c r="C81" i="26" s="1"/>
  <c r="C82" i="26" s="1"/>
  <c r="C83" i="26" s="1"/>
  <c r="C84" i="26" s="1"/>
  <c r="C85" i="26" s="1"/>
  <c r="C86" i="26" s="1"/>
  <c r="C87" i="26" s="1"/>
  <c r="C88" i="26" s="1"/>
  <c r="C89" i="26" s="1"/>
  <c r="C90" i="26" s="1"/>
  <c r="C91" i="26" s="1"/>
  <c r="C92" i="26" s="1"/>
  <c r="C93" i="26" s="1"/>
  <c r="C94" i="26" s="1"/>
  <c r="C95" i="26" s="1"/>
  <c r="C96" i="26" s="1"/>
  <c r="C97" i="26" s="1"/>
  <c r="C98" i="26" s="1"/>
  <c r="C99" i="26" s="1"/>
  <c r="C100" i="26" s="1"/>
  <c r="C101" i="26" s="1"/>
  <c r="C102" i="26" s="1"/>
  <c r="C103" i="26" s="1"/>
  <c r="C104" i="26" s="1"/>
  <c r="C105" i="26" s="1"/>
  <c r="C106" i="26" s="1"/>
  <c r="C107" i="26" s="1"/>
  <c r="C108" i="26" s="1"/>
  <c r="C109" i="26" s="1"/>
  <c r="C110" i="26" s="1"/>
  <c r="C111" i="26" s="1"/>
  <c r="C112" i="26" s="1"/>
  <c r="C113" i="26" s="1"/>
  <c r="C114" i="26" s="1"/>
  <c r="C115" i="26" s="1"/>
  <c r="C116" i="26" s="1"/>
  <c r="C117" i="26" s="1"/>
  <c r="C118" i="26" s="1"/>
  <c r="C119" i="26" s="1"/>
  <c r="C120" i="26" s="1"/>
  <c r="C121" i="26" s="1"/>
  <c r="C122" i="26" s="1"/>
  <c r="C123" i="26" s="1"/>
  <c r="C124" i="26" s="1"/>
  <c r="C125" i="26" s="1"/>
  <c r="C126" i="26" s="1"/>
  <c r="C127" i="26" s="1"/>
  <c r="C128" i="26" s="1"/>
  <c r="C129" i="26" s="1"/>
  <c r="C130" i="26" s="1"/>
  <c r="C131" i="26" s="1"/>
  <c r="C132" i="26" s="1"/>
  <c r="C133" i="26" s="1"/>
  <c r="C134" i="26" s="1"/>
  <c r="C135" i="26" s="1"/>
  <c r="C136" i="26" s="1"/>
  <c r="C137" i="26" s="1"/>
  <c r="C138" i="26" s="1"/>
  <c r="C139" i="26" s="1"/>
  <c r="C140" i="26" s="1"/>
  <c r="C141" i="26" s="1"/>
  <c r="C142" i="26" s="1"/>
  <c r="C143" i="26" s="1"/>
  <c r="C144" i="26" s="1"/>
  <c r="C145" i="26" s="1"/>
  <c r="C146" i="26" s="1"/>
  <c r="C147" i="26" s="1"/>
  <c r="C148" i="26" s="1"/>
  <c r="C149" i="26" s="1"/>
  <c r="C150" i="26" s="1"/>
  <c r="C151" i="26" s="1"/>
  <c r="C152" i="26" s="1"/>
  <c r="C153" i="26" s="1"/>
  <c r="C154" i="26" s="1"/>
  <c r="C155" i="26" s="1"/>
  <c r="C156" i="26" s="1"/>
  <c r="C157" i="26" s="1"/>
  <c r="C158" i="26" s="1"/>
  <c r="C159" i="26" s="1"/>
  <c r="C160" i="26" s="1"/>
  <c r="C161" i="26" s="1"/>
  <c r="C162" i="26" s="1"/>
  <c r="C163" i="26" s="1"/>
  <c r="C164" i="26" s="1"/>
  <c r="C165" i="26" s="1"/>
  <c r="C166" i="26" s="1"/>
  <c r="C167" i="26" s="1"/>
  <c r="C168" i="26" s="1"/>
  <c r="C169" i="26" s="1"/>
  <c r="C170" i="26" s="1"/>
  <c r="C171" i="26" s="1"/>
  <c r="C172" i="26" s="1"/>
  <c r="C173" i="26" s="1"/>
  <c r="C174" i="26" s="1"/>
  <c r="C175" i="26" s="1"/>
  <c r="C176" i="26" s="1"/>
  <c r="C177" i="26" s="1"/>
  <c r="C178" i="26" s="1"/>
  <c r="C179" i="26" s="1"/>
  <c r="C180" i="26" s="1"/>
  <c r="C181" i="26" s="1"/>
  <c r="C182" i="26" s="1"/>
  <c r="C183" i="26" s="1"/>
  <c r="C184" i="26" s="1"/>
  <c r="C185" i="26" s="1"/>
  <c r="C186" i="26" s="1"/>
  <c r="C187" i="26" s="1"/>
  <c r="C188" i="26" s="1"/>
  <c r="C189" i="26" s="1"/>
  <c r="C190" i="26" s="1"/>
  <c r="C191" i="26" s="1"/>
  <c r="C192" i="26" s="1"/>
  <c r="C193" i="26" s="1"/>
  <c r="C194" i="26" s="1"/>
  <c r="C195" i="26" s="1"/>
  <c r="C196" i="26" s="1"/>
  <c r="C197" i="26" s="1"/>
  <c r="C198" i="26" s="1"/>
  <c r="C199" i="26" s="1"/>
  <c r="C200" i="26" s="1"/>
  <c r="C201" i="26" s="1"/>
  <c r="C202" i="26" s="1"/>
  <c r="C203" i="26" s="1"/>
  <c r="C204" i="26" s="1"/>
  <c r="C205" i="26" s="1"/>
  <c r="C206" i="26" s="1"/>
  <c r="C207" i="26" s="1"/>
  <c r="C208" i="26" s="1"/>
  <c r="C209" i="26" s="1"/>
  <c r="C210" i="26" s="1"/>
  <c r="C211" i="26" s="1"/>
  <c r="C2" i="24"/>
  <c r="C3" i="24" s="1"/>
  <c r="C4" i="24" s="1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C35" i="24" s="1"/>
  <c r="C36" i="24" s="1"/>
  <c r="C37" i="24" s="1"/>
  <c r="C38" i="24" s="1"/>
  <c r="C39" i="24" s="1"/>
  <c r="C40" i="24" s="1"/>
  <c r="C41" i="24" s="1"/>
  <c r="C42" i="24" s="1"/>
  <c r="C43" i="24" s="1"/>
  <c r="C44" i="24" s="1"/>
  <c r="C45" i="24" s="1"/>
  <c r="C46" i="24" s="1"/>
  <c r="C47" i="24" s="1"/>
  <c r="C48" i="24" s="1"/>
  <c r="C49" i="24" s="1"/>
  <c r="C50" i="24" s="1"/>
  <c r="C51" i="24" s="1"/>
  <c r="C52" i="24" s="1"/>
  <c r="C53" i="24" s="1"/>
  <c r="C54" i="24" s="1"/>
  <c r="C55" i="24" s="1"/>
  <c r="C56" i="24" s="1"/>
  <c r="C57" i="24" s="1"/>
  <c r="C58" i="24" s="1"/>
  <c r="C59" i="24" s="1"/>
  <c r="C60" i="24" s="1"/>
  <c r="C61" i="24" s="1"/>
  <c r="C62" i="24" s="1"/>
  <c r="C63" i="24" s="1"/>
  <c r="C64" i="24" s="1"/>
  <c r="C65" i="24" s="1"/>
  <c r="C66" i="24" s="1"/>
  <c r="C67" i="24" s="1"/>
  <c r="C68" i="24" s="1"/>
  <c r="C69" i="24" s="1"/>
  <c r="C70" i="24" s="1"/>
  <c r="C71" i="24" s="1"/>
  <c r="C72" i="24" s="1"/>
  <c r="C73" i="24" s="1"/>
  <c r="C74" i="24" s="1"/>
  <c r="C75" i="24" s="1"/>
  <c r="C76" i="24" s="1"/>
  <c r="C77" i="24" s="1"/>
  <c r="C78" i="24" s="1"/>
  <c r="C79" i="24" s="1"/>
  <c r="C80" i="24" s="1"/>
  <c r="C81" i="24" s="1"/>
  <c r="C82" i="24" s="1"/>
  <c r="C83" i="24" s="1"/>
  <c r="C84" i="24" s="1"/>
  <c r="C85" i="24" s="1"/>
  <c r="C86" i="24" s="1"/>
  <c r="C87" i="24" s="1"/>
  <c r="C88" i="24" s="1"/>
  <c r="C89" i="24" s="1"/>
  <c r="C90" i="24" s="1"/>
  <c r="C91" i="24" s="1"/>
  <c r="C92" i="24" s="1"/>
  <c r="C93" i="24" s="1"/>
  <c r="C94" i="24" s="1"/>
  <c r="C95" i="24" s="1"/>
  <c r="C96" i="24" s="1"/>
  <c r="C97" i="24" s="1"/>
  <c r="C98" i="24" s="1"/>
  <c r="C99" i="24" s="1"/>
  <c r="C100" i="24" s="1"/>
  <c r="C101" i="24" s="1"/>
  <c r="C102" i="24" s="1"/>
  <c r="C103" i="24" s="1"/>
  <c r="C104" i="24" s="1"/>
  <c r="C105" i="24" s="1"/>
  <c r="C106" i="24" s="1"/>
  <c r="C107" i="24" s="1"/>
  <c r="C108" i="24" s="1"/>
  <c r="C109" i="24" s="1"/>
  <c r="C110" i="24" s="1"/>
  <c r="C111" i="24" s="1"/>
  <c r="C112" i="24" s="1"/>
  <c r="C113" i="24" s="1"/>
  <c r="C114" i="24" s="1"/>
  <c r="C115" i="24" s="1"/>
  <c r="C116" i="24" s="1"/>
  <c r="C117" i="24" s="1"/>
  <c r="C118" i="24" s="1"/>
  <c r="C119" i="24" s="1"/>
  <c r="C120" i="24" s="1"/>
  <c r="C121" i="24" s="1"/>
  <c r="C122" i="24" s="1"/>
  <c r="C123" i="24" s="1"/>
  <c r="C124" i="24" s="1"/>
  <c r="C125" i="24" s="1"/>
  <c r="C126" i="24" s="1"/>
  <c r="C127" i="24" s="1"/>
  <c r="C128" i="24" s="1"/>
  <c r="C129" i="24" s="1"/>
  <c r="C130" i="24" s="1"/>
  <c r="C131" i="24" s="1"/>
  <c r="C132" i="24" s="1"/>
  <c r="C133" i="24" s="1"/>
  <c r="C134" i="24" s="1"/>
  <c r="C135" i="24" s="1"/>
  <c r="C136" i="24" s="1"/>
  <c r="C137" i="24" s="1"/>
  <c r="C138" i="24" s="1"/>
  <c r="C139" i="24" s="1"/>
  <c r="C140" i="24" s="1"/>
  <c r="C141" i="24" s="1"/>
  <c r="C142" i="24" s="1"/>
  <c r="C143" i="24" s="1"/>
  <c r="C144" i="24" s="1"/>
  <c r="C145" i="24" s="1"/>
  <c r="C146" i="24" s="1"/>
  <c r="C147" i="24" s="1"/>
  <c r="C148" i="24" s="1"/>
  <c r="C149" i="24" s="1"/>
  <c r="C150" i="24" s="1"/>
  <c r="C151" i="24" s="1"/>
  <c r="C152" i="24" s="1"/>
  <c r="C153" i="24" s="1"/>
  <c r="C154" i="24" s="1"/>
  <c r="C155" i="24" s="1"/>
  <c r="C156" i="24" s="1"/>
  <c r="C157" i="24" s="1"/>
  <c r="C158" i="24" s="1"/>
  <c r="C159" i="24" s="1"/>
  <c r="C160" i="24" s="1"/>
  <c r="C161" i="24" s="1"/>
  <c r="C162" i="24" s="1"/>
  <c r="C163" i="24" s="1"/>
  <c r="C164" i="24" s="1"/>
  <c r="C165" i="24" s="1"/>
  <c r="C166" i="24" s="1"/>
  <c r="C167" i="24" s="1"/>
  <c r="C168" i="24" s="1"/>
  <c r="C169" i="24" s="1"/>
  <c r="C170" i="24" s="1"/>
  <c r="C171" i="24" s="1"/>
  <c r="C172" i="24" s="1"/>
  <c r="C173" i="24" s="1"/>
  <c r="C174" i="24" s="1"/>
  <c r="C175" i="24" s="1"/>
  <c r="C176" i="24" s="1"/>
  <c r="C177" i="24" s="1"/>
  <c r="C178" i="24" s="1"/>
  <c r="C179" i="24" s="1"/>
  <c r="C180" i="24" s="1"/>
  <c r="C181" i="24" s="1"/>
  <c r="C182" i="24" s="1"/>
  <c r="C183" i="24" s="1"/>
  <c r="C184" i="24" s="1"/>
  <c r="C185" i="24" s="1"/>
  <c r="C186" i="24" s="1"/>
  <c r="C187" i="24" s="1"/>
  <c r="C188" i="24" s="1"/>
  <c r="C189" i="24" s="1"/>
  <c r="C190" i="24" s="1"/>
  <c r="C191" i="24" s="1"/>
  <c r="C192" i="24" s="1"/>
  <c r="C193" i="24" s="1"/>
  <c r="C194" i="24" s="1"/>
  <c r="C195" i="24" s="1"/>
  <c r="C196" i="24" s="1"/>
  <c r="C197" i="24" s="1"/>
  <c r="C198" i="24" s="1"/>
  <c r="C199" i="24" s="1"/>
  <c r="C200" i="24" s="1"/>
  <c r="C201" i="24" s="1"/>
  <c r="C202" i="24" s="1"/>
  <c r="C203" i="24" s="1"/>
  <c r="C204" i="24" s="1"/>
  <c r="C205" i="24" s="1"/>
  <c r="C206" i="24" s="1"/>
  <c r="C207" i="24" s="1"/>
  <c r="C208" i="24" s="1"/>
  <c r="C209" i="24" s="1"/>
  <c r="C210" i="24" s="1"/>
  <c r="C211" i="24" s="1"/>
  <c r="C212" i="24" s="1"/>
  <c r="C213" i="24" s="1"/>
  <c r="C214" i="24" s="1"/>
  <c r="C215" i="24" s="1"/>
  <c r="C216" i="24" s="1"/>
  <c r="C217" i="24" s="1"/>
  <c r="C218" i="24" s="1"/>
  <c r="C219" i="24" s="1"/>
  <c r="C220" i="24" s="1"/>
  <c r="C221" i="24" s="1"/>
  <c r="C222" i="24" s="1"/>
  <c r="C223" i="24" s="1"/>
  <c r="C224" i="24" s="1"/>
  <c r="C225" i="24" s="1"/>
  <c r="C226" i="24" s="1"/>
  <c r="C227" i="24" s="1"/>
  <c r="C228" i="24" s="1"/>
  <c r="C229" i="24" s="1"/>
  <c r="C230" i="24" s="1"/>
  <c r="C231" i="24" s="1"/>
  <c r="C232" i="24" s="1"/>
  <c r="C233" i="24" s="1"/>
  <c r="C234" i="24" s="1"/>
  <c r="C235" i="24" s="1"/>
  <c r="C236" i="24" s="1"/>
  <c r="C237" i="24" s="1"/>
  <c r="C238" i="24" s="1"/>
  <c r="C239" i="24" s="1"/>
  <c r="C240" i="24" s="1"/>
  <c r="C241" i="24" s="1"/>
  <c r="C242" i="24" s="1"/>
  <c r="C243" i="24" s="1"/>
  <c r="C244" i="24" s="1"/>
  <c r="C245" i="24" s="1"/>
  <c r="C246" i="24" s="1"/>
  <c r="C247" i="24" s="1"/>
  <c r="C248" i="24" s="1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" i="90"/>
  <c r="C3" i="90" s="1"/>
  <c r="C4" i="90" s="1"/>
  <c r="C5" i="90" s="1"/>
  <c r="C6" i="90" s="1"/>
  <c r="C7" i="90" s="1"/>
  <c r="C8" i="90" s="1"/>
  <c r="C9" i="90" s="1"/>
  <c r="C10" i="90" s="1"/>
  <c r="C11" i="90" s="1"/>
  <c r="C12" i="90" s="1"/>
  <c r="C13" i="90" s="1"/>
  <c r="C14" i="90" s="1"/>
  <c r="C15" i="90" s="1"/>
  <c r="C16" i="90" s="1"/>
  <c r="C17" i="90" s="1"/>
  <c r="C18" i="90" s="1"/>
  <c r="C19" i="90" s="1"/>
  <c r="C20" i="90" s="1"/>
  <c r="C21" i="90" s="1"/>
  <c r="C22" i="90" s="1"/>
  <c r="C23" i="90" s="1"/>
  <c r="C24" i="90" s="1"/>
  <c r="C25" i="90" s="1"/>
  <c r="C26" i="90" s="1"/>
  <c r="C27" i="90" s="1"/>
  <c r="C28" i="90" s="1"/>
  <c r="C29" i="90" s="1"/>
  <c r="C30" i="90" s="1"/>
  <c r="C31" i="90" s="1"/>
  <c r="C32" i="90" s="1"/>
  <c r="C33" i="90" s="1"/>
  <c r="C34" i="90" s="1"/>
  <c r="C35" i="90" s="1"/>
  <c r="C36" i="90" s="1"/>
  <c r="C37" i="90" s="1"/>
  <c r="C38" i="90" s="1"/>
  <c r="C39" i="90" s="1"/>
  <c r="C40" i="90" s="1"/>
  <c r="C41" i="90" s="1"/>
  <c r="C42" i="90" s="1"/>
  <c r="C43" i="90" s="1"/>
  <c r="C44" i="90" s="1"/>
  <c r="C45" i="90" s="1"/>
  <c r="C46" i="90" s="1"/>
  <c r="C47" i="90" s="1"/>
  <c r="C48" i="90" s="1"/>
  <c r="C49" i="90" s="1"/>
  <c r="C50" i="90" s="1"/>
  <c r="C51" i="90" s="1"/>
  <c r="C52" i="90" s="1"/>
  <c r="C53" i="90" s="1"/>
  <c r="C54" i="90" s="1"/>
  <c r="C55" i="90" s="1"/>
  <c r="C56" i="90" s="1"/>
  <c r="C57" i="90" s="1"/>
  <c r="C58" i="90" s="1"/>
  <c r="C59" i="90" s="1"/>
  <c r="C60" i="90" s="1"/>
  <c r="C61" i="90" s="1"/>
  <c r="C62" i="90" s="1"/>
  <c r="C63" i="90" s="1"/>
  <c r="C64" i="90" s="1"/>
  <c r="C65" i="90" s="1"/>
  <c r="C66" i="90" s="1"/>
  <c r="C67" i="90" s="1"/>
  <c r="C68" i="90" s="1"/>
  <c r="C69" i="90" s="1"/>
  <c r="C70" i="90" s="1"/>
  <c r="C71" i="90" s="1"/>
  <c r="C72" i="90" s="1"/>
  <c r="C73" i="90" s="1"/>
  <c r="C74" i="90" s="1"/>
  <c r="C75" i="90" s="1"/>
  <c r="C76" i="90" s="1"/>
  <c r="C77" i="90" s="1"/>
  <c r="C78" i="90" s="1"/>
  <c r="C79" i="90" s="1"/>
  <c r="C80" i="90" s="1"/>
  <c r="C81" i="90" s="1"/>
  <c r="C82" i="90" s="1"/>
  <c r="C83" i="90" s="1"/>
  <c r="C84" i="90" s="1"/>
  <c r="C85" i="90" s="1"/>
  <c r="C86" i="90" s="1"/>
  <c r="C87" i="90" s="1"/>
  <c r="C88" i="90" s="1"/>
  <c r="C89" i="90" s="1"/>
  <c r="C90" i="90" s="1"/>
  <c r="C91" i="90" s="1"/>
  <c r="C92" i="90" s="1"/>
  <c r="C93" i="90" s="1"/>
  <c r="C94" i="90" s="1"/>
  <c r="C95" i="90" s="1"/>
  <c r="C96" i="90" s="1"/>
  <c r="C97" i="90" s="1"/>
  <c r="C98" i="90" s="1"/>
  <c r="C99" i="90" s="1"/>
  <c r="C100" i="90" s="1"/>
  <c r="C101" i="90" s="1"/>
  <c r="C102" i="90" s="1"/>
  <c r="C103" i="90" s="1"/>
  <c r="C104" i="90" s="1"/>
  <c r="C105" i="90" s="1"/>
  <c r="C106" i="90" s="1"/>
  <c r="C107" i="90" s="1"/>
  <c r="C108" i="90" s="1"/>
  <c r="C109" i="90" s="1"/>
  <c r="C110" i="90" s="1"/>
  <c r="C111" i="90" s="1"/>
  <c r="C112" i="90" s="1"/>
  <c r="C113" i="90" s="1"/>
  <c r="C114" i="90" s="1"/>
  <c r="C115" i="90" s="1"/>
  <c r="C116" i="90" s="1"/>
  <c r="C117" i="90" s="1"/>
  <c r="C118" i="90" s="1"/>
  <c r="C119" i="90" s="1"/>
  <c r="C120" i="90" s="1"/>
  <c r="C121" i="90" s="1"/>
  <c r="C122" i="90" s="1"/>
  <c r="C123" i="90" s="1"/>
  <c r="C124" i="90" s="1"/>
  <c r="C125" i="90" s="1"/>
  <c r="C126" i="90" s="1"/>
  <c r="C127" i="90" s="1"/>
  <c r="C128" i="90" s="1"/>
  <c r="C129" i="90" s="1"/>
  <c r="C130" i="90" s="1"/>
  <c r="C131" i="90" s="1"/>
  <c r="C132" i="90" s="1"/>
  <c r="C133" i="90" s="1"/>
  <c r="C134" i="90" s="1"/>
  <c r="C135" i="90" s="1"/>
  <c r="C136" i="90" s="1"/>
  <c r="C137" i="90" s="1"/>
  <c r="C138" i="90" s="1"/>
  <c r="C139" i="90" s="1"/>
  <c r="C140" i="90" s="1"/>
  <c r="C141" i="90" s="1"/>
  <c r="C142" i="90" s="1"/>
  <c r="C143" i="90" s="1"/>
  <c r="C144" i="90" s="1"/>
  <c r="C145" i="90" s="1"/>
  <c r="C146" i="90" s="1"/>
  <c r="C147" i="90" s="1"/>
  <c r="C148" i="90" s="1"/>
  <c r="C149" i="90" s="1"/>
  <c r="C150" i="90" s="1"/>
  <c r="C151" i="90" s="1"/>
  <c r="C152" i="90" s="1"/>
  <c r="C153" i="90" s="1"/>
  <c r="C154" i="90" s="1"/>
  <c r="C155" i="90" s="1"/>
  <c r="C156" i="90" s="1"/>
  <c r="C157" i="90" s="1"/>
  <c r="C158" i="90" s="1"/>
  <c r="C159" i="90" s="1"/>
  <c r="C160" i="90" s="1"/>
  <c r="C161" i="90" s="1"/>
  <c r="C162" i="90" s="1"/>
  <c r="C163" i="90" s="1"/>
  <c r="C164" i="90" s="1"/>
  <c r="C165" i="90" s="1"/>
  <c r="C166" i="90" s="1"/>
  <c r="C167" i="90" s="1"/>
  <c r="C168" i="90" s="1"/>
  <c r="C169" i="90" s="1"/>
  <c r="C170" i="90" s="1"/>
  <c r="C171" i="90" s="1"/>
  <c r="C172" i="90" s="1"/>
  <c r="C173" i="90" s="1"/>
  <c r="C174" i="90" s="1"/>
  <c r="C175" i="90" s="1"/>
  <c r="C176" i="90" s="1"/>
  <c r="C177" i="90" s="1"/>
  <c r="C178" i="90" s="1"/>
  <c r="C179" i="90" s="1"/>
  <c r="C180" i="90" s="1"/>
  <c r="C181" i="90" s="1"/>
  <c r="C182" i="90" s="1"/>
  <c r="C183" i="90" s="1"/>
  <c r="C184" i="90" s="1"/>
  <c r="C185" i="90" s="1"/>
  <c r="C186" i="90" s="1"/>
  <c r="C187" i="90" s="1"/>
  <c r="C188" i="90" s="1"/>
  <c r="C189" i="90" s="1"/>
  <c r="C190" i="90" s="1"/>
  <c r="C191" i="90" s="1"/>
  <c r="C192" i="90" s="1"/>
  <c r="C193" i="90" s="1"/>
  <c r="C194" i="90" s="1"/>
  <c r="C195" i="90" s="1"/>
  <c r="C196" i="90" s="1"/>
  <c r="C197" i="90" s="1"/>
  <c r="C198" i="90" s="1"/>
  <c r="C199" i="90" s="1"/>
  <c r="C200" i="90" s="1"/>
  <c r="C201" i="90" s="1"/>
  <c r="C202" i="90" s="1"/>
  <c r="C203" i="90" s="1"/>
  <c r="C204" i="90" s="1"/>
  <c r="C205" i="90" s="1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2" i="81"/>
  <c r="C3" i="81" s="1"/>
  <c r="C4" i="81" s="1"/>
  <c r="C5" i="81" s="1"/>
  <c r="C6" i="81" s="1"/>
  <c r="C7" i="81" s="1"/>
  <c r="C8" i="81" s="1"/>
  <c r="C9" i="81" s="1"/>
  <c r="C10" i="81" s="1"/>
  <c r="C11" i="81" s="1"/>
  <c r="C12" i="81" s="1"/>
  <c r="C13" i="81" s="1"/>
  <c r="C14" i="81" s="1"/>
  <c r="C15" i="81" s="1"/>
  <c r="C16" i="81" s="1"/>
  <c r="C17" i="81" s="1"/>
  <c r="C18" i="81" s="1"/>
  <c r="C19" i="81" s="1"/>
  <c r="C20" i="81" s="1"/>
  <c r="C21" i="81" s="1"/>
  <c r="C22" i="81" s="1"/>
  <c r="C23" i="81" s="1"/>
  <c r="C24" i="81" s="1"/>
  <c r="C25" i="81" s="1"/>
  <c r="C26" i="81" s="1"/>
  <c r="C27" i="81" s="1"/>
  <c r="C28" i="81" s="1"/>
  <c r="C29" i="81" s="1"/>
  <c r="C30" i="81" s="1"/>
  <c r="C31" i="81" s="1"/>
  <c r="C32" i="81" s="1"/>
  <c r="C33" i="81" s="1"/>
  <c r="C2" i="25"/>
  <c r="C3" i="25" s="1"/>
  <c r="C4" i="25" s="1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C163" i="25" s="1"/>
  <c r="C164" i="25" s="1"/>
  <c r="C165" i="25" s="1"/>
  <c r="C166" i="25" s="1"/>
  <c r="C167" i="25" s="1"/>
  <c r="C168" i="25" s="1"/>
  <c r="C169" i="25" s="1"/>
  <c r="C170" i="25" s="1"/>
  <c r="C171" i="25" s="1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C184" i="25" s="1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50" i="25" s="1"/>
  <c r="C251" i="25" s="1"/>
  <c r="C252" i="25" s="1"/>
  <c r="C253" i="25" s="1"/>
  <c r="C254" i="25" s="1"/>
  <c r="C255" i="25" s="1"/>
  <c r="C256" i="25" s="1"/>
  <c r="C257" i="25" s="1"/>
  <c r="C258" i="25" s="1"/>
  <c r="C259" i="25" s="1"/>
  <c r="C260" i="25" s="1"/>
  <c r="C261" i="25" s="1"/>
  <c r="C262" i="25" s="1"/>
  <c r="C263" i="25" s="1"/>
  <c r="C264" i="25" s="1"/>
  <c r="C265" i="25" s="1"/>
  <c r="C266" i="25" s="1"/>
  <c r="C2" i="110" l="1"/>
  <c r="C3" i="110" s="1"/>
  <c r="C4" i="110" s="1"/>
  <c r="C5" i="110" s="1"/>
  <c r="C6" i="110" s="1"/>
  <c r="C7" i="110" s="1"/>
  <c r="C8" i="110" s="1"/>
  <c r="C9" i="110" s="1"/>
  <c r="C10" i="110" s="1"/>
  <c r="C11" i="110" s="1"/>
  <c r="C12" i="110" s="1"/>
  <c r="C13" i="110" s="1"/>
  <c r="C3" i="12"/>
  <c r="C3" i="74"/>
  <c r="C4" i="74" s="1"/>
  <c r="C5" i="74" l="1"/>
  <c r="C6" i="74" s="1"/>
  <c r="C7" i="74" s="1"/>
  <c r="C8" i="74" s="1"/>
  <c r="C9" i="74" s="1"/>
  <c r="C10" i="74" s="1"/>
  <c r="C11" i="74" s="1"/>
  <c r="C12" i="74" s="1"/>
  <c r="C13" i="74" s="1"/>
  <c r="C14" i="74" s="1"/>
  <c r="C15" i="74" s="1"/>
  <c r="C16" i="74" s="1"/>
  <c r="C17" i="74" s="1"/>
  <c r="C18" i="74" s="1"/>
  <c r="C19" i="74" s="1"/>
  <c r="C20" i="74" s="1"/>
  <c r="C21" i="74" s="1"/>
  <c r="C22" i="74" s="1"/>
  <c r="C23" i="74" s="1"/>
  <c r="C24" i="74" s="1"/>
  <c r="C25" i="74" s="1"/>
  <c r="C26" i="74" s="1"/>
  <c r="C27" i="74" s="1"/>
  <c r="C28" i="74" s="1"/>
  <c r="C29" i="74" s="1"/>
  <c r="C30" i="74" s="1"/>
  <c r="C31" i="74" s="1"/>
  <c r="C32" i="74" s="1"/>
  <c r="C33" i="74" s="1"/>
  <c r="C34" i="74" s="1"/>
  <c r="C35" i="74" s="1"/>
  <c r="C36" i="74" s="1"/>
  <c r="C37" i="74" s="1"/>
  <c r="C38" i="74" s="1"/>
  <c r="C39" i="74" s="1"/>
  <c r="C40" i="74" s="1"/>
  <c r="C41" i="74" s="1"/>
  <c r="C42" i="74" s="1"/>
  <c r="C43" i="74" s="1"/>
  <c r="C44" i="74" s="1"/>
  <c r="C45" i="74" s="1"/>
  <c r="C46" i="74" s="1"/>
  <c r="C47" i="74" s="1"/>
  <c r="C48" i="74" s="1"/>
  <c r="C49" i="74" s="1"/>
  <c r="C50" i="74" s="1"/>
  <c r="C51" i="74" s="1"/>
  <c r="C52" i="74" s="1"/>
  <c r="C53" i="74" s="1"/>
  <c r="C54" i="74" s="1"/>
  <c r="C55" i="74" s="1"/>
  <c r="C56" i="74" s="1"/>
  <c r="C57" i="74" s="1"/>
  <c r="C58" i="74" s="1"/>
  <c r="C59" i="74" s="1"/>
  <c r="C60" i="74" s="1"/>
  <c r="C61" i="74" s="1"/>
  <c r="C62" i="74" s="1"/>
  <c r="C63" i="74" s="1"/>
  <c r="C64" i="74" s="1"/>
  <c r="C65" i="74" s="1"/>
  <c r="C66" i="74" s="1"/>
  <c r="C67" i="74" s="1"/>
  <c r="C68" i="74" s="1"/>
  <c r="C69" i="74" s="1"/>
  <c r="C70" i="74" s="1"/>
  <c r="C71" i="74" s="1"/>
  <c r="C72" i="74" s="1"/>
  <c r="C73" i="74" s="1"/>
  <c r="C4" i="12"/>
  <c r="C5" i="12" l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BF71BE5-CB6D-4D84-9B62-96406B022A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49A0347-DB3E-4F38-9C3C-A3FDA3F2D4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3EA932-939A-4BC3-AE0D-CE8409D91A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1F8608B-A149-49E9-B024-8CB4DEB7CF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79267FD-0D60-44FC-98A6-5A193A75F6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D06A8DA-3ECE-459C-B114-C4A77601F0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EA8651D-1F48-4CA2-AC93-A073AC089F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6994462-00C3-4811-BA9D-2C0D8DA2C5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C6B809-C81F-4A2C-B39D-9932AFDB90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2B037F3-EC5B-4CB3-8D62-B43E300045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289BEB-BFD3-4B55-92F1-5F0F0D25D6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C72605-C4F9-41C7-B599-41199154F4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16E446E-0968-4025-ABB1-2694771B9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4358D23-2261-4457-A3CC-ECEB1EB6CE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D6EE99A-24D8-493B-96AE-32D5F6F06A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B10403-A846-4494-B199-575E1A9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81DDF2-417E-4C76-A525-8264773E2C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E22F2B-717C-4CDE-B4F4-10A7275DAC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0C92CD-FC1A-470F-91E2-B89C630DE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3399BF-0193-402F-8C8C-FBDFCD688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A887AEC-4035-493A-9A6C-0EF9D9735C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061501-9724-48BD-94D1-53CFED7CF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C2AEE77-58EC-4A23-86C4-7D50EBA32F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C3AE04-D6B0-427C-9029-617E69693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21E0244-71B1-47A9-98F2-C5663CC2B7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D7F7BC-8A43-4828-A655-8A6380C31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F81E73-709B-4846-84A7-A338674DF8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1E7219-9498-460C-B5D8-BDEB4E135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46A6DC-21ED-44CE-841E-53B317C747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5584737-EF2A-4FDA-8451-53C43067C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8C02719-42AC-4396-AC05-4A54FCE9D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DAD409-BBD9-491E-AEF7-27706680DD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6D9BA9-7B46-4325-B13D-087F1A06AA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4D335FF-E5EB-42F4-BDE5-CB51D46E9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D2A5D70-887A-490D-8176-F105E3FF7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089E19-EAF1-44E3-99F7-058D7D398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382E071-0F31-4EB1-92B7-3F5561E8A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09051F1-87B4-441B-8E60-C6844FCE73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603A0C-54BF-451D-AABD-7175006543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28CD70D-3B75-4E21-908E-5E22827D20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2298B62-67B4-4D3F-85A2-196C82282D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F72548-1BDD-47BC-895E-A109E7ACD5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3D188F6-FF0B-4B8F-A684-E899B34D0A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92D1B0-B326-471F-95C7-B340C94671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102DFA1-366E-496E-827E-057CC548A4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CF25B1A-610F-4C59-9B82-69EB58BE67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617BCB7-9C83-433E-A740-A1FB49A293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7CE02E-AFBA-44F3-AE47-081F61EED2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C21AEF4-DDCD-4718-9879-2FE37CBB4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E29D0F5-D2ED-4E08-BD60-45766512C0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45646F4-64F0-4274-8DFF-F50C7A631E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4F28B3-550F-4EC5-A92C-BBE98BC01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DAF6D72-C919-4F05-99F1-08DBE6BF04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400589A-FE29-439E-8796-C843CD4A6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3D220C4-F8E0-437A-A166-41CCC4086D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FB27828-214F-4B8E-8681-E3630065A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C179E8-8C98-4821-84A4-B4719D6EB1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05DCB7-8B01-43EB-8A9A-E34E936C9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97DCEB6-C248-4E17-8D1F-3BABC6753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97F8F9-165E-42C2-ABA8-55D1BB61D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D9CFB1-CB6B-4022-A2B0-6E3236B0DC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4DD109-3673-44EB-AD69-97E326E80F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800B3A-5CE9-4EBD-96A0-BD43D5C8AB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61240A2-8C0A-474A-BE9C-A1281509CE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593B9B1-5143-4780-8512-4100D4264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0940B0-9392-47E1-AFD8-252954A171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DF2F65F-1013-4202-B91D-301FB03A6B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2CB8CB-8851-4352-9F25-BA24277F3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DCC734-B1EB-4096-8FD8-DEA84D040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8D71D6-8B3F-47F4-9FDC-DE0831A50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3063E8F-E962-4D22-A546-E62045D5F7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CD5DF6B-2488-4D7E-B770-FF33078DE9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1FD9B6-C9F9-4BF1-A806-99C9D152E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81287E-BF71-470E-BBC7-636EF7ACE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977D81-8F73-4189-BB18-04AA90879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1D34B2-58FE-4A0D-B041-5D9307354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B8440D8-7157-4709-AAE8-462151CD36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8378AD-F2DD-47D5-841C-524BF17D2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01AB00D-10AB-436E-AFA2-81251B6B4C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2FED3B9-B3D9-4374-AF97-11D6A6F4B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03C6FC7-A644-49F6-9FFF-BBA7E4A31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F8991B-27C4-46EF-9082-AC969631E2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CC3211F-8A33-4A95-96FA-DB049C62D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391152C-BD0D-4464-8A48-AB3E43A01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E3B023-EC8C-4D56-ADD7-5CD402D54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E2DD318-A971-41EF-8948-C35CB2658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D77C9D-2630-4F21-BDB8-FD6895988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97545F-87A2-4373-A8D5-254EEC5E6C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E90F700-7DB9-4131-85BB-7223C7274E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DB18DA-FC08-4F24-A61C-5DA77E176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C5BDC2-E43C-40B8-9537-F97E99FF0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D45E6C-E535-4215-B6FC-2BEAFA07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F6FF78F-E02B-48A8-8900-26BBCD20C8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F62FF0-220D-4D7A-8A87-B8DA39C9B7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5F3CB61-B439-4A59-998E-0A2FA8D34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E615D7-A34F-497D-BAFB-830CD8DBE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EA9706-77E9-435E-8F0E-B3B378E14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382AF4-0935-42CE-96B9-459CC251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ED2B033-F463-4453-8B59-A87640BBB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2B336E-62D8-4432-B211-D731F7EF2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36D04B-2CCC-4AD7-9D8C-7BD7106429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4F2FC4-796D-49C0-93EE-1F22A8B0E9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D093B64-0508-435C-95B6-E3AA7C3E0D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FFDD33-B6C6-460F-95BA-A4BDE73FC0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5AC9513-AC55-4C59-AE24-14A262A266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E08801A-C8B9-4418-822C-4A6D05AEF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F07A9C-E6CA-4E7C-AC99-884F0B00F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6002DA-F0BC-43DB-9A36-F5119F86E3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FEAE6B-AAD8-4C13-AD6A-76343E5F1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97FBB36-3716-45AE-BE44-3C2D38676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4334BA6-303A-4751-A947-36F8CD9B6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508FF6-E9B4-4812-BD01-CD483CC58E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A5BC64-95FD-428C-9C5B-2BEC370A5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51D047-C3AA-4BEA-952E-53D796245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49BF13-0532-4341-AEF5-E35CD0CE2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82E725-0684-4050-895E-7CDE01D41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A1CF0D-586F-4801-8706-71A175D5A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08E29ED-AB8A-4237-87D8-11508E08C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09F7A8-2A9B-498A-9892-CFCE179073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288634-8266-492B-BB06-EC11F0095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7B617B-7A9E-4A06-BFF7-6FA8D5E36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D64ADC-1AA2-4960-93CD-567A32DE7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16C5C3-7489-423F-A2D1-4AD9ED146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A5D552F-DAFA-4687-9D22-A9DE9CFE48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3EAA8D8-72C6-4F33-BD6E-A6F48090EC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523C23-859E-44AC-8F4D-7103447542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73AFE3-28A0-4F29-9BF1-1293FB893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F781D4-9FAB-4790-BB58-AD1C58CA6B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3B6DB4-A8EC-4EB6-AA08-2BC4A4EA1D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FF89146-D809-4996-A402-D81439E26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3346F04-24B2-4567-AD20-54A7D1444F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91B8B6-8619-42D8-BE40-CCD049FA0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E1CB10-5365-4F63-B3F8-FE64C1E538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4D4FAB2-1B7E-4CDF-8E9E-2CF875EBB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000B3D-5AE0-4ECA-B721-B79154469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D93970-AF58-4B89-B907-A2F022326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33F99D0-D332-49F2-B7A1-B5F47E195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27AFEE1-735E-4600-9762-6DB0EEA2D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9D211C-82F9-444E-980A-AB7517D69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C9D89DD-50C9-48CD-A9FD-A1979160C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B3F02C4-A04E-4744-AB90-2BF0D6FCBA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99410E0-B1AF-4808-B366-FF4474A895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DA13714-07D4-4A3D-BDE3-845ECF6B06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E576DA9-76AB-4F1B-AD3A-DD0B424F3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D3E0B83-7F20-46B1-801F-DA986858ED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8F48EE8-EFE2-48C3-8CE3-1AB862510A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50D10CC-F8E6-4C35-BF6A-9F0D0C7861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4665DF6-9DDB-4C27-B57F-F17BB7DA5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43FD7C-C592-4FAE-A999-AB98EB36B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A3FB8D1-2554-4D7B-93BC-B3C0B868B3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8AC15A-D462-4A63-A1AA-61811887CD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D0029F9-A7E8-40E5-9339-4940402AA3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8BBF7AE-70E3-4234-8C1C-D8B9164572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7F39CF1-3734-4288-861B-C7A861179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0519491-4118-4297-8DCB-965068E6C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BC3437B-540A-4CB6-B0A9-A4D9E3796C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3A111A4-CEAD-494B-8BC3-9A2395EC17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3E8F3F-EA50-40ED-ADFE-D15D16D7AC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A523D8F-28CE-4471-A0BB-853E8615D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274956-A3CC-4C69-93FF-48D04D149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373BE0-3454-4A67-8698-B72796675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121B84F-600E-4E83-8B5F-D2FA72EDC1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C1E1DA5-637C-421E-8464-9DFFB41A4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35C19B-7F6B-4C25-886D-01F89141B5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0F8546A-7144-46CB-A83D-B9DD94CA73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D1884CA-7979-4784-9DDD-0280FAB988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B96DD2-BFAD-455A-B7BE-38A85F99B1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6B05EB4-70D5-4725-AADE-CE1CAFE08D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FFC9A71-1DFF-4F37-B7E3-4186CCC222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46DA7C7-1D45-4603-AB47-43636A28A2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AB88B1-DA15-4565-B216-8414926F76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E4D8E3C-63EE-40CB-AADE-370CF8BCCE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F978952-F3F4-44BF-9F16-B924C90A3D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DA890E1-ED30-47D1-A3E0-C20946F32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557F61B-068D-4B5C-AC0F-1BF769E91D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35CEE6-787B-459B-845B-1D647A6D86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B929935-CB27-4A6D-A6D3-BE6A02F984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26DD8FB-1C14-4745-843C-EFE67B014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E18A1D0-1A70-4598-8DDB-61BB62B9A0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CC0BD65-1654-43E1-8F5C-44CDA19657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D686AC-4D42-4C05-9AA9-433FE717D9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3B1082-F124-47C7-A952-5ACECCBD07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64A7932-0AD6-47CE-A563-5F00BDDEE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2EA93F-A3CC-434E-8676-A39F982EC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989157D-6D81-4C59-B4F3-B160FDA9B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24458D0-2E28-43DC-8198-972945315E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D1CCF3-26D7-4E08-8044-9B59157744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63C77D0-656C-495D-B818-23E0FA6740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1CDC03-B2B8-4F61-A996-7296435861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729473-1364-457B-9BA1-856591EF25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FD9FBE6-948B-4B76-B609-891D2742F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FA7253F-C2F2-42CD-AB30-DCB2EE3C2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1CE1EC2-937F-4868-9B09-5E6AA1770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4FC254-8864-49AA-87DD-C2BF0D0D8D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7510646-F38A-4A9A-B3E1-66A8452A98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7490AF1-0C18-460E-B5EF-BA1B8CB842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F5332F-D429-4FE6-B904-E01C26064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170400-9897-499E-BD87-AFBCFE0961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D58508-73A0-4374-8FEE-6D7D7C5E88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128352-2E88-4679-A007-2B57D4597B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380E61B-E13F-4172-BA85-F45D25F4D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D9E9518-D3B6-4740-8881-91E6EE06E9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8F556F-D542-48E2-83C3-44B2C1849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775976B-C94B-416B-98F5-109C582F1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ACCCBF-85E8-4921-B987-6EC9C60837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AB05A6E-290E-4116-A9F9-8A74E6FFE2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CAB0A6-F73F-42EC-94D2-C3CDBB640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BB3C72-BAA4-435E-9336-FE0EACFB3E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04DC2C4-AA4C-4D9D-A7E7-C1E6B4CAC6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C6BDC1-C0D7-489E-AE21-2BC954D978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58A231-1E90-4DE4-847F-8610B7C74F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31507D-D33E-4A55-B6DD-F6BC6F34E6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8353D7A-D87D-4480-812F-E76DF9062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70DB7-96AD-4330-975A-8377DB2E6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B01C0-6FF4-4F84-B4F6-C49D837EB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D34D8E-C891-4737-A8D5-71F3BF7A42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538DCE-24D9-42A9-8A44-CB1246F26A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858C46-3400-49A5-8BA0-264916EC16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6F32893-807E-4EE2-883D-E32013419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B2727F-A619-44B2-BC10-0A7B54DB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9EE936-74A0-40E2-BBD9-EE9084BA51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F650F4-1A57-459A-A5EF-78449D5EF4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FF59A-C760-45CE-9120-38E76C113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AC471D1-59F3-4C8F-9460-3B82F823A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A850F05-C98A-4768-B9DC-D11BD271ED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86CF29-87E8-472C-8EBB-75F5B1E76B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5724ADA-D9E0-45C2-8526-DC8674C2A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57A6FA-0F42-4265-81AD-901355BDAB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9AC47C6-13D3-424C-88DE-CD09EF0BD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BC6A22-876A-43AD-81FD-41F07598E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5DD0F8-CDE3-4191-AC66-7F7A299D4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FCA13C-B1E7-430F-9F0F-876300DCA0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AFE807A-2325-4B0D-840C-D86C44224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91CA32-6C06-4BA6-A5DF-142DBAE74F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6D56D3-8966-4558-A6AC-0D421BD613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8A8D01-B4EB-4EC2-B7E4-510A59C9F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9CA9FA-E651-4855-93E1-BE9AD911F6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7D68D72-5A0F-4AF2-A643-9160CDE6D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743273-8B86-44C1-AAFE-DEBDED025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4BF8CB-81DC-44E7-84F5-B42406DCC3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B19DB9D-FB5F-47A5-9227-939F514A8B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B614A3B-6221-4EF1-84B0-28D9EEEE9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A49BFF2-D749-4222-BC92-D24A46F2F3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D96400-C29A-4421-8FB6-79614B9CBF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A9473E-6D2D-43A0-ACCA-646FC2F27B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4E2229-2B64-417D-BE3D-2B729B93F8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7BDFE87-496F-4DCB-8AED-D69655A476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026B82-8F4C-4D91-9952-971098254D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F7511F-24A3-4A0B-831F-5AA652EC8B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5A0472-5DF0-46A6-B1E5-A44EA4DD5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430058A-B0A0-4735-80A3-E291BCD8D2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253854-643C-4A66-9B55-0C1C89C15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4CD85BF-EFDA-4777-9544-CB7714A40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870C2-CE03-4E87-9BAD-A2BAC25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8581F2-3BDF-467C-BCA3-3D9E85521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3968EF-A103-48EE-A7C7-DB1446D30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6B15DAE-F79E-42BC-9E28-5DB5BA861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CD3F9E-C5FA-4354-949A-842A363B4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0ABCD15-4354-4CB3-A18D-597AC795F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87F4C5-D4D2-43A9-BB73-E5C7C223D5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57FC540-F6B3-45C1-8323-6EA38E623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126B67E-E250-425E-B8AA-E2388E7DA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ED1886-EA5B-4F11-B4E6-0D9334F65D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614E4FF-8034-4B42-B7E7-1CFD08416C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2C70D2-C6FF-454D-A287-F610326DA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29BA9B2-26D9-4DF7-B671-FC1810EDF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B75BE0-F5CD-4B67-9864-134AC20827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E4E71C7-D86D-405C-AD4B-B593ABD4B6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F37F54E-19BA-44E8-9C6A-7922C2A58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BE8AD1-E9F3-4A5B-86FE-F79465475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8462C5D-EFB6-41BA-98A4-0C2BF72D22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9DCFCA-DD86-4DD9-B068-8AFC24C1EA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5BE52C-EA0D-43A4-9686-54E94105DD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1B11C9B-CC90-4347-B898-35D6FEB0BE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8FD4593-B4A2-4FF9-8A1F-691FEFF4F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71C05C-CAFF-4179-8E43-4D71162627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AFE6F56-4382-471C-9A88-A3E0991DA4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D8A68F3-B846-4E30-B35D-71B78F1317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8A7907A-CEF4-4E9B-9EE3-BA1C9992F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B7928DE-735B-42AD-9676-5A7B4CE8F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DBDF20-30FF-4E6F-8901-2C93A6734D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0495A9-49A0-4EEB-BCC5-077C25379E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5FC0A57-20EE-4C7D-8276-9F83B7AEA7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443AC0-F588-4B4E-8C06-4D97A28CFB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2F465E6-C4ED-4B8E-B3ED-423B7E9ABF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8F71793-95F7-4B3A-A8BC-FCE51C35AD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2C8323-364E-49E8-8344-FAF31A8381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1CE76A-B7F2-407F-81B9-209BEA6B0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8D6EAE1-2D79-4FFA-80E1-BFD8FE258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45DABC-E03E-4987-A6D3-17AC857B64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D14CFE9-444C-4872-9E0D-63119CAF63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1CFDC3-6FDC-41B6-9512-AEEB47366B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AB269AF-3B67-4C90-8C21-291BA930D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F89B1F-0392-4658-8FDE-5D772AC61C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9FCD7A-C3A6-4291-A8CF-A6411B474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D290F85-3DC3-4195-BE14-4D706DC47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B7B434-22AA-4785-8AF4-491E83C0C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9E25FF-0261-4C18-AB6E-8B41E27E59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CB25B5F-A931-421F-B176-2A6F83E890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AE64FA-7E2C-42DD-9CA0-59CFBB7A9B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2D8A18D-51D7-48DD-91A5-20C94D530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F6696-807B-44CE-8B5B-76A352815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2C64E41-91E2-424D-8CDC-E6B497C058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7A2DB38-0A76-439C-9DB3-8924682D9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B70B212-E005-4344-AE5E-CFE49DBAEA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2D792A-6B33-4EC6-A1D2-60EB856D10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4FA827-9C1D-4093-A780-48A60781BD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3FE90A-D483-441B-844B-44E4C2523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A664D93-053D-4AA0-B033-9AA7CFB1B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492CD5F-A92B-41CD-9B73-E6E157F74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5000034-E05A-4905-BA97-11D3A5AC4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3E997C-1B75-464F-B9FA-0D114AF41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0194CF6-839C-4CA8-9484-1285208511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5F2BB00-FB8B-436B-937E-5DB386660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2E50B6-28A4-488D-8993-C2D13BD344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3C28C5-23A9-45A6-9FB2-31D01EA19C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C3B7C1-632F-4972-AFF8-BD049780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4CC5C9-B96A-4242-94A6-E424A83F5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01A1B3C-2DFA-4819-B14A-0F7666047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59C13E-82D8-4BA6-9841-47F4C9E9FE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A7B3EB-CB0D-476B-9E34-BB6CD87CEA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F24675-43B5-4EE1-98B7-76120F6910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9D7AE1-93ED-4C43-BFAE-0318570B2A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1EA68B-6A98-42D7-B9AC-00089ACA4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C19355D-DBF6-46CA-AC87-67785CEB2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917C3F1-9366-4BF7-8ED5-9EE2E11D46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BF38F1-C20B-4492-B349-01145F826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9BB40-5E9E-492D-BBF6-DCE40BE48B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0C9D68-42D4-48CE-A625-7871D099A2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16E770F-7C71-4232-A167-8DE7FD0C63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1F06D2-7130-4C88-899A-9C31487D3B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F605AE-E1CE-47A6-8447-CDF735DDF9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36AAB8-4494-4685-BCFA-7247D5FBF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8B636A8-6607-4E76-A023-AF6D3BE67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6F4E4A1-9ECE-4CB2-A3E7-CE1EA6A71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15C9F85-0164-4A4C-98E5-1BB9320A86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5EBAFF-BCF0-46C7-8209-73079A1273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41052F-796E-4C29-BFC4-F4AD01797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2C52F0-DE41-4A75-8210-898FCE0737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F36C00-CE6A-416A-91BF-EBDA8AB957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BD767-4486-461E-95D7-956D49FBF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8CA74C-A2C7-452F-9DE6-D874D50C6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1B22E8-F3AE-4DB0-95D0-DDEF850AA5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1E0F37-8FC1-4457-A42B-A1E349702F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2AB899-C430-41CC-9969-363347DAC1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3AA688-6C95-48D7-AFF9-23DEEACD0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34229B-B103-4056-933A-A2D0C2C7B9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45BBD-754C-4C1B-B3B1-AE039EF833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E17FBC-7B66-43BC-8CA1-CADF0251F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AB0C389-12BE-4FD3-9236-4F6F86AE2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E0828D-F8B6-4BBD-ADF0-5EB300FA7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E07926-9374-4868-A684-6ED0745B7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786F2F-56BB-4496-80F7-F4E28C549A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E511FF7-3EC3-4D8D-A1B7-B3D7EF7A7B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487804-D5D3-4E02-9B06-2E1678AEF0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FA6A08-0CBB-4F14-86E5-237F60337E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5AE38E3-760E-46C1-BD59-7BD4A5C536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9164F1-BBBE-451D-B730-6F507D864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9569F1-6E36-4618-B681-5BB315590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3E0F84-D0F2-406B-BF85-2B01801C4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7DCB35-D179-434B-ADBF-6AFC2DDD9D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4CFD27D-8C58-43D0-B474-F55E5C8A7A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21C23E4-B471-43B0-AB6C-2FDC8B4900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EB765F-00A8-4C55-B2BE-EC5B3B19B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9A5500B-2AF4-416C-97A5-95F0E9673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2C7EBF3-A541-4693-9202-A6FDD33EF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81EAEC-5D70-4572-BBD7-D0B3CC82EC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21FEAF-EF8D-44D1-A5FB-7A6628B8A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F0C5DFF-8307-42BC-809E-0C02CE0FBD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C08A8BB-CB46-4363-A072-21A9ED3535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A45EA93-8DCA-4E96-8C80-8C91D29B44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9584EA8-6D4E-432F-BB39-24B001ABE7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AF4641-AC15-4D68-BC16-A933628698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FD707EA-2513-4C85-9D06-637A11D62C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DA511AD-4D31-4A97-B0F4-A06CD4DE40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BFC60F4-0198-45A5-BE45-A43E47F86C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81A2B1-A51E-4510-9A39-2B94A00FD5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5155101-C1A4-4CFD-BACE-8453ABE11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B91963-E7E9-4853-AF57-6FFFDD0590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DBA4C6A-83DA-4E02-8938-2CD0AB968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46D290F-852F-4AB6-9831-8686B0EEAB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B40FA86-D1E8-499E-89C1-CBB09B5936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43C566C-0A77-4F60-917A-8F3A01260B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647387C-91B9-469F-847F-F0A3BB0B6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825F71-79DE-448C-8FB2-F2B6F98A36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2917529-AD9B-4418-AFD8-07C3DF39D0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BEC79DC-CD7E-413E-8767-6563E2463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C9791D-3048-48C1-B42C-25208D5E66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50BD5D-31E2-4E12-9A09-18CCFC3DCE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1EC4954-6366-4FE3-B42A-99C7270934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F2D5817-E4B6-4BA8-8CB3-0CD0D11667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3ADB30-0B38-4D9D-8738-0E7093E951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18A8875-19D6-4354-922F-4639E6DD8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4CDE6CA-321E-4559-A462-9D2817E095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EA0F1F-621F-4C7F-86EC-74CD706FF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3EFE022-FDA0-47AF-A2BE-A28E3252C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11C673-E181-4C06-AC2C-D56199AF4E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2A6AEE-84F4-4153-BB1B-D3897B431B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FD80E8-8453-4166-B174-9872BCF87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4E8C9E4-E4F9-4BEB-9DF7-A055428011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308697-937E-4F2F-B269-DA18B18C3B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6BB5E79-0C86-4077-BC40-9DDF0BC72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D000CE4-4101-455F-8605-B06EB6EC6D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67B0A53-1C0E-4AEA-9AE6-CFDF410870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BBE339-C556-4CA1-BA47-6BACDDD31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E293EB-D74E-42ED-B54C-64844BA9F3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D7B33E-816C-49A4-BA46-A9B80F8133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D5C1237-3590-40BA-8AE9-295FAA2BF1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CEB384-17D4-4091-B847-702369CF6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DAC6108-69AA-4444-AEEF-4550DC433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C11607C-10B8-46AA-82E8-49586432CA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7F927A7-0454-4E96-AD63-DF9DC551C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0CD4EFD-1936-4FAA-92B4-A782C2DFA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1A7A4E8-9CED-43FA-9048-7D660509D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74645A8-5573-4FA4-BDBE-11B73F8DD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4CE239-A653-4405-A785-B04770DD4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E68983-751F-409C-A72B-35F29BB4D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0F3270-C140-4B23-A303-EAFC841E2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2D9510-4290-49DA-B4E4-4D2AADE25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E1D6A1-1457-47BC-B651-1D97A0935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84D21D-967F-4343-8F4F-DDDC889EB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B14509D-FE6B-4FFD-A238-07E9FC7EF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2D5F66-522D-450B-A9A6-0A6EAC4119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3CA09B5-0EFC-4EC0-BED0-D2E5E8198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67B876-BF8F-44FC-8763-591A7D9A9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B913892-B555-4186-B94A-338DC2CD1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BED7B5-C9C2-4304-BB14-C9E5BAFAA0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36199DD-FDF8-4138-B011-887FEA5E2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755F9F2-B359-4EBE-AF98-52088F0CDB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EA7B17F-73DB-4D86-B526-F22ABF600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54DBE9D-C59C-424A-B3E7-45C4087F1B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71BFDB-9360-41EA-9DC6-471EE4945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1ED3A7-160B-453B-951A-948B649F9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8B852E-9443-484D-9A83-8F3CAD483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10352F-2046-443B-B25D-42FE2BAF88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5F51967-9DE8-439C-943F-BA4AE81926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FC8D99C-87C3-4EDF-A962-13DFBBF47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D4D8309-A068-4572-8276-C91A23700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9F8CEA-9402-4BA7-BCAC-40809B3EA1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431FAF-2972-44D6-B3D7-C54D67F32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0F0A6C-9EC8-4763-B715-ACC7BF2E3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3C1335-C2A3-49D3-A3F9-7B4BC39FC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09ABAD-C865-4121-BC2C-7FDD1CC32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6F26AB7-9F3A-40FD-9F70-E74B59851E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7E122A-4AAB-44AC-8BDD-D7016895B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DDD0243-C3A7-41E3-B39C-BD5718953E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C1445D-AA24-4FF3-92D3-128932065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86509A-7BE8-47B2-A169-398199B01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<sst xmlns="http://schemas.openxmlformats.org/spreadsheetml/2006/main" count="25691" uniqueCount="7595">
  <si>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</si>
  <si>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</si>
  <si>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</si>
  <si>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</si>
  <si>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</si>
  <si>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</si>
  <si>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</si>
  <si>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</si>
  <si>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</si>
  <si>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</si>
  <si>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</si>
  <si>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</si>
  <si>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</si>
  <si>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</si>
  <si>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</si>
  <si>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</si>
  <si>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</si>
  <si>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</si>
  <si>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SSMEMAR2</t>
  </si>
  <si>
    <t>SS T-SHIRT TOP TALI BLKG FP MARIE SSMEMAR2:PASTEL PINK:7-8:PRINT:SS T-SHIRT</t>
  </si>
  <si>
    <t>SS T-SHIRT TOP TALI BLKG FP MARIE SSMEMAR2:PASTEL PINK:9-10:PRINT:SS T-SHIRT</t>
  </si>
  <si>
    <t>SS T-SHIRT TOP TALI BLKG FP MARIE SSMEMAR2:PASTEL PINK:11-12:PRINT:SS T-SHIRT</t>
  </si>
  <si>
    <t>SS T-SHIRT TOP TALI BLKG FP MARIE SSMEMAR2:PASTEL PINK:5-6:PRINT:SS T-SHIRT</t>
  </si>
  <si>
    <t>TSDSYMIN</t>
  </si>
  <si>
    <t>SS T-SHIRT FP MINNIE &amp; DAISY TSDSYMIN:PASTEL PINK:5-6:PRINT:SS T-SHIRT</t>
  </si>
  <si>
    <t>SS T-SHIRT FP MINNIE &amp; DAISY TSDSYMIN:PASTEL PINK:7-8:PRINT:SS T-SHIRT</t>
  </si>
  <si>
    <t>SS T-SHIRT FP MINNIE &amp; DAISY TSDSYMIN:PASTEL PINK:9-10:PRINT:SS T-SHIRT</t>
  </si>
  <si>
    <t>JGFV4BAE</t>
  </si>
  <si>
    <t>JOGGER MINNIE TIE DYE FESTIVAL VIBES JGFV4BAE:PASTEL BLUE:11-12:GRAPHIC:JOGGER</t>
  </si>
  <si>
    <t>JOGGER MINNIE TIE DYE FESTIVAL VIBES JGFV4BAE:PASTEL BLUE:5-6:GRAPHIC:JOGGER</t>
  </si>
  <si>
    <t>JOGGER MINNIE TIE DYE FESTIVAL VIBES JGFV4BAE:PASTEL BLUE:7-8:GRAPHIC:JOGGER</t>
  </si>
  <si>
    <t>JOGGER MINNIE TIE DYE FESTIVAL VIBES JGFV4BAE:PASTEL BLUE:9-10:GRAPHIC:JOGGER</t>
  </si>
  <si>
    <t>DSQSFA</t>
  </si>
  <si>
    <t>SS MIDI DRESS QUEEN SISTERS 66050100FZA DSQSFA:PASTEL PURPLE:5-6:GRAPHIC:SS MIDI DRESS</t>
  </si>
  <si>
    <t>SS MIDI DRESS QUEEN SISTERS 66050100FZA DSQSFA:PASTEL PURPLE:9-10:GRAPHIC:SS MIDI DRESS</t>
  </si>
  <si>
    <t>SS MIDI DRESS QUEEN SISTERS 66050100FZA DSQSFA:PASTEL PURPLE:11-12:GRAPHIC:SS MIDI DRESS</t>
  </si>
  <si>
    <t>DLTEAM50</t>
  </si>
  <si>
    <t>LS MIDI DRESS TEAM 50 CINDERELLA 66050100PRN DLTEAM50:PASTEL PINK:13-14:GRAPHIC:LS MIDI DRESS</t>
  </si>
  <si>
    <t>LS MIDI DRESS TEAM 50 CINDERELLA 66050100PRN DLTEAM50:PASTEL PINK:7-8:GRAPHIC:LS MIDI DRESS</t>
  </si>
  <si>
    <t>LS MIDI DRESS TEAM 50 CINDERELLA 66050100PRN DLTEAM50:PASTEL PINK:9-10:GRAPHIC:LS MIDI DRESS</t>
  </si>
  <si>
    <t>LS MIDI DRESS TEAM 50 CINDERELLA 66050100PRN DLTEAM50:PASTEL PINK:11-12:GRAPHIC:LS MIDI DRESS</t>
  </si>
  <si>
    <t>DSCOSCIN</t>
  </si>
  <si>
    <t>SS MIDI DRESS COSTUME CINDERELLA DSCOSCIN:PASTEL BLUE:3-4:GRAPHIC:SS MIDI DRESS</t>
  </si>
  <si>
    <t>SS MIDI DRESS COSTUME CINDERELLA DSCOSCIN:PASTEL BLUE:4-5:GRAPHIC:SS MIDI DRESS</t>
  </si>
  <si>
    <t>SS MIDI DRESS COSTUME CINDERELLA DSCOSCIN:PASTEL BLUE:5-6:GRAPHIC:SS MIDI DRESS</t>
  </si>
  <si>
    <t>SS MIDI DRESS COSTUME CINDERELLA DSCOSCIN:PASTEL BLUE:7-8:GRAPHIC:SS MIDI DRESS</t>
  </si>
  <si>
    <t>DSCOSNOW</t>
  </si>
  <si>
    <t>SS MIDI DRESS COSTUME SNOW WHITE DSCOSNOW:PASTEL BLUE:3-4:GRAPHIC:SS MIDI DRESS</t>
  </si>
  <si>
    <t>SS MIDI DRESS COSTUME SNOW WHITE DSCOSNOW:PASTEL BLUE:4-5:GRAPHIC:SS MIDI DRESS</t>
  </si>
  <si>
    <t>SS MIDI DRESS COSTUME SNOW WHITE DSCOSNOW:PASTEL BLUE:5-6:GRAPHIC:SS MIDI DRESS</t>
  </si>
  <si>
    <t>SS MIDI DRESS COSTUME SNOW WHITE DSCOSNOW:PASTEL BLUE:7-8:GRAPHIC:SS MIDI DRESS</t>
  </si>
  <si>
    <t>JKFZA2</t>
  </si>
  <si>
    <t>JACKET HOODIE FROZEN STRONGER TOGETHER 66050100FZA JKFZA2:PASTEL BLUE:5-6:GRAPHIC:JACKET</t>
  </si>
  <si>
    <t>DSCRAPZ</t>
  </si>
  <si>
    <t>SS MIDI DRESS COSTUME RAPUNZEL DSCRAPZ:PASTEL PURPLE:4-5:SOLID:SS MIDI DRESS</t>
  </si>
  <si>
    <t>SS MIDI DRESS COSTUME RAPUNZEL DSCRAPZ:PASTEL PURPLE:5-6:SOLID:SS MIDI DRESS</t>
  </si>
  <si>
    <t>SS MIDI DRESS COSTUME RAPUNZEL DSCRAPZ:PASTEL PURPLE:7-8:SOLID:SS MIDI DRESS</t>
  </si>
  <si>
    <t>DSCOSFZA</t>
  </si>
  <si>
    <t>SS MIDI DRESS COSTUME FROZEN DSCOSFZA:PASTEL BLUE:3-4:GRAPHIC:SS MIDI DRESS</t>
  </si>
  <si>
    <t>SSSMOCKF</t>
  </si>
  <si>
    <t>SS T-SHIRT TOP BABYTERRY SMOCK FROZEN SSSMOCKF:PASTEL GREEN:3-4:PRINT:SS T-SHIRT</t>
  </si>
  <si>
    <t>SS T-SHIRT TOP BABYTERRY SMOCK FROZEN SSSMOCKF:PASTEL GREEN:4-5:PRINT:SS T-SHIRT</t>
  </si>
  <si>
    <t>SS T-SHIRT TOP BABYTERRY SMOCK FROZEN SSSMOCKF:PASTEL GREEN:5-6:PRINT:SS T-SHIRT</t>
  </si>
  <si>
    <t>SS T-SHIRT TOP BABYTERRY SMOCK FROZEN SSSMOCKF:PASTEL GREEN:7-8:PRINT:SS T-SHIRT</t>
  </si>
  <si>
    <t>LPCHFZA</t>
  </si>
  <si>
    <t>DENIM LONG PANTS CHAMB FROZEN LPCHFZA:MEDIUM DENIM:3-4:GRAPHIC:DENIM LONG PANTS</t>
  </si>
  <si>
    <t>DENIM LONG PANTS CHAMB FROZEN LPCHFZA:MEDIUM DENIM:7-8:GRAPHIC:DENIM LONG PANTS</t>
  </si>
  <si>
    <t>DSSMLMIN</t>
  </si>
  <si>
    <t>SS MIDI DRESS MINNIE SMILE 66050100MIN DSSMLMIN:PASTEL ORANGE:7-8:GRAPHIC:SS MIDI DRESS</t>
  </si>
  <si>
    <t>SS MIDI DRESS MINNIE SMILE 66050100MIN DSSMLMIN:PASTEL ORANGE:9-10:GRAPHIC:SS MIDI DRESS</t>
  </si>
  <si>
    <t>SS MIDI DRESS MINNIE SMILE 66050100MIN DSSMLMIN:PASTEL ORANGE:11-12:GRAPHIC:SS MIDI DRESS</t>
  </si>
  <si>
    <t>DOSFZA2</t>
  </si>
  <si>
    <t>SS MIDI DRESS OVERALL FROZEN STRONGER TOGETHER 66050100FZA DOSFZA2:PASTEL BLUE:7-8:PRINT:SS MIDI DRE</t>
  </si>
  <si>
    <t>SS MIDI DRESS OVERALL FROZEN STRONGER TOGETHER 66050100FZA DOSFZA2:PASTEL BLUE:9-10:PRINT:SS MIDI DR</t>
  </si>
  <si>
    <t>SS MIDI DRESS OVERALL FROZEN STRONGER TOGETHER 66050100FZA DOSFZA2:PASTEL BLUE:11-12:PRINT:SS MIDI D</t>
  </si>
  <si>
    <t>DARSLBMIN</t>
  </si>
  <si>
    <t>SS MIDI DRESS BABYTERRY SLING BAG MINNIE DARSLBMIN:FUSCHIA:3-4:GRAPHIC:SS MIDI DRESS</t>
  </si>
  <si>
    <t>SS MIDI DRESS BABYTERRY SLING BAG MINNIE DARSLBMIN:FUSCHIA:5-6:GRAPHIC:SS MIDI DRESS</t>
  </si>
  <si>
    <t>DSPOLMIN</t>
  </si>
  <si>
    <t>SS MIDI DRESS KERAH POLO MINNIE 66050100MIN DSPOLMIN:ASSORTIVE COLOR:3-4:GRAPHIC:SS MIDI DRESS</t>
  </si>
  <si>
    <t>SS MIDI DRESS KERAH POLO MINNIE 66050100MIN DSPOLMIN:ASSORTIVE COLOR:4-5:GRAPHIC:SS MIDI DRESS</t>
  </si>
  <si>
    <t>DSARMAR</t>
  </si>
  <si>
    <t>LS T-SHIRT CUT AND SEWN MARIE 66050100MAR DSARMAR:ASSORTIVE COLOR:3-4:GRAPHIC:LS T-SHIRT</t>
  </si>
  <si>
    <t>LS T-SHIRT CUT AND SEWN MARIE 66050100MAR DSARMAR:ASSORTIVE COLOR:4-5:GRAPHIC:LS T-SHIRT</t>
  </si>
  <si>
    <t>SSBDFZA</t>
  </si>
  <si>
    <t>SS T-SHIRT TOP BABYDOLL FROZEN SSBDFZA:PASTEL PURPLE:4-5:PRINT:SS T-SHIRT</t>
  </si>
  <si>
    <t>DSPOCFZA</t>
  </si>
  <si>
    <t>SS MIDI DRESS BBTR SLING POCKET FROZEN DSPOCFZA:PASTEL GREEN:3-4:GRAPHIC:SS MIDI DRESS</t>
  </si>
  <si>
    <t>DSKERFZA</t>
  </si>
  <si>
    <t>SS MIDI DRESS TILE KERAH FROZEN DSKERFZA:PASTEL PURPLE:3-4:GRAPHIC:SS MIDI DRESS</t>
  </si>
  <si>
    <t>SSSNMIN</t>
  </si>
  <si>
    <t>SS T-SHIRT TOP KERAH RUFFLE MINNIE STARRY NIGHT SSSNMIN:PASTEL PURPLE:9-10:PRINT:SS T-SHIRT</t>
  </si>
  <si>
    <t>SS T-SHIRT TOP KERAH RUFFLE MINNIE STARRY NIGHT SSSNMIN:PASTEL PURPLE:11-12:PRINT:SS T-SHIRT</t>
  </si>
  <si>
    <t>TSBAMDKK</t>
  </si>
  <si>
    <t>SS T-SHIRT FP BAMBI DKK TSBAMDKK:OFF WHITE:5-6:PRINT:SS T-SHIRT</t>
  </si>
  <si>
    <t>SS T-SHIRT FP BAMBI DKK TSBAMDKK:OFF WHITE:7-8:PRINT:SS T-SHIRT</t>
  </si>
  <si>
    <t>SS T-SHIRT FP BAMBI DKK TSBAMDKK:OFF WHITE:9-10:PRINT:SS T-SHIRT</t>
  </si>
  <si>
    <t>SS T-SHIRT FP BAMBI DKK TSBAMDKK:OFF WHITE:11-12:PRINT:SS T-SHIRT</t>
  </si>
  <si>
    <t>SSRFPRN</t>
  </si>
  <si>
    <t>SS T-SHIRT FP 2 RUFFLE SSRFPRN:PASTEL PINK:7-8:PRINT:SS T-SHIRT</t>
  </si>
  <si>
    <t>SSMEMAR3</t>
  </si>
  <si>
    <t>SS T-SHIRT TOP BUNDEL DEPAN MARIE SSMEMAR3:PASTEL GREEN:5-6:GRAPHIC:SS T-SHIRT</t>
  </si>
  <si>
    <t>SS T-SHIRT TOP BUNDEL DEPAN MARIE SSMEMAR3:PASTEL GREEN:7-8:GRAPHIC:SS T-SHIRT</t>
  </si>
  <si>
    <t>SS T-SHIRT TOP BUNDEL DEPAN MARIE SSMEMAR3:PASTEL GREEN:9-10:GRAPHIC:SS T-SHIRT</t>
  </si>
  <si>
    <t>SS T-SHIRT TOP BUNDEL DEPAN MARIE SSMEMAR3:PASTEL GREEN:11-12:GRAPHIC:SS T-SHIRT</t>
  </si>
  <si>
    <t>TSMGMARIE</t>
  </si>
  <si>
    <t>SS T-SHIRT RENDA MARIE TSMGMARIE:PASTEL ORANGE:5-6:GRAPHIC:SS T-SHIRT</t>
  </si>
  <si>
    <t>SS T-SHIRT RENDA MARIE TSMGMARIE:PASTEL ORANGE:7-8:GRAPHIC:SS T-SHIRT</t>
  </si>
  <si>
    <t>SS T-SHIRT RENDA MARIE TSMGMARIE:PASTEL ORANGE:9-10:GRAPHIC:SS T-SHIRT</t>
  </si>
  <si>
    <t>SS T-SHIRT RENDA MARIE TSMGMARIE:PASTEL ORANGE:11-12:GRAPHIC:SS T-SHIRT</t>
  </si>
  <si>
    <t>SWBOWMIN</t>
  </si>
  <si>
    <t>SWEATSHIRT HOODIE MINNIE ALL ABOUT THE BOW 66050100MIN SWBOWMIN:PASTEL PINK:5-6:GRAPHIC:SWEATSHIRT</t>
  </si>
  <si>
    <t>DOSMIN</t>
  </si>
  <si>
    <t>SS MIDI DRESS OVERALL MINNIE DOSMIN:PASTEL PINK:3-4:GRAPHIC:SS MIDI DRESS</t>
  </si>
  <si>
    <t>SS MIDI DRESS OVERALL MINNIE DOSMIN:PASTEL PINK:5-6:GRAPHIC:SS MIDI DRESS</t>
  </si>
  <si>
    <t>DSFPMAR</t>
  </si>
  <si>
    <t>SS MIDI DRESS FP MARIE LENGAN RENDA DSFPMAR:PASTEL PINK:9-10:PRINT:SS MIDI DRESS</t>
  </si>
  <si>
    <t>SS MIDI DRESS FP MARIE LENGAN RENDA DSFPMAR:PASTEL PINK:11-12:PRINT:SS MIDI DRESS</t>
  </si>
  <si>
    <t>DLMEMIN</t>
  </si>
  <si>
    <t>LS MIDI DRESS FLOCKING MINNIE GRL PWR VIBES DLMEMIN:PASTEL BLUE:11-12:GRAPHIC:LS MIDI DRESS</t>
  </si>
  <si>
    <t>LS MIDI DRESS FLOCKING MINNIE GRL PWR VIBES DLMEMIN:PASTEL BLUE:5-6:GRAPHIC:LS MIDI DRESS</t>
  </si>
  <si>
    <t>LS MIDI DRESS FLOCKING MINNIE GRL PWR VIBES DLMEMIN:PASTEL BLUE:7-8:GRAPHIC:LS MIDI DRESS</t>
  </si>
  <si>
    <t>LS MIDI DRESS FLOCKING MINNIE GRL PWR VIBES DLMEMIN:PASTEL BLUE:9-10:GRAPHIC:LS MIDI DRESS</t>
  </si>
  <si>
    <t>SKMMAID</t>
  </si>
  <si>
    <t>MINI SKIRT SKORT PRINCESS LITTLE MERMAID SKMMAID:PASTEL PINK:3-4:GRAPHIC:MINI SKIRT</t>
  </si>
  <si>
    <t>MINI SKIRT SKORT PRINCESS LITTLE MERMAID SKMMAID:PASTEL PINK:4-5:GRAPHIC:MINI SKIRT</t>
  </si>
  <si>
    <t>MINI SKIRT SKORT PRINCESS LITTLE MERMAID SKMMAID:PASTEL PINK:5-6:GRAPHIC:MINI SKIRT</t>
  </si>
  <si>
    <t>DSMMAID</t>
  </si>
  <si>
    <t>SS MIDI DRESS PRINCESS LITTLE MERMAID DSMMAID:PASTEL PINK:3-4:GRAPHIC:SS MIDI DRESS</t>
  </si>
  <si>
    <t>SS MIDI DRESS PRINCESS LITTLE MERMAID DSMMAID:PASTEL PINK:5-6:GRAPHIC:SS MIDI DRESS</t>
  </si>
  <si>
    <t>SS MIDI DRESS PRINCESS LITTLE MERMAID DSMMAID:PASTEL PINK:7-8:GRAPHIC:SS MIDI DRESS</t>
  </si>
  <si>
    <t>SSMMAID</t>
  </si>
  <si>
    <t>SS T-SHIRT TOP PRINCESS LITTLE MERMAID SSMMAID:OFF WHITE:4-5:GRAPHIC:SS T-SHIRT</t>
  </si>
  <si>
    <t>SS T-SHIRT TOP PRINCESS LITTLE MERMAID SSMMAID:OFF WHITE:7-8:GRAPHIC:SS T-SHIRT</t>
  </si>
  <si>
    <t>SSFPMAID</t>
  </si>
  <si>
    <t>SS T-SHIRT TOP FULLPRINT PRINCESS LITTLE MERMAID SSFPMAID:OFF WHITE:3-4:PRINT:SS T-SHIRT</t>
  </si>
  <si>
    <t>SS T-SHIRT TOP FULLPRINT PRINCESS LITTLE MERMAID SSFPMAID:OFF WHITE:7-8:PRINT:SS T-SHIRT</t>
  </si>
  <si>
    <t>DDRFFZA</t>
  </si>
  <si>
    <t>SS MIDI DRESS DAILY RUFFLE FROZEN DDRFFZA:ASSORTIVE COLOR:9-10:GRAPHIC:SS MIDI DRESS</t>
  </si>
  <si>
    <t>SS MIDI DRESS DAILY RUFFLE FROZEN DDRFFZA:ASSORTIVE COLOR:13-14:GRAPHIC:SS MIDI DRESS</t>
  </si>
  <si>
    <t>JGDPFZA</t>
  </si>
  <si>
    <t>JOGGER CUT AND SEWN FROZEN 66050100FZA JGDPFZA:PASTEL ORANG:7-8:GRAPHIC:JOGGER</t>
  </si>
  <si>
    <t>JOGGER CUT AND SEWN FROZEN 66050100FZA JGDPFZA:PASTEL ORANG:9-10:GRAPHIC:JOGGER</t>
  </si>
  <si>
    <t>JOGGER CUT AND SEWN FROZEN 66050100FZA JGDPFZA:PASTEL ORANG:11-12:GRAPHIC:JOGGER</t>
  </si>
  <si>
    <t>JOGGER CUT AND SEWN FROZEN 66050100FZA JGDPFZA:PASTEL ORANG:13-14:GRAPHIC:JOGGER</t>
  </si>
  <si>
    <t>DSOMARIE</t>
  </si>
  <si>
    <t>SS MIDI DRESS OVERALL MARIE DSOMARIE:PASTEL PINK:5-6:GRAPHIC:SS MIDI DRESS</t>
  </si>
  <si>
    <t>DOVMIN</t>
  </si>
  <si>
    <t>SS MIDI DRESS OVERALL WOVEN SALUR MINNIE DOVMIN:PASTEL PINK:5-6:GRAPHIC:SS MIDI DRESS</t>
  </si>
  <si>
    <t>SWRDPFZA2</t>
  </si>
  <si>
    <t>SWEATSHIRT FROZEN RUFFLE 66050100FZA SWRDPFZA2:PEPPERMINT:7-8:GRAPHIC:SWEATSHIRT</t>
  </si>
  <si>
    <t>SWEATSHIRT FROZEN RUFFLE 66050100FZA SWRDPFZA2:PEPPERMINT:9-10:GRAPHIC:SWEATSHIRT</t>
  </si>
  <si>
    <t>SWEATSHIRT FROZEN RUFFLE 66050100FZA SWRDPFZA2:PEPPERMINT:11-12:GRAPHIC:SWEATSHIRT</t>
  </si>
  <si>
    <t>SWEATSHIRT FROZEN RUFFLE 66050100FZA SWRDPFZA2:PEPPERMINT:13-14:GRAPHIC:SWEATSHIRT</t>
  </si>
  <si>
    <t>SWHDPFZA2</t>
  </si>
  <si>
    <t>SWEATSHIRT HOODIE FROZEN 66050100FZA SWHDPFZA2:PASTEL ORANG:7-8:GRAPHIC:SWEATSHIRT</t>
  </si>
  <si>
    <t>SWEATSHIRT HOODIE FROZEN 66050100FZA SWHDPFZA2:PASTEL ORANG:9-10:GRAPHIC:SWEATSHIRT</t>
  </si>
  <si>
    <t>SWEATSHIRT HOODIE FROZEN 66050100FZA SWHDPFZA2:PASTEL ORANG:11-12:GRAPHIC:SWEATSHIRT</t>
  </si>
  <si>
    <t>SWEATSHIRT HOODIE FROZEN 66050100FZA SWHDPFZA2:PASTEL ORANG:13-14:GRAPHIC:SWEATSHIRT</t>
  </si>
  <si>
    <t>SHBLFZA1</t>
  </si>
  <si>
    <t>LS SHIRT WOVEN FROZEN 66050100FZA SHBLFZA1:PASTEL BLUE:9-10:GRAPHIC:LS SHIRT</t>
  </si>
  <si>
    <t>LS SHIRT WOVEN FROZEN 66050100FZA SHBLFZA1:PASTEL BLUE:11-12:GRAPHIC:LS SHIRT</t>
  </si>
  <si>
    <t>SHLFZA2</t>
  </si>
  <si>
    <t>LS SHIRT WOVEN FROZEN 66050100FZA SHLFZA2:PASTEL ORANGE:7-8:GRAPHIC:LS SHIRT</t>
  </si>
  <si>
    <t>LS SHIRT WOVEN FROZEN 66050100FZA SHLFZA2:PASTEL ORANGE:9-10:GRAPHIC:LS SHIRT</t>
  </si>
  <si>
    <t>LS SHIRT WOVEN FROZEN 66050100FZA SHLFZA2:PASTEL ORANGE:13-14:GRAPHIC:LS SHIRT</t>
  </si>
  <si>
    <t>LPDNFZA</t>
  </si>
  <si>
    <t>DENIM LONG PANTS FROZEN 66050100FZA LPDNFZA:MEDIUM DENIM:7-8:GRAPHIC:DENIM LONG PANTS</t>
  </si>
  <si>
    <t>DENIM LONG PANTS FROZEN 66050100FZA LPDNFZA:MEDIUM DENIM:9-10:GRAPHIC:DENIM LONG PANTS</t>
  </si>
  <si>
    <t>DENIM LONG PANTS FROZEN 66050100FZA LPDNFZA:MEDIUM DENIM:11-12:GRAPHIC:DENIM LONG PANTS</t>
  </si>
  <si>
    <t>DENIM LONG PANTS FROZEN 66050100FZA LPDNFZA:MEDIUM DENIM:13-14:GRAPHIC:DENIM LONG PANTS</t>
  </si>
  <si>
    <t>KULFRZ</t>
  </si>
  <si>
    <t>LONG PANTS KULOT WOVEN FROZEN 66050100FZA KULFRZ:KHAKI:9-10:SOLID:LONG PANTS</t>
  </si>
  <si>
    <t>LONG PANTS KULOT WOVEN FROZEN 66050100FZA KULFRZ:KHAKI:11-12:SOLID:LONG PANTS</t>
  </si>
  <si>
    <t>DOVFZA</t>
  </si>
  <si>
    <t>LS MIDI DRESS OVERALL TOD WOVEN SALUR FROZEN DOVFZA:PASTEL BLUE:7-8:GRAPHIC:LS MIDI DRESS</t>
  </si>
  <si>
    <t>LS MIDI DRESS OVERALL TOD WOVEN SALUR FROZEN DOVFZA:PASTEL BLUE:11-12:GRAPHIC:LS MIDI DRESS</t>
  </si>
  <si>
    <t>LS MIDI DRESS OVERALL TOD WOVEN SALUR FROZEN DOVFZA:PASTEL BLUE:13-14:GRAPHIC:LS MIDI DRESS</t>
  </si>
  <si>
    <t>TSPLFPMIN</t>
  </si>
  <si>
    <t>SS T-SHIRT FULL PRINT MINNIE TSPLFPMIN:WHITE:7-8:PRINT:SS T-SHIRT</t>
  </si>
  <si>
    <t>SS T-SHIRT FULL PRINT MINNIE TSPLFPMIN:WHITE:11-12:PRINT:SS T-SHIRT</t>
  </si>
  <si>
    <t>SS T-SHIRT FULL PRINT MINNIE TSPLFPMIN:WHITE:13-14:PRINT:SS T-SHIRT</t>
  </si>
  <si>
    <t>TSPLFPMAR</t>
  </si>
  <si>
    <t>SS T-SHIRT FULL PRINT MARIE TSPLFPMAR:PASTEL PINK:11-12:PRINT:SS T-SHIRT</t>
  </si>
  <si>
    <t>AMLSPRB</t>
  </si>
  <si>
    <t>LS T-SHIRT RAINBOW PRINCESS 66030100PRN AMLSPRB:OFF WHITE:3-4:GRAPHIC:LS T-SHIRT</t>
  </si>
  <si>
    <t>JGDPFZA2</t>
  </si>
  <si>
    <t>JOGGER CUT AND SEWN FROZEN 66050100FZA JGDPFZA2:PASTEL ORANG:7-8:GRAPHIC:JOGGER</t>
  </si>
  <si>
    <t>JOGGER CUT AND SEWN FROZEN 66050100FZA JGDPFZA2:PASTEL ORANG:9-10:GRAPHIC:JOGGER</t>
  </si>
  <si>
    <t>JOGGER CUT AND SEWN FROZEN 66050100FZA JGDPFZA2:PASTEL ORANG:11-12:GRAPHIC:JOGGER</t>
  </si>
  <si>
    <t>JOGGER CUT AND SEWN FROZEN 66050100FZA JGDPFZA2:PASTEL ORANG:13-14:GRAPHIC:JOGGER</t>
  </si>
  <si>
    <t>LPCHMIN</t>
  </si>
  <si>
    <t>LONG PANTS BABYTERRY MINNIE 66050100MIN LPCHMIN:PASTEL PINK:7-8:SOLID:LONG PANTS</t>
  </si>
  <si>
    <t>LONG PANTS BABYTERRY MINNIE 66050100MIN LPCHMIN:PASTEL PINK:9-10:SOLID:LONG PANTS</t>
  </si>
  <si>
    <t>LONG PANTS BABYTERRY MINNIE 66050100MIN LPCHMIN:PASTEL PINK:11-12:SOLID:LONG PANTS</t>
  </si>
  <si>
    <t>LONG PANTS BABYTERRY MINNIE 66050100MIN LPCHMIN:PASTEL PINK:13-14:SOLID:LONG PANTS</t>
  </si>
  <si>
    <t>DLDPFZA2</t>
  </si>
  <si>
    <t>LS MIDI DRESS CUT AND SEWN FROZEN 66050100FZA DLDPFZA2:PEPPERMINT:7-8:GRAPHIC:LS MIDI DR</t>
  </si>
  <si>
    <t>LS MIDI DRESS CUT AND SEWN FROZEN 66050100FZA DLDPFZA2:PEPPERMINT:9-10:GRAPHIC:LS MIDI DR</t>
  </si>
  <si>
    <t>LS MIDI DRESS CUT AND SEWN FROZEN 66050100FZA DLDPFZA2:PEPPERMINT:11-12:GRAPHIC:LS MIDI DR</t>
  </si>
  <si>
    <t>LS MIDI DRESS CUT AND SEWN FROZEN 66050100FZA DLDPFZA2:PEPPERMINT:13-14:GRAPHIC:LS MIDI DR</t>
  </si>
  <si>
    <t>DLDPFZA</t>
  </si>
  <si>
    <t>LS MIDI DRESS CUT AND SEWN FROZEN 66050100FZA DLDPFZA:PASTEL BLU:7-8:GRAPHIC:LS MIDI DR</t>
  </si>
  <si>
    <t>LS MIDI DRESS CUT AND SEWN FROZEN 66050100FZA DLDPFZA:PASTEL BLU:11-12:GRAPHIC:LS MIDI DR</t>
  </si>
  <si>
    <t>LS MIDI DRESS CUT AND SEWN FROZEN 66050100FZA DLDPFZA:PASTEL BLU:13-14:GRAPHIC:LS MIDI DR</t>
  </si>
  <si>
    <t>DSCHMIN</t>
  </si>
  <si>
    <t>SS MIDI DRESS CHENILLE MINNIE 66050100MIN DSCHMIN:PASTEL PINK:11-12:GRAPHIC:SS MIDI DRESS</t>
  </si>
  <si>
    <t>SS MIDI DRESS CHENILLE MINNIE 66050100MIN DSCHMIN:PASTEL PINK:13-14:GRAPHIC:SS MIDI DRESS</t>
  </si>
  <si>
    <t>DLHCHMIN</t>
  </si>
  <si>
    <t>LS MIDI DRESS HOODIE CHENILLE MINNIE 66050100MIN DLHCHMIN:PASTEL PINK:9-10:GRAPHIC:LS MIDI DRESS</t>
  </si>
  <si>
    <t>LS MIDI DRESS HOODIE CHENILLE MINNIE 66050100MIN DLHCHMIN:PASTEL PINK:13-14:GRAPHIC:LS MIDI DRESS</t>
  </si>
  <si>
    <t>DD23PRN</t>
  </si>
  <si>
    <t>SS MIDI DRESS DAILY TW PRINCESS DD23PRN:CORAL:9-10:GRAPHIC:SS MIDI DRESS</t>
  </si>
  <si>
    <t>DLTSBPRN</t>
  </si>
  <si>
    <t>LS MIDI DRESS TULLE SUSUN PRINCESS 66050100PRN DLTSBPRN:PASTEL PINK:5-6:GRAPHIC:LS MIDI DRESS</t>
  </si>
  <si>
    <t>DARBAM</t>
  </si>
  <si>
    <t>SS MIDI DRESS KERAH BAMBI DARBAM:PASTEL PINK:5-6:GRAPHIC:SS MIDI DRESS</t>
  </si>
  <si>
    <t>SS MIDI DRESS KERAH BAMBI DARBAM:PASTEL PINK:7-8:GRAPHIC:SS MIDI DRESS</t>
  </si>
  <si>
    <t>SS MIDI DRESS KERAH BAMBI DARBAM:PASTEL PINK:4-5:GRAPHIC:SS MIDI DRESS</t>
  </si>
  <si>
    <t>LS MIDI DRESS TULLE SUSUN PRINCESS 66050100PRN DLTSBPRN:PASTEL PINK:4-5:GRAPHIC:LS MIDI DRESS</t>
  </si>
  <si>
    <t>SWCHMIN</t>
  </si>
  <si>
    <t>SWEATSHIRT MINNE CHENILLE CHOOSE HAPPY 66050100MIN SWCHMIN:PASTEL PINK:7-8:GRAPHIC:SWEATSHIRT</t>
  </si>
  <si>
    <t>SWEATSHIRT MINNE CHENILLE CHOOSE HAPPY 66050100MIN SWCHMIN:PASTEL PINK:9-10:GRAPHIC:SWEATSHIRT</t>
  </si>
  <si>
    <t>SWEATSHIRT MINNE CHENILLE CHOOSE HAPPY 66050100MIN SWCHMIN:PASTEL PINK:11-12:GRAPHIC:SWEATSHIRT</t>
  </si>
  <si>
    <t>SWEATSHIRT MINNE CHENILLE CHOOSE HAPPY 66050100MIN SWCHMIN:PASTEL PINK:13-14:GRAPHIC:SWEATSHIRT</t>
  </si>
  <si>
    <t>SWHMAR</t>
  </si>
  <si>
    <t>SWEATSHIRT HOODIE MARIE 66050100MAR SWHMAR:PASTEL PINK:3-4:GRAPHIC:SWEATSHIRT</t>
  </si>
  <si>
    <t>SWEATSHIRT HOODIE MARIE 66050100MAR SWHMAR:PASTEL PINK:5-6:GRAPHIC:SWEATSHIRT</t>
  </si>
  <si>
    <t>SWEATSHIRT HOODIE MARIE 66050100MAR SWHMAR:PASTEL PINK:7-8:GRAPHIC:SWEATSHIRT</t>
  </si>
  <si>
    <t>SWHTSMAR</t>
  </si>
  <si>
    <t>SWEATSHIRT HOODIE TAS SLEMPANG MARIE 66050100MAR SWHTSMAR:PASTEL PINK:3-4:GRAPHIC:SWEATSHIRT</t>
  </si>
  <si>
    <t>SWEATSHIRT HOODIE TAS SLEMPANG MARIE 66050100MAR SWHTSMAR:PASTEL PINK:7-8:GRAPHIC:SWEATSHIRT</t>
  </si>
  <si>
    <t>SWRFMAR</t>
  </si>
  <si>
    <t>SWEATSHIRT RUFFLE MARIE 66050100MAR SWRFMAR:PASTEL PINK:9-10:PRINT:SWEATSHIRT</t>
  </si>
  <si>
    <t>SWCSBAMB</t>
  </si>
  <si>
    <t>SWEATSHIRT SWEET LIKE BAMBI 66050100 SWCSBAMB:CORAL:11-12:PRINT:SWEATSHIRT</t>
  </si>
  <si>
    <t>SWEATSHIRT SWEET LIKE BAMBI 66050100 SWCSBAMB:CORAL:13-14:PRINT:SWEATSHIRT</t>
  </si>
  <si>
    <t>SWKRFZA</t>
  </si>
  <si>
    <t>SWEATSHIRT KERAH FROZEN 66050100FZA SWKRFZA:PASTEL PURPLE:7-8:GRAPHIC:SWEATSHIRT</t>
  </si>
  <si>
    <t>SWEATSHIRT KERAH FROZEN 66050100FZA SWKRFZA:PASTEL PURPLE:13-14:GRAPHIC:SWEATSHIRT</t>
  </si>
  <si>
    <t>SWEATSHIRT HOODIE MARIE 66050100MAR SWHMAR:PASTEL PINK:4-5:GRAPHIC:SWEATSHIRT</t>
  </si>
  <si>
    <t>LPDFPMIN</t>
  </si>
  <si>
    <t>DENIM LONG PANTS FULL PRINT MINNIE 66050100MIN LPDFPMIN:MEDIUM DENIM:7-8:PRINT:DENIM LONG PANTS</t>
  </si>
  <si>
    <t>DENIM LONG PANTS FULL PRINT MINNIE 66050100MIN LPDFPMIN:MEDIUM DENIM:9-10:PRINT:DENIM LONG PANTS</t>
  </si>
  <si>
    <t>DENIM LONG PANTS FULL PRINT MINNIE 66050100MIN LPDFPMIN:MEDIUM DENIM:11-12:PRINT:DENIM LONG PANTS</t>
  </si>
  <si>
    <t>SSLGTLFZA</t>
  </si>
  <si>
    <t>SS T-SHIRT TOP BABY TERRY LENGAN TULLE FROZEN FIND YD SSLGTLFZA:PASTEL ORANGE:13-14:GRAPHIC:SS T-SHI</t>
  </si>
  <si>
    <t>SSBTTLFZA</t>
  </si>
  <si>
    <t>SS T-SHIRT TOP BABY TERRY TULLE FROZEN FIND YD SSBTTLFZA:PASTEL PURPLE:7-8:GRAPHIC:SS T-SHIRT</t>
  </si>
  <si>
    <t>SS T-SHIRT TOP BABY TERRY TULLE FROZEN FIND YD SSBTTLFZA:PASTEL PURPLE:13-14:GRAPHIC:SS T-SHIRT</t>
  </si>
  <si>
    <t>SSLGSFFZA</t>
  </si>
  <si>
    <t>SS T-SHIRT TOP LENGAN TULLE FROZEN FIND YD SSLGSFFZA:PASTEL GREEN:9-10:GRAPHIC:SS T-SHIRT</t>
  </si>
  <si>
    <t>SS T-SHIRT TOP LENGAN TULLE FROZEN FIND YD SSLGSFFZA:PASTEL GREEN:13-14:GRAPHIC:SS T-SHIRT</t>
  </si>
  <si>
    <t>TSLMINN</t>
  </si>
  <si>
    <t>LS T-SHIRT RUFFLE MINNIE TSLMINN:PASTEL ORANGE:9-10:GRAPHIC:LS T-SHIRT</t>
  </si>
  <si>
    <t>DLKRPRN</t>
  </si>
  <si>
    <t>LS MIDI DRESS KERAH PRINCESS 66050100PRN DLKRPRN:PASTEL PINK:3-4:GRAPHIC:LS MIDI DRESS</t>
  </si>
  <si>
    <t>LS MIDI DRESS KERAH PRINCESS 66050100PRN DLKRPRN:PASTEL PINK:5-6:GRAPHIC:LS MIDI DRESS</t>
  </si>
  <si>
    <t>LS MIDI DRESS KERAH PRINCESS 66050100PRN DLKRPRN:PASTEL PINK:7-8:GRAPHIC:LS MIDI DRESS</t>
  </si>
  <si>
    <t>JKHMINKT</t>
  </si>
  <si>
    <t>JACKET HOODIE MINNIE KOTAK 66050100MIN JKHMINKT:OFF WHITE:9-10:GRAPHIC:JACKET</t>
  </si>
  <si>
    <t>JACKET HOODIE MINNIE KOTAK 66050100MIN JKHMINKT:OFF WHITE:11-12:GRAPHIC:JACKET</t>
  </si>
  <si>
    <t>JACKET HOODIE MINNIE KOTAK 66050100MIN JKHMINKT:OFF WHITE:13-14:GRAPHIC:JACKET</t>
  </si>
  <si>
    <t>SWSHAPPY</t>
  </si>
  <si>
    <t>SWEATSHIRT HOODIE MINNIE SUPER HAPPY SWSHAPPY:PASTEL PINK:7-8:PRINT:SWEATSHIRT</t>
  </si>
  <si>
    <t>SWEATSHIRT HOODIE MINNIE SUPER HAPPY SWSHAPPY:PASTEL PINK:11-12:PRINT:SWEATSHIRT</t>
  </si>
  <si>
    <t>SWEATSHIRT HOODIE MINNIE SUPER HAPPY SWSHAPPY:PASTEL PINK:13-14:PRINT:SWEATSHIRT</t>
  </si>
  <si>
    <t>SWHSNOW</t>
  </si>
  <si>
    <t>SWEATSHIRT HOODIE SNOW WHITE 66050100 SWHSNOW:PASTEL PURPLE:11-12:GRAPHIC:SWEATSHIRT</t>
  </si>
  <si>
    <t>SWEATSHIRT HOODIE SNOW WHITE 66050100 SWHSNOW:PASTEL PURPLE:13-14:GRAPHIC:SWEATSHIRT</t>
  </si>
  <si>
    <t>TSOTMAR</t>
  </si>
  <si>
    <t>SS T-SHIRT FULL PRINT MARIE OUTLINE TSOTMAR:PASTEL ORANGE:9-10:PRINT:SS T-SHIRT</t>
  </si>
  <si>
    <t>SS T-SHIRT FULL PRINT MARIE OUTLINE TSOTMAR:PASTEL ORANGE:11-12:PRINT:SS T-SHIRT</t>
  </si>
  <si>
    <t>TSMKBAM</t>
  </si>
  <si>
    <t>SS T-SHIRT FULL PRINT SBL MUKA BAMBI TSMKBAM:OFF WHITE:7-8:PRINT:SS T-SHIRT</t>
  </si>
  <si>
    <t>SS T-SHIRT FULL PRINT SBL MUKA BAMBI TSMKBAM:OFF WHITE:9-10:PRINT:SS T-SHIRT</t>
  </si>
  <si>
    <t>SS T-SHIRT FULL PRINT SBL MUKA BAMBI TSMKBAM:OFF WHITE:13-14:PRINT:SS T-SHIRT</t>
  </si>
  <si>
    <t>SSHCSMIN</t>
  </si>
  <si>
    <t>SS T-SHIRT HOODIE CUT N SEWN MINNIE SSHCSMIN:PASTEL PINK:11-12:GRAPHIC:SS T-SHIRT</t>
  </si>
  <si>
    <t>SS T-SHIRT HOODIE CUT N SEWN MINNIE SSHCSMIN:PASTEL PINK:13-14:GRAPHIC:SS T-SHIRT</t>
  </si>
  <si>
    <t>LSBTCIN</t>
  </si>
  <si>
    <t>LS T-SHIRT BABY TERRY PRINCESS CINDERELLA LSBTCIN:LIGHT BLUE:7-8:GRAPHIC:LS T-SHIRT</t>
  </si>
  <si>
    <t>LS T-SHIRT BABY TERRY PRINCESS CINDERELLA LSBTCIN:LIGHT BLUE:9-10:GRAPHIC:LS T-SHIRT</t>
  </si>
  <si>
    <t>LS T-SHIRT BABY TERRY PRINCESS CINDERELLA LSBTCIN:LIGHT BLUE:13-14:GRAPHIC:LS T-SHIRT</t>
  </si>
  <si>
    <t>LSBTBEL</t>
  </si>
  <si>
    <t>LS T-SHIRT BABY TERRY PRINCESS BELLE LSBTBEL:PASTEL YELLOW:3-4:GRAPHIC:LS T-SHIRT</t>
  </si>
  <si>
    <t>LS T-SHIRT BABY TERRY PRINCESS BELLE LSBTBEL:PASTEL YELLOW:5-6:GRAPHIC:LS T-SHIRT</t>
  </si>
  <si>
    <t>LS T-SHIRT BABY TERRY PRINCESS BELLE LSBTBEL:PASTEL YELLOW:7-8:GRAPHIC:LS T-SHIRT</t>
  </si>
  <si>
    <t>LS T-SHIRT BABY TERRY PRINCESS BELLE LSBTBEL:PASTEL YELLOW:4-5:GRAPHIC:LS T-SHIRT</t>
  </si>
  <si>
    <t>TSKDUM2</t>
  </si>
  <si>
    <t>TS KVD DUMBO 2 66050100DUM  TSKDUM2:PASTEL GREEN:11-12:PRINT:SS T-SHIRT</t>
  </si>
  <si>
    <t>TSKDUM3</t>
  </si>
  <si>
    <t>TS KVD DUMBO 3 66050100DUM TSKDUM3:PASTEL YELLOW:9-10:PRINT:SS T-SHIRT</t>
  </si>
  <si>
    <t>TS KVD DUMBO 3 66050100DUM TSKDUM3:PASTEL YELLOW:13-14:PRINT:SS T-SHIRT</t>
  </si>
  <si>
    <t>JKHMIN</t>
  </si>
  <si>
    <t>JACKET HOODIE TIE DYE MINNIE 66050100MIN JKHMIN:FUSCHIA:7-8:OMBRE:JACKET</t>
  </si>
  <si>
    <t>JACKET HOODIE TIE DYE MINNIE 66050100MIN JKHMIN:FUSCHIA:9-10:OMBRE:JACKET</t>
  </si>
  <si>
    <t>JACKET HOODIE TIE DYE MINNIE 66050100MIN JKHMIN:FUSCHIA:11-12:OMBRE:JACKET</t>
  </si>
  <si>
    <t>JACKET HOODIE TIE DYE MINNIE 66050100MIN JKHMIN:FUSCHIA:13-14:OMBRE:JACKET</t>
  </si>
  <si>
    <t xml:space="preserve"> SWSTMIN</t>
  </si>
  <si>
    <t>SWARLPRC</t>
  </si>
  <si>
    <t>SWEATSHIRT PRINCESS ARIEL 66050100PRN SWARLPRC:PASTEL GREEN:7-8:GRAPHIC:SWEATSHIRT</t>
  </si>
  <si>
    <t>SWEATSHIRT PRINCESS ARIEL 66050100PRN SWARLPRC:PASTEL GREEN:9-10:GRAPHIC:SWEATSHIRT</t>
  </si>
  <si>
    <t>SWEATSHIRT PRINCESS ARIEL 66050100PRN SWARLPRC:PASTEL GREEN:11-12:GRAPHIC:SWEATSHIRT</t>
  </si>
  <si>
    <t>SWEATSHIRT PRINCESS ARIEL 66050100PRN SWARLPRC:PASTEL GREEN:13-14:GRAPHIC:SWEATSHIRT</t>
  </si>
  <si>
    <t>SWWINFZA</t>
  </si>
  <si>
    <t>SWEATSHIRT FROZEN WINTERTIDE 66050100FZA SWWINFZA:OFF WHITE:7-8:OMBRE:SWEATSHIRT</t>
  </si>
  <si>
    <t>SWEATSHIRT FROZEN WINTERTIDE 66050100FZA SWWINFZA:OFF WHITE:9-10:OMBRE:SWEATSHIRT</t>
  </si>
  <si>
    <t>SWEATSHIRT FROZEN WINTERTIDE 66050100FZA SWWINFZA:OFF WHITE:11-12:OMBRE:SWEATSHIRT</t>
  </si>
  <si>
    <t>SWEATSHIRT FROZEN WINTERTIDE 66050100FZA SWWINFZA:OFF WHITE:13-14:OMBRE:SWEATSHIRT</t>
  </si>
  <si>
    <t xml:space="preserve"> DSSKTMIN</t>
  </si>
  <si>
    <t>DDCIND</t>
  </si>
  <si>
    <t>DRESS SS TOD DAILY CINDERELLA 66030100PRN DDCIND:PASTEL BLUE:3-4:PRINT:SS MIDI DRES</t>
  </si>
  <si>
    <t>DRESS SS TOD DAILY CINDERELLA 66030100PRN DDCIND:PASTEL BLUE:4-5:PRINT:SS MIDI DRES</t>
  </si>
  <si>
    <t>DRESS SS TOD DAILY CINDERELLA 66030100PRN DDCIND:PASTEL BLUE:5-6:PRINT:SS MIDI DRES</t>
  </si>
  <si>
    <t>TSTDSKT2</t>
  </si>
  <si>
    <t>SS T-SHIRT TIE DYE MINNIE SKATE 2 66050100MIN TSTDSKT2:PASTEL PIN:7-8:GRAPHIC:SS T-SHIRT</t>
  </si>
  <si>
    <t>SS T-SHIRT TIE DYE MINNIE SKATE 2 66050100MIN TSTDSKT2:PASTEL PIN:11-12:GRAPHIC:SS T-SHIRT</t>
  </si>
  <si>
    <t>SS T-SHIRT TIE DYE MINNIE SKATE 2 66050100MIN TSTDSKT2:PASTEL PIN:13-14:GRAPHIC:SS T-SHIRT</t>
  </si>
  <si>
    <t>SSFFFZA1</t>
  </si>
  <si>
    <t>SS T-SHIRT TOD FALL FESTIVAL FROZEN 1  66050100FZA SSFFFZA1:PASTEL PU:7-8:GRAPHIC:SS T-SHIR</t>
  </si>
  <si>
    <t>SS T-SHIRT TOD FALL FESTIVAL FROZEN 1  66050100FZA SSFFFZA1:PASTEL PU:9-10:GRAPHIC:SS T-SHIR</t>
  </si>
  <si>
    <t>SS T-SHIRT TOD FALL FESTIVAL FROZEN 1  66050100FZA SSFFFZA1:PASTEL PU:11-12:GRAPHIC:SS T-SHIR</t>
  </si>
  <si>
    <t>SS T-SHIRT TOD FALL FESTIVAL FROZEN 1  66050100FZA SSFFFZA1:PASTEL PU:13-14:GRAPHIC:SS T-SHIR</t>
  </si>
  <si>
    <t>TSKFZA1</t>
  </si>
  <si>
    <t>TS KVD FROZEN 1 66050100FZA TSKFZA1:PASTEL BLUE:13-14:PRINT:SS T-SHIRT</t>
  </si>
  <si>
    <t>TSKFZA2</t>
  </si>
  <si>
    <t>TS KVD FROZEN 2 66050100FZA TSKFZA2:PASTEL PURPLE:7-8:PRINT:SS T-SHIRT</t>
  </si>
  <si>
    <t>TS KVD FROZEN 2 66050100FZA TSKFZA2:PASTEL PURPLE:11-12:PRINT:SS T-SHIRT</t>
  </si>
  <si>
    <t>TS KVD FROZEN 2 66050100FZA TSKFZA2:PASTEL PURPLE:13-14:PRINT:SS T-SHIRT</t>
  </si>
  <si>
    <t>TSKFZA3</t>
  </si>
  <si>
    <t>TS KVD FROZEN 3 66050100FZA TSKFZA3:PASTEL ORANGE:7-8:PRINT:SS T-SHIRT</t>
  </si>
  <si>
    <t>TS KVD FROZEN 3 66050100FZA TSKFZA3:PASTEL ORANGE:11-12:PRINT:SS T-SHIRT</t>
  </si>
  <si>
    <t>TS KVD FROZEN 3 66050100FZA TSKFZA3:PASTEL ORANGE:13-14:PRINT:SS T-SHIRT</t>
  </si>
  <si>
    <t>TSTDFZA1</t>
  </si>
  <si>
    <t>SS T-SHIRT TIE DYE FROZEN ELSA 66050100FZA TSTDFZA1:PASTEL PURPLE:7-8:GRAPHIC:SS T-SHIRT</t>
  </si>
  <si>
    <t>SS T-SHIRT TIE DYE FROZEN ELSA 66050100FZA TSTDFZA1:PASTEL PURPLE:11-12:GRAPHIC:SS T-SHIRT</t>
  </si>
  <si>
    <t>SS T-SHIRT TIE DYE FROZEN ELSA 66050100FZA TSTDFZA1:PASTEL PURPLE:13-14:GRAPHIC:SS T-SHIRT</t>
  </si>
  <si>
    <t>TSTDFZA2</t>
  </si>
  <si>
    <t>SS T-SHIRT TIE DYE FROZEN ANNA 66050100FZA TSTDFZA2:PASTEL BLUE:7-8:GRAPHIC:SS T-SHIRT</t>
  </si>
  <si>
    <t>SS T-SHIRT TIE DYE FROZEN ANNA 66050100FZA TSTDFZA2:PASTEL BLUE:11-12:GRAPHIC:SS T-SHIRT</t>
  </si>
  <si>
    <t>SS T-SHIRT TIE DYE FROZEN ANNA 66050100FZA TSTDFZA2:PASTEL BLUE:13-14:GRAPHIC:SS T-SHIRT</t>
  </si>
  <si>
    <t>LSFARIEL</t>
  </si>
  <si>
    <t>LS T-SHIRT ARIEL LENGAN KERUT 66050100PRN LSFARIEL:DUSTY PINK:7-8:GRAPHIC:LS T-SHIRT</t>
  </si>
  <si>
    <t>LS T-SHIRT ARIEL LENGAN KERUT 66050100PRN LSFARIEL:DUSTY PINK:11-12:GRAPHIC:LS T-SHIRT</t>
  </si>
  <si>
    <t>LS T-SHIRT ARIEL LENGAN KERUT 66050100PRN LSFARIEL:DUSTY PINK:13-14:GRAPHIC:LS T-SHIRT</t>
  </si>
  <si>
    <t>LSFZA2</t>
  </si>
  <si>
    <t>LS T-SHIRT KNIT FROZEN 3 66050100FZA LSFZA2:PASTEL BLUE:7-8:GRAPHIC:LS T-SHIRT</t>
  </si>
  <si>
    <t>LS T-SHIRT KNIT FROZEN 3 66050100FZA LSFZA2:PASTEL BLUE:11-12:GRAPHIC:LS T-SHIRT</t>
  </si>
  <si>
    <t>LS T-SHIRT KNIT FROZEN 3 66050100FZA LSFZA2:PASTEL BLUE:13-14:GRAPHIC:LS T-SHIRT</t>
  </si>
  <si>
    <t>LSSISTER</t>
  </si>
  <si>
    <t>LS T-SHIRT FROZEN SHE IS MAGIC 66050100FZA LSSISTER:PASTEL PURP:7-8:GRAPHIC:LS T-SHIRT</t>
  </si>
  <si>
    <t>LS T-SHIRT FROZEN SHE IS MAGIC 66050100FZA LSSISTER:PASTEL PURP:11-12:GRAPHIC:LS T-SHIRT</t>
  </si>
  <si>
    <t>LS T-SHIRT FROZEN SHE IS MAGIC 66050100FZA LSSISTER:PASTEL PURP:13-14:GRAPHIC:LS T-SHIRT</t>
  </si>
  <si>
    <t>LSTDFZA</t>
  </si>
  <si>
    <t>LS T-SHIRT TIE DIE FROZEN 66050100FZA LSTDFZA:WHITE:7-8:GRAPHIC:LS T-SHIRT</t>
  </si>
  <si>
    <t>LS T-SHIRT TIE DIE FROZEN 66050100FZA LSTDFZA:WHITE:11-12:GRAPHIC:LS T-SHIRT</t>
  </si>
  <si>
    <t>LS T-SHIRT TIE DIE FROZEN 66050100FZA LSTDFZA:WHITE:13-14:GRAPHIC:LS T-SHIRT</t>
  </si>
  <si>
    <t xml:space="preserve"> SWHCSMIN</t>
  </si>
  <si>
    <t>SWLIGFZA</t>
  </si>
  <si>
    <t>SWEATSHIRT FROZEN LET IT GO 66050100FZA SWLIGFZA:PASTEL BLUE:7-8:OMBRE:SWEATSHIRT</t>
  </si>
  <si>
    <t>SWEATSHIRT FROZEN LET IT GO 66050100FZA SWLIGFZA:PASTEL BLUE:11-12:OMBRE:SWEATSHIRT</t>
  </si>
  <si>
    <t>SWEATSHIRT FROZEN LET IT GO 66050100FZA SWLIGFZA:PASTEL BLUE:13-14:OMBRE:SWEATSHIRT</t>
  </si>
  <si>
    <t>SWAWNFZA</t>
  </si>
  <si>
    <t>SWEATSHIRT FROZEN ALL WE NEED 66050100FZA SWAWNFZA:PASTEL BLUE:7-8:GRAPHIC:SWEATSHIRT</t>
  </si>
  <si>
    <t>SWEATSHIRT FROZEN ALL WE NEED 66050100FZA SWAWNFZA:PASTEL BLUE:11-12:GRAPHIC:SWEATSHIRT</t>
  </si>
  <si>
    <t>SWEATSHIRT FROZEN ALL WE NEED 66050100FZA SWAWNFZA:PASTEL BLUE:13-14:GRAPHIC:SWEATSHIRT</t>
  </si>
  <si>
    <t>SWSTGFZA</t>
  </si>
  <si>
    <t>SWEATSHIRT RUFFLE FROZEN STRONGER TOGETHER 66050100F:PASTEL ORAN:7-8:GRAPHIC:SWEATSHIRT</t>
  </si>
  <si>
    <t>SWEATSHIRT RUFFLE FROZEN STRONGER TOGETHER 66050100F:PASTEL ORAN:9-10:GRAPHIC:SWEATSHIRT</t>
  </si>
  <si>
    <t>SWEATSHIRT RUFFLE FROZEN STRONGER TOGETHER 66050100F:PASTEL ORAN:11-12:GRAPHIC:SWEATSHIRT</t>
  </si>
  <si>
    <t>SWTODFZA</t>
  </si>
  <si>
    <t>SWEATSHIRT TOD FROZEN FALL FESTIVAL 66030100FZA SWTODFZA:LIGHT CORAL:5-6:GRAPHIC:SWEATSHIRT</t>
  </si>
  <si>
    <t>SWEATSHIRT TOD FROZEN FALL FESTIVAL 66030100FZA SWTODFZA:LIGHT CORAL:4-5:GRAPHIC:SWEATSHIRT</t>
  </si>
  <si>
    <t xml:space="preserve"> JGSKTMIN</t>
  </si>
  <si>
    <t>DSTLMAR</t>
  </si>
  <si>
    <t>SS MIDI DRESS TULLE MARIE 66050100MAR DSTLMAR:PASTEL PINK:9-10:SOLID:SS MIDI DRES</t>
  </si>
  <si>
    <t>SS MIDI DRESS TULLE MARIE 66050100MAR DSTLMAR:PASTEL PINK:13-14:SOLID:SS MIDI DRES</t>
  </si>
  <si>
    <t>DFYSFZA</t>
  </si>
  <si>
    <t>SS MIDI DRESS FROZEN FIND YOUR STRENGTH 66050100FZA DFYSFZA:MISTY MED:11-12:GRAPHIC:SS MIDI D</t>
  </si>
  <si>
    <t>SS MIDI DRESS FROZEN FIND YOUR STRENGTH 66050100FZA DFYSFZA:MISTY MED:13-14:GRAPHIC:SS MIDI D</t>
  </si>
  <si>
    <t>DSWINFZA</t>
  </si>
  <si>
    <t>SS MIDI DRESS FROZEN WINTERTIDE 66050100FZA DSWINFZA:LIGHT BLUE:7-8:GRAPHIC:SS MIDI DRE</t>
  </si>
  <si>
    <t>SS MIDI DRESS FROZEN WINTERTIDE 66050100FZA DSWINFZA:LIGHT BLUE:9-10:GRAPHIC:SS MIDI DRE</t>
  </si>
  <si>
    <t>SS MIDI DRESS FROZEN WINTERTIDE 66050100FZA DSWINFZA:LIGHT BLUE:11-12:GRAPHIC:SS MIDI DRE</t>
  </si>
  <si>
    <t>SS MIDI DRESS FROZEN WINTERTIDE 66050100FZA DSWINFZA:LIGHT BLUE:13-14:GRAPHIC:SS MIDI DRE</t>
  </si>
  <si>
    <t>DDMAR</t>
  </si>
  <si>
    <t>DRESS SS DAILY MARIE 66050100MAR DDMAR:PASTEL PINK:7-8:PRINT:SS MIDI DRESS</t>
  </si>
  <si>
    <t>DRESS SS DAILY MARIE 66050100MAR DDMAR:PASTEL PINK:11-12:PRINT:SS MIDI DRESS</t>
  </si>
  <si>
    <t>DLSKTMIN</t>
  </si>
  <si>
    <t>LS MIDI DRESS HOODIE MINNIE SKATE 66050100MIN DLSKTMIN:PASTEL PINK:11-12:PRINT:LS MIDI DRE</t>
  </si>
  <si>
    <t>DLTLFZA</t>
  </si>
  <si>
    <t>LS MIDI DRESS INTO THE UNKNOWNC66050100FZA DLTLFZA:PASTEL PURP:11-12:GRAPHIC:LS MIDI DRE</t>
  </si>
  <si>
    <t>LS MIDI DRESS INTO THE UNKNOWNC66050100FZA DLTLFZA:PASTEL PURP:13-14:GRAPHIC:LS MIDI DRE</t>
  </si>
  <si>
    <t>DLTLMIN</t>
  </si>
  <si>
    <t>LS MIDI DRESS TULLE MINNIE LIKE YOU 66050100MIN DLTLMIN:PASTEL PIN:7-8:SOLID:LS MIDI DR</t>
  </si>
  <si>
    <t>LS MIDI DRESS TULLE MINNIE LIKE YOU 66050100MIN DLTLMIN:PASTEL PIN:11-12:SOLID:LS MIDI DR</t>
  </si>
  <si>
    <t>DLTLPRC</t>
  </si>
  <si>
    <t>LS MIDI DRESS TOD TULLE RAINBOW PRINCESS 66030100PRN:FUSCHIA:4-5:GRAPHIC:LS MIDI DRE</t>
  </si>
  <si>
    <t>CLKFZA</t>
  </si>
  <si>
    <t>LONG PANTS KULOT WVN FROZEN 66050100FZA CLKFZA:KHAKI:11-12:GRAPHIC:LONG PANTS</t>
  </si>
  <si>
    <t>LONG PANTS KULOT WVN FROZEN 66050100FZA CLKFZA:KHAKI:13-14:GRAPHIC:LONG PANTS</t>
  </si>
  <si>
    <t>CLWFZA</t>
  </si>
  <si>
    <t>LONG PANTS KULOT WVN FROZEN WINTERTIDE 66050100FZA CLWFZA:PASTEL BL:13-14:GRAPHIC:LONG PANT</t>
  </si>
  <si>
    <t>LPDNMIN</t>
  </si>
  <si>
    <t>LONG PANTS DNM PATCHES MINNIE 66050100MIN LPDNMIN:MEDIUM DENI:11-12:GRAPHIC:LONG PANTS</t>
  </si>
  <si>
    <t>LONG PANTS DNM PATCHES MINNIE 66050100MIN LPDNMIN:MEDIUM DENI:13-14:GRAPHIC:LONG PANTS</t>
  </si>
  <si>
    <t>LSWVFZA1</t>
  </si>
  <si>
    <t>LS BLOUSE WOVEN FROZEN 1 66050100FZA LSWVFZA1:OFF WHITE:7-8:GRAPHIC:LS BLOUSE</t>
  </si>
  <si>
    <t>LS BLOUSE WOVEN FROZEN 1 66050100FZA LSWVFZA1:OFF WHITE:9-10:GRAPHIC:LS BLOUSE</t>
  </si>
  <si>
    <t>LS BLOUSE WOVEN FROZEN 1 66050100FZA LSWVFZA1:OFF WHITE:11-12:GRAPHIC:LS BLOUSE</t>
  </si>
  <si>
    <t>LS BLOUSE WOVEN FROZEN 1 66050100FZA LSWVFZA1:OFF WHITE:13-14:GRAPHIC:LS BLOUSE</t>
  </si>
  <si>
    <t>TSTDSKT1</t>
  </si>
  <si>
    <t>SS T-SHIRT TIE DYE MINNIE SKATE 1 66050100MIN TSTDSKT1:PASTEL PUR:7-8:GRAPHIC:SS T-SHIRT</t>
  </si>
  <si>
    <t>SS T-SHIRT TIE DYE MINNIE SKATE 1 66050100MIN TSTDSKT1:PASTEL PUR:9-10:GRAPHIC:SS T-SHIRT</t>
  </si>
  <si>
    <t>SS T-SHIRT TIE DYE MINNIE SKATE 1 66050100MIN TSTDSKT1:PASTEL PUR:11-12:GRAPHIC:SS T-SHIRT</t>
  </si>
  <si>
    <t>SS T-SHIRT TIE DYE MINNIE SKATE 1 66050100MIN TSTDSKT1:PASTEL PUR:13-14:GRAPHIC:SS T-SHIRT</t>
  </si>
  <si>
    <t>SS T-SHIRT TIE DYE MINNIE SKATE 2 66050100MIN TSTDSKT2:PASTEL PIN:9-10:GRAPHIC:SS T-SHIRT</t>
  </si>
  <si>
    <t>TS KVD FROZEN 3 66050100FZA TSKFZA3:PASTEL ORANGE:9-10:PRINT:SS T-SHIRT</t>
  </si>
  <si>
    <t>SS T-SHIRT TIE DYE FROZEN ELSA 66050100FZA TSTDFZA1:PASTEL PURPLE:9-10:GRAPHIC:SS T-SHIRT</t>
  </si>
  <si>
    <t>SS T-SHIRT TIE DYE FROZEN ANNA 66050100FZA TSTDFZA2:PASTEL BLUE:9-10:GRAPHIC:SS T-SHIRT</t>
  </si>
  <si>
    <t>SSFCAUR</t>
  </si>
  <si>
    <t>SS T-SHIRT TOD FLOWER CHILD AURORA 66030100PRN SSFCAUR:CORAL:5-6:GRAPHIC:SS T-SHIRT</t>
  </si>
  <si>
    <t>SS T-SHIRT TOD FLOWER CHILD AURORA 66030100PRN SSFCAUR:CORAL:7-8:GRAPHIC:SS T-SHIRT</t>
  </si>
  <si>
    <t>SS T-SHIRT TOD FLOWER CHILD AURORA 66030100PRN SSFCAUR:CORAL:3-4:GRAPHIC:SS T-SHIRT</t>
  </si>
  <si>
    <t>SS T-SHIRT TOD FLOWER CHILD AURORA 66030100PRN SSFCAUR:CORAL:4-5:GRAPHIC:SS T-SHIRT</t>
  </si>
  <si>
    <t>SSFFFZA2</t>
  </si>
  <si>
    <t>SS TOD FALL FEST DAUN FROZEN 2 66030100FZA SSFFFZA2:PASTEL PURP:5-6:PRINT:SS T-SHIRT</t>
  </si>
  <si>
    <t>SS TOD FALL FEST DAUN FROZEN 2 66030100FZA SSFFFZA2:PASTEL PURP:7-8:PRINT:SS T-SHIRT</t>
  </si>
  <si>
    <t>SS TOD FALL FEST DAUN FROZEN 2 66030100FZA SSFFFZA2:PASTEL PURP:3-4:PRINT:SS T-SHIRT</t>
  </si>
  <si>
    <t>LS T-SHIRT ARIEL LENGAN KERUT 66050100PRN LSFARIEL:DUSTY PINK:9-10:GRAPHIC:LS T-SHIRT</t>
  </si>
  <si>
    <t>LSKRTFZA</t>
  </si>
  <si>
    <t>LS T-SHIRT FROZEN LENGAN KERUT 66050100FZA LSKRTFZA:NAVY BLUE:7-8:GRAPHIC:LS T-SHIRT</t>
  </si>
  <si>
    <t>LS T-SHIRT FROZEN LENGAN KERUT 66050100FZA LSKRTFZA:NAVY BLUE:9-10:GRAPHIC:LS T-SHIRT</t>
  </si>
  <si>
    <t>LS T-SHIRT FROZEN LENGAN KERUT 66050100FZA LSKRTFZA:NAVY BLUE:11-12:GRAPHIC:LS T-SHIRT</t>
  </si>
  <si>
    <t>LS T-SHIRT FROZEN LENGAN KERUT 66050100FZA LSKRTFZA:NAVY BLUE:13-14:GRAPHIC:LS T-SHIRT</t>
  </si>
  <si>
    <t>LS T-SHIRT KNIT FROZEN 3 66050100FZA LSFZA2:PASTEL BLUE:9-10:GRAPHIC:LS T-SHIRT</t>
  </si>
  <si>
    <t>LSTDFZA2</t>
  </si>
  <si>
    <t>LS T-SHIRT TIE DYE FROZEN SISTERLY LOVE 66050100FZA:LIGHT BLUE:5-6:GRAPHIC:LS T-SHIRT</t>
  </si>
  <si>
    <t>LS T-SHIRT TIE DYE FROZEN SISTERLY LOVE 66050100FZA:LIGHT BLUE:7-8:GRAPHIC:LS T-SHIRT</t>
  </si>
  <si>
    <t>LS T-SHIRT TIE DYE FROZEN SISTERLY LOVE 66050100FZA:LIGHT BLUE:3-4:GRAPHIC:LS T-SHIRT</t>
  </si>
  <si>
    <t>LS T-SHIRT TIE DYE FROZEN SISTERLY LOVE 66050100FZA:LIGHT BLUE:4-5:GRAPHIC:LS T-SHIRT</t>
  </si>
  <si>
    <t>LS T-SHIRT FROZEN SHE IS MAGIC 66050100FZA LSSISTER:PASTEL PURP:9-10:GRAPHIC:LS T-SHIRT</t>
  </si>
  <si>
    <t>LSRFMIN</t>
  </si>
  <si>
    <t>LS T-SHIRT RUFFLE MINNIE 66050100MIN LSRFMIN:DUSTY PINK:5-6:GRAPHIC:LS T-SHIRT</t>
  </si>
  <si>
    <t>LS T-SHIRT RUFFLE MINNIE 66050100MIN LSRFMIN:DUSTY PINK:7-8:GRAPHIC:LS T-SHIRT</t>
  </si>
  <si>
    <t>LS T-SHIRT RUFFLE MINNIE 66050100MIN LSRFMIN:DUSTY PINK:3-4:GRAPHIC:LS T-SHIRT</t>
  </si>
  <si>
    <t>LS T-SHIRT RUFFLE MINNIE 66050100MIN LSRFMIN:DUSTY PINK:4-5:GRAPHIC:LS T-SHIRT</t>
  </si>
  <si>
    <t>LS T-SHIRT TIE DIE FROZEN 66050100FZA LSTDFZA:WHITE:9-10:GRAPHIC:LS T-SHIRT</t>
  </si>
  <si>
    <t>SWTODRAP</t>
  </si>
  <si>
    <t>SWEATSHIRT TOD RAPUNZEL 66030100PRN SWTODRAP:PASTEL YELLOW:7-8:GRAPHIC:SWEATSHIRT</t>
  </si>
  <si>
    <t>SWEATSHIRT TOD RAPUNZEL 66030100PRN SWTODRAP:PASTEL YELLOW:3-4:GRAPHIC:SWEATSHIRT</t>
  </si>
  <si>
    <t>SWEATSHIRT TOD RAPUNZEL 66030100PRN SWTODRAP:PASTEL YELLOW:4-5:GRAPHIC:SWEATSHIRT</t>
  </si>
  <si>
    <t>SWLPFZA</t>
  </si>
  <si>
    <t>SWEATSHIRT CS 3 WARNA MARIE 66050100MAR SWLPFZA:PASTEL YELLO:7-8:GRAPHIC:SWEATSHIRT</t>
  </si>
  <si>
    <t>SWEATSHIRT CS 3 WARNA MARIE 66050100MAR SWLPFZA:PASTEL YELLO:13-14:GRAPHIC:SWEATSHIRT</t>
  </si>
  <si>
    <t>SWEATSHIRT FROZEN LET IT GO 66050100FZA SWLIGFZA:PASTEL BLUE:9-10:OMBRE:SWEATSHIRT</t>
  </si>
  <si>
    <t>SWL3MIN</t>
  </si>
  <si>
    <t>SWEATSHIRT LENGAN 3 MINNIE 66050100MIN SWL3MIN:PASTEL PINK:7-8:PRINT:SWEATSHIRT</t>
  </si>
  <si>
    <t>SWEATSHIRT LENGAN 3 MINNIE 66050100MIN SWL3MIN:PASTEL PINK:11-12:PRINT:SWEATSHIRT</t>
  </si>
  <si>
    <t>SWEATSHIRT LENGAN 3 MINNIE 66050100MIN SWL3MIN:PASTEL PINK:13-14:PRINT:SWEATSHIRT</t>
  </si>
  <si>
    <t>SWEATSHIRT FROZEN ALL WE NEED 66050100FZA SWAWNFZA:PASTEL BLUE:9-10:GRAPHIC:SWEATSHIRT</t>
  </si>
  <si>
    <t>SWEATSHIRT TOD FROZEN FALL FESTIVAL 66030100FZA SWTODFZA:LIGHT CORAL:7-8:GRAPHIC:SWEATSHIRT</t>
  </si>
  <si>
    <t>SKTFFZA</t>
  </si>
  <si>
    <t>SKORT TOD FROZEN FALL FESTIVAL 66030100FZA SKTFFZA:CLASSIC PUR:5-6:GRAPHIC:MIDI SKIRT</t>
  </si>
  <si>
    <t>SKORT TOD FROZEN FALL FESTIVAL 66030100FZA SKTFFZA:CLASSIC PUR:3-4:GRAPHIC:MIDI SKIRT</t>
  </si>
  <si>
    <t>SKORT TOD FROZEN FALL FESTIVAL 66030100FZA SKTFFZA:CLASSIC PUR:4-5:GRAPHIC:MIDI SKIRT</t>
  </si>
  <si>
    <t>JGTPRN</t>
  </si>
  <si>
    <t>JOGGER TOD FP PRINCESS 66030100PRN JGTPRN:CORAL:5-6:GRAPHIC:JOGGER</t>
  </si>
  <si>
    <t>JOGGER TOD FP PRINCESS 66030100PRN JGTPRN:CORAL:7-8:GRAPHIC:JOGGER</t>
  </si>
  <si>
    <t>JOGGER TOD FP PRINCESS 66030100PRN JGTPRN:CORAL:3-4:GRAPHIC:JOGGER</t>
  </si>
  <si>
    <t>JOGGER TOD FP PRINCESS 66030100PRN JGTPRN:CORAL:4-5:GRAPHIC:JOGGER</t>
  </si>
  <si>
    <t>DSFPFZA</t>
  </si>
  <si>
    <t>DRESS SS TULLE FP FROZEN 66050100FZA DSFPFZA:CORAL:9-10:GRAPHIC:SS MIDI DRESS</t>
  </si>
  <si>
    <t>DRESS SS TULLE FP FROZEN 66050100FZA DSFPFZA:CORAL:11-12:GRAPHIC:SS MIDI DRESS</t>
  </si>
  <si>
    <t>DRESS SS TULLE FP FROZEN 66050100FZA DSFPFZA:CORAL:13-14:GRAPHIC:SS MIDI DRESS</t>
  </si>
  <si>
    <t>LS MIDI DRESS HOODIE MINNIE SKATE 66050100MIN DLSKTMIN:PASTEL PINK:9-10:PRINT:LS MIDI DRE</t>
  </si>
  <si>
    <t>LS MIDI DRESS INTO THE UNKNOWNC66050100FZA DLTLFZA:PASTEL PURP:9-10:GRAPHIC:LS MIDI DRE</t>
  </si>
  <si>
    <t>DLCIN</t>
  </si>
  <si>
    <t>LS MIDI DRESS DRESS TOD CINDERELLA 66030100PRN DLCIN:PASTEL BLUE:5-6:GRAPHIC:LS MIDI DRESS</t>
  </si>
  <si>
    <t>LS MIDI DRESS DRESS TOD CINDERELLA 66030100PRN DLCIN:PASTEL BLUE:7-8:GRAPHIC:LS MIDI DRESS</t>
  </si>
  <si>
    <t>LS MIDI DRESS DRESS TOD CINDERELLA 66030100PRN DLCIN:PASTEL BLUE:3-4:GRAPHIC:LS MIDI DRESS</t>
  </si>
  <si>
    <t>LS MIDI DRESS DRESS TOD CINDERELLA 66030100PRN DLCIN:PASTEL BLUE:4-5:GRAPHIC:LS MIDI DRESS</t>
  </si>
  <si>
    <t>DL3PRN</t>
  </si>
  <si>
    <t>DRESS LS 3 PRINCESS 66050100PRN DL3PRN:PASTEL ORANGE:5-6:GRAPHIC:SS MIDI DRESS</t>
  </si>
  <si>
    <t>DRESS LS 3 PRINCESS 66050100PRN DL3PRN:PASTEL ORANGE:3-4:GRAPHIC:SS MIDI DRESS</t>
  </si>
  <si>
    <t>DRESS LS 3 PRINCESS 66050100PRN DL3PRN:PASTEL ORANGE:4-5:GRAPHIC:SS MIDI DRESS</t>
  </si>
  <si>
    <t>DSRAPZ</t>
  </si>
  <si>
    <t>DRESS RAPUNZEL COSTUME 66050100PRC DSRAPZ:PASTEL PURPLE:7-8:PRINT:LS MIDI DRESS</t>
  </si>
  <si>
    <t>DRESS RAPUNZEL COSTUME 66050100PRC DSRAPZ:PASTEL PURPLE:13-14:PRINT:LS MIDI DRESS</t>
  </si>
  <si>
    <t>LONG PANTS KULOT WVN FROZEN WINTERTIDE 66050100FZA CLWFZA:PASTEL BL:9-10:GRAPHIC:LONG PANT</t>
  </si>
  <si>
    <t>LONG PANTS DNM PATCHES MINNIE 66050100MIN LPDNMIN:MEDIUM DENI:9-10:GRAPHIC:DENIM LONG</t>
  </si>
  <si>
    <t>LONG PANTS DNM PATCHES MINNIE 66050100MIN LPDNMIN:MEDIUM DENI:7-8:GRAPHIC:DENIM LONG</t>
  </si>
  <si>
    <t>DWVFZA</t>
  </si>
  <si>
    <t>DRESS LS COMBI WV FROZEN 66050100FZA DWVFZA:PASTEL BLUE:11-12:GRAPHIC:LS MIDI DRES</t>
  </si>
  <si>
    <t>SSWINFZA</t>
  </si>
  <si>
    <t>SS T-SHIRT  WINTERTIDE FROZEN LENGAN PITA  66050100F:PASTEL ORAN:7-8:GRAPHIC:SS T-SHIRT</t>
  </si>
  <si>
    <t>SS T-SHIRT  WINTERTIDE FROZEN LENGAN PITA  66050100F:PASTEL ORAN:13-14:GRAPHIC:SS T-SHIRT</t>
  </si>
  <si>
    <t>SS T-SHIRT  WINTERTIDE FROZEN LENGAN PITA  66050100F:PASTEL ORAN:9-10:GRAPHIC:SS T-SHIRT</t>
  </si>
  <si>
    <t>SS T-SHIRT  WINTERTIDE FROZEN LENGAN PITA  66050100F:PASTEL ORAN:11-12:GRAPHIC:SS T-SHIRT</t>
  </si>
  <si>
    <t>SSAURORA</t>
  </si>
  <si>
    <t>SS T-SHIRT SIFON AURORA SSAURORA:PASTEL PINK:4-5:GRAPHIC:SS T-SHIRT</t>
  </si>
  <si>
    <t>SWFPMIN</t>
  </si>
  <si>
    <t>SWEATSHIRT FULL PRINT MINNIE 66050100MIN SWFPMIN:PASTEL PINK:9-10:PRINT:SWEATSHIRT</t>
  </si>
  <si>
    <t>SWEATSHIRT FULL PRINT MINNIE 66050100MIN SWFPMIN:PASTEL PINK:11-12:PRINT:SWEATSHIRT</t>
  </si>
  <si>
    <t>SWISMSMIN</t>
  </si>
  <si>
    <t>SWEATSHIRT HOODIE CUT SEW MINNIE ISMS 66050100MIN SWISMSMIN:PASTEL PINK:9-10:PRINT:SWEATSHIRT</t>
  </si>
  <si>
    <t>SWEATSHIRT FULL PRINT MINNIE 66050100MIN SWFPMIN:PASTEL PINK:7-8:PRINT:SWEATSHIRT</t>
  </si>
  <si>
    <t>SWEATSHIRT HOODIE CUT SEW MINNIE ISMS 66050100MIN SWISMSMIN:PASTEL PINK:13-14:PRINT:SWEATSHIRT</t>
  </si>
  <si>
    <t>SWEATSHIRT HOODIE CUT SEW MINNIE ISMS 66050100MIN SWISMSMIN:PASTEL PINK:11-12:PRINT:SWEATSHIRT</t>
  </si>
  <si>
    <t>SWEATSHIRT FULL PRINT MINNIE 66050100MIN SWFPMIN:PASTEL PINK:13-14:PRINT:SWEATSHIRT</t>
  </si>
  <si>
    <t>SWCSMIN</t>
  </si>
  <si>
    <t>SWEATSHIRT SW CUT &amp; SEWN MINNIE 66050100MIN SWCSMIN:PASTEL PINK:7-8:PRINT:SWEATSHIRT</t>
  </si>
  <si>
    <t>SWEATSHIRT SW CUT &amp; SEWN MINNIE 66050100MIN SWCSMIN:PASTEL PINK:9-10:PRINT:SWEATSHIRT</t>
  </si>
  <si>
    <t>CLSEAPRC</t>
  </si>
  <si>
    <t>KULOT KNIT ARIEL SEA BEAUTY 66050100PRN CLSEAPRC:DUSTY PINK:9-10:GRAPHIC:LONG PANTS</t>
  </si>
  <si>
    <t>KULOT KNIT ARIEL SEA BEAUTY 66050100PRN CLSEAPRC:DUSTY PINK:13-14:GRAPHIC:LONG PANTS</t>
  </si>
  <si>
    <t>KULOT KNIT ARIEL SEA BEAUTY 66050100PRN CLSEAPRC:DUSTY PINK:11-12:GRAPHIC:LONG PANTS</t>
  </si>
  <si>
    <t>JGISMSMIN</t>
  </si>
  <si>
    <t>JOGGER MINNIE ISMS 66050100MIN JGISMSMIN:MISTY MEDIUM G:11-12:GRAPHIC:JOGGER</t>
  </si>
  <si>
    <t>JOGGER MINNIE ISMS 66050100MIN JGISMSMIN:MISTY MEDIUM G:7-8:GRAPHIC:JOGGER</t>
  </si>
  <si>
    <t>JOGGER MINNIE ISMS 66050100MIN JGISMSMIN:MISTY MEDIUM G:9-10:GRAPHIC:JOGGER</t>
  </si>
  <si>
    <t>JOGGER MINNIE ISMS 66050100MIN JGISMSMIN:MISTY MEDIUM G:13-14:GRAPHIC:JOGGER</t>
  </si>
  <si>
    <t>DISMSMIN</t>
  </si>
  <si>
    <t>LS MIDI DRESS MINNIE ISMS 66050100MIN DISMSMIN:PASTEL PINK:13-14:GRAPHIC:LS MIDI DRES</t>
  </si>
  <si>
    <t>LS MIDI DRESS MINNIE ISMS 66050100MIN DISMSMIN:PASTEL PINK:9-10:GRAPHIC:LS MIDI DRES</t>
  </si>
  <si>
    <t>SWEATSHIRT CS 3 WARNA MARIE 66050100MAR SWLPFZA:PASTEL YELLO:9-10:GRAPHIC:SWEATSHIRT</t>
  </si>
  <si>
    <t>SWEATSHIRT LENGAN 3 MINNIE 66050100MIN SWL3MIN:PASTEL PINK:9-10:PRINT:SWEATSHIRT</t>
  </si>
  <si>
    <t>DRESS LS 3 PRINCESS 66050100PRN DL3PRN:PASTEL ORANGE:7-8:GRAPHIC:SS MIDI DRESS</t>
  </si>
  <si>
    <t>DLTGTPRC</t>
  </si>
  <si>
    <t>LS MIDI DRESS PRINCESS TOGETHER 66050100PRN DLTGTPRC:PASTEL YELL:9-10:GRAPHIC:LS MIDI DRE</t>
  </si>
  <si>
    <t>LS MIDI DRESS PRINCESS TOGETHER 66050100PRN DLTGTPRC:PASTEL YELL:13-14:GRAPHIC:LS MIDI DRE</t>
  </si>
  <si>
    <t>LS MIDI DRESS PRINCESS TOGETHER 66050100PRN DLTGTPRC:PASTEL YELL:11-12:GRAPHIC:LS MIDI DRE</t>
  </si>
  <si>
    <t>DDSSBAM</t>
  </si>
  <si>
    <t>SS MIDI DRESS DAILY BAMBI DDSSBAM:PASTEL PINK:3-4:GRAPHIC:SS MIDI DRESS</t>
  </si>
  <si>
    <t>SS MIDI DRESS DAILY BAMBI DDSSBAM:PASTEL PINK:4-5:GRAPHIC:SS MIDI DRESS</t>
  </si>
  <si>
    <t>SS MIDI DRESS DAILY BAMBI DDSSBAM:PASTEL PINK:5-6:GRAPHIC:SS MIDI DRESS</t>
  </si>
  <si>
    <t>SWTDBAM</t>
  </si>
  <si>
    <t>SWEATSHIRT TIE DYE BAMBI SWTDBAM:PASTEL PINK:7-8:GRAPHIC:SWEATSHIRT</t>
  </si>
  <si>
    <t>SWEATSHIRT TIE DYE BAMBI SWTDBAM:PASTEL PINK:9-10:GRAPHIC:SWEATSHIRT</t>
  </si>
  <si>
    <t>SWEATSHIRT TIE DYE BAMBI SWTDBAM:PASTEL PINK:11-12:GRAPHIC:SWEATSHIRT</t>
  </si>
  <si>
    <t>SWEATSHIRT TIE DYE BAMBI SWTDBAM:PASTEL PINK:13-14:GRAPHIC:SWEATSHIRT</t>
  </si>
  <si>
    <t>AMLSPRRB</t>
  </si>
  <si>
    <t>LS T-SHIRT RAINBOW PRINCESS 66030100PRN AMLSPRRB:OFF WHITE:4-5:GRAPHIC:LS T-SHIRT</t>
  </si>
  <si>
    <t>TSWAONE1</t>
  </si>
  <si>
    <t>SS T-SHIRT FULL PRINT WE ARE ONE TSWAONE1:PASTEL PINK:11-12:PRINT:SS T-SHIRT</t>
  </si>
  <si>
    <t>TSWAONE2</t>
  </si>
  <si>
    <t>SS T-SHIRT TYE DYE KNOTTED WE ARE ONE TSWAONE2:ASSORTIVE CO:7-8:OMBRE:SS T-SHIRT</t>
  </si>
  <si>
    <t>SS T-SHIRT TYE DYE KNOTTED WE ARE ONE TSWAONE2:ASSORTIVE CO:11-12:OMBRE:SS T-SHIRT</t>
  </si>
  <si>
    <t>SS T-SHIRT TYE DYE KNOTTED WE ARE ONE TSWAONE2:ASSORTIVE CO:13-14:OMBRE:SS T-SHIRT</t>
  </si>
  <si>
    <t>TSWAONE3</t>
  </si>
  <si>
    <t>SS T-SHIRT TYE DYE WE ARE ONE TSWAONE3:PASTEL PINK:7-8:OMBRE:SS T-SHIRT</t>
  </si>
  <si>
    <t>SS T-SHIRT TYE DYE WE ARE ONE TSWAONE3:PASTEL PINK:13-14:OMBRE:SS T-SHIRT</t>
  </si>
  <si>
    <t>SS MIDI DRESS DAILY BAMBI DDSSBAM:PASTEL PINK:7-8:GRAPHIC:SS MIDI DRESS</t>
  </si>
  <si>
    <t>SS T-SHIRT TYE DYE KNOTTED WE ARE ONE TSWAONE2:ASSORTIVE CO:9-10:OMBRE:SS T-SHIRT</t>
  </si>
  <si>
    <t>SS T-SHIRT TYE DYE WE ARE ONE TSWAONE3:PASTEL PINK:9-10:OMBRE:SS T-SHIRT</t>
  </si>
  <si>
    <t>DLTDFZA</t>
  </si>
  <si>
    <t>DRESS LS TIE DYE FROZEN 66050100FZA DLTDFZA:PASTEL PINK:7-8:SOLID:LS MIDI DRESS</t>
  </si>
  <si>
    <t>DRESS LS TIE DYE FROZEN 66050100FZA DLTDFZA:PASTEL PINK:9-10:SOLID:LS MIDI DRESS</t>
  </si>
  <si>
    <t>DRESS LS TIE DYE FROZEN 66050100FZA DLTDFZA:PASTEL PINK:11-12:SOLID:LS MIDI DRESS</t>
  </si>
  <si>
    <t>DRESS LS TIE DYE FROZEN 66050100FZA DLTDFZA:PASTEL PINK:13-14:SOLID:LS MIDI DRESS</t>
  </si>
  <si>
    <t>DLTLGP</t>
  </si>
  <si>
    <t>LS MIDI DRESS TIE DYE PRINCESS GIRL POWER DLTLGP:PASTEL PINK:7-8:OMBRE:LS MIDI DRES</t>
  </si>
  <si>
    <t>LS MIDI DRESS TIE DYE PRINCESS GIRL POWER DLTLGP:PASTEL PINK:9-10:OMBRE:LS MIDI DRES</t>
  </si>
  <si>
    <t>LS MIDI DRESS TIE DYE PRINCESS GIRL POWER DLTLGP:PASTEL PINK:11-12:OMBRE:LS MIDI DRES</t>
  </si>
  <si>
    <t>LS MIDI DRESS TIE DYE PRINCESS GIRL POWER DLTLGP:PASTEL PINK:13-14:OMBRE:LS MIDI DRES</t>
  </si>
  <si>
    <t>DLHTDMIN</t>
  </si>
  <si>
    <t>LS MIDI DRESS HOODIE TIE DYE MINNIE DLHTDMIN:PASTEL PINK:9-10:OMBRE:LS MIDI DRESS</t>
  </si>
  <si>
    <t>LS MIDI DRESS HOODIE TIE DYE MINNIE DLHTDMIN:PASTEL PINK:11-12:OMBRE:LS MIDI DRESS</t>
  </si>
  <si>
    <t>LS MIDI DRESS HOODIE TIE DYE MINNIE DLHTDMIN:PASTEL PINK:13-14:OMBRE:LS MIDI DRESS</t>
  </si>
  <si>
    <t>DSOFZA</t>
  </si>
  <si>
    <t>SS MIDI DRESS OVERALL FROZEN SISTERS FOREVER DSOFZA:PASTEL GREE:9-10:GRAPHIC:SS MIDI DRE</t>
  </si>
  <si>
    <t>SS MIDI DRESS OVERALL FROZEN SISTERS FOREVER DSOFZA:PASTEL GREE:11-12:GRAPHIC:SS MIDI DRE</t>
  </si>
  <si>
    <t>SS MIDI DRESS OVERALL FROZEN SISTERS FOREVER DSOFZA:PASTEL GREE:13-14:GRAPHIC:SS MIDI DRE</t>
  </si>
  <si>
    <t>DSSFZA</t>
  </si>
  <si>
    <t>SS MIDI DRESS LGN SIFON PRINCESS DSSFZA:PASTEL BLUE:9-10:OMBRE:SS MIDI DRESS</t>
  </si>
  <si>
    <t>SS MIDI DRESS LGN SIFON PRINCESS DSSFZA:PASTEL BLUE:11-12:OMBRE:SS MIDI DRESS</t>
  </si>
  <si>
    <t>SWRETRAP</t>
  </si>
  <si>
    <t>SWEATSHIRT RAPUNZEL GIRL POWER SWRETRAP:MUSTARD:7-8:GRAPHIC:SWEATSHIRT</t>
  </si>
  <si>
    <t>SWEATSHIRT RAPUNZEL GIRL POWER SWRETRAP:MUSTARD:9-10:GRAPHIC:SWEATSHIRT</t>
  </si>
  <si>
    <t>SWEATSHIRT RAPUNZEL GIRL POWER SWRETRAP:MUSTARD:11-12:GRAPHIC:SWEATSHIRT</t>
  </si>
  <si>
    <t>SWEATSHIRT RAPUNZEL GIRL POWER SWRETRAP:MUSTARD:13-14:GRAPHIC:SWEATSHIRT</t>
  </si>
  <si>
    <t>SWTDBELL</t>
  </si>
  <si>
    <t>SWEATSHIRT TIE DYE BELLE SWTDBELL:PASTEL PINK:7-8:OMBRE:SWEATSHIRT</t>
  </si>
  <si>
    <t>SWEATSHIRT TIE DYE BELLE SWTDBELL:PASTEL PINK:9-10:OMBRE:SWEATSHIRT</t>
  </si>
  <si>
    <t>SWEATSHIRT TIE DYE BELLE SWTDBELL:PASTEL PINK:11-12:OMBRE:SWEATSHIRT</t>
  </si>
  <si>
    <t>SWEATSHIRT TIE DYE BELLE SWTDBELL:PASTEL PINK:13-14:OMBRE:SWEATSHIRT</t>
  </si>
  <si>
    <t>SWOBMIN</t>
  </si>
  <si>
    <t>SWEATSHIRT TODDLER MINNIE SWOBMIN:PASTEL PINK:3-4:OMBRE:SWEATSHIRT</t>
  </si>
  <si>
    <t>SWEATSHIRT TODDLER MINNIE SWOBMIN:PASTEL PINK:4-5:OMBRE:SWEATSHIRT</t>
  </si>
  <si>
    <t>SWEATSHIRT TODDLER MINNIE SWOBMIN:PASTEL PINK:5-6:OMBRE:SWEATSHIRT</t>
  </si>
  <si>
    <t>SWEATSHIRT TODDLER MINNIE SWOBMIN:PASTEL PINK:7-8:OMBRE:SWEATSHIRT</t>
  </si>
  <si>
    <t>SWCSPUMIN</t>
  </si>
  <si>
    <t>SWEATSHIRT CUT AND SEWN MINNIE SWCSPUMIN:PASTEL PURPLE:7-8:GRAPHIC:SWEATSHIRT</t>
  </si>
  <si>
    <t>SWEATSHIRT CUT AND SEWN MINNIE SWCSPUMIN:PASTEL PURPLE:9-10:GRAPHIC:SWEATSHIRT</t>
  </si>
  <si>
    <t>SWEATSHIRT CUT AND SEWN MINNIE SWCSPUMIN:PASTEL PURPLE:11-12:GRAPHIC:SWEATSHIRT</t>
  </si>
  <si>
    <t>SWEATSHIRT CUT AND SEWN MINNIE SWCSPUMIN:PASTEL PURPLE:13-14:GRAPHIC:SWEATSHIRT</t>
  </si>
  <si>
    <t>JGTDMIN</t>
  </si>
  <si>
    <t>JOGGER TODDLER TIE DYE PRINCESS JGTDMIN:PASTEL PINK:3-4:OMBRE:JOGGER</t>
  </si>
  <si>
    <t>JOGGER TODDLER TIE DYE PRINCESS JGTDMIN:PASTEL PINK:4-5:OMBRE:JOGGER</t>
  </si>
  <si>
    <t>JOGGER TODDLER TIE DYE PRINCESS JGTDMIN:PASTEL PINK:5-6:OMBRE:JOGGER</t>
  </si>
  <si>
    <t>JOGGER TODDLER TIE DYE PRINCESS JGTDMIN:PASTEL PINK:7-8:OMBRE:JOGGER</t>
  </si>
  <si>
    <t>TSTDMIN</t>
  </si>
  <si>
    <t>SS T-SHIRT TIE DYE ELECTRIC JEWEL TSTDMIN:PASTEL PINK:9-10:OMBRE:SS T-SHIRT</t>
  </si>
  <si>
    <t>SS T-SHIRT TIE DYE ELECTRIC JEWEL TSTDMIN:PASTEL PINK:11-12:OMBRE:SS T-SHIRT</t>
  </si>
  <si>
    <t>SS T-SHIRT TIE DYE ELECTRIC JEWEL TSTDMIN:PASTEL PINK:13-14:OMBRE:SS T-SHIRT</t>
  </si>
  <si>
    <t>TSTDCUTE</t>
  </si>
  <si>
    <t>SS T-SHIRT TIE DYE CUTE AS MINNIE TSTDCUTE:PASTEL PINK:4-5:OMBRE:SS T-SHIRT</t>
  </si>
  <si>
    <t>SS T-SHIRT TIE DYE CUTE AS MINNIE TSTDCUTE:PASTEL PINK:5-6:OMBRE:SS T-SHIRT</t>
  </si>
  <si>
    <t>SS T-SHIRT TIE DYE CUTE AS MINNIE TSTDCUTE:PASTEL PINK:7-8:OMBRE:SS T-SHIRT</t>
  </si>
  <si>
    <t>DTDTDMIN</t>
  </si>
  <si>
    <t xml:space="preserve"> DRESS TOD TIE DYE MINNIE 66050100MIN DTDTDMIN:PASTEL PINK:7-8:GRAPHIC:SS MIDI DRES</t>
  </si>
  <si>
    <t xml:space="preserve"> DRESS TOD TIE DYE MINNIE 66050100MIN DTDTDMIN:PASTEL PINK:3-4:GRAPHIC:SS MIDI DRES</t>
  </si>
  <si>
    <t xml:space="preserve"> DRESS TOD TIE DYE MINNIE 66050100MIN DTDTDMIN:PASTEL PINK:4-5:GRAPHIC:SS MIDI DRES</t>
  </si>
  <si>
    <t>DDMIN</t>
  </si>
  <si>
    <t>SS MIDI DRESS DAILY MINNIE DDMIN:PASTEL PINK:11-12:GRAPHIC:SS MIDI DRESS</t>
  </si>
  <si>
    <t>SS MIDI DRESS DAILY MINNIE DDMIN:PASTEL PINK:13-14:GRAPHIC:SS MIDI DRESS</t>
  </si>
  <si>
    <t>DLFPBAM</t>
  </si>
  <si>
    <t>LS MIDI DRESS BAMBI DLFPBAM:PASTEL PINK:9-10:PRINT:LS MIDI DRESS</t>
  </si>
  <si>
    <t>LS MIDI DRESS BAMBI DLFPBAM:PASTEL PINK:11-12:PRINT:LS MIDI DRESS</t>
  </si>
  <si>
    <t>LS MIDI DRESS BAMBI DLFPBAM:PASTEL PINK:13-14:PRINT:LS MIDI DRESS</t>
  </si>
  <si>
    <t>CLPRN</t>
  </si>
  <si>
    <t>LONG PANTS KNIT PRINCESS CLPRN:CORAL:7-8:GRAPHIC:LONG PANTS</t>
  </si>
  <si>
    <t>LONG PANTS KNIT PRINCESS CLPRN:CORAL:9-10:GRAPHIC:LONG PANTS</t>
  </si>
  <si>
    <t>LONG PANTS KNIT PRINCESS CLPRN:CORAL:11-12:GRAPHIC:LONG PANTS</t>
  </si>
  <si>
    <t>LONG PANTS KNIT PRINCESS CLPRN:CORAL:13-14:GRAPHIC:LONG PANTS</t>
  </si>
  <si>
    <t>JGASTDMIN</t>
  </si>
  <si>
    <t>JOGGER TIE DYE MINNIE JGASTDMIN:PASTEL PINK:7-8:OMBRE:JOGGER</t>
  </si>
  <si>
    <t>JOGGER TIE DYE MINNIE JGASTDMIN:PASTEL PINK:9-10:OMBRE:JOGGER</t>
  </si>
  <si>
    <t>JOGGER TIE DYE MINNIE JGASTDMIN:PASTEL PINK:11-12:OMBRE:JOGGER</t>
  </si>
  <si>
    <t>JOGGER TIE DYE MINNIE JGASTDMIN:PASTEL PINK:13-14:OMBRE:JOGGER</t>
  </si>
  <si>
    <t>SWTDRAP</t>
  </si>
  <si>
    <t>SWEATSHIRT TOD BTM TULLE PRINCESS MAGIC SWTDRAP:PASTEL PINK:3-4:GRAPHIC:SWEATSHIRT</t>
  </si>
  <si>
    <t>SWEATSHIRT TOD BTM TULLE PRINCESS MAGIC SWTDRAP:PASTEL PINK:4-5:GRAPHIC:SWEATSHIRT</t>
  </si>
  <si>
    <t>SWRDPFZA</t>
  </si>
  <si>
    <t>SWEATSHIRT FROZEN RUFFLE BAWAH 66050100FZA SWRDPFZA:PASTEL ORAN:7-8:GRAPHIC:SWEATSHIRT</t>
  </si>
  <si>
    <t>SWEATSHIRT FROZEN RUFFLE BAWAH 66050100FZA SWRDPFZA:PASTEL ORAN:9-10:GRAPHIC:SWEATSHIRT</t>
  </si>
  <si>
    <t>SWEATSHIRT FROZEN RUFFLE BAWAH 66050100FZA SWRDPFZA:PASTEL ORAN:11-12:GRAPHIC:SWEATSHIRT</t>
  </si>
  <si>
    <t>SWEATSHIRT FROZEN RUFFLE BAWAH 66050100FZA SWRDPFZA:PASTEL ORAN:13-14:GRAPHIC:SWEATSHIRT</t>
  </si>
  <si>
    <t>SSELSAFZ1</t>
  </si>
  <si>
    <t>SS T-SHIRT TOP BBTR ELSA LENGAN RUFFLE 66050100FZA S:PASTEL PURP:11-12:GRAPHIC:SS T-SHIRT</t>
  </si>
  <si>
    <t>SS T-SHIRT TOP BBTR ELSA LENGAN RUFFLE 66050100FZA S:PASTEL PURP:13-14:GRAPHIC:SS T-SHIRT</t>
  </si>
  <si>
    <t>DLGEMIN</t>
  </si>
  <si>
    <t>LS MIDI DRESS MINNIE GEM DLGEMIN:PASTEL PINK:3-4:GRAPHIC:LS MIDI DRESS</t>
  </si>
  <si>
    <t>LS MIDI DRESS MINNIE GEM DLGEMIN:PASTEL PINK:4-5:GRAPHIC:LS MIDI DRESS</t>
  </si>
  <si>
    <t>LS MIDI DRESS MINNIE GEM DLGEMIN:PASTEL PINK:5-6:GRAPHIC:LS MIDI DRESS</t>
  </si>
  <si>
    <t>DSBELLE</t>
  </si>
  <si>
    <t>SS MIDI DRESS BEAUTY BELLE DSBELLE:PASTEL YELLOW:3-4:GRAPHIC:SS MIDI DRESS</t>
  </si>
  <si>
    <t>SS MIDI DRESS BEAUTY BELLE DSBELLE:PASTEL YELLOW:4-5:GRAPHIC:SS MIDI DRESS</t>
  </si>
  <si>
    <t>SS MIDI DRESS BEAUTY BELLE DSBELLE:PASTEL YELLOW:5-6:GRAPHIC:SS MIDI DRESS</t>
  </si>
  <si>
    <t>SS MIDI DRESS BEAUTY BELLE DSBELLE:PASTEL YELLOW:7-8:GRAPHIC:SS MIDI DRESS</t>
  </si>
  <si>
    <t>SWHPGMIN</t>
  </si>
  <si>
    <t>SWEATSHIRT HOODIE MINNIE PRISMATIC GLOW 66050100MIN:PASTEL YELL:7-8:GRAPHIC:SWEATSHIRT</t>
  </si>
  <si>
    <t>SWEATSHIRT HOODIE MINNIE PRISMATIC GLOW 66050100MIN:PASTEL YELL:9-10:GRAPHIC:SWEATSHIRT</t>
  </si>
  <si>
    <t>SWEATSHIRT HOODIE MINNIE PRISMATIC GLOW 66050100MIN:PASTEL YELL:11-12:GRAPHIC:SWEATSHIRT</t>
  </si>
  <si>
    <t>SWEATSHIRT HOODIE MINNIE PRISMATIC GLOW 66050100MIN:PASTEL YELL:13-14:GRAPHIC:SWEATSHIRT</t>
  </si>
  <si>
    <t>SWHDPFZA</t>
  </si>
  <si>
    <t>SWEATSHIRT HOODIE FROZEN 66050100FZA SWHDPFZA:PASTEL BLUE:7-8:GRAPHIC:SWEATSHIRT</t>
  </si>
  <si>
    <t>SWEATSHIRT HOODIE FROZEN 66050100FZA SWHDPFZA:PASTEL BLUE:9-10:GRAPHIC:SWEATSHIRT</t>
  </si>
  <si>
    <t>SWEATSHIRT HOODIE FROZEN 66050100FZA SWHDPFZA:PASTEL BLUE:11-12:GRAPHIC:SWEATSHIRT</t>
  </si>
  <si>
    <t>SWEATSHIRT HOODIE FROZEN 66050100FZA SWHDPFZA:PASTEL BLUE:13-14:GRAPHIC:SWEATSHIRT</t>
  </si>
  <si>
    <t>JG3PRN</t>
  </si>
  <si>
    <t>JOGGER JOG TOD 3 PRINCESS 66030100PRN JG3PRN:PASTEL PINK:3-4:GRAPHIC:JOGGER</t>
  </si>
  <si>
    <t>JOGGER JOG TOD 3 PRINCESS 66030100PRN JG3PRN:PASTEL PINK:4-5:GRAPHIC:JOGGER</t>
  </si>
  <si>
    <t>JOGGER JOG TOD 3 PRINCESS 66030100PRN JG3PRN:PASTEL PINK:5-6:GRAPHIC:JOGGER</t>
  </si>
  <si>
    <t>JOGGER JOG TOD 3 PRINCESS 66030100PRN JG3PRN:PASTEL PINK:7-8:GRAPHIC:JOGGER</t>
  </si>
  <si>
    <t>SSELSAFZ2</t>
  </si>
  <si>
    <t>SS T-SHIRT TOP BBTR RUFFLE TILE ELSA BLOOMING FROST:PEPPERMINT:7-8:GRAPHIC:SS T-SHIRT</t>
  </si>
  <si>
    <t>GASSMNR</t>
  </si>
  <si>
    <t>SS T-SHIRT OMBRE MINNIE RED RULES PITA 66050100MIN GASSMNR:CLASSIC R:7-8:GRAPHIC:SS T-SHIR</t>
  </si>
  <si>
    <t>SS T-SHIRT OMBRE MINNIE RED RULES PITA 66050100MIN GASSMNR:CLASSIC R:9-10:GRAPHIC:SS T-SHIR</t>
  </si>
  <si>
    <t>SS T-SHIRT OMBRE MINNIE RED RULES PITA 66050100MIN GASSMNR:CLASSIC R:11-12:GRAPHIC:SS T-SHIR</t>
  </si>
  <si>
    <t>SS T-SHIRT OMBRE MINNIE RED RULES PITA 66050100MIN GASSMNR:CLASSIC R:13-14:GRAPHIC:SS T-SHIR</t>
  </si>
  <si>
    <t>AMITK211</t>
  </si>
  <si>
    <t>SS T-SHIRT 66030100MIN MINNIE BOW BAWAH GEBER AMITK211:PASTEL PIN:5-6:GRAPHIC:SS T-SHIRT</t>
  </si>
  <si>
    <t>SS T-SHIRT 66030100MIN MINNIE BOW BAWAH GEBER AMITK211:PASTEL PIN:9-10:GRAPHIC:SS T-SHIRT</t>
  </si>
  <si>
    <t>AMISSFZ1</t>
  </si>
  <si>
    <t>SS T-SHIRT ANNA MAGICAL SEASON 66050100FZA AMISSFZ1:CORAL:11-12:GRAPHIC:SS T-SHIRT</t>
  </si>
  <si>
    <t>ARS1MRP</t>
  </si>
  <si>
    <t>SS T-SHIRT SS BT PURRFECTLY MARIE 66030100MAR ARS1MRP:CORAL:3-4:GRAPHIC:SS T-SHIRT</t>
  </si>
  <si>
    <t>ARS2MRP</t>
  </si>
  <si>
    <t>SS T-SHIRT PURRFECTLY MARIE WOKE UP 66030100MAR ARS2MRP:MISTY LIGH:5-6:GRAPHIC:SS T-SHIRT</t>
  </si>
  <si>
    <t>SS T-SHIRT PURRFECTLY MARIE WOKE UP 66030100MAR ARS2MRP:MISTY LIGH:4-5:GRAPHIC:SS T-SHIRT</t>
  </si>
  <si>
    <t>TSBPL210</t>
  </si>
  <si>
    <t>SS T-SHIRT 66030100MIN BASIC MINNIE FULLPRINT POLKAD:MISTY LIGHT:11-12:PRINT:SS T-SHIRT</t>
  </si>
  <si>
    <t>TSBPL215</t>
  </si>
  <si>
    <t>SS T-SHIRT BASIC PRINCESS GANG IN SKETCH TSBPL215:WHITE:5-6:GRAPHIC:SS T-SHIRT</t>
  </si>
  <si>
    <t>SS T-SHIRT BASIC PRINCESS GANG IN SKETCH TSBPL215:WHITE:11-12:GRAPHIC:SS T-SHIRT</t>
  </si>
  <si>
    <t>TSBPL218</t>
  </si>
  <si>
    <t>SS T-SHIRT BASIC DUMBO SIT WALK W RAT TSBPL218:TURQOUISE:9-10:GRAPHIC:SS T-SHIRT</t>
  </si>
  <si>
    <t>SS T-SHIRT BASIC DUMBO SIT WALK W RAT TSBPL218:TURQOUISE:11-12:GRAPHIC:SS T-SHIRT</t>
  </si>
  <si>
    <t>TSBPL216</t>
  </si>
  <si>
    <t>SS T-SHIRT BASIC FULLPRINT DUMBO POLKADOT TSBPL216:CORAL:11-12:GRAPHIC:SS T-SHIRT</t>
  </si>
  <si>
    <t>TSBPL213</t>
  </si>
  <si>
    <t>SS T-SHIRT BASIC PRINCESS GANG TSBPL213:PASTEL PINK:11-12:GRAPHIC:SS T-SHIRT</t>
  </si>
  <si>
    <t>TSBPL214</t>
  </si>
  <si>
    <t>SS T-SHIRT BASIC PRINCESS IN THE SQUARE TSBPL214:PASTEL BLUE:5-6:GRAPHIC:SS T-SHIRT</t>
  </si>
  <si>
    <t>SS T-SHIRT BASIC PRINCESS IN THE SQUARE TSBPL214:PASTEL BLUE:9-10:GRAPHIC:SS T-SHIRT</t>
  </si>
  <si>
    <t>SS T-SHIRT BASIC PRINCESS IN THE SQUARE TSBPL214:PASTEL BLUE:11-12:GRAPHIC:SS T-SHIRT</t>
  </si>
  <si>
    <t>TSPLUPC2</t>
  </si>
  <si>
    <t>SS T-SHIRT TS SS UPC 2 66030100PRI TSPLUPC2:OFF WHITE:5-6:GRAPHIC:SS T-SHIRT</t>
  </si>
  <si>
    <t>TSPLUPC3</t>
  </si>
  <si>
    <t>SS T-SHIRT TS SS UPC 3 66030100PRI TSPLUPC3:PASTEL BLUE:5-6:GRAPHIC:SS T-SHIRT</t>
  </si>
  <si>
    <t>TSBPL227</t>
  </si>
  <si>
    <t xml:space="preserve"> SS T-SHIRT MINNIE UNICORN 2 TSBPL227 66050300MIN TSBPL227:PASTEL PINK:11-12:GRAPHIC:SS T-SHIRT</t>
  </si>
  <si>
    <t>TSBPL229</t>
  </si>
  <si>
    <t>SS T-SHIRT MARIE 1 66050300MAR TSBPL229:PASTEL PURPLE:9-10:GRAPHIC:SS T-SHIRT</t>
  </si>
  <si>
    <t>SS T-SHIRT MARIE 1 66050300MAR TSBPL229:PASTEL PURPLE:11-12:GRAPHIC:SS T-SHIRT</t>
  </si>
  <si>
    <t>TSBPL230</t>
  </si>
  <si>
    <t>SS T-SHIRT MARIE 2 66050300MAR TSBPL230:CORAL:7-8:GRAPHIC:SS T-SHIRT</t>
  </si>
  <si>
    <t>SS T-SHIRT MARIE 2 66050300MAR TSBPL230:CORAL:11-12:GRAPHIC:SS T-SHIRT</t>
  </si>
  <si>
    <t xml:space="preserve"> SS T-SHIRT MINNIE UNICORN 2 TSBPL227 66050300MIN TSBPL227:PASTEL PINK:13-14:GRAPHIC:SS T-SHIRT</t>
  </si>
  <si>
    <t>TSBPL228</t>
  </si>
  <si>
    <t>SS T-SHIRT MARIE 2 66050300MAR TSBPL230:CORAL:13-14:GRAPHIC:SS T-SHIRT</t>
  </si>
  <si>
    <t>TSBPL231</t>
  </si>
  <si>
    <t>SS T-SHIRT MARIE 3 66050300MAR TSBPL231:FUSCHIA:11-12:PRINT:SS T-SHIRT</t>
  </si>
  <si>
    <t>SS T-SHIRT MARIE 3 66050300MAR TSBPL231:FUSCHIA:13-14:PRINT:SS T-SHIRT</t>
  </si>
  <si>
    <t>2TKGNP10</t>
  </si>
  <si>
    <t>66030100MIN SS T-SHIRT FULL PRINT MINNIE PINK 2TKGNP10:FUSCHIA:M:GRAPHIC:SS T-SHIRT</t>
  </si>
  <si>
    <t>2TKGNP9</t>
  </si>
  <si>
    <t>SS T-SHIRT 66030100MIN SLUB MINNIE BANANA 2TKGNP9:WHITE:S:GRAPHIC:SS T-SHIRT</t>
  </si>
  <si>
    <t>SS T-SHIRT 66030100MIN SLUB MINNIE BANANA 2TKGNP9:WHITE:5-6:GRAPHIC:SS T-SHIRT</t>
  </si>
  <si>
    <t>SS T-SHIRT 66030100MIN SLUB MINNIE BANANA 2TKGNP9:WHITE:7-8:GRAPHIC:SS T-SHIRT</t>
  </si>
  <si>
    <t>2TKGNP11</t>
  </si>
  <si>
    <t>66030100MIN SS T-SHIRT MINNIE PANDA 2TKGNP11:CORAL:S:GRAPHIC:SS T-SHIRT</t>
  </si>
  <si>
    <t>66030100MIN SS T-SHIRT MINNIE PANDA 2TKGNP11:CORAL:M:GRAPHIC:SS T-SHIRT</t>
  </si>
  <si>
    <t>66030100MIN SS T-SHIRT MINNIE PANDA 2TKGNP11:CORAL:7-8:GRAPHIC:SS T-SHIRT</t>
  </si>
  <si>
    <t>2TKGNP6</t>
  </si>
  <si>
    <t>SS T-SHIRT 66030100MAR TOP MARIE COMBINE WOVEN 2TKGNP6:PASTEL PINK:L:GRAPHIC:SS T-SHIRT</t>
  </si>
  <si>
    <t>TSBAEFV5</t>
  </si>
  <si>
    <t>SS T-SHIRT 66030100MIN TYE DYE MINNIE FLOWER TSBAEFV5:PASTEL BLUE:5-6:GRAPHIC:SS T-SHIRT</t>
  </si>
  <si>
    <t>SS T-SHIRT 66030100MIN TYE DYE MINNIE FLOWER TSBAEFV5:PASTEL BLUE:11-12:GRAPHIC:SS T-SHIRT</t>
  </si>
  <si>
    <t>TSBAEFV6</t>
  </si>
  <si>
    <t>SS T-SHIRT 66030100MIN TYE DYE MINNIE STAR TSBAEFV6:PASTEL PINK:7-8:GRAPHIC:SS T-SHIRT</t>
  </si>
  <si>
    <t>SS T-SHIRT 66030100MIN TYE DYE MINNIE STAR TSBAEFV6:PASTEL PINK:11-12:GRAPHIC:SS T-SHIRT</t>
  </si>
  <si>
    <t>GASLMNR</t>
  </si>
  <si>
    <t>LS T-SHIRT MINNIE RED RULES 66050100MIN GASLMNR:CLASSIC RED:9-10:GRAPHIC:LS T-SHIRT</t>
  </si>
  <si>
    <t>LS T-SHIRT MINNIE RED RULES 66050100MIN GASLMNR:CLASSIC RED:11-12:GRAPHIC:LS T-SHIRT</t>
  </si>
  <si>
    <t>LS T-SHIRT MINNIE RED RULES 66050100MIN GASLMNR:CLASSIC RED:13-14:GRAPHIC:LS T-SHIRT</t>
  </si>
  <si>
    <t>TSPLCS1</t>
  </si>
  <si>
    <t>LS T-SHIRT CHARACTER SPEAK 1 TSPLCS1 66030100PRI:PASTEL PINK:9-10:GRAPHIC:LS T-SHIRT</t>
  </si>
  <si>
    <t>LS T-SHIRT CHARACTER SPEAK 1 TSPLCS1 66030100PRI:PASTEL PINK:11-12:GRAPHIC:LS T-SHIRT</t>
  </si>
  <si>
    <t>TSPLCS2</t>
  </si>
  <si>
    <t>LS T-SHIRT CHARACTER SPEAK 2 TSPLCS2 66030100PRI:PASTEL YELLO:7-8:GRAPHIC:LS T-SHIRT</t>
  </si>
  <si>
    <t>LS T-SHIRT CHARACTER SPEAK 2 TSPLCS2 66030100PRI:PASTEL YELLO:9-10:GRAPHIC:LS T-SHIRT</t>
  </si>
  <si>
    <t>TSBSH201</t>
  </si>
  <si>
    <t>LS BLOUSE 66030100MIN MODEST DOBBY MINNIE TSBSH201:PASTEL GREE:5-6:GRAPHIC:LS BLOUSE</t>
  </si>
  <si>
    <t>LS BLOUSE 66030100MIN MODEST DOBBY MINNIE TSBSH201:PASTEL GREE:9-10:GRAPHIC:LS BLOUSE</t>
  </si>
  <si>
    <t>LS BLOUSE 66030100MIN MODEST DOBBY MINNIE TSBSH201:PASTEL GREE:11-12:GRAPHIC:LS BLOUSE</t>
  </si>
  <si>
    <t>GASPLVF1</t>
  </si>
  <si>
    <t>JACKET FROZEN OMBRE ELSA 66050300FZA GASPLVF1:PASTEL PURPLE:5-6:OMBRE:JACKET</t>
  </si>
  <si>
    <t>JACKET FROZEN OMBRE ELSA 66050300FZA GASPLVF1:PASTEL PURPLE:9-10:OMBRE:JACKET</t>
  </si>
  <si>
    <t>JACKET FROZEN OMBRE ELSA 66050300FZA GASPLVF1:PASTEL PURPLE:11-12:OMBRE:JACKET</t>
  </si>
  <si>
    <t>GASSW211</t>
  </si>
  <si>
    <t>SWEATSHIRT PRINCESS WITH SHADOW UPC 66030100PRI GASSW211:PASTEL BLUE:5-6:GRAPHIC:SWEATSHIRT</t>
  </si>
  <si>
    <t>SWEATSHIRT PRINCESS WITH SHADOW UPC 66030100PRI GASSW211:PASTEL BLUE:9-10:GRAPHIC:SWEATSHIRT</t>
  </si>
  <si>
    <t>GASPLV211</t>
  </si>
  <si>
    <t>SWEATSHIRT HOODIE PRINCESS TALI 66030100PRI GASPLV211:MISTY LIGH:7-8:GRAPHIC:SWEATSHIRT</t>
  </si>
  <si>
    <t>SWEATSHIRT HOODIE PRINCESS TALI 66030100PRI GASPLV211:MISTY LIGH:11-12:GRAPHIC:SWEATSHIRT</t>
  </si>
  <si>
    <t>GASPLV311</t>
  </si>
  <si>
    <t>SWEATSHIRT HOODY CUT SEWN MINNIE CUTE EVER 66030100M:PASTEL PINK:5-6:GRAPHIC:SWEATSHIRT</t>
  </si>
  <si>
    <t>SWEATSHIRT HOODY CUT SEWN MINNIE CUTE EVER 66030100M:PASTEL PINK:9-10:GRAPHIC:SWEATSHIRT</t>
  </si>
  <si>
    <t>GASWMNR</t>
  </si>
  <si>
    <t>SWEATSHIRT HOODIE OMBRE MINNIE RED RULES 66050100MIN:CLASSIC RED:7-8:OMBRE:SWEATSHIRT</t>
  </si>
  <si>
    <t>SWEATSHIRT HOODIE OMBRE MINNIE RED RULES 66050100MIN:CLASSIC RED:9-10:OMBRE:SWEATSHIRT</t>
  </si>
  <si>
    <t>SWEATSHIRT HOODIE OMBRE MINNIE RED RULES 66050100MIN:CLASSIC RED:13-14:OMBRE:SWEATSHIRT</t>
  </si>
  <si>
    <t>GASSWF2</t>
  </si>
  <si>
    <t>SWEATSHIRT SW FROZEN ANA STAR 66050300FZA GASSWF2:CORAL:7-8:GRAPHIC:SWEATSHIRT</t>
  </si>
  <si>
    <t>SWEATSHIRT SW FROZEN ANA STAR 66050300FZA GASSWF2:CORAL:9-10:GRAPHIC:SWEATSHIRT</t>
  </si>
  <si>
    <t>SWEATSHIRT SW FROZEN ANA STAR 66050300FZA GASSWF2:CORAL:11-12:GRAPHIC:SWEATSHIRT</t>
  </si>
  <si>
    <t>GASSWF1</t>
  </si>
  <si>
    <t>FROZEN OMBRE ELSA 66050300FZA GASSWF1:PASTEL BLUE:7-8:OMBRE:SWEATSHIRT</t>
  </si>
  <si>
    <t>FROZEN OMBRE ELSA 66050300FZA GASSWF1:PASTEL BLUE:9-10:OMBRE:SWEATSHIRT</t>
  </si>
  <si>
    <t>SWMEC201</t>
  </si>
  <si>
    <t>SWEATSHIRT 66030100PRI PRINCES BBBB SUBLIM SWMEC201:PASTEL BLUE:5-6:GRAPHIC:SWEATSHIRT</t>
  </si>
  <si>
    <t>SWEATSHIRT 66030100PRI PRINCES BBBB SUBLIM SWMEC201:PASTEL BLUE:9-10:GRAPHIC:SWEATSHIRT</t>
  </si>
  <si>
    <t>SWEATSHIRT 66030100PRI PRINCES BBBB SUBLIM SWMEC201:PASTEL BLUE:11-12:GRAPHIC:SWEATSHIRT</t>
  </si>
  <si>
    <t>MESWMNGL</t>
  </si>
  <si>
    <t>SWEATSHIRT OMBRE MINNIE GLITTER 66050100MIN MESWMNGL:PASTEL ORAN:7-8:OMBRE:SWEATSHIRT</t>
  </si>
  <si>
    <t>SWEATSHIRT OMBRE MINNIE GLITTER 66050100MIN MESWMNGL:PASTEL ORAN:9-10:OMBRE:SWEATSHIRT</t>
  </si>
  <si>
    <t>SWEATSHIRT OMBRE MINNIE GLITTER 66050100MIN MESWMNGL:PASTEL ORAN:11-12:OMBRE:SWEATSHIRT</t>
  </si>
  <si>
    <t>AMISW211</t>
  </si>
  <si>
    <t>SWEATSHIRT 66030100MIN MINNIE BOW FABULOUS AMISW211:OFF WHITE:7-8:GRAPHIC:SWEATSHIRT</t>
  </si>
  <si>
    <t>ARSWHMRP</t>
  </si>
  <si>
    <t>SWEATER HOODIE PURRFECTLY MARIE 66030100MAR ARSWHMRP:PASTEL PINK:5-6:GRAPHIC:SWEATSHIRT</t>
  </si>
  <si>
    <t>SWEATER HOODIE PURRFECTLY MARIE 66030100MAR ARSWHMRP:PASTEL PINK:7-8:GRAPHIC:SWEATSHIRT</t>
  </si>
  <si>
    <t>ARSWRMRP</t>
  </si>
  <si>
    <t>SWEATER RUFFLE DADA PURRFECTLY MARIE 66030100MAR ARSWRMRP:CORAL:5-6:GRAPHIC:SWEATSHIR</t>
  </si>
  <si>
    <t>SWEATER RUFFLE DADA PURRFECTLY MARIE 66030100MAR ARSWRMRP:CORAL:7-8:GRAPHIC:SWEATSHIR</t>
  </si>
  <si>
    <t>SWTPL201</t>
  </si>
  <si>
    <t>SWEATSHIRT 66030100MIN HOODY MINNIE BOW SKETCH SWTPL201:MISTY LIGHT:5-6:GRAPHIC:SWEATSHIRT</t>
  </si>
  <si>
    <t>SWEATSHIRT 66030100MIN HOODY MINNIE BOW SKETCH SWTPL201:MISTY LIGHT:9-10:GRAPHIC:SWEATSHIRT</t>
  </si>
  <si>
    <t>PLSWFZ1</t>
  </si>
  <si>
    <t>SWEATSHIRT TIE DYE FROZEN MAKE TODAY MAGIC 66050100F:PASTEL PINK:7-8:OMBRE:SWEATSHIRT</t>
  </si>
  <si>
    <t>SWEATSHIRT TIE DYE FROZEN MAKE TODAY MAGIC 66050100F:PASTEL PINK:9-10:OMBRE:SWEATSHIRT</t>
  </si>
  <si>
    <t>SWEATSHIRT TIE DYE FROZEN MAKE TODAY MAGIC 66050100F:PASTEL PINK:11-12:OMBRE:SWEATSHIRT</t>
  </si>
  <si>
    <t>SWEATSHIRT TIE DYE FROZEN MAKE TODAY MAGIC 66050100F:PASTEL PINK:13-14:OMBRE:SWEATSHIRT</t>
  </si>
  <si>
    <t>PLSWFZ2</t>
  </si>
  <si>
    <t>SWEATSHIRT TULLE FROZEN WINTER IN MY FAVOURITE 66050:PASTEL BLUE:7-8:GRAPHIC:SWEATSHIRT</t>
  </si>
  <si>
    <t>SWEATSHIRT TULLE FROZEN WINTER IN MY FAVOURITE 66050:PASTEL BLUE:9-10:GRAPHIC:SWEATSHIRT</t>
  </si>
  <si>
    <t>SWEATSHIRT TULLE FROZEN WINTER IN MY FAVOURITE 66050:PASTEL BLUE:11-12:GRAPHIC:SWEATSHIRT</t>
  </si>
  <si>
    <t>SWBAE205</t>
  </si>
  <si>
    <t>SWEATSHIRT 66030100MIN HOODY MINNIE FULLPRINT SWBAE205:PASTEL PIN:7-8:PRINT:SWEATSHIRT</t>
  </si>
  <si>
    <t>SWBAE202</t>
  </si>
  <si>
    <t>SWEATSHIRT 66030100PRI ARIEL TIE DYE SWBAE202:PASTEL PINK:11-12:GRAPHIC:SWEATSHIRT</t>
  </si>
  <si>
    <t>SWBAE203</t>
  </si>
  <si>
    <t>SWEATSHIRT 66030100PRI TGN GEBER CINDERELLA SWBAE203:PASTEL PINK:11-12:GRAPHIC:SWEATSHIRT</t>
  </si>
  <si>
    <t>SWBAEFV1</t>
  </si>
  <si>
    <t>SWEATSHIRT 66030100MIN HOODY MINNIE AND DAISY SWBAEFV1:OFF WHITE:11-12:GRAPHIC:SWEATSHIRT</t>
  </si>
  <si>
    <t>2TKRAK2</t>
  </si>
  <si>
    <t>SWEATSHIRT 66050100MIN OUTER TSUM-TSUM RASTER 2TKRAK2:CORAL:S:GRAPHIC:SWEATSHIRT</t>
  </si>
  <si>
    <t>SWEATSHIRT 66050100MIN OUTER TSUM-TSUM RASTER 2TKRAK2:CORAL:M:GRAPHIC:SWEATSHIRT</t>
  </si>
  <si>
    <t>SWEATSHIRT 66050100MIN OUTER TSUM-TSUM RASTER 2TKRAK2:CORAL:L:GRAPHIC:SWEATSHIRT</t>
  </si>
  <si>
    <t>SWEATSHIRT 66050100MIN OUTER TSUM-TSUM RASTER 2TKRAK2:CORAL:5-6:GRAPHIC:SWEATSHIRT</t>
  </si>
  <si>
    <t>SWEATSHIRT 66050100MIN OUTER TSUM-TSUM RASTER 2TKRAK2:CORAL:9-10:GRAPHIC:SWEATSHIRT</t>
  </si>
  <si>
    <t>GASJOG211</t>
  </si>
  <si>
    <t>JOGGER PRINCES KARET BAWAH KTG 66030100PRI GASJOG211:MISTY LIGHT:7-8:SOLID:JOGGER</t>
  </si>
  <si>
    <t>GASJOGF1</t>
  </si>
  <si>
    <t>JOGGER FROZEN OMBRE ANA ELSA 66050300FZA GASJOGF1:PASTEL BLUE:5-6:OMBRE:JOGGER</t>
  </si>
  <si>
    <t>JOGGER FROZEN OMBRE ANA ELSA 66050300FZA GASJOGF1:PASTEL BLUE:7-8:OMBRE:JOGGER</t>
  </si>
  <si>
    <t>JOGGER FROZEN OMBRE ANA ELSA 66050300FZA GASJOGF1:PASTEL BLUE:11-12:OMBRE:JOGGER</t>
  </si>
  <si>
    <t>GASJGMNR</t>
  </si>
  <si>
    <t>JOGGER MINNIE RED RULES 66050100MIN GASJGMNR:CLASSIC RED:7-8:GRAPHIC:JOGGER</t>
  </si>
  <si>
    <t>JOGGER MINNIE RED RULES 66050100MIN GASJGMNR:CLASSIC RED:9-10:GRAPHIC:JOGGER</t>
  </si>
  <si>
    <t>JOGGER MINNIE RED RULES 66050100MIN GASJGMNR:CLASSIC RED:11-12:GRAPHIC:JOGGER</t>
  </si>
  <si>
    <t>JOGGER MINNIE RED RULES 66050100MIN GASJGMNR:CLASSIC RED:13-14:GRAPHIC:JOGGER</t>
  </si>
  <si>
    <t>MEJGMNGL</t>
  </si>
  <si>
    <t>JOGGER OMBRE MINNIE GLITTER 66050100MIN MEJGMNGL:PASTEL ORANG:7-8:OMBRE:JOGGER</t>
  </si>
  <si>
    <t>JOGGER OMBRE MINNIE GLITTER 66050100MIN MEJGMNGL:PASTEL ORANG:13-14:OMBRE:JOGGER</t>
  </si>
  <si>
    <t>AMIJOG211</t>
  </si>
  <si>
    <t>JOGGER 66030100MIN CUT AND SEWN MINNIE WORDING AMIJOG211:OFF WHITE:5-6:GRAPHIC:JOGGER</t>
  </si>
  <si>
    <t>JOGGER 66030100MIN CUT AND SEWN MINNIE WORDING AMIJOG211:OFF WHITE:7-8:GRAPHIC:JOGGER</t>
  </si>
  <si>
    <t>JOGGER 66030100MIN CUT AND SEWN MINNIE WORDING AMIJOG211:OFF WHITE:9-10:GRAPHIC:JOGGER</t>
  </si>
  <si>
    <t>AMCLFZMS</t>
  </si>
  <si>
    <t>LONG PANTS CUL FROZEN MAGICAL SEASON 66050300FZA AMCLFZMS:NAVY BLUE:9-10:PRINT:LONG PANTS</t>
  </si>
  <si>
    <t>LONG PANTS CUL FROZEN MAGICAL SEASON 66050300FZA AMCLFZMS:NAVY BLUE:11-12:PRINT:LONG PANTS</t>
  </si>
  <si>
    <t>LONG PANTS CUL FROZEN MAGICAL SEASON 66050300FZA AMCLFZMS:NAVY BLUE:13-14:PRINT:LONG PANTS</t>
  </si>
  <si>
    <t>AMLGPRRB</t>
  </si>
  <si>
    <t>LEGGING TULLE RAINBOW PRINCESS 66030100PR:OFF WHITE:5-6:OMBRE:LONG PANTS</t>
  </si>
  <si>
    <t>LEGGING TULLE RAINBOW PRINCESS 66030100PR:OFF WHITE:7-8:OMBRE:LONG PANTS</t>
  </si>
  <si>
    <t>LEGGING TULLE RAINBOW PRINCESS 66030100PR:OFF WHITE:4-5:OMBRE:LONG PANTS</t>
  </si>
  <si>
    <t>ARJGMRP</t>
  </si>
  <si>
    <t>JOGGER PURRFECTLY MARIE 66030100MAR ARJGMRP:CORAL:3-4:GRAPHIC:JOGGER</t>
  </si>
  <si>
    <t>JOGGER PURRFECTLY MARIE 66030100MAR ARJGMRP:CORAL:4-5:GRAPHIC:JOGGER</t>
  </si>
  <si>
    <t>2BDKNK1</t>
  </si>
  <si>
    <t>DENIM LONG PANTS 66030100MIN MINNIE FULL PRINT 2BDKNK1:MEDIUM DEN:S:PRINT:DENIM LONG</t>
  </si>
  <si>
    <t>DENIM LONG PANTS 66030100MIN MINNIE FULL PRINT 2BDKNK1:MEDIUM DEN:L:PRINT:DENIM LONG</t>
  </si>
  <si>
    <t>GASDRF1</t>
  </si>
  <si>
    <t>SS MIDI DRESS FROZEN TYE DYE ANNA ELSA 66050300FZA GASDRF1:OFF WHITE:5-6:OMBRE:SS MIDI DRES</t>
  </si>
  <si>
    <t>SS MIDI DRESS FROZEN TYE DYE ANNA ELSA 66050300FZA GASDRF1:OFF WHITE:7-8:OMBRE:SS MIDI DRES</t>
  </si>
  <si>
    <t>SS MIDI DRESS FROZEN TYE DYE ANNA ELSA 66050300FZA GASDRF1:OFF WHITE:11-12:OMBRE:SS MIDI DRES</t>
  </si>
  <si>
    <t>DRMEC202</t>
  </si>
  <si>
    <t>SS MIDI DRESS 66030100CIN CINDERELLA KOMBINASI TULLE:PASTEL BLUE:L:GRAPHIC:SS MIDI DRE</t>
  </si>
  <si>
    <t>SS MIDI DRESS 66030100CIN CINDERELLA KOMBINASI TULLE:PASTEL BLUE:5-6:GRAPHIC:SS MIDI DRE</t>
  </si>
  <si>
    <t>MEDRFCIN</t>
  </si>
  <si>
    <t>SS MIDI DRESS RUFFLE CINDERELLA 66030100PRN MEDRFCIN:PASTEL BLUE:7-8:GRAPHIC:SS MIDI DRE</t>
  </si>
  <si>
    <t>SS MIDI DRESS RUFFLE CINDERELLA 66030100PRN MEDRFCIN:PASTEL BLUE:11-12:GRAPHIC:SS MIDI DRE</t>
  </si>
  <si>
    <t>2DRAMI8</t>
  </si>
  <si>
    <t>SS MIDI DRESS MARIE DRAWING 2DRAMI8:MISTY LIGHT GRE:L:GRAPHIC:SS MIDI DRESS</t>
  </si>
  <si>
    <t>AMIDR211</t>
  </si>
  <si>
    <t>SS MIDI DRESS 66030100MIN MINNIE KARET PINGGANG BAWA:NAVY BLUE:11-12:GRAPHIC:SS MIDI DRE</t>
  </si>
  <si>
    <t>AMDNFZMS</t>
  </si>
  <si>
    <t>SS MIDI DRESS FROZEN MAGICAL SEASON 66050300FZA AMDNFZMS:NAVY BLUE:11-12:GRAPHIC:SS MIDI DR</t>
  </si>
  <si>
    <t>SS MIDI DRESS FROZEN MAGICAL SEASON 66050300FZA AMDNFZMS:NAVY BLUE:13-14:GRAPHIC:SS MIDI DR</t>
  </si>
  <si>
    <t>AMDRFZMS</t>
  </si>
  <si>
    <t>SS MIDI DRESS TULLE FROZEN MAGICAL SEASON 66050300FZ:PASTEL BLUE:9-10:GRAPHIC:SS MIDI DRE</t>
  </si>
  <si>
    <t>SS MIDI DRESS TULLE FROZEN MAGICAL SEASON 66050300FZ:PASTEL BLUE:11-12:GRAPHIC:SS MIDI DRE</t>
  </si>
  <si>
    <t>SS MIDI DRESS TULLE FROZEN MAGICAL SEASON 66050300FZ:PASTEL BLUE:13-14:GRAPHIC:SS MIDI DRE</t>
  </si>
  <si>
    <t>AMDRPRRB</t>
  </si>
  <si>
    <t>SS MIDI DRESS TULLE RAINBOW PRINCESS AURORA 6603030P:OFF WHITE:5-6:GRAPHIC:SS MIDI DRE</t>
  </si>
  <si>
    <t>SS MIDI DRESS TULLE RAINBOW PRINCESS AURORA 6603030P:OFF WHITE:7-8:GRAPHIC:SS MIDI DRE</t>
  </si>
  <si>
    <t>SS MIDI DRESS TULLE RAINBOW PRINCESS AURORA 6603030P:OFF WHITE:3-4:GRAPHIC:SS MIDI DRE</t>
  </si>
  <si>
    <t>SS MIDI DRESS TULLE RAINBOW PRINCESS AURORA 6603030P:OFF WHITE:4-5:GRAPHIC:SS MIDI DRE</t>
  </si>
  <si>
    <t>AMDKVD1</t>
  </si>
  <si>
    <t>SS MIDI DRESS KVD SUSUN MINNIE 66030300MIN AMDKVD1:WHITE:5-6:GRAPHIC:SS MIDI DRE</t>
  </si>
  <si>
    <t>SS MIDI DRESS KVD SUSUN MINNIE 66030300MIN AMDKVD1:WHITE:7-8:GRAPHIC:SS MIDI DRE</t>
  </si>
  <si>
    <t>AMDKVD2</t>
  </si>
  <si>
    <t>SS MIDI DRESS KVD LENGAN RUFFLE MINNIE 66050300MIN AMDKVD2:PASTEL PI:7-8:GRAPHIC:SS MIDI D</t>
  </si>
  <si>
    <t>SS MIDI DRESS KVD LENGAN RUFFLE MINNIE 66050300MIN AMDKVD2:PASTEL PI:9-10:GRAPHIC:SS MIDI D</t>
  </si>
  <si>
    <t>SS MIDI DRESS KVD LENGAN RUFFLE MINNIE 66050300MIN AMDKVD2:PASTEL PI:11-12:GRAPHIC:SS MIDI D</t>
  </si>
  <si>
    <t>ARDRMRP</t>
  </si>
  <si>
    <t>SS MIDI DRESS TILE PURRFECTLY MARIE 66030100MAR ARDRMRP:PASTEL PIN:5-6:GRAPHIC:SS MIDI DR</t>
  </si>
  <si>
    <t>SS MIDI DRESS TILE PURRFECTLY MARIE 66030100MAR ARDRMRP:PASTEL PIN:7-8:GRAPHIC:SS MIDI DR</t>
  </si>
  <si>
    <t>SS MIDI DRESS TILE PURRFECTLY MARIE 66030100MAR ARDRMRP:PASTEL PIN:4-5:GRAPHIC:SS MIDI DR</t>
  </si>
  <si>
    <t>RAKDR201</t>
  </si>
  <si>
    <t>SS MIDI DRESS 66050100MIN MINNIE PARIS RAGLAN RAKDR201:PASTEL PIN:XL:GRAPHIC:SS MIDI DR</t>
  </si>
  <si>
    <t>2DRTSB5</t>
  </si>
  <si>
    <t>SS MIDI DRESS 66030100MIN MODEST WEAR STRIPE MINNIE 2DRTSB5:LIGHT BLU:S:STRIPES:SS MIDI D</t>
  </si>
  <si>
    <t>GASDR211</t>
  </si>
  <si>
    <t>LS MIDI DRESS PRINCESS TANGAN GEBER KOMBINASI WOVEN:CORAL:5-6:TEXT:LS MIDI DRE</t>
  </si>
  <si>
    <t>LS MIDI DRESS PRINCESS TANGAN GEBER KOMBINASI WOVEN:CORAL:7-8:TEXT:LS MIDI DRE</t>
  </si>
  <si>
    <t>LS MIDI DRESS PRINCESS TANGAN GEBER KOMBINASI WOVEN:CORAL:9-10:TEXT:LS MIDI DRE</t>
  </si>
  <si>
    <t>LS MIDI DRESS PRINCESS TANGAN GEBER KOMBINASI WOVEN:CORAL:11-12:TEXT:LS MIDI DRE</t>
  </si>
  <si>
    <t>GASDR311</t>
  </si>
  <si>
    <t>LS MIDI DRESS TYE DYE MINNIE CUTE EVER 66030100MIN GASDR311:PASTEL PI:9-10:GRAPHIC:LS MIDI D</t>
  </si>
  <si>
    <t>LS MIDI DRESS TYE DYE MINNIE CUTE EVER 66030100MIN GASDR311:PASTEL PI:11-12:GRAPHIC:LS MIDI D</t>
  </si>
  <si>
    <t>GASDR321</t>
  </si>
  <si>
    <t>LS MIDI DRESS PINGGANG KARET MINNIE CUTE EVER 66030100MIN GASDR321:PASTEL PINK:9-10:GRAPHIC:LS MIDI</t>
  </si>
  <si>
    <t>LS MIDI DRESS PINGGANG KARET MINNIE CUTE EVER 66030100MIN GASDR321:PASTEL PINK:11-12:GRAPHIC:LS MIDI</t>
  </si>
  <si>
    <t>GASDRMNR</t>
  </si>
  <si>
    <t>LS MIDI DRESS OMBRE MINNIE RED RULES 66050100MIN GASDRMNR:CLASSIC R:9-10:OMBRE:LS MIDI D</t>
  </si>
  <si>
    <t>LS MIDI DRESS OMBRE MINNIE RED RULES 66050100MIN GASDRMNR:CLASSIC R:11-12:OMBRE:LS MIDI D</t>
  </si>
  <si>
    <t>LS MIDI DRESS OMBRE MINNIE RED RULES 66050100MIN GASDRMNR:CLASSIC R:13-14:OMBRE:LS MIDI D</t>
  </si>
  <si>
    <t>DRBAEFV3</t>
  </si>
  <si>
    <t>LS MIDI DRESS 66030100MIN MINNIE PITA FESTIVAL VIBES DRBAEFV3:PASTEL PINK:7-8:GRAPHIC:LS MIDI DRESS</t>
  </si>
  <si>
    <t>LS MIDI DRESS 66030100MIN MINNIE PITA FESTIVAL VIBES DRBAEFV3:PASTEL PINK:11-12:GRAPHIC:LS MIDI DRES</t>
  </si>
  <si>
    <t>2TKMEC1</t>
  </si>
  <si>
    <t>SS T-SHIRT MINNIE RAINBOW 2TKMEC1:OFF WHITE:S:GRAPHIC:SS T-SHIRT</t>
  </si>
  <si>
    <t>SS T-SHIRT MINNIE RAINBOW 2TKMEC1:OFF WHITE:M:GRAPHIC:SS T-SHIRT</t>
  </si>
  <si>
    <t>SS T-SHIRT MINNIE RAINBOW 2TKMEC1:OFF WHITE:5-6:GRAPHIC:SS T-SHIRT</t>
  </si>
  <si>
    <t>SS T-SHIRT MINNIE RAINBOW 2TKMEC1:OFF WHITE:7-8:GRAPHIC:SS T-SHIRT</t>
  </si>
  <si>
    <t>2TKMEC2</t>
  </si>
  <si>
    <t>SS T-SHIRT MINNIE FULL PRINT 2TKMEC2:PASTEL PINK:M:PRINT:SS T-SHIRT</t>
  </si>
  <si>
    <t>SS T-SHIRT MINNIE FULL PRINT 2TKMEC2:PASTEL PINK:7-8:PRINT:SS T-SHIRT</t>
  </si>
  <si>
    <t>2TKMEC3</t>
  </si>
  <si>
    <t>LS T-SHIRT MINNIE RAINBOW  2TKMEC3:CLASSIC YELLOW:S:GRAPHIC:LS T-SHIRT</t>
  </si>
  <si>
    <t>LS T-SHIRT MINNIE RAINBOW  2TKMEC3:CLASSIC YELLOW:M:GRAPHIC:LS T-SHIRT</t>
  </si>
  <si>
    <t>LS T-SHIRT MINNIE RAINBOW  2TKMEC3:CLASSIC YELLOW:5-6:GRAPHIC:LS T-SHIRT</t>
  </si>
  <si>
    <t>LS T-SHIRT MINNIE RAINBOW  2TKMEC3:CLASSIC YELLOW:9-10:GRAPHIC:LS T-SHIRT</t>
  </si>
  <si>
    <t>TKAMI1</t>
  </si>
  <si>
    <t>66030100MIN TS SS FULL PRINT MINNIE SPRING PALMS:OFF WHITE:L</t>
  </si>
  <si>
    <t>TKAMI2</t>
  </si>
  <si>
    <t>66030100MIN TS LS MINNIE VACAY:LIGHT CORAL:M</t>
  </si>
  <si>
    <t>2TKAMI3</t>
  </si>
  <si>
    <t>SS T-SHIRT TSUM TSUM STRIPES 2TKAMI3:CLASSIC RED:M:GRAPHIC:SS T-SHIRT</t>
  </si>
  <si>
    <t>2TKARD3</t>
  </si>
  <si>
    <t>SS T-SHIRT MINNIE WITH UNICORN 2TKARD3:FUSCHIA:S:GRAPHIC:SS T-SHIRT</t>
  </si>
  <si>
    <t>2TKPRM26</t>
  </si>
  <si>
    <t>SS T-SHIRT OLAF BASIC 2TKPRM26:PASTEL BLUE:7-8:GRAPHIC:SS T-SHIRT</t>
  </si>
  <si>
    <t>TSBPL205</t>
  </si>
  <si>
    <t>SS T-SHIRT 66030100MIN I LOVE MINNIE BOW TSBPL205:CLASSIC RED:7-8:GRAPHIC:SS T-SHIRT</t>
  </si>
  <si>
    <t>2TKTRI9</t>
  </si>
  <si>
    <t>66050100PRN - TS SS FP CINDERELLA:HAWAIIAN OCEAN:7-8</t>
  </si>
  <si>
    <t>66050100PRN - TS SS FP CINDERELLA:HAWAIIAN OCEAN:9-10</t>
  </si>
  <si>
    <t>66050100PRN - TS SS FP CINDERELLA:HAWAIIAN OCEAN:11-12</t>
  </si>
  <si>
    <t>66050100PRN - TS SS FP CINDERELLA:HAWAIIAN OCEAN:13-14</t>
  </si>
  <si>
    <t>2TKTRI10</t>
  </si>
  <si>
    <t>66050100PRN - TS SS FP SNOW WHITE:OFF WHITE:5-6</t>
  </si>
  <si>
    <t>66050100PRN - TS SS FP SNOW WHITE:OFF WHITE:7-8</t>
  </si>
  <si>
    <t>66050100PRN - TS SS FP SNOW WHITE:OFF WHITE:9-10</t>
  </si>
  <si>
    <t>66050100PRN - TS SS FP SNOW WHITE:OFF WHITE:13-14</t>
  </si>
  <si>
    <t>2TKPRM9</t>
  </si>
  <si>
    <t>LS T-SHIRT MINNIE TRIBAL DOODLE 2TKPRM9:PEPPERMINT:M:GRAPHIC:LS T-SHIRT</t>
  </si>
  <si>
    <t>LS T-SHIRT MINNIE TRIBAL DOODLE 2TKPRM9:PEPPERMINT:L:GRAPHIC:LS T-SHIRT</t>
  </si>
  <si>
    <t>TKPRM10</t>
  </si>
  <si>
    <t>66030100TT1 - TS 3/4 FP HEAD TSUM TSUM:OFF WHITE:S</t>
  </si>
  <si>
    <t>66030100TT1 - TS 3/4 FP HEAD TSUM TSUM:OFF WHITE:M</t>
  </si>
  <si>
    <t>66030100TT1 - TS 3/4 FP HEAD TSUM TSUM:OFF WHITE:L</t>
  </si>
  <si>
    <t>2TKTRI11</t>
  </si>
  <si>
    <t>66050100PRN - TS FP AURORA LIVE YOUR DREAM:PASTEL PINK:5-6</t>
  </si>
  <si>
    <t>66050100PRN - TS FP AURORA LIVE YOUR DREAM:PASTEL PINK:7-8</t>
  </si>
  <si>
    <t>66050100PRN - TS FP AURORA LIVE YOUR DREAM:PASTEL PINK:9-10</t>
  </si>
  <si>
    <t>66050100PRN - TS FP AURORA LIVE YOUR DREAM:PASTEL PINK:11-12</t>
  </si>
  <si>
    <t>66050100PRN - TS FP AURORA LIVE YOUR DREAM:PASTEL PINK:13-14</t>
  </si>
  <si>
    <t>2TWAMI2</t>
  </si>
  <si>
    <t>LS SHIRT MARIE DRAWING 2TWAMI2:PASTEL PINK:5-6:GRAPHIC:LS SHIRT</t>
  </si>
  <si>
    <t>2JKTCK1</t>
  </si>
  <si>
    <t>JACKET GIRLS 2JKTCK1:DUSTY PINK:S:PRINT:JACKET</t>
  </si>
  <si>
    <t>2GASPV3</t>
  </si>
  <si>
    <t>SWEATSHIRT RAINBOW MINNIE MOUSE GLITTER 2GASPV3:CLASSIC YELL:5-6:GRAPHIC:SWEATSHIRT</t>
  </si>
  <si>
    <t>SWEATSHIRT RAINBOW MINNIE MOUSE GLITTER 2GASPV3:CLASSIC YELL:9-10:GRAPHIC:SWEATSHIRT</t>
  </si>
  <si>
    <t>SWEATSHIRT RAINBOW MINNIE MOUSE GLITTER 2GASPV3:CLASSIC YELL:13-14:GRAPHIC:SWEATSHIRT</t>
  </si>
  <si>
    <t>SWEATSHIRT RAINBOW MINNIE MOUSE GLITTER 2GASPV3:CLASSIC YELL:15-16:GRAPHIC:SWEATSHIRT</t>
  </si>
  <si>
    <t>2SWAMI3</t>
  </si>
  <si>
    <t>SWEATSHIRT MINNIE STARY NIGHT 2SWAMI3:PASTEL PINK:5-6:GRAPHIC:SWEATSHIRT</t>
  </si>
  <si>
    <t>2SWTPRM10</t>
  </si>
  <si>
    <t>SWEATSHIRT MINNIE EMBROIDERY 2SWTPRM10:MISTY LIGHT GR:L:GRAPHIC:SWEATSHIRT</t>
  </si>
  <si>
    <t>SWEATSHIRT MINNIE EMBROIDERY 2SWTPRM10:MISTY LIGHT GR:9-10:GRAPHIC:SWEATSHIRT</t>
  </si>
  <si>
    <t>2SWTPL6</t>
  </si>
  <si>
    <t>SWEATSHIRT MINNIE POLKADOT 2SWTPL6:WHITE:M:GRAPHIC:SWEATSHIRT</t>
  </si>
  <si>
    <t>2PLVPL3</t>
  </si>
  <si>
    <t>SWEATSHIRT PULLOVER MINNIE &amp; MICKEY 2PLVPL3:MISTY LIGHT G:L:GRAPHIC:SWEATSHIRT</t>
  </si>
  <si>
    <t>2SWTPRM12</t>
  </si>
  <si>
    <t>SWEATSHIRT 66030100MIN MINNIE TAS POLKADOT 2SWTPRM12:OFF WHITE:M:GRAPHIC:SWEATSHIRT</t>
  </si>
  <si>
    <t>2SWRAK006</t>
  </si>
  <si>
    <t>SWEATSHIRT MINNIE STAR 2SWRAK006:OFF WHITE:M:GRAPHIC:SWEATSHIRT</t>
  </si>
  <si>
    <t>SWEATSHIRT MINNIE STAR 2SWRAK006:OFF WHITE:L:GRAPHIC:SWEATSHIRT</t>
  </si>
  <si>
    <t>RAKSW201</t>
  </si>
  <si>
    <t>SWEATSHIRT 66050100MIN MINNIE PARIS RAGLAN RAKSW201:PASTEL PINK:S:GRAPHIC:SWEATSHIRT</t>
  </si>
  <si>
    <t>SWEATSHIRT 66050100MIN MINNIE PARIS RAGLAN RAKSW201:PASTEL PINK:5-6:GRAPHIC:SWEATSHIRT</t>
  </si>
  <si>
    <t>BKAMI1</t>
  </si>
  <si>
    <t>66030100MIN BOTTOM KNIT SHORTS MINNIE SPRING PALMS:LIGHT CORAL:S</t>
  </si>
  <si>
    <t>66030100MIN BOTTOM KNIT SHORTS MINNIE SPRING PALMS:LIGHT CORAL:M</t>
  </si>
  <si>
    <t>66030100MIN BOTTOM KNIT SHORTS MINNIE SPRING PALMS:LIGHT CORAL:XL</t>
  </si>
  <si>
    <t>BWPRM2</t>
  </si>
  <si>
    <t>MIDI SKIRT CHAMBRAY PATCH MINNIE  TWILLTAPE BWPRM2:DARK DENIM:5-6:SOLID:MIDI SKIRT</t>
  </si>
  <si>
    <t>MIDI SKIRT CHAMBRAY PATCH MINNIE  TWILLTAPE BWPRM2:DARK DENIM:7-8:SOLID:MIDI SKIRT</t>
  </si>
  <si>
    <t>MIDI SKIRT CHAMBRAY PATCH MINNIE  TWILLTAPE BWPRM2:DARK DENIM:9-10:SOLID:MIDI SKIRT</t>
  </si>
  <si>
    <t>MIDI SKIRT CHAMBRAY PATCH MINNIE  TWILLTAPE BWPRM2:DARK DENIM:11-12:SOLID:MIDI SKIRT</t>
  </si>
  <si>
    <t>MIDI SKIRT CHAMBRAY PATCH MINNIE  TWILLTAPE BWPRM2:DARK DENIM:13-14:SOLID:MIDI SKIRT</t>
  </si>
  <si>
    <t>RAKJOG201</t>
  </si>
  <si>
    <t>PANTS 66050100MIN MINNIE PARIS RAGLAN RAKJOG201:PASTEL PINK:7-8:SOLID:LONG PANTS</t>
  </si>
  <si>
    <t>KULTSB1</t>
  </si>
  <si>
    <t>LONG PANTS CULOTTES EMBROIDERY KULTSB1NV:NAVY BLUE:5-6:SOLID:LONG PANTS</t>
  </si>
  <si>
    <t>LONG PANTS CULOTTES EMBROIDERY KULTSB1NV:NAVY BLUE:7-8:SOLID:LONG PANTS</t>
  </si>
  <si>
    <t>LONG PANTS CULOTTES EMBROIDERY KULTSB1NV:NAVY BLUE:13-14:SOLID:LONG PANTS</t>
  </si>
  <si>
    <t>2DRMEC2</t>
  </si>
  <si>
    <t>SS MIDI DRESS 66030100MAR COSTUME MARIE 2DRMEC2:OFF WHITE:L:GRAPHIC:SS MIDI DRES</t>
  </si>
  <si>
    <t>SS MIDI DRESS 66030100MAR COSTUME MARIE 2DRMEC2:OFF WHITE:7-8:GRAPHIC:SS MIDI DRES</t>
  </si>
  <si>
    <t>DRMEC201</t>
  </si>
  <si>
    <t>66030100FZA SS MIDI DRESS FROZEN APLIKASI VEIL DRMEC201:PASTEL BLU:S:GRAPHIC:SS MIDI DR</t>
  </si>
  <si>
    <t>66030100FZA SS MIDI DRESS FROZEN APLIKASI VEIL DRMEC201:PASTEL BLU:M:GRAPHIC:SS MIDI DR</t>
  </si>
  <si>
    <t>66030100FZA SS MIDI DRESS FROZEN APLIKASI VEIL DRMEC201:PASTEL BLU:5-6:GRAPHIC:SS MIDI DR</t>
  </si>
  <si>
    <t>2DRAMI5</t>
  </si>
  <si>
    <t>SS MIDI DRESS UNICORN MESH 2DRAMI5:OFF WHITE:S:GRAPHIC:SS MIDI DRESS</t>
  </si>
  <si>
    <t>SS MIDI DRESS UNICORN MESH 2DRAMI5:OFF WHITE:M:GRAPHIC:SS MIDI DRESS</t>
  </si>
  <si>
    <t>2DRAMI7</t>
  </si>
  <si>
    <t>SS MIDI DRESS MINNIE RUFFLE 2DRAMI7:PASTEL PINK:M:GRAPHIC:SS MIDI DRESS</t>
  </si>
  <si>
    <t>SS MIDI DRESS MINNIE RUFFLE 2DRAMI7:PASTEL PINK:5-6:GRAPHIC:SS MIDI DRESS</t>
  </si>
  <si>
    <t>2DRARD3</t>
  </si>
  <si>
    <t>SS MINI DRESS TERRY MINNIE TAKE ME TO THE STARS 2DRARD3:MISTY LIGH:S:GRAPHIC:SS MINI DR</t>
  </si>
  <si>
    <t>DRKIB1</t>
  </si>
  <si>
    <t>SS MINI DRESS  TUNIC SALUR DRKIB1:LIGHT BLUE:S:GRAPHIC:SS MINI DRESS</t>
  </si>
  <si>
    <t>SS MINI DRESS  TUNIC SALUR DRKIB1:LIGHT BLUE:M:GRAPHIC:SS MINI DRESS</t>
  </si>
  <si>
    <t>SS MINI DRESS  TUNIC SALUR DRKIB1:LIGHT BLUE:L:GRAPHIC:SS MINI DRESS</t>
  </si>
  <si>
    <t>SS MINI DRESS  TUNIC SALUR DRKIB1:LIGHT BLUE:7-8:GRAPHIC:SS MINI DRESS</t>
  </si>
  <si>
    <t>DRTSB1NV</t>
  </si>
  <si>
    <t>DRESS OVERALL MINNIE TROPICAL:NAVY BLUE:7-8</t>
  </si>
  <si>
    <t>DRESS OVERALL MINNIE TROPICAL:NAVY BLUE:9-10</t>
  </si>
  <si>
    <t>DRESS OVERALL MINNIE TROPICAL:NAVY BLUE:11-12</t>
  </si>
  <si>
    <t>DRESS OVERALL MINNIE TROPICAL:NAVY BLUE:13-14</t>
  </si>
  <si>
    <t>2DRTSB4BLUE</t>
  </si>
  <si>
    <t>66030100FZA DRESS MODEST WEAR ELSA:LIGHT BLUE:9-10</t>
  </si>
  <si>
    <t>2DRTSB4PINK</t>
  </si>
  <si>
    <t>66030100FZA DRESS MODEST WEAR ANNA:DUSTY PINK:7-8</t>
  </si>
  <si>
    <t>66030100FZA DRESS MODEST WEAR ANNA:DUSTY PINK:9-10</t>
  </si>
  <si>
    <t>66030100FZA DRESS MODEST WEAR ANNA:DUSTY PINK:11-12</t>
  </si>
  <si>
    <t>2DRMEC4</t>
  </si>
  <si>
    <t>LS MIDI DRESS FROZEN 2DRMEC4:DUSTY PINK:S:PRINT:LS MIDI DRESS</t>
  </si>
  <si>
    <t>TSTRI3</t>
  </si>
  <si>
    <t>66050100OMK TS SS 20S MARVEL GLITTER:PASTEL PINK:5-6</t>
  </si>
  <si>
    <t>66050100OMK TS SS 20S MARVEL GLITTER:PASTEL PINK:9-10</t>
  </si>
  <si>
    <t>TSTRI4</t>
  </si>
  <si>
    <t>66050100OMK TS SS 20S TWIST MARVEL GLITTER:CLASSIC YELLOW:5-6</t>
  </si>
  <si>
    <t>66050100OMK TS SS 20S TWIST MARVEL GLITTER:CLASSIC YELLOW:7-8</t>
  </si>
  <si>
    <t>66050100OMK TS SS 20S TWIST MARVEL GLITTER:CLASSIC YELLOW:13-14</t>
  </si>
  <si>
    <t>66050100OMK TS SS 20S TWIST MARVEL GLITTER:CLASSIC YELLOW:15-16</t>
  </si>
  <si>
    <t>TSAPL2</t>
  </si>
  <si>
    <t>66050100FZA TS SS FULL PRINT FROZEN:OFF WHITE:11-12</t>
  </si>
  <si>
    <t>66050100FZA TS SS FULL PRINT FROZEN:OFF WHITE:13-14</t>
  </si>
  <si>
    <t>TKPRM7OFF</t>
  </si>
  <si>
    <t>66030100 TS SS DUMBO FULL PRINT STARS:OFF WHITE:S</t>
  </si>
  <si>
    <t>66030100 TS SS DUMBO FULL PRINT STARS:OFF WHITE:L</t>
  </si>
  <si>
    <t>TKPRM5MIN</t>
  </si>
  <si>
    <t>66050100min TS SS FEELING TOTALLY AMAZING:PEPPERMINT:15-16</t>
  </si>
  <si>
    <t>FTMF07</t>
  </si>
  <si>
    <t>TOPI DISNEY FROZEN ELSA BLUE:CLASSIC BLUE:F</t>
  </si>
  <si>
    <t>2TKKIB1</t>
  </si>
  <si>
    <t>66030100MIN TS SS FULL PRINT MINNIE TRIBAL DOODLE:OFF WHITE:M</t>
  </si>
  <si>
    <t>TSRAK001</t>
  </si>
  <si>
    <t>TS CINDERELLA CREATE FAIRYTALE:PASTEL PINK:13-14</t>
  </si>
  <si>
    <t>2TKTRI7</t>
  </si>
  <si>
    <t>66050100LK TS SS ARMY THE LION KING:NAVY BLUE:11-12</t>
  </si>
  <si>
    <t>2TSAPL3</t>
  </si>
  <si>
    <t>66030100FRZ LS FP FROZEN II MOVIE:CLASSIC BLUE:S</t>
  </si>
  <si>
    <t>TKPRM4MI</t>
  </si>
  <si>
    <t>LS RAGLAN MINNIE CALIFORNIA VIBES:PEPPERMINT:5-6</t>
  </si>
  <si>
    <t>TKPRM4PK</t>
  </si>
  <si>
    <t>LS RAGLAN MINNIE CALIFORNIA VIBES:PASTEL PINK:15-16</t>
  </si>
  <si>
    <t>KITSPL2MI</t>
  </si>
  <si>
    <t>66030100MIN KI TS LS I BELIEVE IN UNICORNS:CLASSIC BLUE:S</t>
  </si>
  <si>
    <t>TKPRM15</t>
  </si>
  <si>
    <t>66030100PRN - TS LS PRINCESS POWER AURORA:PASTEL PURPLE:S</t>
  </si>
  <si>
    <t>66030100PRN - TS LS PRINCESS POWER AURORA:PASTEL PURPLE:M</t>
  </si>
  <si>
    <t>66030100PRN - TS LS PRINCESS POWER AURORA:PASTEL PURPLE:L</t>
  </si>
  <si>
    <t>TKTRS2</t>
  </si>
  <si>
    <t>LS KNIT CAPTAIN MARVEL:NAVY BLUE:11-12</t>
  </si>
  <si>
    <t>LS KNIT CAPTAIN MARVEL:NAVY BLUE:13-14</t>
  </si>
  <si>
    <t>LS KNIT CAPTAIN MARVEL:NAVY BLUE:15-16</t>
  </si>
  <si>
    <t>SHTSB1AQ</t>
  </si>
  <si>
    <t>SS SHIRT MINNIE TROPICAL AQUA:AQUA:7-8</t>
  </si>
  <si>
    <t>BLTSB1AQ</t>
  </si>
  <si>
    <t>BLOUSE MINNIE TROPICAL:AQUA:9-10</t>
  </si>
  <si>
    <t>BLOUSE MINNIE TROPICAL:AQUA:11-12</t>
  </si>
  <si>
    <t>BLOUSE MINNIE TROPICAL:AQUA:13-14</t>
  </si>
  <si>
    <t>SHTSB2JAD</t>
  </si>
  <si>
    <t>66050100ALA - BLOUSE JASMINE - JADE:JADE:5-6</t>
  </si>
  <si>
    <t>66050100ALA - BLOUSE JASMINE - JADE:JADE:7-8</t>
  </si>
  <si>
    <t>66050100ALA - BLOUSE JASMINE - JADE:JADE:9-10</t>
  </si>
  <si>
    <t>66050100ALA - BLOUSE JASMINE - JADE:JADE:11-12</t>
  </si>
  <si>
    <t>66050100ALA - BLOUSE JASMINE - JADE:JADE:13-14</t>
  </si>
  <si>
    <t>TWTSB5</t>
  </si>
  <si>
    <t>66050100ALA - BLOUSE 3/4 JASMINE FEATHER EMBRO:AQUA:5-6</t>
  </si>
  <si>
    <t>66050100ALA - BLOUSE 3/4 JASMINE FEATHER EMBRO:AQUA:7-8</t>
  </si>
  <si>
    <t>66050100ALA - BLOUSE 3/4 JASMINE FEATHER EMBRO:AQUA:9-10</t>
  </si>
  <si>
    <t>66050100ALA - BLOUSE 3/4 JASMINE FEATHER EMBRO:AQUA:11-12</t>
  </si>
  <si>
    <t>66050100ALA - BLOUSE 3/4 JASMINE FEATHER EMBRO:AQUA:13-14</t>
  </si>
  <si>
    <t>BLTSB2VNL</t>
  </si>
  <si>
    <t>66050100LA - BLOUSE JASMINE VANILLA:VANILLA:11-12</t>
  </si>
  <si>
    <t>66050100LA - BLOUSE JASMINE VANILLA:VANILLA:13-14</t>
  </si>
  <si>
    <t>2SWTPL4</t>
  </si>
  <si>
    <t>66030100TT1 - SWT FULL PRINT TSUM TSUM:NAVY BLUE:L</t>
  </si>
  <si>
    <t>2SWRAK005</t>
  </si>
  <si>
    <t>66030100MIN SWEATER MINNIE RED OH MY:CLASSIC RED:S</t>
  </si>
  <si>
    <t>BKARD1</t>
  </si>
  <si>
    <t>66030100MIN - SKIRT MINNIE PITA KECIL:NAVY BLUE:S</t>
  </si>
  <si>
    <t>66030100MIN - SKIRT MINNIE PITA KECIL:NAVY BLUE:M</t>
  </si>
  <si>
    <t>66030100MIN - SKIRT MINNIE PITA KECIL:NAVY BLUE:L</t>
  </si>
  <si>
    <t>BDARD1DNM</t>
  </si>
  <si>
    <t>66030100 LP DENIM MINNIE BORDIR KANTONG - DARK DENIM:DARK DENIM:M</t>
  </si>
  <si>
    <t>BKPL2M71</t>
  </si>
  <si>
    <t>66050100 LEGGING FP KEPALA MINNIE:MISTY MEDIUM GRE:11-12</t>
  </si>
  <si>
    <t>2BKPRM5</t>
  </si>
  <si>
    <t>66030100FZA LEGGING SNOWFLAKES FROZEN MOVIE:OFF WHITE:M</t>
  </si>
  <si>
    <t>BWTSB1</t>
  </si>
  <si>
    <t>66050100ALA - BOTTOM WOVEN JASMINE BORDIR:NAVY BLUE:5-6</t>
  </si>
  <si>
    <t>66050100ALA - BOTTOM WOVEN JASMINE BORDIR:NAVY BLUE:11-12</t>
  </si>
  <si>
    <t>BWTSB2</t>
  </si>
  <si>
    <t>66050100 ALA SKIRT WOVEN FULL PRINT JASMINE:KHAKI:5-6</t>
  </si>
  <si>
    <t>66050100 ALA SKIRT WOVEN FULL PRINT JASMINE:KHAKI:11-12</t>
  </si>
  <si>
    <t>SKTSB1NV</t>
  </si>
  <si>
    <t>LONG SKIRT 2 POCKETS PRINT DAUN - NAVY:NAVY BLUE:5-6</t>
  </si>
  <si>
    <t>LONG SKIRT 2 POCKETS PRINT DAUN - NAVY:NAVY BLUE:7-8</t>
  </si>
  <si>
    <t>LONG SKIRT 2 POCKETS PRINT DAUN - NAVY:NAVY BLUE:9-10</t>
  </si>
  <si>
    <t>LONG SKIRT 2 POCKETS PRINT DAUN - NAVY:NAVY BLUE:11-12</t>
  </si>
  <si>
    <t>LONG SKIRT 2 POCKETS PRINT DAUN - NAVY:NAVY BLUE:13-14</t>
  </si>
  <si>
    <t>DIR9D</t>
  </si>
  <si>
    <t>DIR20DRO1BW</t>
  </si>
  <si>
    <t>66030100 DRESS SAILOR TSUM TSUM - OFF WHITE:OFF WHITE:5-6</t>
  </si>
  <si>
    <t>2DRRAK04</t>
  </si>
  <si>
    <t>66030100FZA DRESS ELSA FROZEN W/ GLITTER:LIGHT BLUE:11-12</t>
  </si>
  <si>
    <t>OVLTSB2</t>
  </si>
  <si>
    <t>66030100TS4 OVERALL TOY STORY PATCH DENIM:MEDIUM DENIM:S</t>
  </si>
  <si>
    <t>66030100TS4 OVERALL TOY STORY PATCH DENIM:MEDIUM DENIM:M</t>
  </si>
  <si>
    <t>2DRTSB3</t>
  </si>
  <si>
    <t>66050100LK DRESS LION KING KOMB PRINT KANTONG:MUSTARD:7-8</t>
  </si>
  <si>
    <t>66050100LK DRESS LION KING KOMB PRINT KANTONG:MUSTARD:11-12</t>
  </si>
  <si>
    <t>DRARD1M71</t>
  </si>
  <si>
    <t>66030100 DRESS LS MINNIE KOMB WOVEN - M71:MISTY MEDIUM G:S</t>
  </si>
  <si>
    <t>DRPL4</t>
  </si>
  <si>
    <t>66030100MIN DRESS LS UNICORNS ARE REAL:CLASSIC BLUE:S</t>
  </si>
  <si>
    <t>DRPL2</t>
  </si>
  <si>
    <t>66050100 DRESS FULL PRINT CAPTAIN MARVEL - NAVY:NAVY BLUE:9-10</t>
  </si>
  <si>
    <t>DRTRS1</t>
  </si>
  <si>
    <t>DRESS CAPTAIN MARVEL FOIL:MAROON:9-10</t>
  </si>
  <si>
    <t>DRESS CAPTAIN MARVEL FOIL:MAROON:13-14</t>
  </si>
  <si>
    <t>DRESS CAPTAIN MARVEL FOIL:MAROON:15-16</t>
  </si>
  <si>
    <t>SSMIN23</t>
  </si>
  <si>
    <t>SS BLOUSE MINNIE BBTR SWING SSMIN23:PASTEL PINK:6-12:GRAPHIC:SS BLOUSE</t>
  </si>
  <si>
    <t>SS BLOUSE MINNIE BBTR SWING SSMIN23:PASTEL PINK:18-24:GRAPHIC:SS BLOUSE</t>
  </si>
  <si>
    <t>SS BLOUSE MINNIE BBTR SWING SSMIN23:PASTEL PINK:24-36:GRAPHIC:SS BLOUSE</t>
  </si>
  <si>
    <t>JGRMIN23</t>
  </si>
  <si>
    <t>JOGGER RUFFLE MINNIE JGRMIN23:PASTEL GREEN:6-12:GRAPHIC:JOGGER</t>
  </si>
  <si>
    <t>JOGGER RUFFLE MINNIE JGRMIN23:PASTEL GREEN:12-18:GRAPHIC:JOGGER</t>
  </si>
  <si>
    <t>JOGGER RUFFLE MINNIE JGRMIN23:PASTEL GREEN:18-24:GRAPHIC:JOGGER</t>
  </si>
  <si>
    <t>JOGGER RUFFLE MINNIE JGRMIN23:PASTEL GREEN:24-36:GRAPHIC:JOGGER</t>
  </si>
  <si>
    <t>DOVKIBMAR</t>
  </si>
  <si>
    <t>SS MIDI DRESS OVERALL MARIE DOVKIBMAR:PASTEL PINK:18-24:GRAPHIC:SS MIDI DRESS</t>
  </si>
  <si>
    <t>SS MIDI DRESS OVERALL MARIE DOVKIBMAR:PASTEL PINK:24-36:GRAPHIC:SS MIDI DRESS</t>
  </si>
  <si>
    <t>SETBAMGD</t>
  </si>
  <si>
    <t>TOP-BOTTOM SET BAMBI IN THE GARDEN SETBAMGD:PASTEL PINK:6-12:PRINT:TOP - BOTTOM SET</t>
  </si>
  <si>
    <t>TOP-BOTTOM SET BAMBI IN THE GARDEN SETBAMGD:PASTEL PINK:18-24:PRINT:TOP - BOTTOM SET</t>
  </si>
  <si>
    <t>SETPOOHUG</t>
  </si>
  <si>
    <t>TOP-BOTTOM SET SS POOH TIME FOR A HUG SETPOOHUG:PASTEL PINK:24-36:PRINT:TOP - BOTTOM SET</t>
  </si>
  <si>
    <t>SETGGDUM</t>
  </si>
  <si>
    <t>SET DUMBO SETGGDUM:OFF WHITE:18-24:PRINT:TOP - BOTTOM SET</t>
  </si>
  <si>
    <t>SET DUMBO SETGGDUM:OFF WHITE:24-36:PRINT:TOP - BOTTOM SET</t>
  </si>
  <si>
    <t>OVGGDUM</t>
  </si>
  <si>
    <t>OVERALL DUMBO OVGGDUM:PASTEL GREEN:12-18:PRINT:SHORT JUMPSUIT</t>
  </si>
  <si>
    <t>TSFPMIN</t>
  </si>
  <si>
    <t>SS T-SHIRT TSHIRT FP MINNIE 66020100MIN TSFPMIN:PASTEL GREEN:18-24:PRINT:SS T-SHIRT</t>
  </si>
  <si>
    <t>TSPOOET</t>
  </si>
  <si>
    <t>SS T-SHIRT POOH ENJOY TODAY TSPOOET:PASTEL YELLOW:18-24:PRINT:SS T-SHIRT</t>
  </si>
  <si>
    <t>SS T-SHIRT POOH ENJOY TODAY TSPOOET:PASTEL YELLOW:24-36:PRINT:SS T-SHIRT</t>
  </si>
  <si>
    <t>JGPOOET</t>
  </si>
  <si>
    <t>JOGGER POOH ENJOY TODAY JGPOOET:PASTEL BLUE:12-18:PRINT:JOGGER</t>
  </si>
  <si>
    <t>JOGGER POOH ENJOY TODAY JGPOOET:PASTEL BLUE:18-24:PRINT:JOGGER</t>
  </si>
  <si>
    <t>JOGGER POOH ENJOY TODAY JGPOOET:PASTEL BLUE:24-36:PRINT:JOGGER</t>
  </si>
  <si>
    <t>DOVBAM</t>
  </si>
  <si>
    <t>SS MIDI DRESS  LS OVERALL BAMBI DOVBAM:CORAL:12-18:GRAPHIC:SS MIDI DRESS</t>
  </si>
  <si>
    <t>DRPMIN</t>
  </si>
  <si>
    <t>DRESS SS ROMPI MINNIE DRPMIN:PASTEL ORANGE:6-12:GRAPHIC:SS MIDI DRESS</t>
  </si>
  <si>
    <t>DRESS SS ROMPI MINNIE DRPMIN:PASTEL ORANGE:12-18:GRAPHIC:SS MIDI DRESS</t>
  </si>
  <si>
    <t>DRESS SS ROMPI MINNIE DRPMIN:PASTEL ORANGE:24-36:GRAPHIC:SS MIDI DRESS</t>
  </si>
  <si>
    <t>GOVMIN</t>
  </si>
  <si>
    <t>OVERALL SS MINNIE GOVMIN:PASTEL PINK:12-18:GRAPHIC:SHORT JUMPSUIT</t>
  </si>
  <si>
    <t>OVERALL SS MINNIE GOVMIN:PASTEL PINK:18-24:GRAPHIC:SHORT JUMPSUIT</t>
  </si>
  <si>
    <t>OVERALL SS MINNIE GOVMIN:PASTEL PINK:24-36:GRAPHIC:SHORT JUMPSUIT</t>
  </si>
  <si>
    <t>OVPOOET</t>
  </si>
  <si>
    <t>OVERALL POOH ENJOY TODAY OVPOOET:PASTEL BLUE:6-12:PRINT:SHORT JUMPSUIT</t>
  </si>
  <si>
    <t>OVERALL POOH ENJOY TODAY OVPOOET:PASTEL BLUE:12-18:PRINT:SHORT JUMPSUIT</t>
  </si>
  <si>
    <t>OVERALL POOH ENJOY TODAY OVPOOET:PASTEL BLUE:18-24:PRINT:SHORT JUMPSUIT</t>
  </si>
  <si>
    <t>OVERALL POOH ENJOY TODAY OVPOOET:PASTEL BLUE:24-36:PRINT:SHORT JUMPSUIT</t>
  </si>
  <si>
    <t>SETMVL</t>
  </si>
  <si>
    <t>TOP-BOTTOM SET MARVEL 66020100MCR SETMVL:PASTEL BLUE:6-12:GRAPHIC:TOP - BOTTOM S</t>
  </si>
  <si>
    <t>TOP-BOTTOM SET MARVEL 66020100MCR SETMVL:PASTEL BLUE:18-24:GRAPHIC:TOP - BOTTOM S</t>
  </si>
  <si>
    <t>TOP-BOTTOM SET MARVEL 66020100MCR SETMVL:PASTEL BLUE:24-36:GRAPHIC:TOP - BOTTOM S</t>
  </si>
  <si>
    <t>TSBAMB</t>
  </si>
  <si>
    <t>TSHIRT FP BAMBI  TSBAMB:OFF WHITE:24-36:PRINT:SS T-SHIRT</t>
  </si>
  <si>
    <t>SSBTPRN1</t>
  </si>
  <si>
    <t>SS PITA BBTR PRINCESS SSBTPRN1:DUSTY PINK:12-18:PRINT:SS T-SHIRT</t>
  </si>
  <si>
    <t>SWBMPOOH</t>
  </si>
  <si>
    <t>SWEATSHIRT POOH BIG MEMORIES SWBMPOOH:PASTEL PINK:24-36:PRINT:SWEATSHIRT</t>
  </si>
  <si>
    <t>JGBMPOOH</t>
  </si>
  <si>
    <t>JOGGER POOH BIG MEMORIES JGBMPOOH:PASTEL PINK:6-12:PRINT:JOGGER</t>
  </si>
  <si>
    <t>JOGGER POOH BIG MEMORIES JGBMPOOH:PASTEL PINK:18-24:PRINT:JOGGER</t>
  </si>
  <si>
    <t>JOGGER POOH BIG MEMORIES JGBMPOOH:PASTEL PINK:24-36:PRINT:JOGGER</t>
  </si>
  <si>
    <t>SETMINRF</t>
  </si>
  <si>
    <t>SET MINNIE RUFFLE SETMINRF:OFF WHITE:24-36:PRINT:TOP - BOTTOM SET</t>
  </si>
  <si>
    <t>SETLJMAR</t>
  </si>
  <si>
    <t>TOP - BOTTOM SET SS MARIE MUMMYS LITTLE JOY SETLJMAR:PASTEL PINK:18-24:PRINT:TOP - BOTTOM SET</t>
  </si>
  <si>
    <t>TOP - BOTTOM SET SS MARIE MUMMYS LITTLE JOY SETLJMAR:PASTEL PINK:24-36:PRINT:TOP - BOTTOM SET</t>
  </si>
  <si>
    <t>SETPOOHB</t>
  </si>
  <si>
    <t>SET POOH WANNA HAVE SUN SETPOOHB:PASTEL YELLOW:18-24:PRINT:TOP - BOTTOM SET</t>
  </si>
  <si>
    <t>SETMICB</t>
  </si>
  <si>
    <t>SET FUN WITH MICKEY SETMICB:PASTEL BLUE:12-18:PRINT:TOP - BOTTOM SET</t>
  </si>
  <si>
    <t>SET FUN WITH MICKEY SETMICB:PASTEL BLUE:18-24:PRINT:TOP - BOTTOM SET</t>
  </si>
  <si>
    <t>SET FUN WITH MICKEY SETMICB:PASTEL BLUE:24-36:PRINT:TOP - BOTTOM SET</t>
  </si>
  <si>
    <t>DOVLSMIN</t>
  </si>
  <si>
    <t>SS MIDI DRESS OVERALL LS MINNIE 66010100MIN DOVLSMIN:PASTEL PINK:6-12:GRAPHIC:SS MIDI DRE</t>
  </si>
  <si>
    <t>SS MIDI DRESS OVERALL LS MINNIE 66010100MIN DOVLSMIN:PASTEL PINK:12-18:GRAPHIC:SS MIDI DRE</t>
  </si>
  <si>
    <t>SS MIDI DRESS OVERALL LS MINNIE 66010100MIN DOVLSMIN:PASTEL PINK:18-24:GRAPHIC:SS MIDI DRE</t>
  </si>
  <si>
    <t>DSTHAUR</t>
  </si>
  <si>
    <t>DRESS SS TULLE HRZTL AURORA DSTHAUR:PASTEL PINK:12-18:GRAPHIC:SS MIDI DRESS</t>
  </si>
  <si>
    <t>DRESS SS TULLE HRZTL AURORA DSTHAUR:PASTEL PINK:24-36:GRAPHIC:SS MIDI DRESS</t>
  </si>
  <si>
    <t>DOVBMPOOH</t>
  </si>
  <si>
    <t>DRESS OVERALL BBTR POOH BIG MEMORIES DOVBMPOOH:PASTEL PINK:24-36:PRINT:SS MIDI DRESS</t>
  </si>
  <si>
    <t>DSTDKIB</t>
  </si>
  <si>
    <t>DRESS TIEDYE PRINCESS DSTDKIB:ASSORTIVE COLOR:6-12:PRINT:SS MIDI DRESS</t>
  </si>
  <si>
    <t>DRESS TIEDYE PRINCESS DSTDKIB:ASSORTIVE COLOR:12-18:PRINT:SS MIDI DRESS</t>
  </si>
  <si>
    <t>DRESS TIEDYE PRINCESS DSTDKIB:ASSORTIVE COLOR:18-24:PRINT:SS MIDI DRESS</t>
  </si>
  <si>
    <t>DRBELLE</t>
  </si>
  <si>
    <t>SS MIDI DRESS TIERED PRINCESS BELLE DRBELLE:PASTEL PINK:12-18:PRINT:SS MIDI DRESS</t>
  </si>
  <si>
    <t>OVLION</t>
  </si>
  <si>
    <t>OVERALL LION KING OVLION:MUSTARD:18-24:PRINT:SHORT JUMPSUIT</t>
  </si>
  <si>
    <t>OVERALL LION KING OVLION:MUSTARD:24-36:PRINT:SHORT JUMPSUIT</t>
  </si>
  <si>
    <t>TSKMAR</t>
  </si>
  <si>
    <t>SS T-SHIRT KVD MARVEL 66020100MCR TSKMAR:PASTEL BLUE:6-12:PRINT:SS T-SHIRT</t>
  </si>
  <si>
    <t>SS T-SHIRT KVD MARVEL 66020100MCR TSKMAR:PASTEL BLUE:18-24:PRINT:SS T-SHIRT</t>
  </si>
  <si>
    <t>SS T-SHIRT KVD MARVEL 66020100MCR TSKMAR:PASTEL BLUE:24-36:PRINT:SS T-SHIRT</t>
  </si>
  <si>
    <t>TSHEROMVL</t>
  </si>
  <si>
    <t>SS T-SHIRT MARVEL HERO TIME TSHEROMVL:MISTY LIGHT GREY:6-12:PRINT:SS T-SHIRT</t>
  </si>
  <si>
    <t>SS T-SHIRT MARVEL HERO TIME TSHEROMVL:MISTY LIGHT GREY:18-24:PRINT:SS T-SHIRT</t>
  </si>
  <si>
    <t>SS T-SHIRT MARVEL HERO TIME TSHEROMVL:MISTY LIGHT GREY:24-36:PRINT:SS T-SHIRT</t>
  </si>
  <si>
    <t>JKHEROMVL</t>
  </si>
  <si>
    <t>JACKET MARVEL HERO TIME JKHEROMVL:PASTEL ORANGE:6-12:PRINT:JACKET</t>
  </si>
  <si>
    <t>JACKET MARVEL HERO TIME JKHEROMVL:PASTEL ORANGE:12-18:PRINT:JACKET</t>
  </si>
  <si>
    <t>JACKET MARVEL HERO TIME JKHEROMVL:PASTEL ORANGE:18-24:PRINT:JACKET</t>
  </si>
  <si>
    <t>JACKET MARVEL HERO TIME JKHEROMVL:PASTEL ORANGE:24-36:PRINT:JACKET</t>
  </si>
  <si>
    <t>JGHEROMV</t>
  </si>
  <si>
    <t>JOGGER HERO MARVEL JGHEROMV:MISTY LIGHT GREY:6-12:PRINT:JOGGER</t>
  </si>
  <si>
    <t>JOGGER HERO MARVEL JGHEROMV:MISTY LIGHT GREY:12-18:PRINT:JOGGER</t>
  </si>
  <si>
    <t>JOGGER HERO MARVEL JGHEROMV:MISTY LIGHT GREY:18-24:PRINT:JOGGER</t>
  </si>
  <si>
    <t>JOGGER HERO MARVEL JGHEROMV:MISTY LIGHT GREY:24-36:PRINT:JOGGER</t>
  </si>
  <si>
    <t>OVHEROMVL</t>
  </si>
  <si>
    <t>OVERALL MARVEL HERO TIME OVHEROMVL:PASTEL BLUE:24-36:PRINT:SHORT JUMPSUIT</t>
  </si>
  <si>
    <t>SSBTPRN2</t>
  </si>
  <si>
    <t>SS T-SHIRT RUFFLE BBTR PRINCESS SSBTPRN2:PASTEL PINK:12-18:PRINT:SS T-SHIRT</t>
  </si>
  <si>
    <t>TSLIONK</t>
  </si>
  <si>
    <t>T-SHIRT SIMBA LION KING 66020100 TSLIONK:PASTEL YELLOW:6-12:PRINT:SS T-SHIRT</t>
  </si>
  <si>
    <t>T-SHIRT SIMBA LION KING 66020100 TSLIONK:PASTEL YELLOW:12-18:PRINT:SS T-SHIRT</t>
  </si>
  <si>
    <t>T-SHIRT SIMBA LION KING 66020100 TSLIONK:PASTEL YELLOW:18-24:PRINT:SS T-SHIRT</t>
  </si>
  <si>
    <t>T-SHIRT SIMBA LION KING 66020100 TSLIONK:PASTEL YELLOW:24-36:PRINT:SS T-SHIRT</t>
  </si>
  <si>
    <t>SETHLPOOH</t>
  </si>
  <si>
    <t>SET HELLO POOH SETHLPOOH:PASTEL YELLOW:6-12:PRINT:TOP - BOTTOM SET</t>
  </si>
  <si>
    <t>SET HELLO POOH SETHLPOOH:PASTEL YELLOW:12-18:PRINT:TOP - BOTTOM SET</t>
  </si>
  <si>
    <t>SET HELLO POOH SETHLPOOH:PASTEL YELLOW:18-24:PRINT:TOP - BOTTOM SET</t>
  </si>
  <si>
    <t>SET HELLO POOH SETHLPOOH:PASTEL YELLOW:24-36:PRINT:TOP - BOTTOM SET</t>
  </si>
  <si>
    <t>SETLIONK</t>
  </si>
  <si>
    <t>TOP-BOTTOM SET LION KING 66020100 SETLIONK:ASSORTIVE COLOR:12-18:PRINT:TOP - BOTTOM SET</t>
  </si>
  <si>
    <t>TOP-BOTTOM SET LION KING 66020100 SETLIONK:ASSORTIVE COLOR:18-24:PRINT:TOP - BOTTOM SET</t>
  </si>
  <si>
    <t>TOP-BOTTOM SET LION KING 66020100 SETLIONK:ASSORTIVE COLOR:24-36:PRINT:TOP - BOTTOM SET</t>
  </si>
  <si>
    <t>DOVHONEY</t>
  </si>
  <si>
    <t>DRESS OVERALL POOH HONEY DOVHONEY:PASTEL YELLOW:18-24:PRINT:SS MIDI DRESS</t>
  </si>
  <si>
    <t>DSMARPT</t>
  </si>
  <si>
    <t>DRESS SS BBTR MARIE PITA DSMARPT:PASTEL PINK:12-18:PRINT:SS MIDI DRESS</t>
  </si>
  <si>
    <t>DSMINSW</t>
  </si>
  <si>
    <t>DRESS SS MINNIE SWEET DSMINSW:PASTEL PINK:24-36:PRINT:SS MIDI DRESS</t>
  </si>
  <si>
    <t>OVLIONK</t>
  </si>
  <si>
    <t>OVERALL LION KING 66020100 OVLIONK:PASTEL BLUE:6-12:PRINT:SHORT JUMPSUIT</t>
  </si>
  <si>
    <t>OVERALL LION KING 66020100 OVLIONK:PASTEL BLUE:12-18:PRINT:SHORT JUMPSUIT</t>
  </si>
  <si>
    <t>OVERALL LION KING 66020100 OVLIONK:PASTEL BLUE:18-24:PRINT:SHORT JUMPSUIT</t>
  </si>
  <si>
    <t>ROMPMIC</t>
  </si>
  <si>
    <t>ROMPER MICKEY ROMPMIC:BLACK:6-12:PRINT:SHORT JUMPSUIT</t>
  </si>
  <si>
    <t>ROMPER MICKEY ROMPMIC:BLACK:12-18:PRINT:SHORT JUMPSUIT</t>
  </si>
  <si>
    <t>ROMPER MICKEY ROMPMIC:BLACK:18-24:PRINT:SHORT JUMPSUIT</t>
  </si>
  <si>
    <t>ROMPER MICKEY ROMPMIC:BLACK:24-36:PRINT:SHORT JUMPSUIT</t>
  </si>
  <si>
    <t>SDSPIDER</t>
  </si>
  <si>
    <t>SEPATU SANDAL BABY SPIDER MAN SDSPIDER:NAVY BLUE:19:PRINT:BABY SHOES</t>
  </si>
  <si>
    <t>SNCAPT</t>
  </si>
  <si>
    <t>SNEAKER SHOES BABY CAPTAIN AMERIKA SNCAPT:NAVY BLUE:22:PRINT:BABY SHOES</t>
  </si>
  <si>
    <t>SNMICKEY</t>
  </si>
  <si>
    <t>SNEAKER BABY SHOES MICKEY SNMICKEY:NAVY BLUE:22:PRINT:BABY SHOES</t>
  </si>
  <si>
    <t>SLFROZEN</t>
  </si>
  <si>
    <t>MARY JANES BABY SHOES FROZEN SLFROZEN:PASTEL BLUE:19:PRINT:BABY SHOES</t>
  </si>
  <si>
    <t>MARY JANES BABY SHOES FROZEN SLFROZEN:PASTEL BLUE:22:PRINT:BABY SHOES</t>
  </si>
  <si>
    <t>SNMINNIE</t>
  </si>
  <si>
    <t>SNEAKER BABY SHOES MINNIE SNMINNIE:WHITE:19:PRINT:BABY SHOES</t>
  </si>
  <si>
    <t>SNEAKER BABY SHOES MINNIE SNMINNIE:WHITE:22:PRINT:BABY SHOES</t>
  </si>
  <si>
    <t>SLMINNIE</t>
  </si>
  <si>
    <t>MARY JANES BABY SHOES MINNIE SLMINNIE:WHITE:22:PRINT:BABY SHOES</t>
  </si>
  <si>
    <t>SLMARIE</t>
  </si>
  <si>
    <t>MARY JANES BABY SHOES MARIE SLMARIE:PASTEL PINK:22:PRINT:BABY SHOES</t>
  </si>
  <si>
    <t>SLSPIDER</t>
  </si>
  <si>
    <t>SLIP ON BABY SHOES SPIDERMAN SLSPIDER:CLASSIC RED:19:PRINT:BABY SHOES</t>
  </si>
  <si>
    <t>SLIP ON BABY SHOES SPIDERMAN SLSPIDER:CLASSIC RED:22:PRINT:BABY SHOES</t>
  </si>
  <si>
    <t>SDIRON</t>
  </si>
  <si>
    <t>SEPATU SANDAL BABY IRON MAN SDIRON:CLASSIC RED:19:PRINT:BABY SHOES</t>
  </si>
  <si>
    <t>SEPATU SANDAL BABY IRON MAN SDIRON:CLASSIC RED:22:PRINT:BABY SHOES</t>
  </si>
  <si>
    <t xml:space="preserve"> TSHIRT KVDB DUMBO LITTLE CIRCUS 66010100DUM TSKVBDUM:PASTEL BLU:0-6:PRINT:SS T-SHIRT</t>
  </si>
  <si>
    <t xml:space="preserve"> TSHIRT KVDB DUMBO LITTLE CIRCUS 66010100DUM TSKVBDUM:PASTEL BLU:6-12:PRINT:SS T-SHIRT</t>
  </si>
  <si>
    <t xml:space="preserve"> TSHIRT KVDB DUMBO LITTLE CIRCUS 66010100DUM TSKVBDUM:PASTEL BLU:12-18:PRINT:SS T-SHIRT</t>
  </si>
  <si>
    <t xml:space="preserve"> TSHIRT KVDB DUMBO LITTLE CIRCUS 66010100DUM TSKVBDUM:PASTEL BLU:18-24:PRINT:SS T-SHIRT</t>
  </si>
  <si>
    <t xml:space="preserve"> TSHIRT KVDG DUMBO CIRCUS FLAG 66010100DUM  TSKVGDUM:PASTEL ORAN:0-6:PRINT:SS T-SHIRT</t>
  </si>
  <si>
    <t xml:space="preserve"> TSHIRT KVDG DUMBO CIRCUS FLAG 66010100DUM  TSKVGDUM:PASTEL ORAN:6-12:PRINT:SS T-SHIRT</t>
  </si>
  <si>
    <t xml:space="preserve"> TSHIRT KVDG DUMBO CIRCUS FLAG 66010100DUM  TSKVGDUM:PASTEL ORAN:12-18:PRINT:SS T-SHIRT</t>
  </si>
  <si>
    <t xml:space="preserve"> TSHIRT KVDG DUMBO CIRCUS FLAG 66010100DUM  TSKVGDUM:PASTEL ORAN:18-24:PRINT:SS T-SHIRT</t>
  </si>
  <si>
    <t>DAR363</t>
  </si>
  <si>
    <t>SS MIDI DRESS MINNIE DAR363:BUBBLEGUM PINK:6-12:GRAPHIC:SS MIDI DRESS</t>
  </si>
  <si>
    <t>SS MIDI DRESS MINNIE DAR363:BUBBLEGUM PINK:18-24:GRAPHIC:SS MIDI DRESS</t>
  </si>
  <si>
    <t>SSMRPREC</t>
  </si>
  <si>
    <t>SS BLOUSE BABYTERRY MARIE PRECIOUS AND PUUURRFECT SSMRPREC:CORAL:0-6:GRAPHIC:SS BLOUSE</t>
  </si>
  <si>
    <t>SS BLOUSE BABYTERRY MARIE PRECIOUS AND PUUURRFECT SSMRPREC:CORAL:6-12:GRAPHIC:SS BLOUSE</t>
  </si>
  <si>
    <t>SS BLOUSE BABYTERRY MARIE PRECIOUS AND PUUURRFECT SSMRPREC:CORAL:12-18:GRAPHIC:SS BLOUSE</t>
  </si>
  <si>
    <t>SS BLOUSE BABYTERRY MARIE PRECIOUS AND PUUURRFECT SSMRPREC:CORAL:18-24:GRAPHIC:SS BLOUSE</t>
  </si>
  <si>
    <t>SWMINMHT</t>
  </si>
  <si>
    <t>SWEATER MINNIE MY HOME TOWN SWMINMHT:OFF WHITE:6-12:GRAPHIC:SWEATER</t>
  </si>
  <si>
    <t>SWEATER MINNIE MY HOME TOWN SWMINMHT:OFF WHITE:12-18:GRAPHIC:SWEATER</t>
  </si>
  <si>
    <t>TSOLAMIN</t>
  </si>
  <si>
    <t>SS T-SHIRT MINNIE  OH LALA TSOLAMIN:PASTEL YELLOW:0-6:GRAPHIC:SS T-SHIRT</t>
  </si>
  <si>
    <t>SWMIC202</t>
  </si>
  <si>
    <t>SWEATER MICKEY MY HOME TOWN SWMIC202:PASTEL BLUE:0-6:GRAPHIC:SWEATER</t>
  </si>
  <si>
    <t>SWEATER MICKEY MY HOME TOWN SWMIC202:PASTEL BLUE:6-12:GRAPHIC:SWEATER</t>
  </si>
  <si>
    <t>SWEATER MICKEY MY HOME TOWN SWMIC202:PASTEL BLUE:12-18:GRAPHIC:SWEATER</t>
  </si>
  <si>
    <t>SWEATER MICKEY MY HOME TOWN SWMIC202:PASTEL BLUE:18-24:GRAPHIC:SWEATER</t>
  </si>
  <si>
    <t>TSCOOLMIC</t>
  </si>
  <si>
    <t>SS T-SHIRT COOL LIKE MICKEY TSCOOLMIC:MISTY LIGHT BL:0-6:GRAPHIC:SS T-SHIRT</t>
  </si>
  <si>
    <t>SS T-SHIRT COOL LIKE MICKEY TSCOOLMIC:MISTY LIGHT BL:6-12:GRAPHIC:SS T-SHIRT</t>
  </si>
  <si>
    <t>SS T-SHIRT COOL LIKE MICKEY TSCOOLMIC:MISTY LIGHT BL:18-24:GRAPHIC:SS T-SHIRT</t>
  </si>
  <si>
    <t>LPMARPP</t>
  </si>
  <si>
    <t>LONG PANTS MARIE PRECIOUS PUUURRFECT LPMARPP:PASTEL PINK:0-6:GRAPHIC:LONG PANTS</t>
  </si>
  <si>
    <t>LONG PANTS MARIE PRECIOUS PUUURRFECT LPMARPP:PASTEL PINK:6-12:GRAPHIC:LONG PANTS</t>
  </si>
  <si>
    <t>LONG PANTS MARIE PRECIOUS PUUURRFECT LPMARPP:PASTEL PINK:12-18:GRAPHIC:LONG PANTS</t>
  </si>
  <si>
    <t>LONG PANTS MARIE PRECIOUS PUUURRFECT LPMARPP:PASTEL PINK:18-24:GRAPHIC:LONG PANTS</t>
  </si>
  <si>
    <t>JGMIC202</t>
  </si>
  <si>
    <t>JOGGER MICKEY MY HOME TOWN JGMIC202:NAVY BLUE:0-6:PRINT:JOGGER</t>
  </si>
  <si>
    <t>JOGGER MICKEY MY HOME TOWN JGMIC202:NAVY BLUE:6-12:PRINT:JOGGER</t>
  </si>
  <si>
    <t>JOGGER MICKEY MY HOME TOWN JGMIC202:NAVY BLUE:12-18:PRINT:JOGGER</t>
  </si>
  <si>
    <t>JOGGER MICKEY MY HOME TOWN JGMIC202:NAVY BLUE:18-24:PRINT:JOGGER</t>
  </si>
  <si>
    <t>SETSTMIN</t>
  </si>
  <si>
    <t>TOP - BOTTOM SET MINNIE STRIPE KTG LOVE SETSTMIN:WHITE:0-6:STRIPES:TOP - BOTTOM</t>
  </si>
  <si>
    <t>TOP - BOTTOM SET MINNIE STRIPE KTG LOVE SETSTMIN:WHITE:6-12:STRIPES:TOP - BOTTOM</t>
  </si>
  <si>
    <t>TOP - BOTTOM SET MINNIE STRIPE KTG LOVE SETSTMIN:WHITE:12-18:STRIPES:TOP - BOTTOM</t>
  </si>
  <si>
    <t>SETMICEAR</t>
  </si>
  <si>
    <t>TOP - BOTTOM SET MICKEY 3D EAR BOTTOM BT SETMICEAR:WHITE:0-6:GRAPHIC:TOP - BOTTO</t>
  </si>
  <si>
    <t>TOP - BOTTOM SET MICKEY 3D EAR BOTTOM BT SETMICEAR:WHITE:6-12:GRAPHIC:TOP - BOTTO</t>
  </si>
  <si>
    <t>TOP - BOTTOM SET MICKEY 3D EAR BOTTOM BT SETMICEAR:WHITE:12-18:GRAPHIC:TOP - BOTTO</t>
  </si>
  <si>
    <t>TOP - BOTTOM SET MICKEY 3D EAR BOTTOM BT SETMICEAR:WHITE:18-24:GRAPHIC:TOP - BOTTO</t>
  </si>
  <si>
    <t>DOVMARIE</t>
  </si>
  <si>
    <t>DRESS OVERALL  MARIE DOVMARIE:PASTEL PINK:6-12:PRINT:SS MIDI DRESS</t>
  </si>
  <si>
    <t>DRESS OVERALL  MARIE DOVMARIE:PASTEL PINK:18-24:PRINT:SS MIDI DRESS</t>
  </si>
  <si>
    <t>DRESS OVERALL  MARIE DOVMARIE:PASTEL PINK:24-36:PRINT:SS MIDI DRESS</t>
  </si>
  <si>
    <t>DRISEMIN</t>
  </si>
  <si>
    <t>LS MIDI DRESS MINNIE HELLO SUNSHINE DRISEMIN:PASTEL PINK:18-24:GRAPHIC:SS MIDI DRESS</t>
  </si>
  <si>
    <t>OVYDUM</t>
  </si>
  <si>
    <t>OVERALL DUMBO 66010100DUM OVYDUM:CLASSIC YELLOW:12-18:GRAPHIC:SHORT JUMPSUIT</t>
  </si>
  <si>
    <t>OVERALL DUMBO 66010100DUM OVYDUM:CLASSIC YELLOW:18-24:GRAPHIC:SHORT JUMPSUIT</t>
  </si>
  <si>
    <t>OVERALL DUMBO 66010100DUM OVYDUM:CLASSIC YELLOW:24-36:GRAPHIC:SHORT JUMPSUIT</t>
  </si>
  <si>
    <t>TSMVL</t>
  </si>
  <si>
    <t>SS T-SHIRT MARVEL 66020100MCR TSMVL:MISTY LIGHT BLU:6-12:GRAPHIC:SS T-SHIRT</t>
  </si>
  <si>
    <t>SS T-SHIRT MARVEL 66020100MCR TSMVL:MISTY LIGHT BLU:18-24:GRAPHIC:SS T-SHIRT</t>
  </si>
  <si>
    <t>SS T-SHIRT MARVEL 66020100MCR TSMVL:MISTY LIGHT BLU:24-36:GRAPHIC:SS T-SHIRT</t>
  </si>
  <si>
    <t>JGMVL</t>
  </si>
  <si>
    <t>JOGGER MARVEL 66020100MCR JGMVL:NAVY BLUE:6-12:GRAPHIC:JOGGER</t>
  </si>
  <si>
    <t>JOGGER MARVEL 66020100MCR JGMVL:NAVY BLUE:18-24:GRAPHIC:JOGGER</t>
  </si>
  <si>
    <t>JOGGER MARVEL 66020100MCR JGMVL:NAVY BLUE:24-36:GRAPHIC:JOGGER</t>
  </si>
  <si>
    <t>SS T-SHIRT COOL LIKE MICKEY TSCOOLMIC:MISTY LIGHT BL:12-18:GRAPHIC:SS T-SHIRT</t>
  </si>
  <si>
    <t>SSARFMIN</t>
  </si>
  <si>
    <t>SS T-SHIRT SS MINNIE RUFFLE 66010100MIN SSARFMIN:PASTEL PINK:6-12:GRAPHIC:SS T-SHIRT</t>
  </si>
  <si>
    <t>JGARMIN</t>
  </si>
  <si>
    <t>JOGGER MINNIE RUFFLE KTG 66010100MIN JGARMIN:MISTY MEDIUM:6-12:GRAPHIC:JOGGER</t>
  </si>
  <si>
    <t>JOGGER MINNIE RUFFLE KTG 66010100MIN JGARMIN:MISTY MEDIUM:18-24:GRAPHIC:JOGGER</t>
  </si>
  <si>
    <t>SETMNPIT</t>
  </si>
  <si>
    <t>TOP - BOTTOM SET MINNIE PITA SETMNPIT:MISTY LIGHT GR:0-6:GRAPHIC:TOP - BOTTOM S</t>
  </si>
  <si>
    <t>TOP - BOTTOM SET MINNIE PITA SETMNPIT:MISTY LIGHT GR:6-12:GRAPHIC:TOP - BOTTOM S</t>
  </si>
  <si>
    <t>TOP - BOTTOM SET MINNIE PITA SETMNPIT:MISTY LIGHT GR:12-18:GRAPHIC:TOP - BOTTOM S</t>
  </si>
  <si>
    <t>TOP - BOTTOM SET MINNIE PITA SETMNPIT:MISTY LIGHT GR:18-24:GRAPHIC:TOP - BOTTOM S</t>
  </si>
  <si>
    <t>DRESS OVERALL  MARIE DOVMARIE:PASTEL PINK:12-18:PRINT:SS MIDI DRESS</t>
  </si>
  <si>
    <t>DMINLV</t>
  </si>
  <si>
    <t>LS MIDI DRESS MINNIE LOVE 66010100MIN DMINLV:PASTEL PINK:6-12:GRAPHIC:LS MIDI DRESS</t>
  </si>
  <si>
    <t>LS MIDI DRESS MINNIE LOVE 66010100MIN DMINLV:PASTEL PINK:12-18:GRAPHIC:LS MIDI DRESS</t>
  </si>
  <si>
    <t>LS MIDI DRESS MINNIE LOVE 66010100MIN DMINLV:PASTEL PINK:18-24:GRAPHIC:LS MIDI DRESS</t>
  </si>
  <si>
    <t>LS MIDI DRESS MINNIE LOVE 66010100MIN DMINLV:PASTEL PINK:24-36:GRAPHIC:LS MIDI DRESS</t>
  </si>
  <si>
    <t>DSSTPRN</t>
  </si>
  <si>
    <t>SS MIDI DRESS TULLE PRINCESS DSSTPRN:PASTEL PINK:6-12:GRAPHIC:SS MIDI DRESS</t>
  </si>
  <si>
    <t>SS MIDI DRESS TULLE PRINCESS DSSTPRN:PASTEL PINK:12-18:GRAPHIC:SS MIDI DRESS</t>
  </si>
  <si>
    <t>SS MIDI DRESS TULLE PRINCESS DSSTPRN:PASTEL PINK:24-36:GRAPHIC:SS MIDI DRESS</t>
  </si>
  <si>
    <t>SS T-SHIRT MARVEL 66020100MCR TSMVL:MISTY LIGHT BLU:12-18:GRAPHIC:SS T-SHIRT</t>
  </si>
  <si>
    <t>JOGGER MARVEL 66020100MCR JGMVL:NAVY BLUE:12-18:GRAPHIC:JOGGER</t>
  </si>
  <si>
    <t>OVSPIDER</t>
  </si>
  <si>
    <t>OVERALL SPIDERMAN 66020100MCR OVSPIDER:CLASSIC BLUE:6-12:GRAPHIC:SHORT JUMPSUIT</t>
  </si>
  <si>
    <t>OVERALL SPIDERMAN 66020100MCR OVSPIDER:CLASSIC BLUE:18-24:GRAPHIC:SHORT JUMPSUIT</t>
  </si>
  <si>
    <t>OVERALL SPIDERMAN 66020100MCR OVSPIDER:CLASSIC BLUE:24-36:GRAPHIC:SHORT JUMPSUIT</t>
  </si>
  <si>
    <t>TSSLOVEMIC</t>
  </si>
  <si>
    <t>SS T-SHIRT MICKEY SO LOVEABLE TSSLOVEMIC:MISTY DARK BLU:6-12:GRAPHIC:SS T-SHIRT</t>
  </si>
  <si>
    <t>TSLHGMIN</t>
  </si>
  <si>
    <t>SS T-SHIRT MINNIE LITTLE HUGS TSLHGMIN:FUSCHIA:0-6:GRAPHIC:SS T-SHIRT</t>
  </si>
  <si>
    <t>SS T-SHIRT MINNIE LITTLE HUGS TSLHGMIN:FUSCHIA:6-12:GRAPHIC:SS T-SHIRT</t>
  </si>
  <si>
    <t>SS T-SHIRT MINNIE LITTLE HUGS TSLHGMIN:FUSCHIA:12-18:GRAPHIC:SS T-SHIRT</t>
  </si>
  <si>
    <t>SS T-SHIRT MINNIE LITTLE HUGS TSLHGMIN:FUSCHIA:18-24:GRAPHIC:SS T-SHIRT</t>
  </si>
  <si>
    <t>SS T-SHIRT SS MINNIE RUFFLE 66010100MIN SSARFMIN:PASTEL PINK:12-18:GRAPHIC:SS T-SHIRT</t>
  </si>
  <si>
    <t>SS T-SHIRT SS MINNIE RUFFLE 66010100MIN SSARFMIN:PASTEL PINK:24-36:GRAPHIC:SS T-SHIRT</t>
  </si>
  <si>
    <t>LSRFPOOH</t>
  </si>
  <si>
    <t>LS T-SHIRT POOH RUFFLE LSRFPOOH:PASTEL ORANGE:18-24:GRAPHIC:LS T-SHIRT</t>
  </si>
  <si>
    <t>TSKBBAM</t>
  </si>
  <si>
    <t>SS T-SHIRT KVD BAMBI TSKBBAM:MISTY LIGHT BLUE:12-18:GRAPHIC:SS T-SHIRT</t>
  </si>
  <si>
    <t>SS T-SHIRT KVD BAMBI TSKBBAM:MISTY LIGHT BLUE:18-24:GRAPHIC:SS T-SHIRT</t>
  </si>
  <si>
    <t>SS T-SHIRT KVD BAMBI TSKBBAM:MISTY LIGHT BLUE:24-36:GRAPHIC:SS T-SHIRT</t>
  </si>
  <si>
    <t>TSKGBAM</t>
  </si>
  <si>
    <t>SS T-SHIRT KVD BAMBI TSKGBAM:PASTEL PINK:6-12:GRAPHIC:SS T-SHIRT</t>
  </si>
  <si>
    <t>SS T-SHIRT KVD BAMBI TSKGBAM:PASTEL PINK:12-18:GRAPHIC:SS T-SHIRT</t>
  </si>
  <si>
    <t>SS T-SHIRT KVD BAMBI TSKGBAM:PASTEL PINK:18-24:GRAPHIC:SS T-SHIRT</t>
  </si>
  <si>
    <t>SS T-SHIRT KVD BAMBI TSKGBAM:PASTEL PINK:24-36:GRAPHIC:SS T-SHIRT</t>
  </si>
  <si>
    <t>JOGGER MINNIE RUFFLE KTG 66010100MIN JGARMIN:MISTY MEDIUM:12-18:GRAPHIC:JOGGER</t>
  </si>
  <si>
    <t>JOGGER MINNIE RUFFLE KTG 66010100MIN JGARMIN:MISTY MEDIUM:24-36:GRAPHIC:JOGGER</t>
  </si>
  <si>
    <t>JGRFPOOH</t>
  </si>
  <si>
    <t>JOGGER CUTE POOH JGRFPOOH:PASTEL ORANGE:6-12:GRAPHIC:JOGGER</t>
  </si>
  <si>
    <t>JOGGER CUTE POOH JGRFPOOH:PASTEL ORANGE:12-18:GRAPHIC:JOGGER</t>
  </si>
  <si>
    <t>JOGGER CUTE POOH JGRFPOOH:PASTEL ORANGE:18-24:GRAPHIC:JOGGER</t>
  </si>
  <si>
    <t>JOGGER CUTE POOH JGRFPOOH:PASTEL ORANGE:24-36:GRAPHIC:JOGGER</t>
  </si>
  <si>
    <t>SETPOOH</t>
  </si>
  <si>
    <t>TOP-BOTTOM SET GIRL SS POOH SETPOOH:OFF WHITE:12-18:GRAPHIC:TOP - BOTTOM SE</t>
  </si>
  <si>
    <t>TOP-BOTTOM SET GIRL SS POOH SETPOOH:OFF WHITE:18-24:GRAPHIC:TOP - BOTTOM SE</t>
  </si>
  <si>
    <t>TOP-BOTTOM SET GIRL SS POOH SETPOOH:OFF WHITE:24-36:GRAPHIC:TOP - BOTTOM SE</t>
  </si>
  <si>
    <t>DTLRAPZ</t>
  </si>
  <si>
    <t>SS MIDI DRESS TULLE RAPUNZEL  66050100PRN DTLRAPZ:PASTEL PINK:12-18:GRAPHIC:SS MIDI DRE</t>
  </si>
  <si>
    <t>SS MIDI DRESS TULLE RAPUNZEL  66050100PRN DTLRAPZ:PASTEL PINK:18-24:GRAPHIC:SS MIDI DRE</t>
  </si>
  <si>
    <t>SS MIDI DRESS TULLE RAPUNZEL  66050100PRN DTLRAPZ:PASTEL PINK:24-36:GRAPHIC:SS MIDI DRE</t>
  </si>
  <si>
    <t>DRTLPOO</t>
  </si>
  <si>
    <t>SS MIDI DRESS TULLE POOH DRTLPOO:OFF WHITE:6-12:GRAPHIC:SS MIDI DRESS</t>
  </si>
  <si>
    <t>SS MIDI DRESS TULLE POOH DRTLPOO:OFF WHITE:18-24:GRAPHIC:SS MIDI DRESS</t>
  </si>
  <si>
    <t>SS MIDI DRESS TULLE POOH DRTLPOO:OFF WHITE:24-36:GRAPHIC:SS MIDI DRESS</t>
  </si>
  <si>
    <t>OVERALL SPIDERMAN 66020100MCR OVSPIDER:CLASSIC BLUE:12-18:GRAPHIC:SHORT JUMPSUIT</t>
  </si>
  <si>
    <t>RPCAPT</t>
  </si>
  <si>
    <t>OVERALL CAPTAIN AMERICA 66020100MCR RPCAPT:PASTEL BLUE:18-24:SOLID:OVERALL MIDI</t>
  </si>
  <si>
    <t>RPSPD</t>
  </si>
  <si>
    <t>ROMPER SPIDERMAN 66020100MCR RPSPD:CLASSIC RED:18-24:SOLID:OVERALL MIDI SK</t>
  </si>
  <si>
    <t>ROMPER SPIDERMAN 66020100MCR RPSPD:CLASSIC RED:24-36:SOLID:OVERALL MIDI SK</t>
  </si>
  <si>
    <t>DOVPOO</t>
  </si>
  <si>
    <t>SS MIDI DRESS OVERALL POOH DOVPOO:OFF WHITE:6-12:GRAPHIC:SS T-SHIRT</t>
  </si>
  <si>
    <t>SS MIDI DRESS OVERALL POOH DOVPOO:OFF WHITE:12-18:GRAPHIC:SS T-SHIRT</t>
  </si>
  <si>
    <t>SETGBAM</t>
  </si>
  <si>
    <t>TOP - BOTTOM SET GIRL SS BAMBI  SETGBAM:OFF WHITE:18-24:GRAPHIC:TOP - BOTTOM S</t>
  </si>
  <si>
    <t>TSTDPOOH</t>
  </si>
  <si>
    <t>SS T-SHIRT TIE DYE POOH TSTDPOOH:OFF WHITE:6-12:PRINT:SS T-SHIRT</t>
  </si>
  <si>
    <t>SS T-SHIRT TIE DYE POOH TSTDPOOH:OFF WHITE:12-18:PRINT:SS T-SHIRT</t>
  </si>
  <si>
    <t>SS T-SHIRT TIE DYE POOH TSTDPOOH:OFF WHITE:18-24:PRINT:SS T-SHIRT</t>
  </si>
  <si>
    <t>SS T-SHIRT TIE DYE POOH TSTDPOOH:OFF WHITE:24-36:PRINT:SS T-SHIRT</t>
  </si>
  <si>
    <t>TSKMINN</t>
  </si>
  <si>
    <t>SS T-SHIRT KVD MINNIE 66020100MIN TSKMINN:PASTEL PINK:6-12:GRAPHIC:SS T-SHIRT</t>
  </si>
  <si>
    <t>SS T-SHIRT KVD MINNIE 66020100MIN TSKMINN:PASTEL PINK:12-18:GRAPHIC:SS T-SHIRT</t>
  </si>
  <si>
    <t>SS T-SHIRT KVD MINNIE 66020100MIN TSKMINN:PASTEL PINK:18-24:GRAPHIC:SS T-SHIRT</t>
  </si>
  <si>
    <t>SS T-SHIRT KVD MINNIE 66020100MIN TSKMINN:PASTEL PINK:24-36:GRAPHIC:SS T-SHIRT</t>
  </si>
  <si>
    <t>SETBPOOH</t>
  </si>
  <si>
    <t>TOP BOTTOM SET SET BOY SS POOH SETBPOOH:PASTEL YELLOW:6-12:PRINT:TOP - BOTTOM SET</t>
  </si>
  <si>
    <t>TOP BOTTOM SET SET BOY SS POOH SETBPOOH:PASTEL YELLOW:12-18:PRINT:TOP - BOTTOM SET</t>
  </si>
  <si>
    <t>TOP BOTTOM SET SET BOY SS POOH SETBPOOH:PASTEL YELLOW:18-24:PRINT:TOP - BOTTOM SET</t>
  </si>
  <si>
    <t>TOP BOTTOM SET SET BOY SS POOH SETBPOOH:PASTEL YELLOW:24-36:PRINT:TOP - BOTTOM SET</t>
  </si>
  <si>
    <t>DRTLCIN</t>
  </si>
  <si>
    <t>DRESS SS TULLE CINDERELLA DRTLCIN:PASTEL BLUE:6-12:GRAPHIC:SS MIDI DRESS</t>
  </si>
  <si>
    <t>DRESS SS TULLE CINDERELLA DRTLCIN:PASTEL BLUE:12-18:GRAPHIC:SS MIDI DRESS</t>
  </si>
  <si>
    <t>DRESS SS TULLE CINDERELLA DRTLCIN:PASTEL BLUE:18-24:GRAPHIC:SS MIDI DRESS</t>
  </si>
  <si>
    <t>DRESS SS TULLE CINDERELLA DRTLCIN:PASTEL BLUE:24-36:GRAPHIC:SS MIDI DRESS</t>
  </si>
  <si>
    <t>OVRPOOH</t>
  </si>
  <si>
    <t>SHORT JUMPSUIT OVERALL POOH OVRPOOH:CLASSIC ORANGE:6-12:GRAPHIC:SHORT JUMPSUIT</t>
  </si>
  <si>
    <t>SHORT JUMPSUIT OVERALL POOH OVRPOOH:CLASSIC ORANGE:12-18:GRAPHIC:SHORT JUMPSUIT</t>
  </si>
  <si>
    <t>SHORT JUMPSUIT OVERALL POOH OVRPOOH:CLASSIC ORANGE:18-24:GRAPHIC:SHORT JUMPSUIT</t>
  </si>
  <si>
    <t>SHORT JUMPSUIT OVERALL POOH OVRPOOH:CLASSIC ORANGE:24-36:GRAPHIC:SHORT JUMPSUIT</t>
  </si>
  <si>
    <t>RPPOOH</t>
  </si>
  <si>
    <t>ROMPER POOH 66020100 RPPOOH:PASTEL YELLOW:6-12:GRAPHIC:SHORT JUMPSUIT</t>
  </si>
  <si>
    <t>ROMPER POOH 66020100 RPPOOH:PASTEL YELLOW:12-18:GRAPHIC:SHORT JUMPSUIT</t>
  </si>
  <si>
    <t>ROMPER POOH 66020100 RPPOOH:PASTEL YELLOW:18-24:GRAPHIC:SHORT JUMPSUIT</t>
  </si>
  <si>
    <t>ROMPER POOH 66020100 RPPOOH:PASTEL YELLOW:0-6:GRAPHIC:SHORT JUMPSUIT</t>
  </si>
  <si>
    <t>SSPTMIN</t>
  </si>
  <si>
    <t>SS MINNIE MOUSE SSPTMIN:PASTEL ORANGE:12-18:GRAPHIC:SS T-SHIRT</t>
  </si>
  <si>
    <t>JGFPMIN</t>
  </si>
  <si>
    <t>JOGGER FULLPRINT MINNIE JGFPMIN:PASTEL ORANGE:24-36:PRINT:JOGGER</t>
  </si>
  <si>
    <t>TSPMAR</t>
  </si>
  <si>
    <t xml:space="preserve"> TSHIRT FP MARVEL 66020100MCR TSPMAR:OFF WHITE:12-18:SOLID:SS T-SHIRT</t>
  </si>
  <si>
    <t xml:space="preserve"> TSHIRT FP MARVEL 66020100MCR TSPMAR:OFF WHITE:6-12:SOLID:SS T-SHIRT</t>
  </si>
  <si>
    <t xml:space="preserve"> TSHIRT FP MARVEL 66020100MCR TSPMAR:OFF WHITE:18-24:SOLID:SS T-SHIRT</t>
  </si>
  <si>
    <t>SWHSPD</t>
  </si>
  <si>
    <t>SWEATSHIRT HOODIE SPIDERMAN 66020100MCR SWHSPD:NAVY BLUE:6-12:PRINT:SWEATSHIRT</t>
  </si>
  <si>
    <t>SWEATSHIRT HOODIE SPIDERMAN 66020100MCR SWHSPD:NAVY BLUE:12-18:PRINT:SWEATSHIRT</t>
  </si>
  <si>
    <t>SWEATSHIRT HOODIE SPIDERMAN 66020100MCR SWHSPD:NAVY BLUE:24-36:PRINT:SWEATSHIRT</t>
  </si>
  <si>
    <t>JGSPD</t>
  </si>
  <si>
    <t>JOGGER SPIDERMAN JARING 66020100MCR JGSPD:NAVY BLUE:6-12:GRAPHIC:JOGGER</t>
  </si>
  <si>
    <t>JOGGER SPIDERMAN JARING 66020100MCR JGSPD:NAVY BLUE:12-18:GRAPHIC:JOGGER</t>
  </si>
  <si>
    <t>JOGGER SPIDERMAN JARING 66020100MCR JGSPD:NAVY BLUE:18-24:GRAPHIC:JOGGER</t>
  </si>
  <si>
    <t>JOGGER SPIDERMAN JARING 66020100MCR JGSPD:NAVY BLUE:24-36:GRAPHIC:JOGGER</t>
  </si>
  <si>
    <t>DMM-1121</t>
  </si>
  <si>
    <t>FEEDING BOTTLE DISNEYXBUNNY REGULAR WITH HANDLE 250M:BLACK:F:GRAPHIC:FEEDING BOT</t>
  </si>
  <si>
    <t>FEEDING BOTTLE DISNEYXBUNNY REGULAR WITH HANDLE 250M:CLASSIC RED:F:GRAPHIC:FEEDING BOT</t>
  </si>
  <si>
    <t>DMM-2011</t>
  </si>
  <si>
    <t>FEEDING BOTTLE DISNEYXBUNNY WIDENECK 125ML DMM-2011:BLACK:F:GRAPHIC:FEEDING BOTTLE</t>
  </si>
  <si>
    <t>FEEDING BOTTLE DISNEYXBUNNY WIDENECK 125ML DMM-2011:CLASSIC RED:F:GRAPHIC:FEEDING BOTTLE</t>
  </si>
  <si>
    <t>DMM-1011</t>
  </si>
  <si>
    <t>FEEDING BOTTLE DISNEYXBUNNY REGULAR WITH MM HOOD 125:BLACK:F:GRAPHIC:FEEDING BOT</t>
  </si>
  <si>
    <t>FEEDING BOTTLE DISNEYXBUNNY REGULAR WITH MM HOOD 125:CLASSIC RED:F:GRAPHIC:FEEDING BOT</t>
  </si>
  <si>
    <t>DMM-1021</t>
  </si>
  <si>
    <t>FEEDING BOTTLE DISNEYXBUNNY REGULAR WITH MM HOOD 250:BLACK:F:GRAPHIC:FEEDING BOT</t>
  </si>
  <si>
    <t>FEEDING BOTTLE DISNEYXBUNNY REGULAR WITH MM HOOD 250:CLASSIC RED:F:GRAPHIC:FEEDING BOT</t>
  </si>
  <si>
    <t>DMM-1111</t>
  </si>
  <si>
    <t>FEEDING BOTTLE DISNEYXBUNNY REGULAR WITH HANDLE 125M:BLACK:F:GRAPHIC:FEEDING BOT</t>
  </si>
  <si>
    <t>FEEDING BOTTLE DISNEYXBUNNY REGULAR WITH HANDLE 125M:CLASSIC RED:F:GRAPHIC:FEEDING BOT</t>
  </si>
  <si>
    <t>DMM-2021</t>
  </si>
  <si>
    <t>FEEDING BOTTLE DISNEYXBUNNY WIDENECK 250ML DMM-2021:BLACK:F:GRAPHIC:FEEDING BOT</t>
  </si>
  <si>
    <t>FEEDING BOTTLE DISNEYXBUNNY WIDENECK 250ML DMM-2021:CLASSIC RED:F:GRAPHIC:FEEDING BOT</t>
  </si>
  <si>
    <t>DMM-3012</t>
  </si>
  <si>
    <t>FEEDING BOTTLE DISNEYXBUNNY TRAINING CUP W/SILICONE STRAW AND SILICONE SPOUT 210ML DMM-3012:BLACK:F:</t>
  </si>
  <si>
    <t>FEEDING BOTTLE DISNEYXBUNNY TRAINING CUP W/SILICONE STRAW AND SILICONE SPOUT 210ML DMM-3012:CLASSIC</t>
  </si>
  <si>
    <t>DMM-3013</t>
  </si>
  <si>
    <t>FEEDING BOTTLE DISNEYXBUNNY SPORT SIPPER WITH SWIVEL LID 360ML DMM-3013:BLACK:F:GRAPHIC:FEEDING BOTT</t>
  </si>
  <si>
    <t>FEEDING BOTTLE DISNEYXBUNNY SPORT SIPPER WITH SWIVEL LID 360ML DMM-3013:CLASSIC RED:F:GRAPHIC:FEEDIN</t>
  </si>
  <si>
    <t>DMM-3014</t>
  </si>
  <si>
    <t>FEEDING BOTTLE DISNEYXBUNNY 2 HANDLE CUP WITH FLIP TOP SIPPER 210ML DMM-3014:BLACK:F:GRAPHIC:FEEDING</t>
  </si>
  <si>
    <t>FEEDING BOTTLE DISNEYXBUNNY 2 HANDLE CUP WITH FLIP TOP SIPPER 210ML DMM-3014:CLASSIC RED:F:GRAPHIC:F</t>
  </si>
  <si>
    <t>DMM-5011</t>
  </si>
  <si>
    <t>FOOD FEEDER DISNEYXBUNNY POPSICLE FOOD FEEDER DMM-5011:BLACK:F:GRAPHIC:FOOD FEEDE</t>
  </si>
  <si>
    <t>FOOD FEEDER DISNEYXBUNNY POPSICLE FOOD FEEDER DMM-5011:CLASSIC RE:F:GRAPHIC:FOOD FEEDE</t>
  </si>
  <si>
    <t>DMM-6011</t>
  </si>
  <si>
    <t>BRUSH DISNEYXBUNNY MM BRUSH &amp; COMB DMM-6011:BLACK:F:SOLID:BRUSH</t>
  </si>
  <si>
    <t>BRUSH DISNEYXBUNNY MM BRUSH &amp; COMB DMM-6011:CLASSIC RED:F:SOLID:BRUSH</t>
  </si>
  <si>
    <t>DMM-9011</t>
  </si>
  <si>
    <t>FEEDING SET DISNEYXBUNNY STAINLESS FORK &amp; SPOON DMM-9011:BLACK:F:SOLID:FEEDING SE</t>
  </si>
  <si>
    <t>FEEDING SET DISNEYXBUNNY STAINLESS FORK &amp; SPOON DMM-9011:CLASSIC RE:F:SOLID:FEEDING SE</t>
  </si>
  <si>
    <t>DMM-9012</t>
  </si>
  <si>
    <t>FEEDING SET DISNEYXBUNNY MM FORM &amp; SPOON DMM-9012:BLACK:F:SOLID:FEEDING SET</t>
  </si>
  <si>
    <t>FEEDING SET DISNEYXBUNNY MM FORM &amp; SPOON DMM-9012:CLASSIC RED:F:SOLID:FEEDING SET</t>
  </si>
  <si>
    <t>DMM-7011</t>
  </si>
  <si>
    <t>CONTAINER DISNEYXBUNNY MILK POWDER DISPENSER DMM-7011:BLACK:F:GRAPHIC:CONTAINER</t>
  </si>
  <si>
    <t>CONTAINER DISNEYXBUNNY MILK POWDER DISPENSER DMM-7011:CLASSIC RE:F:GRAPHIC:CONTAINER</t>
  </si>
  <si>
    <t>DMM-4011</t>
  </si>
  <si>
    <t>TEETHER  DISNEYXBUNNY RING SHAPE WATER FILLED TEETHE:BLACK:F:SOLID:TEETHER</t>
  </si>
  <si>
    <t>TEETHER  DISNEYXBUNNY RING SHAPE WATER FILLED TEETHE:CLASSIC RED:F:SOLID:TEETHER</t>
  </si>
  <si>
    <t>DMM-4012</t>
  </si>
  <si>
    <t>TEETHER  DISNEYXBUNNY MM WATER FILLED TEETHER DMM-4012:BLACK:F:SOLID:TEETHER</t>
  </si>
  <si>
    <t>TEETHER  DISNEYXBUNNY MM WATER FILLED TEETHER DMM-4012:CLASSIC RED:F:SOLID:TEETHER</t>
  </si>
  <si>
    <t>DMM-8011</t>
  </si>
  <si>
    <t>BRUSH DISNEYXBUNNY MM CHARACTER BOTTLE BRUSH WITH FOAM DMM-8011:BLACK:F:SOLID:BRUSH</t>
  </si>
  <si>
    <t>BRUSH DISNEYXBUNNY MM CHARACTER BOTTLE BRUSH WITH FOAM DMM-8011:CLASSIC RED:F:SOLID:BRUSH</t>
  </si>
  <si>
    <t>DMM-2121</t>
  </si>
  <si>
    <t>FEEDING BOTTLE DISNEYXBUNNY WIDENECK BOTTLE WITH HANDLE 250ML DMM-2121:BLACK:F:SOLID:TEETHER</t>
  </si>
  <si>
    <t>FEEDING BOTTLE DISNEYXBUNNY WIDENECK BOTTLE WITH HANDLE 250ML DMM-2121:CLASSIC RED:F:SOLID:TEETHER</t>
  </si>
  <si>
    <t>DMM-2111</t>
  </si>
  <si>
    <t>FEEDING BOTTLE DISNEYXBUNNY WIDENECK BOTTLE WITH HANDLE 125ML DMM-2111:BLACK:F:SOLID:TEETHER</t>
  </si>
  <si>
    <t>FEEDING BOTTLE DISNEYXBUNNY WIDENECK BOTTLE WITH HANDLE 125ML DMM-2111:CLASSIC RED:F:SOLID:TEETHER</t>
  </si>
  <si>
    <t>DMM-1234</t>
  </si>
  <si>
    <t>FEEDING BOTTLE DRYING RAK WITH 3X4OZ BOTTLE, 3X8OZ BOTTLES, HOOD, CAP &amp; SILICONE NIPPLE DMM-1234:BLA</t>
  </si>
  <si>
    <t>BTRPG2M61</t>
  </si>
  <si>
    <t>BT TS SS MICKEY MODERN PLAY KANTONG:MISTY LIGHT GRE:M</t>
  </si>
  <si>
    <t>0BTRPG6</t>
  </si>
  <si>
    <t>66010100WPF - TS SS WINNIE THE POOH SMILE FACE:CLASSIC YELLO:S</t>
  </si>
  <si>
    <t>66010100WPF - TS SS WINNIE THE POOH SMILE FACE:CLASSIC YELLO:XL</t>
  </si>
  <si>
    <t>0BTRPG4</t>
  </si>
  <si>
    <t>66010100WPF - TS SS WINNIE THE POOH ALWAYS HAPPY:MISTY LIGHT:L</t>
  </si>
  <si>
    <t>TSMICKIC</t>
  </si>
  <si>
    <t>BOYS TOP TS MICKEY KEEP IT COOL  TSMICKIC :CLASSIC YELLOW:0-6:GRAPHIC:SS T-SHIRT</t>
  </si>
  <si>
    <t>BOYS TOP TS MICKEY KEEP IT COOL  TSMICKIC :CLASSIC YELLOW:6-12:GRAPHIC:SS T-SHIRT</t>
  </si>
  <si>
    <t>SWMICK201</t>
  </si>
  <si>
    <t>BOYS TOP SWEATER MICKEY  SWMICK201 :NAVY BLUE:18-24:GRAPHIC:SWEATER</t>
  </si>
  <si>
    <t>JKDUM21</t>
  </si>
  <si>
    <t>JACKET DUMBO JKDUM21:CLASSIC YELLOW:0-6:GRAPHIC:JACKET</t>
  </si>
  <si>
    <t>JACKET DUMBO JKDUM21:CLASSIC YELLOW:6-12:GRAPHIC:JACKET</t>
  </si>
  <si>
    <t>JACKET DUMBO JKDUM21:CLASSIC YELLOW:12-18:GRAPHIC:JACKET</t>
  </si>
  <si>
    <t>JACKET DUMBO JKDUM21:CLASSIC YELLOW:18-24:GRAPHIC:JACKET</t>
  </si>
  <si>
    <t>SSMRRFL</t>
  </si>
  <si>
    <t>SS BLOUSE BABYTERRY MARIE LOVE RUFFLE SSMRRFL:PASTEL PINK:12-18:GRAPHIC:SS BLOUSE</t>
  </si>
  <si>
    <t>SSARLSPL</t>
  </si>
  <si>
    <t>SS T-SHIRT BBTR ARIEL MAKE A SPLASH SSARLSPL:PASTEL YELLOW:6-12:GRAPHIC:SS T-SHIRT</t>
  </si>
  <si>
    <t>SS T-SHIRT BBTR ARIEL MAKE A SPLASH SSARLSPL:PASTEL YELLOW:18-24:GRAPHIC:SS T-SHIRT</t>
  </si>
  <si>
    <t>LSARLNAT</t>
  </si>
  <si>
    <t>LS T-SHIRT BBTR ARIEL CUTE BY NATURE LSARLNAT:PASTEL PINK:6-12:GRAPHIC:LS T-SHIRT</t>
  </si>
  <si>
    <t>TSKVGWPF</t>
  </si>
  <si>
    <t>SS T-SHIRT POOH MAKES ME SMILE 66010100WPF TSKVGWPF:PASTEL YELL:0-6:GRAPHIC:SS T-SHIRT</t>
  </si>
  <si>
    <t>SWMINSSW</t>
  </si>
  <si>
    <t>SWEATER MINNIE YOU ARE SO SWEET SWMINSSW:PASTEL PINK:18-24:GRAPHIC:SWEATER</t>
  </si>
  <si>
    <t>JGDUM21</t>
  </si>
  <si>
    <t>JOGGER DUMBO JGDUM21:MISTY LIGHT GREY:0-6:SOLID:JOGGER</t>
  </si>
  <si>
    <t>JOGGER DUMBO JGDUM21:MISTY LIGHT GREY:6-12:SOLID:JOGGER</t>
  </si>
  <si>
    <t>JOGGER DUMBO JGDUM21:MISTY LIGHT GREY:12-18:SOLID:JOGGER</t>
  </si>
  <si>
    <t>JOGGER DUMBO JGDUM21:MISTY LIGHT GREY:18-24:SOLID:JOGGER</t>
  </si>
  <si>
    <t>JGMMBFF</t>
  </si>
  <si>
    <t>JOGGER MICKEY AND MINNIE BFF JGMMBFF:MISTY LIGHT GRE:12-18:GRAPHIC:JOGGER</t>
  </si>
  <si>
    <t>JOGGER MICKEY AND MINNIE BFF JGMMBFF:MISTY LIGHT GRE:18-24:GRAPHIC:JOGGER</t>
  </si>
  <si>
    <t>LPMINTL</t>
  </si>
  <si>
    <t>GIRLS BOTTOM LP MINNIE CERISELY BRIGHT TILE  LPMINTL :PASTEL PINK:0-6:GRAPHIC:LONG PANTS</t>
  </si>
  <si>
    <t>JGMINMHT</t>
  </si>
  <si>
    <t>JOGGER MINNIE MY HOME TOWN JGMINMHT:OFF WHITE:18-24:PRINT:JOGGER</t>
  </si>
  <si>
    <t>JGMINSSW</t>
  </si>
  <si>
    <t>JOGGER MINNIE YOU ARE SO SWEET JGMINSSW:PASTEL PINK:18-24:PRINT:JOGGER</t>
  </si>
  <si>
    <t>0BSAMI12</t>
  </si>
  <si>
    <t>66010100CAR - BOYS SET CARS RACE READY:MISTY LIGHT GRE:S</t>
  </si>
  <si>
    <t>66010100CAR - BOYS SET CARS RACE READY:MISTY LIGHT GRE:XL</t>
  </si>
  <si>
    <t>0BSAMI13</t>
  </si>
  <si>
    <t>66010100CAR - BOYS SET CARS RACE READY:CLASSIC RED:XL</t>
  </si>
  <si>
    <t>0BSAMI14</t>
  </si>
  <si>
    <t>OBSAMI15</t>
  </si>
  <si>
    <t>66010100 - BOYS SET NEMO PEEK A BOO:CLASSIC BLUE:S</t>
  </si>
  <si>
    <t>66010100 - BOYS SET NEMO PEEK A BOO:CLASSIC BLUE:XL</t>
  </si>
  <si>
    <t>OBSAMI16</t>
  </si>
  <si>
    <t>66010100 - BOYS SET NEMO AND DORI:CLASSIC BLUE:S</t>
  </si>
  <si>
    <t>66010100 - BOYS SET NEMO AND DORI:CLASSIC BLUE:L</t>
  </si>
  <si>
    <t>OBSPL1</t>
  </si>
  <si>
    <t>66010100MIC - BOYS SET LITTLE HERO:CLASSIC BLUE:S</t>
  </si>
  <si>
    <t>66010100MIC - BOYS SET LITTLE HERO:CLASSIC BLUE:M</t>
  </si>
  <si>
    <t>66010100MIC - BOYS SET LITTLE HERO:CLASSIC BLUE:L</t>
  </si>
  <si>
    <t>66010100MIC - BOYS SET LITTLE HERO:CLASSIC BLUE:XL</t>
  </si>
  <si>
    <t>OBSPL2</t>
  </si>
  <si>
    <t>66010100MIC - BOYS SET SUPER HERO:CLASSIC RED:S</t>
  </si>
  <si>
    <t>66010100MIC - BOYS SET SUPER HERO:CLASSIC RED:M</t>
  </si>
  <si>
    <t>66010100MIC - BOYS SET SUPER HERO:CLASSIC RED:L</t>
  </si>
  <si>
    <t>0GSAM17</t>
  </si>
  <si>
    <t>66010100MIN - GIRLS SET MINNIE HEY CUTIE:CLASSIC YELLOW:S</t>
  </si>
  <si>
    <t>66010100MIN - GIRLS SET MINNIE HEY CUTIE:CLASSIC YELLOW:M</t>
  </si>
  <si>
    <t>66010100MIN - GIRLS SET MINNIE HEY CUTIE:CLASSIC YELLOW:L</t>
  </si>
  <si>
    <t>OGRPL1</t>
  </si>
  <si>
    <t>66010100MIC - GIRLS SET MINNIE CUDDLE POWER:CLASSIC YELLO:S</t>
  </si>
  <si>
    <t>66010100MIC - GIRLS SET MINNIE CUDDLE POWER:CLASSIC YELLO:M</t>
  </si>
  <si>
    <t>66010100MIC - GIRLS SET MINNIE CUDDLE POWER:CLASSIC YELLO:L</t>
  </si>
  <si>
    <t>66010100MIC - GIRLS SET MINNIE CUDDLE POWER:CLASSIC YELLO:XL</t>
  </si>
  <si>
    <t>DRMINTL</t>
  </si>
  <si>
    <t>GIRLS DRESS DRESS MINNIE CERISELY BRIGHT TILE  DRMINTL :PASTEL PINK:6-12:GRAPHIC:SS MINI DRESS</t>
  </si>
  <si>
    <t>DNFPOOH</t>
  </si>
  <si>
    <t>SS MIDI DRESS FOREST POOH DNFPOOH:CLASSIC YELLOW:0-6:PRINT:SS MIDI DRESS</t>
  </si>
  <si>
    <t>SS MIDI DRESS FOREST POOH DNFPOOH:CLASSIC YELLOW:12-18:PRINT:SS MIDI DRESS</t>
  </si>
  <si>
    <t>DMINPOL</t>
  </si>
  <si>
    <t>LS MIDI DRESS MINNIE POLKA DMINPOL:CLASSIC RED:12-18:PRINT:LS MAXI DRESS</t>
  </si>
  <si>
    <t>LS MIDI DRESS MINNIE POLKA DMINPOL:CLASSIC RED:18-24:PRINT:LS MAXI DRESS</t>
  </si>
  <si>
    <t>DTMARIE</t>
  </si>
  <si>
    <t>SS MIDI DRESS TILE MARIE DTMARIE:PASTEL PINK:18-24:GRAPHIC:SS MIDI DRESS</t>
  </si>
  <si>
    <t>OVERALL MIDI SKIRT MINNIE DOVMIN:PASTEL ORANGE:18-24:GRAPHIC:OVERALL MIDI SKI</t>
  </si>
  <si>
    <t>DRDUM21</t>
  </si>
  <si>
    <t>SS MIDI DRESS DUMBO DRDUM21:OFF WHITE:0-6:GRAPHIC:SS MIDI DRESS</t>
  </si>
  <si>
    <t>SS MIDI DRESS DUMBO DRDUM21:OFF WHITE:6-12:GRAPHIC:SS MIDI DRESS</t>
  </si>
  <si>
    <t>SS MIDI DRESS DUMBO DRDUM21:OFF WHITE:12-18:GRAPHIC:SS MIDI DRESS</t>
  </si>
  <si>
    <t>SS MIDI DRESS DUMBO DRDUM21:OFF WHITE:18-24:GRAPHIC:SS MIDI DRESS</t>
  </si>
  <si>
    <t>DOVSSMIN</t>
  </si>
  <si>
    <t>OVERALL MINNIE SUNSHINE 66010100MIN DOVSSMIN:CORAL:0-6:GRAPHIC:SS MIDI DRESS</t>
  </si>
  <si>
    <t>OVERALL MINNIE SUNSHINE 66010100MIN DOVSSMIN:CORAL:18-24:GRAPHIC:SS MIDI DRESS</t>
  </si>
  <si>
    <t>ARD-128</t>
  </si>
  <si>
    <t>66010100 SS MIDI DRESS TILE CINDEELLA ARD-128:LIGHT BLUE:12-18:GRAPHIC:SS MIDI DRESS</t>
  </si>
  <si>
    <t>DARSTMIN</t>
  </si>
  <si>
    <t>SS MIDI DRESS MINNIE STRIPE DARSTMIN:CLASSIC RED:6-12:SOLID:SS MIDI DRESS</t>
  </si>
  <si>
    <t>SS MIDI DRESS MINNIE STRIPE DARSTMIN:CLASSIC RED:12-18:SOLID:SS MIDI DRESS</t>
  </si>
  <si>
    <t>SS MIDI DRESS MINNIE STRIPE DARSTMIN:CLASSIC RED:18-24:SOLID:SS MIDI DRESS</t>
  </si>
  <si>
    <t>DAROVWPF</t>
  </si>
  <si>
    <t>OVERALL MIDI SKIRT LS POOH UP IN THE SKY DAROVWPF:PASTEL PINK:18-24:GRAPHIC:OVERALL MID</t>
  </si>
  <si>
    <t>ANKOVL001BK</t>
  </si>
  <si>
    <t>BOYS OVL TIGG:BLACK:S</t>
  </si>
  <si>
    <t>BOYS OVL TIGG:BLACK:M</t>
  </si>
  <si>
    <t>BOYS OVL TIGG:BLACK:L</t>
  </si>
  <si>
    <t>0BRAMI2</t>
  </si>
  <si>
    <t>66010100MIC ROMPER MICKEY BRIGHT MOMENT:MISTY MEDIUM B:S</t>
  </si>
  <si>
    <t>66010100MIC ROMPER MICKEY BRIGHT MOMENT:MISTY MEDIUM B:L</t>
  </si>
  <si>
    <t>66010100MIC ROMPER MICKEY BRIGHT MOMENT:MISTY MEDIUM B:XL</t>
  </si>
  <si>
    <t>OVMIC202</t>
  </si>
  <si>
    <t>SHORT JUMPSUIT MICKY MY HOME TOWN OVMIC202:NAVY BLUE:12-18:GRAPHIC:SHORT JUMPSUI</t>
  </si>
  <si>
    <t>SHORT JUMPSUIT MICKY MY HOME TOWN OVMIC202:NAVY BLUE:18-24:GRAPHIC:SHORT JUMPSUI</t>
  </si>
  <si>
    <t>OVLHAPPIC</t>
  </si>
  <si>
    <t>SHORT JUMPSUIT MICKEY HAPPY PICNIC OVLHAPPIC:MISTY MEDIUM GREY:0-6:GRAPHIC:SHORT JUMPSUIT</t>
  </si>
  <si>
    <t>SHORT JUMPSUIT MICKEY HAPPY PICNIC OVLHAPPIC:MISTY MEDIUM GREY:6-12:GRAPHIC:SHORT JUMPSUIT</t>
  </si>
  <si>
    <t>SHORT JUMPSUIT MICKEY HAPPY PICNIC OVLHAPPIC:MISTY MEDIUM GREY:18-24:GRAPHIC:SHORT JUMPSUIT</t>
  </si>
  <si>
    <t>OVLFPMIC</t>
  </si>
  <si>
    <t>SHORT JUMPSUIT FULL PRINT MICKEY OVLFPMIC:LIGHT BLUE:0-6:GRAPHIC:SHORT JUMPSUI</t>
  </si>
  <si>
    <t>SHORT JUMPSUIT FULL PRINT MICKEY OVLFPMIC:LIGHT BLUE:6-12:GRAPHIC:SHORT JUMPSUI</t>
  </si>
  <si>
    <t>SHORT JUMPSUIT FULL PRINT MICKEY OVLFPMIC:LIGHT BLUE:18-24:GRAPHIC:SHORT JUMPSUI</t>
  </si>
  <si>
    <t>OVOHMIC</t>
  </si>
  <si>
    <t>LONG JUMPSUIT OVERALL OH MICKEY OVOHMIC:NAVY BLUE:0-6:GRAPHIC:LONG JUMPSUIT</t>
  </si>
  <si>
    <t>LONG JUMPSUIT OVERALL OH MICKEY OVOHMIC:NAVY BLUE:6-12:GRAPHIC:LONG JUMPSUIT</t>
  </si>
  <si>
    <t>LONG JUMPSUIT OVERALL OH MICKEY OVOHMIC:NAVY BLUE:18-24:GRAPHIC:LONG JUMPSUIT</t>
  </si>
  <si>
    <t>OVYTBMIC</t>
  </si>
  <si>
    <t>SHORT JUMPSUIT MICKEY YOU ARE THE BEST OVYTBMIC:LIGHT BLUE:0-6:GRAPHIC:SHORT JUMPSU</t>
  </si>
  <si>
    <t>SHORT JUMPSUIT MICKEY YOU ARE THE BEST OVYTBMIC:LIGHT BLUE:6-12:GRAPHIC:SHORT JUMPSU</t>
  </si>
  <si>
    <t>SHORT JUMPSUIT MICKEY YOU ARE THE BEST OVYTBMIC:LIGHT BLUE:12-18:GRAPHIC:SHORT JUMPSU</t>
  </si>
  <si>
    <t>SHORT JUMPSUIT MICKEY YOU ARE THE BEST OVYTBMIC:LIGHT BLUE:18-24:GRAPHIC:SHORT JUMPSU</t>
  </si>
  <si>
    <t>OVDUM21</t>
  </si>
  <si>
    <t>SHORT JUMPSUIT OVL DUMBO OVDUM21:MISTY LIGHT GREY:0-6:GRAPHIC:SHORT JUMPSUIT</t>
  </si>
  <si>
    <t>SHORT JUMPSUIT OVL DUMBO OVDUM21:MISTY LIGHT GREY:6-12:GRAPHIC:SHORT JUMPSUIT</t>
  </si>
  <si>
    <t>SHORT JUMPSUIT OVL DUMBO OVDUM21:MISTY LIGHT GREY:12-18:GRAPHIC:SHORT JUMPSUIT</t>
  </si>
  <si>
    <t>SHORT JUMPSUIT OVL DUMBO OVDUM21:MISTY LIGHT GREY:18-24:GRAPHIC:SHORT JUMPSUIT</t>
  </si>
  <si>
    <t>OVHAPPY</t>
  </si>
  <si>
    <t>OVERALL MICKEY HAPPY DAYS 6610100MIC OVHAPPY:CLASSIC RED:0-6:GRAPHIC:SHORT JUMPSUI</t>
  </si>
  <si>
    <t>OVARWPF</t>
  </si>
  <si>
    <t>SHORT JUMPSUIT OVERALL LS BOYS POOH UP IN THE SKY OVARWPF:MISTY LIG:6-12:GRAPHIC:SHORT JUM</t>
  </si>
  <si>
    <t>SHORT JUMPSUIT OVERALL LS BOYS POOH UP IN THE SKY OVARWPF:MISTY LIG:12-18:GRAPHIC:SHORT JUM</t>
  </si>
  <si>
    <t>SHORT JUMPSUIT OVERALL LS BOYS POOH UP IN THE SKY OVARWPF:MISTY LIG:18-24:GRAPHIC:SHORT JUM</t>
  </si>
  <si>
    <t>LSPOOP</t>
  </si>
  <si>
    <t>LS POOH PARTY:WHITE:S</t>
  </si>
  <si>
    <t>LS POOH PARTY:WHITE:M</t>
  </si>
  <si>
    <t>AMIBT1</t>
  </si>
  <si>
    <t>66010100 TS LS DUMBO:PASTEL BLUE:S</t>
  </si>
  <si>
    <t>GTRPG2</t>
  </si>
  <si>
    <t>GT TS SS FP KEPALA MICKEY MODERN PLAY:WHITE:S</t>
  </si>
  <si>
    <t>TSPOOP2</t>
  </si>
  <si>
    <t>TS POOH PARTY:OFF WHITE:S</t>
  </si>
  <si>
    <t>TS POOH PARTY:OFF WHITE:L</t>
  </si>
  <si>
    <t>SPPOOP</t>
  </si>
  <si>
    <t>SP POOH PARTY:PASTEL BLUE:S</t>
  </si>
  <si>
    <t>AMIOVL1</t>
  </si>
  <si>
    <t>66010100 SET OVERALL DUMBO:MISTY LIGHT GREY:S</t>
  </si>
  <si>
    <t>66010100 SET OVERALL DUMBO:MISTY LIGHT GREY:L</t>
  </si>
  <si>
    <t>66010100 SET OVERALL DUMBO:MISTY LIGHT GREY:XL</t>
  </si>
  <si>
    <t>0BSAMI6</t>
  </si>
  <si>
    <t>66010100LK BOYS SET LION KING SIMBA HEAD:MISTY MEDIUM G:S</t>
  </si>
  <si>
    <t>0GSAMI2</t>
  </si>
  <si>
    <t>66010100MIN GIRLS SET MINNIE SUMMER:PASTEL PINK:L</t>
  </si>
  <si>
    <t>OVLPOOP</t>
  </si>
  <si>
    <t>OVL POOH PARTY:PASTEL BLUE:S</t>
  </si>
  <si>
    <t>OVL POOH PARTY:PASTEL BLUE:M</t>
  </si>
  <si>
    <t>OVL POOH PARTY:PASTEL BLUE:L</t>
  </si>
  <si>
    <t>OVL POOH PARTY:PASTEL BLUE:XL</t>
  </si>
  <si>
    <t>0BRAMI1</t>
  </si>
  <si>
    <t>66010100MIC ROMPER MICKEY BRIGHT MOMENT:MISTY MEDIUM G:S</t>
  </si>
  <si>
    <t>66010100MIC ROMPER MICKEY BRIGHT MOMENT:MISTY MEDIUM G:M</t>
  </si>
  <si>
    <t>0GRAMI4</t>
  </si>
  <si>
    <t>66010100MIN ROMPER MINNIE FULL PRINT:MISTY MEDIUM GR:S</t>
  </si>
  <si>
    <t>CDSP02</t>
  </si>
  <si>
    <t>BRIEF SPIDERMAN FULLPRINT DOODLE 66040200MCS CDSP02:WHITE:S:PRINT:BRIEF</t>
  </si>
  <si>
    <t>BRIEF SPIDERMAN FULLPRINT DOODLE 66040200MCS CDSP02:WHITE:M:PRINT:BRIEF</t>
  </si>
  <si>
    <t>BRIEF SPIDERMAN FULLPRINT DOODLE 66040200MCS CDSP02:WHITE:L:PRINT:BRIEF</t>
  </si>
  <si>
    <t>BRIEF SPIDERMAN FULLPRINT DOODLE 66040200MCS CDSP02:WHITE:XL:PRINT:BRIEF</t>
  </si>
  <si>
    <t>CDHEYMIC</t>
  </si>
  <si>
    <t>CD FP MICKEY 66020200MIN:MISTY MEDIUM GRE:S:GRAPHIC:BRIEF</t>
  </si>
  <si>
    <t>CD FP MICKEY 66020200MIN:MISTY MEDIUM GRE:M:GRAPHIC:BRIEF</t>
  </si>
  <si>
    <t>CD FP MICKEY 66020200MIN:MISTY MEDIUM GRE:L:GRAPHIC:BRIEF</t>
  </si>
  <si>
    <t>CD FP MICKEY 66020200MIN:MISTY MEDIUM GRE:XL:GRAPHIC:BRIEF</t>
  </si>
  <si>
    <t>A368SPD</t>
  </si>
  <si>
    <t>SET LSLP SPIDERMAN GREAT POWER 66040300SPD A368SPD:CLASSIC RED:4:GRAPHIC:TOP - BOTTO</t>
  </si>
  <si>
    <t>SET LSLP SPIDERMAN GREAT POWER 66040300SPD A368SPD:CLASSIC RED:5:GRAPHIC:TOP - BOTTO</t>
  </si>
  <si>
    <t>SET LSLP SPIDERMAN GREAT POWER 66060300SPD A368SPD:CLASSIC RED:8:GRAPHIC:TOP - BOTTO</t>
  </si>
  <si>
    <t>SET LSLP SPIDERMAN GREAT POWER 66060300SPD A368SPD:CLASSIC RED:10:GRAPHIC:TOP - BOTTO</t>
  </si>
  <si>
    <t>SET LSLP SPIDERMAN GREAT POWER 66060300SPD A368SPD:CLASSIC RED:12:GRAPHIC:TOP - BOTTO</t>
  </si>
  <si>
    <t>SET LSLP SPIDERMAN GREAT POWER 66060300SPD A368SPD:CLASSIC RED:14:GRAPHIC:TOP - BOTTO</t>
  </si>
  <si>
    <t>SET LSLP SPIDERMAN GREAT POWER 66040300SPD A368SPD:CLASSIC RED:7:GRAPHIC:TOP - BOTTO</t>
  </si>
  <si>
    <t>CDUNIMIN1</t>
  </si>
  <si>
    <t>BRIEF MINNIE UNICORN CDUNIMIN1:PASTEL PURPLE:S:GRAPHIC:BRIEF</t>
  </si>
  <si>
    <t>BRIEF MINNIE UNICORN CDUNIMIN1:PASTEL PURPLE:M:GRAPHIC:BRIEF</t>
  </si>
  <si>
    <t>BRIEF MINNIE UNICORN CDUNIMIN1:PASTEL PURPLE:L:GRAPHIC:BRIEF</t>
  </si>
  <si>
    <t>BRIEF MINNIE UNICORN CDUNIMIN1:PASTEL PURPLE:XL:GRAPHIC:BRIEF</t>
  </si>
  <si>
    <t>HR454MIC</t>
  </si>
  <si>
    <t>TOP - BOTTOM SET LSLP FULLPRINT MICKEY 660204008MIC:OFF WHITE:5:PRINT:TOP - BOTTO</t>
  </si>
  <si>
    <t>SWRP1MAR</t>
  </si>
  <si>
    <t>SET LSLP MARIE 66030300MAR SWRP1MAR:CORAL:4:GRAPHIC:TOP - BOTTOM SE</t>
  </si>
  <si>
    <t>SET LSLP MARIE 66030300MAR SWRP1MAR:CORAL:6:GRAPHIC:TOP - BOTTOM SE</t>
  </si>
  <si>
    <t>SET LSLP MARIE 66050300MAR SWRP1MAR:CORAL:8:GRAPHIC:TOP - BOTTOM SE</t>
  </si>
  <si>
    <t>SET LSLP MARIE 66050300MAR SWRP1MAR:CORAL:10:GRAPHIC:TOP - BOTTOM SE</t>
  </si>
  <si>
    <t>SET LSLP MARIE 66050300MAR SWRP1MAR:CORAL:12:GRAPHIC:TOP - BOTTOM SE</t>
  </si>
  <si>
    <t>UWSP05</t>
  </si>
  <si>
    <t>BRIEF MARVEL SPIDERMAN 66040200MCS UWSP05:CLASSIC RED:S:GRAPHIC:BRIEF</t>
  </si>
  <si>
    <t>BRIEF MARVEL SPIDERMAN 66040200MCS UWSP05:CLASSIC RED:M:GRAPHIC:BRIEF</t>
  </si>
  <si>
    <t>BRIEF MARVEL SPIDERMAN 66040200MCS UWSP05:CLASSIC RED:L:GRAPHIC:BRIEF</t>
  </si>
  <si>
    <t>CDSP05</t>
  </si>
  <si>
    <t>BRIEF SPIDERMAN FP JARING 66040200OMCS CDSP05:NAVY BLUE:S:GRAPHIC:BRIEF</t>
  </si>
  <si>
    <t>BRIEF SPIDERMAN FP JARING 66040200OMCS CDSP05:NAVY BLUE:M:GRAPHIC:BRIEF</t>
  </si>
  <si>
    <t>BRIEF SPIDERMAN FP JARING 66040200OMCS CDSP05:NAVY BLUE:L:GRAPHIC:BRIEF</t>
  </si>
  <si>
    <t>BRIEF SPIDERMAN FP JARING 66040200OMCS CDSP05:NAVY BLUE:XL:GRAPHIC:BRIEF</t>
  </si>
  <si>
    <t>UWSP07</t>
  </si>
  <si>
    <t>BRIEF MARVEL SPIDERMAN 66040200MCS UWSP07:MISTY MEDIUM GREY:S:GRAPHIC:BRIEF</t>
  </si>
  <si>
    <t>BRIEF MARVEL SPIDERMAN 66040200MCS UWSP07:MISTY MEDIUM GREY:M:GRAPHIC:BRIEF</t>
  </si>
  <si>
    <t>CDRPAVG</t>
  </si>
  <si>
    <t>BRIEF AVENGER ASSEMBLE 660402000AVG CDRPAVG:NAVY BLUE:S:GRAPHIC:BRIEF</t>
  </si>
  <si>
    <t>BRIEF AVENGER ASSEMBLE 660402000AVG CDRPAVG:NAVY BLUE:M:GRAPHIC:BRIEF</t>
  </si>
  <si>
    <t>BRIEF AVENGER ASSEMBLE 660402000AVG CDRPAVG:NAVY BLUE:L:GRAPHIC:BRIEF</t>
  </si>
  <si>
    <t>BRIEF AVENGER ASSEMBLE 660402000AVG CDRPAVG:NAVY BLUE:XL:GRAPHIC:BRIEF</t>
  </si>
  <si>
    <t>AMS31</t>
  </si>
  <si>
    <t>TOP - BOTTOM SET SSLP AVENGER MECH STRIKE 660603000AV AMS31:WHITE:8:GRAPHIC:TOP - BOT</t>
  </si>
  <si>
    <t>TOP - BOTTOM SET SSLP AVENGER MECH STRIKE 660603000AV AMS31:WHITE:12:GRAPHIC:TOP - BOT</t>
  </si>
  <si>
    <t>TOP - BOTTOM SET SSLP AVENGER MECH STRIKE 660603000AV AMS31:WHITE:14:GRAPHIC:TOP - BOT</t>
  </si>
  <si>
    <t>CDFPSW1</t>
  </si>
  <si>
    <t>BRIEF CD FP STARWARS 66040200SWS CDFPSW1:WHITE:S:PRINT:BRIEF</t>
  </si>
  <si>
    <t>BRIEF CD FP STARWARS 66040200SWS CDFPSW1:WHITE:M:PRINT:BRIEF</t>
  </si>
  <si>
    <t>BRIEF CD FP STARWARS 66040200SWS CDFPSW1:WHITE:L:PRINT:BRIEF</t>
  </si>
  <si>
    <t>BRIEF CD FP STARWARS 66040200SWS CDFPSW1:WHITE:XL:PRINT:BRIEF</t>
  </si>
  <si>
    <t>CDFPSW2</t>
  </si>
  <si>
    <t>BRIEF CD FP STARWARS 66040200SWS CDFPSW2:MISTY LIGHT GR:S:PRINT:BRIEF</t>
  </si>
  <si>
    <t>BRIEF CD FP STARWARS 66040200SWS CDFPSW2:MISTY LIGHT GR:M:PRINT:BRIEF</t>
  </si>
  <si>
    <t>BRIEF CD FP STARWARS 66040200SWS CDFPSW2:MISTY LIGHT GR:L:PRINT:BRIEF</t>
  </si>
  <si>
    <t>BRIEF CD FP STARWARS 66040200SWS CDFPSW2:MISTY LIGHT GR:XL:PRINT:BRIEF</t>
  </si>
  <si>
    <t>SWA62</t>
  </si>
  <si>
    <t>TOP - BOTTOM SET SET LSLP STARWARS STORM TROOPER 660:MISTY MEDIU:12:GRAPHIC:TOP - BOTTO</t>
  </si>
  <si>
    <t>TOP - BOTTOM SET SET LSLP STARWARS STORM TROOPER 660:MISTY MEDIU:14:GRAPHIC:TOP - BOTTO</t>
  </si>
  <si>
    <t>CDMP3FRZ</t>
  </si>
  <si>
    <t>BRIEF CD PACK OF 3 FROZEN 66020200FZA CDMP3FRZ:ASSORTIVE CO:L:GRAPHIC:MIDI BRIEFS</t>
  </si>
  <si>
    <t>BRIEF CD PACK OF 3 FROZEN 66020200FZA CDMP3FRZ:ASSORTIVE CO:XL:GRAPHIC:MIDI BRIEFS</t>
  </si>
  <si>
    <t>CDRPIRON</t>
  </si>
  <si>
    <t>CD AVENGERS 4 KARAKTER 660402000AVG CDRPIRON:CLASSIC YELLOW:S:GRAPHIC:BRIEF</t>
  </si>
  <si>
    <t>CD AVENGERS 4 KARAKTER 660402000AVG CDRPIRON:CLASSIC YELLOW:M:GRAPHIC:BRIEF</t>
  </si>
  <si>
    <t>CD AVENGERS 4 KARAKTER 660402000AVG CDRPIRON:CLASSIC YELLOW:L:GRAPHIC:BRIEF</t>
  </si>
  <si>
    <t>CD AVENGERS 4 KARAKTER 660402000AVG CDRPIRON:CLASSIC YELLOW:XL:GRAPHIC:BRIEF</t>
  </si>
  <si>
    <t>SPD2001</t>
  </si>
  <si>
    <t>68060304MCS KK SPD HEAD SPD2001:NAVY BLUE:14-16:SOLID:SOCKS</t>
  </si>
  <si>
    <t>68060304MCS KK SPD HEAD SPD2001:NAVY BLUE:18-20:SOLID:SOCKS</t>
  </si>
  <si>
    <t>SPD2003</t>
  </si>
  <si>
    <t>68060304MCS KK SPD NET SPD2003:CLASSIC RED:14-16:SOLID:SOCKS</t>
  </si>
  <si>
    <t>68060304MCS KK SPD NET SPD2003:CLASSIC RED:18-20:SOLID:SOCKS</t>
  </si>
  <si>
    <t>CAP2002</t>
  </si>
  <si>
    <t>68060304OAV KK AVG CAPT AMERICA CAP2002:MISTY DARK GRE:14-16:SOLID:SOCKS</t>
  </si>
  <si>
    <t>IRN2002</t>
  </si>
  <si>
    <t>68060304OAV KK AVG IRON MAN IRN2002:MISTY LIGHT GRE:14-16:SOLID:SOCKS</t>
  </si>
  <si>
    <t>68060304OAV KK AVG IRON MAN IRN2002:MISTY LIGHT GRE:18-20:SOLID:SOCKS</t>
  </si>
  <si>
    <t>A364SPD</t>
  </si>
  <si>
    <t>TOP - BOTTOM SET SET LSLPP SPD 4 KOTAK 6604:MISTY MEDIU:5:GRAPHIC:TOP - BOTTO</t>
  </si>
  <si>
    <t>TOP - BOTTOM SET SET LSLPP SPD 4 KOTAK 6604:MISTY MEDIU:6:GRAPHIC:TOP - BOTTO</t>
  </si>
  <si>
    <t>TOP - BOTTOM SET SET LSLPP SPD 4 KOTAK 6604:MISTY MEDIU:7:GRAPHIC:TOP - BOTTO</t>
  </si>
  <si>
    <t>TOP - BOTTOM SET SET SPD 4 KOTAK 6604:MISTY MEDIU:12:GRAPHIC:TOP - BOTTO</t>
  </si>
  <si>
    <t>TOP - BOTTOM SET SSLP AVENGER MECH STRIKE 660603000AV AMS31:WHITE:10:GRAPHIC:TOP - BOT</t>
  </si>
  <si>
    <t>SWFPMCO</t>
  </si>
  <si>
    <t>SET SSLP FP MARVEL COMICS 660603000AV SWFPMCO:MISTY MEDIUM:8:PRINT:TOP - BOTTOM</t>
  </si>
  <si>
    <t>SET SSLP FP MARVEL COMICS 660603000AV SWFPMCO:MISTY MEDIUM:10:PRINT:TOP - BOTTOM</t>
  </si>
  <si>
    <t>SET SSLP FP MARVEL COMICS 660603000AV SWFPMCO:MISTY MEDIUM:12:PRINT:TOP - BOTTOM</t>
  </si>
  <si>
    <t>UWM3SPD1</t>
  </si>
  <si>
    <t>BRIEF CD PACK OF 3 SPIDERMAN 660402000MCS UWM3SPD1:ASSORTIVE COLOR:S:GRAPHIC:MIDI BRIEFS</t>
  </si>
  <si>
    <t>BRIEF CD PACK OF 3 SPIDERMAN 660402000MCS UWM3SPD1:ASSORTIVE COLOR:L:GRAPHIC:MIDI BRIEFS</t>
  </si>
  <si>
    <t>BRIEF CD PACK OF 3 SPIDERMAN 660402000MCS UWM3SPD1:ASSORTIVE COLOR:XL:GRAPHIC:MIDI BRIEFS</t>
  </si>
  <si>
    <t>UWKDMM01</t>
  </si>
  <si>
    <t>BRIEF CD MINNIE 66040200MIN UWKDMM01:WHITE:S:PRINT:MIDI BRIEFS</t>
  </si>
  <si>
    <t>BRIEF CD MINNIE 66040200MIN UWKDMM01:WHITE:M:PRINT:MIDI BRIEFS</t>
  </si>
  <si>
    <t>BRIEF CD MINNIE 66040200MIN UWKDMM01:WHITE:L:PRINT:MIDI BRIEFS</t>
  </si>
  <si>
    <t>BRIEF CD MINNIE 66040200MIN UWKDMM01:WHITE:XL:PRINT:MIDI BRIEFS</t>
  </si>
  <si>
    <t>MIN1902</t>
  </si>
  <si>
    <t xml:space="preserve"> KK MINNIE BUNDAR 68060304MIN  MIN1902:WHITE:14-16:PRINT:SOCKS</t>
  </si>
  <si>
    <t xml:space="preserve"> KK MINNIE BUNDAR 68060304MIN  MIN1902:WHITE:18-20:PRINT:SOCKS</t>
  </si>
  <si>
    <t>SWRPFRZ</t>
  </si>
  <si>
    <t>SET LSLP FROZEN 66050300FZA SWRPFRZ:PASTEL PURPLE:12:GRAPHIC:TOP - BOTTOM SE</t>
  </si>
  <si>
    <t>SWFPFZA</t>
  </si>
  <si>
    <t>PIYAMA LSLP FROZEN 66050300FZA SWFPFZA:PASTEL BLUE:4:SOLID:TOP - BOTTOM S</t>
  </si>
  <si>
    <t>PIYAMA LSLP FROZEN 66050300FZA SWFPFZA:PASTEL BLUE:5:SOLID:TOP - BOTTOM S</t>
  </si>
  <si>
    <t>PIYAMA LSLP FROZEN 66050300FZA SWFPFZA:PASTEL BLUE:6:SOLID:TOP - BOTTOM S</t>
  </si>
  <si>
    <t>PIYAMA LSLP FROZEN 66050300FZA SWFPFZA:PASTEL BLUE:7:SOLID:TOP - BOTTOM S</t>
  </si>
  <si>
    <t>UWAV03</t>
  </si>
  <si>
    <t>BRIEF CD FP AVENGERS 660402000AV UWAV03:WHITE:S:GRAPHIC:BRIEF</t>
  </si>
  <si>
    <t>BRIEF CD FP AVENGERS 660402000AV UWAV03:WHITE:M:GRAPHIC:BRIEF</t>
  </si>
  <si>
    <t>BRIEF CD FP AVENGERS 660402000AV UWAV03:WHITE:L:GRAPHIC:BRIEF</t>
  </si>
  <si>
    <t>BRIEF CD FP AVENGERS 660402000AV UWAV03:WHITE:XL:GRAPHIC:BRIEF</t>
  </si>
  <si>
    <t>UWSPM02</t>
  </si>
  <si>
    <t>BRIEF FP SPIDERMAN 660402000MCS UWSPM02:WHITE:S:GRAPHIC:BRIEF</t>
  </si>
  <si>
    <t>BRIEF FP SPIDERMAN 660402000MCS UWSPM02:WHITE:M:GRAPHIC:BRIEF</t>
  </si>
  <si>
    <t>BRIEF FP SPIDERMAN 660402000MCS UWSPM02:WHITE:L:GRAPHIC:BRIEF</t>
  </si>
  <si>
    <t>UWRISPM</t>
  </si>
  <si>
    <t>CD SPIDERMAN 66040200MCS UWRISPM:CLASSIC RED:L:SOLID:MIDI BRIEFS</t>
  </si>
  <si>
    <t>CD SPIDERMAN 66040200MCS UWRISPM:CLASSIC RED:XL:SOLID:MIDI BRIEFS</t>
  </si>
  <si>
    <t>SWA199</t>
  </si>
  <si>
    <t>SET SSLP IRON MAN THE ARMORED AVG 660403000AV SWA199:PASTEL YELL:8:SOLID:TOP - BOTTO</t>
  </si>
  <si>
    <t>SET SSLP IRON MAN THE ARMORED AVG 660403000AV SWA199:PASTEL YELL:10:SOLID:TOP - BOTTO</t>
  </si>
  <si>
    <t>SET SSLP IRON MAN THE ARMORED AVG 660403000AV SWA199:PASTEL YELL:12:SOLID:TOP - BOTTO</t>
  </si>
  <si>
    <t>SET SSLP IRON MAN THE ARMORED AVG 660403000AV SWA199:PASTEL YELL:14:SOLID:TOP - BOTTO</t>
  </si>
  <si>
    <t>SWA195</t>
  </si>
  <si>
    <t>SET SSLP CAPT AMERICA SUPER SOLDIER 6606030000VA SWA195:PASTEL BLU:4:SOLID:TOP - BOTT</t>
  </si>
  <si>
    <t>SWA198</t>
  </si>
  <si>
    <t>SET SSLP AVENGERS ASSEMBLE 6606030000VA SWA198:MISTY LIGHT:10:SOLID:TOP - BOTTOM</t>
  </si>
  <si>
    <t>SET SSLP AVENGERS ASSEMBLE 6606030000VA SWA198:MISTY LIGHT:12:SOLID:TOP - BOTTOM</t>
  </si>
  <si>
    <t>SET SSLP AVENGERS ASSEMBLE 6606030000VA SWA198:MISTY LIGHT:14:SOLID:TOP - BOTTOM</t>
  </si>
  <si>
    <t>UWRPSWS</t>
  </si>
  <si>
    <t>BRIEF CD STARWARS 660402000SWS UWRPSWS:MISTY DARK GRE:S:GRAPHIC:BRIEF</t>
  </si>
  <si>
    <t>BRIEF CD STARWARS 660402000SWS UWRPSWS:MISTY DARK GRE:L:GRAPHIC:BRIEF</t>
  </si>
  <si>
    <t>BRIEF CD STARWARS 660402000SWS UWRPSWS:MISTY DARK GRE:XL:GRAPHIC:BRIEF</t>
  </si>
  <si>
    <t>M3MCD4</t>
  </si>
  <si>
    <t>CD PACK OF 3 SPIDERMAN KIB2 66040200MCS M3MCD4:NAVY BLUE:M:SOLID:MIDI BRIEFS</t>
  </si>
  <si>
    <t>CD PACK OF 3 SPIDERMAN KIB2 66040200MCS M3MCD4:NAVY BLUE:XL:SOLID:MIDI BRIEFS</t>
  </si>
  <si>
    <t>CD PACK OF 3 SPIDERMAN KIB2 66040200MCS M3MCD4:NAVY BLUE:S:SOLID:MIDI BRIEFS</t>
  </si>
  <si>
    <t>CD PACK OF 3 SPIDERMAN KIB2 66040200MCS M3MCD4:NAVY BLUE:L:SOLID:MIDI BRIEFS</t>
  </si>
  <si>
    <t>UWPRT02</t>
  </si>
  <si>
    <t>BRIEF CD PRINCESS 66040200PRN UWPRT02:FUSCHIA:S:GRAPHIC:BRIEF</t>
  </si>
  <si>
    <t>BRIEF CD PRINCESS 66040200PRN UWPRT02:FUSCHIA:M:GRAPHIC:BRIEF</t>
  </si>
  <si>
    <t>BRIEF CD PRINCESS 66040200PRN UWPRT02:FUSCHIA:L:GRAPHIC:BRIEF</t>
  </si>
  <si>
    <t>BRIEF CD PRINCESS 66040200PRN:FUSCHIA UWPRT02:XL:GRAPHIC:BRIEF</t>
  </si>
  <si>
    <t>UDSP9</t>
  </si>
  <si>
    <t>CD SPIDERMAN THWIP 66020200MCS UDSP9:BLACK:S:SOLID:BRIEF</t>
  </si>
  <si>
    <t>CD SPIDERMAN THWIP 66020200MCS UDSP9:BLACK:M:SOLID:BRIEF</t>
  </si>
  <si>
    <t>CD SPIDERMAN THWIP 66020200MCS UDSP9:BLACK:L:SOLID:BRIEF</t>
  </si>
  <si>
    <t>CD SPIDERMAN THWIP 66020200MCS UDSP9:BLACK:XL:SOLID:BRIEF</t>
  </si>
  <si>
    <t>SW3MVL</t>
  </si>
  <si>
    <t>SET SSLP 3 MARVEL 6606030000VA SW3MVL:CLASSIC RED:5:SOLID:TOP - BOTTOM S</t>
  </si>
  <si>
    <t>SET SSLP 3 MARVEL 6606030000VA SW3MVL:CLASSIC RED:6:SOLID:TOP - BOTTOM S</t>
  </si>
  <si>
    <t>SWTHSPD</t>
  </si>
  <si>
    <t>SET SSLP SPIDERMAN THWIP 66040300MCS SWTHSPD:NAVY BLUE:8:GRAPHIC:TOP - BOTTOM</t>
  </si>
  <si>
    <t>SET SSLP SPIDERMAN THWIP 66040300MCS SWTHSPD:NAVY BLUE:10:GRAPHIC:TOP - BOTTOM</t>
  </si>
  <si>
    <t>M3UWPE</t>
  </si>
  <si>
    <t>BRIEF CD PACK OF 3 PRINCESS 66020200PRN M3UWPE:ASSORTIVE COLOR:L:PRINT:BRIEF</t>
  </si>
  <si>
    <t>BRIEF CD PACK OF 3 PRINCESS 66020200PRN M3UWPE:ASSORTIVE COLOR:XL:PRINT:BRIEF</t>
  </si>
  <si>
    <t>MIC2001B</t>
  </si>
  <si>
    <t>SOCKS KK FP MICKEY LETTER 68060304MIC MIC2001B:BLACK:14-16:PRINT:SOCKS</t>
  </si>
  <si>
    <t>SOCKS KK FP MICKEY LETTER 68060304MIC MIC2001B:BLACK:18-20:PRINT:SOCKS</t>
  </si>
  <si>
    <t>MIC2001W</t>
  </si>
  <si>
    <t>SOCKS KK FP MICKEY LETTER 68060304MIC  MIC2001W:WHITE:14-16:PRINT:SOCKS</t>
  </si>
  <si>
    <t>SOCKS KK FP MICKEY LETTER 68060304MIC  MIC2001W:WHITE:18-20:PRINT:SOCKS</t>
  </si>
  <si>
    <t>MIC2001R</t>
  </si>
  <si>
    <t>SOCKS KK FP MICKEY LETTER 68060304MIC MIC2001R:CLASSIC RED:14-16:PRINT:SOCKS</t>
  </si>
  <si>
    <t>SOCKS KK FP MICKEY LETTER 68060304MIC MIC2001R:CLASSIC RED:18-20:PRINT:SOCKS</t>
  </si>
  <si>
    <t>SWAMPRN</t>
  </si>
  <si>
    <t>TOP - BOTTOM SET SSLP DISNEY PRINCESS 66050300PRN SWAMPRN:PASTEL PINK:8:PRINT:TOP - BOTTOM SET</t>
  </si>
  <si>
    <t>TOP - BOTTOM SET SSLP DISNEY PRINCESS 66050300PRN SWAMPRN:PASTEL PINK:12:PRINT:TOP - BOTTOM SET</t>
  </si>
  <si>
    <t>TOP - BOTTOM SET SSLP DISNEY PRINCESS 66050300PRN SWAMPRN:PASTEL PINK:14:PRINT:TOP - BOTTOM SET</t>
  </si>
  <si>
    <t>UWRPFPM1</t>
  </si>
  <si>
    <t>BRIEF FP MARVEL 66040200 UWRPFPM1:MISTY MEDIUM GR:S:GRAPHIC:BRIEF</t>
  </si>
  <si>
    <t>BRIEF FP MARVEL 66040200 UWRPFPM1:MISTY MEDIUM GR:M:GRAPHIC:BRIEF</t>
  </si>
  <si>
    <t>BRIEF FP MARVEL 66040200 UWRPFPM1:MISTY MEDIUM GR:L:GRAPHIC:BRIEF</t>
  </si>
  <si>
    <t>BRIEF FP MARVEL 66040200 UWRPFPM1:MISTY MEDIUM GR:XL:GRAPHIC:BRIEF</t>
  </si>
  <si>
    <t>MP3RPMVL</t>
  </si>
  <si>
    <t>CD PACK OF 3 MARVEL 66020200OAV MP3RPMVL:ASSORTIVE COLO:S:PRINT:BRIEF</t>
  </si>
  <si>
    <t>CD PACK OF 3 MARVEL 66020200OAV MP3RPMVL:ASSORTIVE COLO:M:PRINT:BRIEF</t>
  </si>
  <si>
    <t>CD PACK OF 3 MARVEL 66020200OAV MP3RPMVL:ASSORTIVE COLO:L:PRINT:BRIEF</t>
  </si>
  <si>
    <t>CD PACK OF 3 MARVEL 66020200OAV MP3RPMVL:ASSORTIVE COLO:XL:PRINT:BRIEF</t>
  </si>
  <si>
    <t>SPD2005</t>
  </si>
  <si>
    <t>SOCKS KK SPIDERMAN FP LABA 68060304MCS SPD2005:BLACK:14-16:GRAPHIC:SOCKS</t>
  </si>
  <si>
    <t>SOCKS KK SPIDERMAN FP LABA 68060304MCS SPD2005:BLACK:18-20:GRAPHIC:SOCKS</t>
  </si>
  <si>
    <t>SPD2006</t>
  </si>
  <si>
    <t>SOCK KK SPIDERMAN JARING 68060304MCS SPD2006:BLACK:14-16:GRAPHIC:SOCKS</t>
  </si>
  <si>
    <t>SOCK KK SPIDERMAN JARING 68060304MCS SPD2006:BLACK:18-20:GRAPHIC:SOCKS</t>
  </si>
  <si>
    <t>HULK201</t>
  </si>
  <si>
    <t>SOCK KK AVG HULK 68060304OAV HULK201:MISTY LIGHT GRE:14-16:GRAPHIC:SOCKS</t>
  </si>
  <si>
    <t>SOCK KK AVG HULK 68060304OAV HULK201:MISTY LIGHT GRE:18-20:GRAPHIC:SOCKS</t>
  </si>
  <si>
    <t>M3SPD2</t>
  </si>
  <si>
    <t>CD MULTIPACK SPIDERMAN 66040200MCS M3SPD2:ASSORTIVE COL:M:PRINT:BRIEF</t>
  </si>
  <si>
    <t>CD MULTIPACK SPIDERMAN 66040200MCS M3SPD2:ASSORTIVE COL:XL:PRINT:BRIEF</t>
  </si>
  <si>
    <t>CD MULTIPACK SPIDERMAN 66040200MCS M3SPD2:ASSORTIVE COL:L:PRINT:BRIEF</t>
  </si>
  <si>
    <t>UWRPFPM2</t>
  </si>
  <si>
    <t>BRIEF UNDERWEAR FP MARVEL UWRPFPM2:WHITE:M:PRINT:BRIEF</t>
  </si>
  <si>
    <t>BRIEF UNDERWEAR FP MARVEL UWRPFPM2:WHITE:L:PRINT:BRIEF</t>
  </si>
  <si>
    <t>SPD2010</t>
  </si>
  <si>
    <t>SOCK KK SPIDERMAN 68060304MCS SPD2010:CLASSIC RED:14-16:GRAPHIC:SOCKS</t>
  </si>
  <si>
    <t>SOCK KK SPIDERMAN 68060304MCS SPD2010:CLASSIC RED:18-20:GRAPHIC:SOCKS</t>
  </si>
  <si>
    <t>SPD2012</t>
  </si>
  <si>
    <t>SOCK KK SPIDERMAN 68060304MCS SPD2012:CLASSIC BLUE:14-16:GRAPHIC:SOCKS</t>
  </si>
  <si>
    <t>SOCK KK SPIDERMAN 68060304MCS SPD2012:CLASSIC BLUE:18-20:GRAPHIC:SOCKS</t>
  </si>
  <si>
    <t>M3UNMN</t>
  </si>
  <si>
    <t>BRIEF CD PACK OF 3 MINNIE 66020200MIN M3UNMN:ASSORTIVE COL:S:GRAPHIC:BRIEF</t>
  </si>
  <si>
    <t>BRIEF CD PACK OF 3 MINNIE 66020200MIN M3UNMN:ASSORTIVE COL:M:GRAPHIC:BRIEF</t>
  </si>
  <si>
    <t>BRIEF CD PACK OF 3 MINNIE 66020200MIN M3UNMN:ASSORTIVE COL:L:GRAPHIC:BRIEF</t>
  </si>
  <si>
    <t>BRIEF CD PACK OF 3 MINNIE 66020200MIN M3UNMN:ASSORTIVE COL:XL:GRAPHIC:BRIEF</t>
  </si>
  <si>
    <t>MP3BMCOM</t>
  </si>
  <si>
    <t>BRIEF UW PACK OF 3 MARVEL COMICS 66020200 MP3BMCOM:ASSORTIVE C:M:GRAPHIC:BRIEF</t>
  </si>
  <si>
    <t>BRIEF UW PACK OF 3 MARVEL COMICS 66020200 MP3BMCOM:ASSORTIVE C:L:GRAPHIC:BRIEF</t>
  </si>
  <si>
    <t>BRIEF UW PACK OF 3 MARVEL COMICS 66020200 MP3BMCOM:ASSORTIVE C:XL:GRAPHIC:BRIEF</t>
  </si>
  <si>
    <t>SWMINFYD</t>
  </si>
  <si>
    <t>TOP - BOTTOM SET SSLP MINNIE FOLLOW YOUR DREAM 66050:PASTEL PINK:8:PRINT:TOP - BOTTO</t>
  </si>
  <si>
    <t>TOP - BOTTOM SET SSLP MINNIE FOLLOW YOUR DREAM 66050:PASTEL PINK:10:PRINT:TOP - BOTTO</t>
  </si>
  <si>
    <t>TOP - BOTTOM SET SSLP MINNIE FOLLOW YOUR DREAM 66050:PASTEL PINK:14:PRINT:TOP - BOTTO</t>
  </si>
  <si>
    <t>SWAMFZA</t>
  </si>
  <si>
    <t>TOP - BOTTOM SET  SET SSLP FROZEN 66050300FZA SWAMFZA:PASTEL BLU:8:GRAPHIC:TOP - BOTT</t>
  </si>
  <si>
    <t>TOP - BOTTOM SET  SET SSLP FROZEN 66050300FZA SWAMFZA:PASTEL BLU:10:GRAPHIC:TOP - BOTT</t>
  </si>
  <si>
    <t>TOP - BOTTOM SET  SET SSLP FROZEN 66050300FZA SWAMFZA:PASTEL BLU:12:GRAPHIC:TOP - BOTT</t>
  </si>
  <si>
    <t>TOP - BOTTOM SET  SET SSLP FROZEN 66050300FZA SWAMFZA:PASTEL BLU:14:GRAPHIC:TOP - BOTT</t>
  </si>
  <si>
    <t>MVCOM01</t>
  </si>
  <si>
    <t>KKB LOGO MARVEL COMICS 68060304  MVCOM01:PASTEL BLUE:14-16:GRAPHIC:SOCKS</t>
  </si>
  <si>
    <t>KKB LOGO MARVEL COMICS 68060304  MVCOM01:PASTEL BLUE:18-20:GRAPHIC:SOCKS</t>
  </si>
  <si>
    <t>MVCOM02</t>
  </si>
  <si>
    <t>KKB LOGO MARVEL COMICS 68060304  MVCOM02:PASTEL GREY:14-16:GRAPHIC:SOCKS</t>
  </si>
  <si>
    <t>KKB LOGO MARVEL COMICS 68060304  MVCOM02:PASTEL GREY:18-20:GRAPHIC:SOCKS</t>
  </si>
  <si>
    <t>SWLTMVL</t>
  </si>
  <si>
    <t>TOP-BOTTOM SET LSLP LITTLE MARVEL 6606030000VA SWLTMVL:WHITE:4:PRINT:TOP - BOTT</t>
  </si>
  <si>
    <t>TOP-BOTTOM SET LSLP LITTLE MARVEL 6606030000VA SWLTMVL:WHITE:5:PRINT:TOP - BOTT</t>
  </si>
  <si>
    <t>TOP-BOTTOM SET LSLP LITTLE MARVEL 6606030000VA SWLTMVL:WHITE:7:PRINT:TOP - BOTT</t>
  </si>
  <si>
    <t>SWCSTIRN</t>
  </si>
  <si>
    <t>TOP-BOTTOM SET SSLP COSTUME IRON MAN 66040300 SWCSTIRN:CLASSIC RE:4:PRINT:TOP - BOTT</t>
  </si>
  <si>
    <t>TOP-BOTTOM SET SSLP COSTUME IRON MAN 66040300 SWCSTIRN:CLASSIC RE:5:PRINT:TOP - BOTT</t>
  </si>
  <si>
    <t>TOP-BOTTOM SET SSLP COSTUME IRON MAN 66040300 SWCSTIRN:CLASSIC RE:6:PRINT:TOP - BOTT</t>
  </si>
  <si>
    <t>TOP-BOTTOM SET SSLP COSTUME IRON MAN 66040300 SWCSTIRN:CLASSIC RE:7:PRINT:TOP - BOTT</t>
  </si>
  <si>
    <t>SPDN637</t>
  </si>
  <si>
    <t>TOP - BOTTOM SET LSLP SPIDERMAN TO THE RESQUE 660403:CLASSIC RED:4:GRAPHIC:TOP - BOTTO</t>
  </si>
  <si>
    <t>TOP - BOTTOM SET LSLP SPIDERMAN TO THE RESQUE 660403:CLASSIC RED:5:GRAPHIC:TOP - BOTTO</t>
  </si>
  <si>
    <t>TOP - BOTTOM SET LSLP SPIDERMAN TO THE RESQUE 660403:CLASSIC RED:6:GRAPHIC:TOP - BOTTO</t>
  </si>
  <si>
    <t>MP3RPPRN</t>
  </si>
  <si>
    <t>BRIEF CD PACK OF 3 PRINCESS 66020200PRN MP3RPPRN:ASSORTIVE COLOR:S:PRINT:BRIEF</t>
  </si>
  <si>
    <t>BRIEF CD PACK OF 3 PRINCESS 66020200PRN MP3RPPRN:ASSORTIVE COLOR:M:PRINT:BRIEF</t>
  </si>
  <si>
    <t>BRIEF CD PACK OF 3 PRINCESS 66020200PRN MP3RPPRN:ASSORTIVE COLOR:XL:PRINT:BRIEF</t>
  </si>
  <si>
    <t>BRIEF CD PACK OF 3 PRINCESS 66020200PRN MP3RPPRN:ASSORTIVE COLOR:L:PRINT:BRIEF</t>
  </si>
  <si>
    <t>MP3BSPD2</t>
  </si>
  <si>
    <t>UW PACK OF 3 SPIDERMAN MP3BSPD2:ASSORTIVE COLOR:M:GRAPHIC:TRUNK</t>
  </si>
  <si>
    <t>UW PACK OF 3 SPIDERMAN MP3BSPD2:ASSORTIVE COLOR:L:GRAPHIC:TRUNK</t>
  </si>
  <si>
    <t>UW PACK OF 3 SPIDERMAN MP3BSPD2:ASSORTIVE COLOR:XL:GRAPHIC:TRUNK</t>
  </si>
  <si>
    <t>MVCOM03</t>
  </si>
  <si>
    <t>KKB LOGO MARVEL COMICS 68060304  MVCOM03:PASTEL GREY:14-16:GRAPHIC:SOCKS</t>
  </si>
  <si>
    <t>KKB LOGO MARVEL COMICS 68060304  MVCOM03:PASTEL GREY:18-20:GRAPHIC:SOCKS</t>
  </si>
  <si>
    <t>IRN01</t>
  </si>
  <si>
    <t>KKB IRON MAN 68060304 IRN01:PASTEL BLUE:14-16:GRAPHIC:SOCKS</t>
  </si>
  <si>
    <t>SWAVGASS</t>
  </si>
  <si>
    <t>SET LSLP AVENGERS ASSEMBLE LP FP 660603000VA SWAVGASS:PASTEL GREY:4:GRAPHIC:TOP - BOTTOM SET</t>
  </si>
  <si>
    <t>SET LSLP AVENGERS ASSEMBLE LP FP 660603000VA SWAVGASS:PASTEL GREY:5:GRAPHIC:TOP - BOTTOM SET</t>
  </si>
  <si>
    <t>SET LSLP AVENGERS ASSEMBLE LP FP 660603000VA SWAVGASS:PASTEL GREY:6:GRAPHIC:TOP - BOTTOM SET</t>
  </si>
  <si>
    <t>SET LSLP AVENGERS ASSEMBLE LP FP 660603000VA SWAVGASS:PASTEL GRE:7:GRAPHIC:TOP - BOTT</t>
  </si>
  <si>
    <t>SWELSALV</t>
  </si>
  <si>
    <t>SET LSLP FROZEN LOVE ELSA 66050300FZA SWELSALV:PASTEL ORANGE:4:GRAPHIC:TOP - BOTTOM SET</t>
  </si>
  <si>
    <t>SET LSLP FROZEN LOVE ELSA 66050300FZA SWELSALV:PASTEL ORANGE:5:GRAPHIC:TOP - BOTTOM SET</t>
  </si>
  <si>
    <t>SET LSLP FROZEN LOVE ELSA 66050300FZA SWELSALV:PASTEL ORANGE:6:GRAPHIC:TOP - BOTTOM SET</t>
  </si>
  <si>
    <t>SET LSLP FROZEN LOVE ELSA 66050300FZA SWELSALV:PASTEL ORANG:7:GRAPHIC:TOP - BOTTOM</t>
  </si>
  <si>
    <t>CAPT02</t>
  </si>
  <si>
    <t>KKB CAPTAIN AMERICA 68060304 CAPT02:PASTEL BLUE:14-16:GRAPHIC:SOCKS</t>
  </si>
  <si>
    <t>KKB CAPTAIN AMERICA 68060304 CAPT02:PASTEL BLUE:18-20:GRAPHIC:SOCKS</t>
  </si>
  <si>
    <t>CAPT03</t>
  </si>
  <si>
    <t>KKB FP LOGO CAPTAIN AMERICA 68060304 CAPT03:WHITE:14-16:GRAPHIC:SOCKS</t>
  </si>
  <si>
    <t>KKB FP LOGO CAPTAIN AMERICA 68060304 CAPT03:WHITE:18-20:GRAPHIC:SOCKS</t>
  </si>
  <si>
    <t>M3UNFZ03</t>
  </si>
  <si>
    <t>CD PACK OF 3 FROZEN 66020200FZA M3UNFZ03:ASSORTIVE COLOR:S:GRAPHIC:TRUNK</t>
  </si>
  <si>
    <t>CD PACK OF 3 FROZEN 66020200FZA M3UNFZ03:ASSORTIVE COLOR:M:GRAPHIC:TRUNK</t>
  </si>
  <si>
    <t>CD PACK OF 3 FROZEN 66020200FZA M3UNFZ03:ASSORTIVE COLOR:XL:GRAPHIC:TRUNK</t>
  </si>
  <si>
    <t>CD PACK OF 3 FROZEN 66020200FZA M3UNFZ03:ASSORTIVE COLOR:L:GRAPHIC:TRUNK</t>
  </si>
  <si>
    <t>M3UDAV9</t>
  </si>
  <si>
    <t>CD PACK OF 3 AVENGERS 660202000AV M3UDAV9:ASSORTIVE COLOR:M:GRAPHIC:TRUNK</t>
  </si>
  <si>
    <t>CD PACK OF 3 AVENGERS 660202000AV M3UDAV9:ASSORTIVE COLOR:L:GRAPHIC:TRUNK</t>
  </si>
  <si>
    <t>CD PACK OF 3 AVENGERS 660202000AV M3UDAV9:ASSORTIVE COLOR:XL:GRAPHIC:TRUNK</t>
  </si>
  <si>
    <t>MINN04</t>
  </si>
  <si>
    <t>SOCK KKG MINNIE HEY HEY 68060304MIN MINN04:DUSTY PINK:14-16:GRAPHIC:SOCKS</t>
  </si>
  <si>
    <t>SOCK KKG MINNIE HEY HEY 68060304MIN MINN04:DUSTY PINK:18-20:GRAPHIC:SOCKS</t>
  </si>
  <si>
    <t>CAPT01</t>
  </si>
  <si>
    <t>KKB CAPTAIN AMERICA 68060304 CAPT01:PASTEL GREY:14-16:GRAPHIC:SOCKS</t>
  </si>
  <si>
    <t>KKB CAPTAIN AMERICA 68060304 CAPT01:PASTEL GREY:18-20:GRAPHIC:SOCKS</t>
  </si>
  <si>
    <t>CDMICSTAR</t>
  </si>
  <si>
    <t>66030200MCS BRIEF MICKY STAR CDMICSTAR:WHITE:S:GRAPHIC:BRIEF</t>
  </si>
  <si>
    <t>66030200MCS BRIEF MICKY STAR CDMICSTAR:WHITE:M:GRAPHIC:BRIEF</t>
  </si>
  <si>
    <t>66030200MCS BRIEF MICKY STAR CDMICSTAR:WHITE:L:GRAPHIC:BRIEF</t>
  </si>
  <si>
    <t>GGDN01</t>
  </si>
  <si>
    <t>66030200STD CD FP DONALD GGDN01:WHITE:M</t>
  </si>
  <si>
    <t>GGMIC03</t>
  </si>
  <si>
    <t>66040200MIC CD FP MICKEY &amp; FRIENDS:PASTEL BLUE:XL</t>
  </si>
  <si>
    <t>GGMIC02</t>
  </si>
  <si>
    <t>66040200MIC CD FP MICKEY LETTER:MUSTARD:M</t>
  </si>
  <si>
    <t>66040200MIC CD FP MICKEY LETTER:MUSTARD:XL</t>
  </si>
  <si>
    <t>GGCAR01</t>
  </si>
  <si>
    <t>66040200CAR CD STRIPE CARS TRUE CHAMPION:WHITE:S</t>
  </si>
  <si>
    <t>66040200CAR CD STRIPE CARS TRUE CHAMPION:WHITE:L</t>
  </si>
  <si>
    <t>66040200CAR CD STRIPE CARS TRUE CHAMPION:WHITE:XL</t>
  </si>
  <si>
    <t>CDFPMIC</t>
  </si>
  <si>
    <t>BRIEF FULLPRINT MICKEY CDFPMIC:WHITE:S:PRINT:BRIEF</t>
  </si>
  <si>
    <t>BRIEF FULLPRINT MICKEY CDFPMIC:WHITE:M:PRINT:BRIEF</t>
  </si>
  <si>
    <t>BRIEF FULLPRINT MICKEY CDFPMIC:WHITE:L:PRINT:BRIEF</t>
  </si>
  <si>
    <t>DIRPG040W</t>
  </si>
  <si>
    <t>66030200MIN CD FP PITA MINNIE MOUSE:WHITE:S</t>
  </si>
  <si>
    <t>66030200MIN CD FP PITA MINNIE MOUSE:WHITE:XL</t>
  </si>
  <si>
    <t>DIRPG040Y</t>
  </si>
  <si>
    <t>66030200MIN CD FP PITA MINNIE MOUSE:CLASSIC YELLOW:S</t>
  </si>
  <si>
    <t>DIRPG040P</t>
  </si>
  <si>
    <t>66030200MIN CD FP PITA MINNIE MOUSE:PASTEL PINK:L</t>
  </si>
  <si>
    <t>66030200MIN CD FP PITA MINNIE MOUSE:PASTEL PINK:XL</t>
  </si>
  <si>
    <t>DIRPG044Y</t>
  </si>
  <si>
    <t>66030200MIN CD MINNIE SILUET:PASTEL YELLOW:S</t>
  </si>
  <si>
    <t>DIRPG041</t>
  </si>
  <si>
    <t>66040200MIN CD FP RAINBOW MINNIE HEAD:CLASSIC PURPLE:S</t>
  </si>
  <si>
    <t>66040200MIN CD FP RAINBOW MINNIE HEAD:PASTEL PINK:S</t>
  </si>
  <si>
    <t>DIRPG043</t>
  </si>
  <si>
    <t>66040200MIN CD MINNIE MOUSE STAR:WHITE:S</t>
  </si>
  <si>
    <t>DIRPG039B</t>
  </si>
  <si>
    <t>66040200 CD FP MINNIE STAR:PASTEL BLUE:S</t>
  </si>
  <si>
    <t>66040200 CD FP MINNIE STAR:PASTEL BLUE:M</t>
  </si>
  <si>
    <t>66040200 CD FP MINNIE STAR:PASTEL BLUE:L</t>
  </si>
  <si>
    <t>CDR2MAR</t>
  </si>
  <si>
    <t>BRIEF MARIE BELAKANG CDR2MAR:WHITE:S:GRAPHIC:BRIEF</t>
  </si>
  <si>
    <t>BRIEF MARIE BELAKANG CDR2MAR:WHITE:M:GRAPHIC:BRIEF</t>
  </si>
  <si>
    <t>BRIEF MARIE BELAKANG CDR2MAR:WHITE:XL:GRAPHIC:BRIEF</t>
  </si>
  <si>
    <t>BRIEF MARIE BELAKANG CDR2MAR:WHITE:2XL:GRAPHIC:BRIEF</t>
  </si>
  <si>
    <t>CDR3MAR</t>
  </si>
  <si>
    <t>BRIEF FULLPRINT MARIE CDR3MAR:PASTEL PINK:S:PRINT:BRIEF</t>
  </si>
  <si>
    <t>BRIEF FULLPRINT MARIE CDR3MAR:PASTEL PINK:XL:PRINT:BRIEF</t>
  </si>
  <si>
    <t>BRIEF FULLPRINT MARIE CDR3MAR:PASTEL PINK:2XL:PRINT:BRIEF</t>
  </si>
  <si>
    <t>CDDAISY</t>
  </si>
  <si>
    <t>BRIEF D DAISY 660202002TD CDDAISY:FUSCHIA:M:GRAPHIC:BRIEF</t>
  </si>
  <si>
    <t>BRIEF D DAISY 660202002TD CDDAISY:FUSCHIA:L:GRAPHIC:BRIEF</t>
  </si>
  <si>
    <t>CDAMMIN1</t>
  </si>
  <si>
    <t>BRIEF FULLPRINT MINNIE 66020200MIN CDAMMIN1:PASTEL PINK:S:PRINT:BRIEF</t>
  </si>
  <si>
    <t>BRIEF FULLPRINT MINNIE 66020200MIN CDAMMIN1:PASTEL PINK:M:PRINT:BRIEF</t>
  </si>
  <si>
    <t>BRIEF FULLPRINT MINNIE 66020200MIN CDAMMIN1:PASTEL PINK:L:PRINT:BRIEF</t>
  </si>
  <si>
    <t>CDAMMIN2</t>
  </si>
  <si>
    <t>BRIEF M MINNIE 66020200MIN CDAMMIN2:PASTEL PINK:S:PRINT:BRIEF</t>
  </si>
  <si>
    <t>BRIEF M MINNIE 66020200MIN CDAMMIN2:PASTEL PINK:M:PRINT:BRIEF</t>
  </si>
  <si>
    <t>BRIEF M MINNIE 66020200MIN CDAMMIN2:PASTEL PINK:L:PRINT:BRIEF</t>
  </si>
  <si>
    <t>BRIEF M MINNIE 66020200MIN CDAMMIN2:PASTEL PINK:XL:PRINT:BRIEF</t>
  </si>
  <si>
    <t>GGDN02</t>
  </si>
  <si>
    <t>66030200STD CD FP DAISY GGDN02:PASTEL PINK:S</t>
  </si>
  <si>
    <t>66030200STD CD FP DAISY GGDN02:PASTEL PINK:M</t>
  </si>
  <si>
    <t>CDFPCIN</t>
  </si>
  <si>
    <t>BRIEF FULLPRINT CHARACTER SPEAK CINDERELLA CDFPCIN:WHITE:S:PRINT:BRIEF</t>
  </si>
  <si>
    <t>BRIEF FULLPRINT CHARACTER SPEAK CINDERELLA CDFPCIN:WHITE:M:PRINT:BRIEF</t>
  </si>
  <si>
    <t>BRIEF FULLPRINT CHARACTER SPEAK CINDERELLA CDFPCIN:WHITE:L:PRINT:BRIEF</t>
  </si>
  <si>
    <t>BRIEF FULLPRINT CHARACTER SPEAK CINDERELLA CDFPCIN:WHITE:XL:PRINT:BRIEF</t>
  </si>
  <si>
    <t>CDCSPCIN</t>
  </si>
  <si>
    <t>BRIEF CHARACTER SPEAK CINDERELLA CDCSPCIN:LIGHT BLUE:S:GRAPHIC:BRIEF</t>
  </si>
  <si>
    <t>BRIEF CHARACTER SPEAK CINDERELLA CDCSPCIN:LIGHT BLUE:M:GRAPHIC:BRIEF</t>
  </si>
  <si>
    <t>BRIEF CHARACTER SPEAK CINDERELLA CDCSPCIN:LIGHT BLUE:L:GRAPHIC:BRIEF</t>
  </si>
  <si>
    <t>CDUNIMIN2</t>
  </si>
  <si>
    <t>CD MUKA MINNIE 66020200MIN  CDUNIMIN2:PASTEL PINK:S:PRINT:BRIEF</t>
  </si>
  <si>
    <t>CD MUKA MINNIE 66020200MIN  CDUNIMIN2:PASTEL PINK:M:PRINT:BRIEF</t>
  </si>
  <si>
    <t>CD MUKA MINNIE 66020200MIN CDUNIMIN2:PASTEL PINK:XL:PRINT:BRIEF</t>
  </si>
  <si>
    <t>BTS1904B</t>
  </si>
  <si>
    <t>68060304MIC KK BTS MICKEY:BLACK:14-16</t>
  </si>
  <si>
    <t>68060304MIC KK BTS MICKEY:BLACK:18-20</t>
  </si>
  <si>
    <t>BTS1904G</t>
  </si>
  <si>
    <t>68060304MIC KK BTS MICKEY:FROST GREY:14-16</t>
  </si>
  <si>
    <t>68060304MIC KK BTS MICKEY:FROST GREY:18-20</t>
  </si>
  <si>
    <t>UNI1904</t>
  </si>
  <si>
    <t>68060304MIN KK MINNIE UNICORN 04:WHITE:14-16</t>
  </si>
  <si>
    <t>68060304MIN KK MINNIE UNICORN 04:WHITE:18-20</t>
  </si>
  <si>
    <t>68060304MIN KK MINNIE UNICORN 04:PASTEL YELLOW:14-16</t>
  </si>
  <si>
    <t>68060304MIN KK MINNIE UNICORN 04:PASTEL YELLOW:18-20</t>
  </si>
  <si>
    <t>68060304MIN KK MINNIE UNICORN 04:AQUA:14-16</t>
  </si>
  <si>
    <t>68060304MIN KK MINNIE UNICORN 04:AQUA:18-20</t>
  </si>
  <si>
    <t>68060304MIN KK MINNIE UNICORN 04:PASTEL PURPLE:14-16</t>
  </si>
  <si>
    <t>UNI1901W</t>
  </si>
  <si>
    <t>68060304MIN KK MINNIE UNICORN 01:WHITE:14-16</t>
  </si>
  <si>
    <t>68060304MIN KK MINNIE UNICORN 01:WHITE:18-20</t>
  </si>
  <si>
    <t>UNI1901PR</t>
  </si>
  <si>
    <t>68060304MIN KK MINNIE UNICORN 01:CLASSIC PURPLE:14-16</t>
  </si>
  <si>
    <t>MIN1905</t>
  </si>
  <si>
    <t>68060304MIN KK HIDDEN FP KEPALA MINNIE:WHITE:F</t>
  </si>
  <si>
    <t>68060304MIN KK HIDDEN FP KEPALA MINNIE:PASTEL PINK:F</t>
  </si>
  <si>
    <t>68060304MIN KK HIDDEN FP KEPALA MINNIE:MISTY MEDIUM GR:F</t>
  </si>
  <si>
    <t>MIN1910</t>
  </si>
  <si>
    <t>KK MINNIE CUTE DREAMS:PASTEL PINK:14-16</t>
  </si>
  <si>
    <t>MIN1909</t>
  </si>
  <si>
    <t>KK MINNIE SILUET FP SPRINKLE:WHITE:14-16</t>
  </si>
  <si>
    <t>MIN1911</t>
  </si>
  <si>
    <t>KK MINNIE SILUET FP STAR:AQUA:14-16</t>
  </si>
  <si>
    <t>MIN1907</t>
  </si>
  <si>
    <t>MIC1901</t>
  </si>
  <si>
    <t>KK FP MICKEY MOUSE:BLACK:14-16</t>
  </si>
  <si>
    <t>KK FP MICKEY MOUSE:BLACK:18-20</t>
  </si>
  <si>
    <t>KK FP MICKEY MOUSE:CLASSIC RED:14-16</t>
  </si>
  <si>
    <t>KK FP MICKEY MOUSE:CLASSIC RED:18-20</t>
  </si>
  <si>
    <t>A01MIC</t>
  </si>
  <si>
    <t>TOP-BOTTOM SET 660603008MIC BIG MICKEY A01MIC:MISTY MEDIUM:4:GRAPHIC:TOP - BOTTOM</t>
  </si>
  <si>
    <t>TOYA02</t>
  </si>
  <si>
    <t>66020400TS4 SET LSLP KOSTUM WOODY:CLASSIC YELLOW:XS</t>
  </si>
  <si>
    <t>66020400TS4 SET LSLP KOSTUM WOODY:CLASSIC YELLOW:S</t>
  </si>
  <si>
    <t>66020400TS4 SET LSLP KOSTUM WOODY:CLASSIC YELLOW:M</t>
  </si>
  <si>
    <t>66020400TS4 SET LSLP KOSTUM WOODY:CLASSIC YELLOW:L</t>
  </si>
  <si>
    <t>66020400TS4 SET LSLP KOSTUM WOODY:CLASSIC YELLOW:XL</t>
  </si>
  <si>
    <t>TOYA01</t>
  </si>
  <si>
    <t>66020400TS4 SET LSLP TOY STORY BUZZ:WHITE:M</t>
  </si>
  <si>
    <t>66020400TS4 SET LSLP TOY STORY BUZZ:WHITE:L</t>
  </si>
  <si>
    <t>DGAMN04</t>
  </si>
  <si>
    <t>66050300MIN SSLP MINNIE HALF BODY:WHITE:9-10</t>
  </si>
  <si>
    <t>66050300MIN SSLP MINNIE HALF BODY:WHITE:11-12</t>
  </si>
  <si>
    <t>66050300MIN SSLP MINNIE HALF BODY:WHITE:15-16</t>
  </si>
  <si>
    <t>DGAMN01</t>
  </si>
  <si>
    <t>66050300MIN LSLP MINNIE PELANGI DGAMN01:PASTEL PINK:7-8</t>
  </si>
  <si>
    <t>66050300MIN LSLP MINNIE PELANGI DGAMN01:PASTEL PINK:9-10</t>
  </si>
  <si>
    <t>DIRPG034</t>
  </si>
  <si>
    <t>SSLP FP MINNIE UNICORNS:PASTEL PINK:S</t>
  </si>
  <si>
    <t>DIRPG035</t>
  </si>
  <si>
    <t>LSLP MINNIE UNICORN DREAMS:PEPPERMINT:S</t>
  </si>
  <si>
    <t>LSLP MINNIE UNICORN DREAMS:PEPPERMINT:L</t>
  </si>
  <si>
    <t>LSLP MINNIE UNICORN DREAMS:PEPPERMINT:5-6</t>
  </si>
  <si>
    <t>LSLP MINNIE UNICORN DREAMS:PEPPERMINT:7-8</t>
  </si>
  <si>
    <t>DIRPG037PK</t>
  </si>
  <si>
    <t>LSLP MINNIE UNICORN DREAMS STAR:PASTEL PINK:M</t>
  </si>
  <si>
    <t>LSLP MINNIE UNICORN DREAMS STAR:PASTEL PINK:L</t>
  </si>
  <si>
    <t>LSLP MINNIE UNICORN DREAMS STAR:PASTEL PINK:5-6</t>
  </si>
  <si>
    <t>LSLP MINNIE UNICORN DREAMS STAR:PASTEL PINK:9-10</t>
  </si>
  <si>
    <t>LSLP MINNIE UNICORN DREAMS STAR:PASTEL PINK:11-12</t>
  </si>
  <si>
    <t>DIRPG037PR</t>
  </si>
  <si>
    <t>LSLP MINNIE UNICORN DREAMS STAR:PASTEL PURPLE:S</t>
  </si>
  <si>
    <t>LSLP MINNIE UNICORN DREAMS STAR:PASTEL PURPLE:M</t>
  </si>
  <si>
    <t>LSLP MINNIE UNICORN DREAMS STAR:PASTEL PURPLE:L</t>
  </si>
  <si>
    <t>LSLP MINNIE UNICORN DREAMS STAR:PASTEL PURPLE:5-6</t>
  </si>
  <si>
    <t>SWRP2MAR</t>
  </si>
  <si>
    <t>TOP - BOTTOM SET LSLP FULLPRINT MARIE 66030300MAR  SWRP2MAR:OFF WHITE:4:PRINT:TOP - BOT</t>
  </si>
  <si>
    <t>TOP - BOTTOM SET LSLP FULLPRINT MARIE 66030300MAR  SWRP2MAR:OFF WHITE:5:PRINT:TOP - BOT</t>
  </si>
  <si>
    <t>TOP - BOTTOM SET LSLP FULLPRINT MARIE 66030300MAR  SWRP2MAR:OFF WHITE:7:PRINT:TOP - BOT</t>
  </si>
  <si>
    <t>TOP - BOTTOM SET LSLP FULLPRINT MARIE 66030300MAR  SWRP2MAR:OFF WHITE:10:PRINT:TOP - BOT</t>
  </si>
  <si>
    <t>TOP - BOTTOM SET LSLP FULLPRINT MARIE 66030300MAR  SWRP2MAR:OFF WHITE:12:PRINT:TOP - BOT</t>
  </si>
  <si>
    <t>TOP - BOTTOM SET LSLP FULLPRINT MARIE 66030300MAR  SWRP2MAR:OFF WHITE:14:PRINT:TOP - BOT</t>
  </si>
  <si>
    <t>4GAMIMIN</t>
  </si>
  <si>
    <t>TOP - BOTTOM SET MINNIE DOTTY 4GAMIMIN1:PASTEL PINK:8:GRAPHIC:TOP - BOTTOM S</t>
  </si>
  <si>
    <t>TOP - BOTTOM SET MINNIE DOTTY 4GAMIMIN1:PASTEL PINK:12:GRAPHIC:TOP - BOTTOM S</t>
  </si>
  <si>
    <t>SSSCSPCIN</t>
  </si>
  <si>
    <t>TOP - BOTTOM SET SSSP CHARACTER SPEAK CINDERELLA SSSCSPCIN:LIGHT BLU:5:GRAPHIC:TOP - BOT</t>
  </si>
  <si>
    <t>TOP - BOTTOM SET SSSP CHARACTER SPEAK CINDERELLA SSSCSPCIN:LIGHT BLU:8:GRAPHIC:TOP - BOT</t>
  </si>
  <si>
    <t>TOP - BOTTOM SET SSSP CHARACTER SPEAK CINDERELLA SSSCSPCIN:LIGHT BLU:10:GRAPHIC:TOP - BOT</t>
  </si>
  <si>
    <t>TOP - BOTTOM SET SSSP CHARACTER SPEAK CINDERELLA SSSCSPCIN:LIGHT BLU:12:GRAPHIC:TOP - BOT</t>
  </si>
  <si>
    <t>TOP - BOTTOM SET SSSP CHARACTER SPEAK CINDERELLA SSSCSPCIN:LIGHT BLU:14:GRAPHIC:TOP - BOT</t>
  </si>
  <si>
    <t>CDSPD201</t>
  </si>
  <si>
    <t>66030200MCS BRIEF SPIDERMAN CDSPD201:NAVY BLUE:M:GRAPHIC:BRIEF</t>
  </si>
  <si>
    <t>CDAMSPDPW</t>
  </si>
  <si>
    <t>BRIEF CD SPIDER POWER 66040200OSPD CDAMSPDPW:MISTY LIGHT G:M:PRINT:BRIEF</t>
  </si>
  <si>
    <t>BRIEF CD SPIDER POWER 66040200OSPD CDAMSPDPW:MISTY LIGHT G:L:PRINT:BRIEF</t>
  </si>
  <si>
    <t>BRIEF CD SPIDER POWER 66040200OSPD CDAMSPDPW:MISTY LIGHT G:XL:PRINT:BRIEF</t>
  </si>
  <si>
    <t>CDFPAVG</t>
  </si>
  <si>
    <t>BRIEF FULLPRINT AVENGER 66040200OAV CDFPAVG:CLASSIC BLUE:XL:PRINT:BRIEF</t>
  </si>
  <si>
    <t>CDLGCAM</t>
  </si>
  <si>
    <t>BRIEF LOGO CAPTAIN AMERICA 66040200OAV CDLGCAM:LIGHT BLUE:XL:GRAPHIC:BRIEF</t>
  </si>
  <si>
    <t>CDCSHERO</t>
  </si>
  <si>
    <t>BRIEF FULLPRINT CHARACTER SPEAK HERO VIBES CDCSHERO:MISTY LIGHT:S:PRINT:BRIEF</t>
  </si>
  <si>
    <t>BRIEF FULLPRINT CHARACTER SPEAK HERO VIBES CDCSHERO:MISTY LIGHT:M:PRINT:BRIEF</t>
  </si>
  <si>
    <t>BRIEF FULLPRINT CHARACTER SPEAK HERO VIBES CDCSHERO:MISTY LIGHT:XL:PRINT:BRIEF</t>
  </si>
  <si>
    <t>CDCSPSPD</t>
  </si>
  <si>
    <t>BRIEF CHARACTER SPEAK SPIDERMAN CDCSPSPD:CLASSIC BLUE:S:GRAPHIC:BRIEF</t>
  </si>
  <si>
    <t>BRIEF CHARACTER SPEAK SPIDERMAN CDCSPSPD:CLASSIC BLUE:M:GRAPHIC:BRIEF</t>
  </si>
  <si>
    <t>BRIEF CHARACTER SPEAK SPIDERMAN CDCSPSPD:CLASSIC BLUE:L:GRAPHIC:BRIEF</t>
  </si>
  <si>
    <t>BRIEF CHARACTER SPEAK SPIDERMAN CDCSPSPD:CLASSIC BLUE:XL:GRAPHIC:BRIEF</t>
  </si>
  <si>
    <t>CDIRON1</t>
  </si>
  <si>
    <t>BRIEF AVG IRON MAN CDIRON1:PASTEL YELLOW:S:GRAPHIC:BRIEF</t>
  </si>
  <si>
    <t>BRIEF AVG IRON MAN CDIRON1:PASTEL YELLOW:M:GRAPHIC:BRIEF</t>
  </si>
  <si>
    <t>CDIRON2</t>
  </si>
  <si>
    <t>BRIEF MARVEL COMICS CDIRON2:WHITE:L:GRAPHIC:BRIEF</t>
  </si>
  <si>
    <t>BRIEF MARVEL COMICS CDIRON2:WHITE:XL:GRAPHIC:BRIEF</t>
  </si>
  <si>
    <t>CDAVG3</t>
  </si>
  <si>
    <t>BRIEF AVG CAPTAIN AMERICA CDAVG3:PASTEL BLUE:S:GRAPHIC:BRIEF</t>
  </si>
  <si>
    <t>BRIEF AVG CAPTAIN AMERICA CDAVG3:PASTEL BLUE:M:GRAPHIC:BRIEF</t>
  </si>
  <si>
    <t>BRIEF AVG CAPTAIN AMERICA CDAVG3:PASTEL BLUE:L:GRAPHIC:BRIEF</t>
  </si>
  <si>
    <t>BRIEF AVG CAPTAIN AMERICA CDAVG3:PASTEL BLUE:XL:GRAPHIC:BRIEF</t>
  </si>
  <si>
    <t>CD1941CAM</t>
  </si>
  <si>
    <t>BRIEF CAPTAIN AMERICA1941 CD1941CAM:PASTEL BLUE:L:GRAPHIC:BRIEF</t>
  </si>
  <si>
    <t>BRIEF CAPTAIN AMERICA1941 CD1941CAM:PASTEL BLUE:XL:GRAPHIC:BRIEF</t>
  </si>
  <si>
    <t>CDSPD06</t>
  </si>
  <si>
    <t>BRIEF SPD WEBBED WONDER 66040200MCS CDSPD06:NAVY BLUE:S:GRAPHIC:BRIEF</t>
  </si>
  <si>
    <t>BRIEF SPD WEBBED WONDER 66040200MCS CDSPD06:NAVY BLUE:M:GRAPHIC:BRIEF</t>
  </si>
  <si>
    <t>BRIEF SPD WEBBED WONDER 66040200MCS CDSPD06:NAVY BLUE:L:GRAPHIC:BRIEF</t>
  </si>
  <si>
    <t>BRIEF SPD WEBBED WONDER 66040200MCS CDSPD06:NAVY BLUE:XL:GRAPHIC:BRIEF</t>
  </si>
  <si>
    <t>CDSP01</t>
  </si>
  <si>
    <t>BRIEF CD SPIDERMAN DEPAN 66040200MCS CDSP01:PASTEL BLUE:S:GRAPHIC:BRIEF</t>
  </si>
  <si>
    <t>BRIEF CD SPIDERMAN DEPAN 66040200MCS CDSP01:PASTEL BLUE:M:GRAPHIC:BRIEF</t>
  </si>
  <si>
    <t>BRIEF CD SPIDERMAN DEPAN 66040200MCS CDSP01:PASTEL BLUE:L:GRAPHIC:BRIEF</t>
  </si>
  <si>
    <t>BRIEF CD SPIDERMAN DEPAN 66040200MCS CDSP01:PASTEL BLUE:XL:GRAPHIC:BRIEF</t>
  </si>
  <si>
    <t>CDSP03A</t>
  </si>
  <si>
    <t>BRIEF CD SPIDERMAN FP JARING 66040200MCS CDSP03A:WHITE:S:PRINT:BRIEF</t>
  </si>
  <si>
    <t>BRIEF CD SPIDERMAN FP JARING 66040200MCS CDSP03A:WHITE:M:PRINT:BRIEF</t>
  </si>
  <si>
    <t>BRIEF CD SPIDERMAN FP JARING 66040200MCS CDSP03A:WHITE:XL:PRINT:BRIEF</t>
  </si>
  <si>
    <t>AVG1907BL</t>
  </si>
  <si>
    <t>68060304OAV KK SNEAKERS FP LOGO CAPT AMERICA:CLASSIC BLUE:F</t>
  </si>
  <si>
    <t>AVG1907M6</t>
  </si>
  <si>
    <t>68060304OAV KK SNEAKERS FP LOGO CAPT AMERICA:MISTY LIGHT G:F</t>
  </si>
  <si>
    <t>AVG1909</t>
  </si>
  <si>
    <t>68060304OAV KK SNEAKERS FP LOGO HULK:WHITE:F</t>
  </si>
  <si>
    <t>SP1903</t>
  </si>
  <si>
    <t>68060304MCS KK SPD BADGE:CLASSIC BLUE:14-16</t>
  </si>
  <si>
    <t>68060304MCS KK SPD BADGE:CLASSIC RED:14-16</t>
  </si>
  <si>
    <t>SP1904</t>
  </si>
  <si>
    <t>68060304MCS KK SPD JUMP:PASTEL GREY:14-16</t>
  </si>
  <si>
    <t>68060304MCS KK SPD JUMP:PASTEL GREY:18-20</t>
  </si>
  <si>
    <t>SP1902</t>
  </si>
  <si>
    <t>68060304MCS KK SPD WEBBED WONDER:WHITE:18-20</t>
  </si>
  <si>
    <t>68060304MCS KK SPD WEBBED WONDER:CLASSIC RED:14-16</t>
  </si>
  <si>
    <t>68060304MCS KK SPD WEBBED WONDER:CLASSIC RED:18-20</t>
  </si>
  <si>
    <t>H-609</t>
  </si>
  <si>
    <t xml:space="preserve"> 660204008MCS SET LSLP SPIDER-MAN H-609:NAVY BLUE:M:GRAPHIC:TOP - BOTTOM S</t>
  </si>
  <si>
    <t xml:space="preserve"> 660204008MCS SET LSLP SPIDER-MAN H-609:NAVY BLUE:7-8:GRAPHIC:TOP - BOTTOM S</t>
  </si>
  <si>
    <t xml:space="preserve"> 660204008MCS SET LSLP SPIDER-MAN H-609:NAVY BLUE:9-10:GRAPHIC:TOP - BOTTOM S</t>
  </si>
  <si>
    <t>HR025CAM</t>
  </si>
  <si>
    <t>660603000AV TOP - BOTTOM SET LSLP CAPTAIN AMERICA HR025CAM:NAVY BLUE:4:GRAPHIC:TOP - BOT</t>
  </si>
  <si>
    <t>660603000AV TOP - BOTTOM SET LSLP CAPTAIN AMERICA HR025CAM:NAVY BLUE:7:GRAPHIC:TOP - BOT</t>
  </si>
  <si>
    <t>660603000AV TOP - BOTTOM SET LSLP CAPTAIN AMERICA HR025CAM:NAVY BLUE:8:GRAPHIC:TOP - BOT</t>
  </si>
  <si>
    <t>AVG-A377</t>
  </si>
  <si>
    <t>TOP - BOTTOM SET SSSP MARVEL 660403000AV AVG-A377:CLASSIC BLU:6:GRAPHIC:TOP - BOTTO</t>
  </si>
  <si>
    <t>TOP - BOTTOM SET SSSP MARVEL 660403000AV AVG-A377:CLASSIC BLU:8:GRAPHIC:TOP - BOTTO</t>
  </si>
  <si>
    <t>AVG-A376</t>
  </si>
  <si>
    <t>TOP - BOTTOM SET LSLP 4 AVENGERS 660204008AVG AVG-A376:CLASSIC BL:4:GRAPHIC:TOP - BOTT</t>
  </si>
  <si>
    <t>TOP - BOTTOM SET LSLP 4 AVENGERS 660204008AVG AVG-A376:CLASSIC BL:5:GRAPHIC:TOP - BOTT</t>
  </si>
  <si>
    <t>TOP - BOTTOM SET LSLP 4 AVENGERS 660204008AVG AVG-A376:CLASSIC BL:7:GRAPHIC:TOP - BOTT</t>
  </si>
  <si>
    <t>TOP - BOTTOM SET LSLP 4 AVENGERS 660204008AVG AVG-A376:CLASSIC BL:14:GRAPHIC:TOP - BOTT</t>
  </si>
  <si>
    <t>AVGA378</t>
  </si>
  <si>
    <t>TOP - BOTTOM SET SSSP AVENGERS 660603000AVG AVGA378:MISTY DARK:4:GRAPHIC:TOP - BOTTO</t>
  </si>
  <si>
    <t>TOP - BOTTOM SET SSSP AVENGERS 660603000AVG AVGA378:MISTY DARK:6:GRAPHIC:TOP - BOTTO</t>
  </si>
  <si>
    <t>TOP - BOTTOM SET SSSP AVENGERS 660603000AVG AVGA378:MISTY DARK:10:GRAPHIC:TOP - BOTTO</t>
  </si>
  <si>
    <t>NO038</t>
  </si>
  <si>
    <t>TOP - BOTTOM SET SSLP SPIDERMAN EYE 660603000SPD NO038:MISTY MEDI:10:GRAPHIC:TOP - BOTT</t>
  </si>
  <si>
    <t>NO039</t>
  </si>
  <si>
    <t>TOP - BOTTOM SET SSLP SPIDERMAN EYE 660603000SPD NO039:CLASSIC BL:4:GRAPHIC:TOP - BOTT</t>
  </si>
  <si>
    <t>TOP - BOTTOM SET SSLP SPIDERMAN EYE 660603000SPD NO039:CLASSIC BL:10:GRAPHIC:TOP - BOTT</t>
  </si>
  <si>
    <t>TOP - BOTTOM SET SSLP SPIDERMAN EYE 660603000SPD NO039:CLASSIC BL:12:GRAPHIC:TOP - BOTT</t>
  </si>
  <si>
    <t>A24CAM</t>
  </si>
  <si>
    <t>TOP - BOTTOM SET LSLP LOGO CAPTAIN AMERICA 660204008:NAVY BLUE:4:GRAPHIC:TOP - BOTTO</t>
  </si>
  <si>
    <t>TOP - BOTTOM SET LSLP LOGO CAPTAIN AMERICA 660204008:NAVY BLUE:5:GRAPHIC:TOP - BOTTO</t>
  </si>
  <si>
    <t>TOP - BOTTOM SET LSLP LOGO CAPTAIN AMERICA 660204008:NAVY BLUE:7:GRAPHIC:TOP - BOTTO</t>
  </si>
  <si>
    <t>A389</t>
  </si>
  <si>
    <t>TOP - BOTTOM SET LSLP SPIDERMAN GREAT POWER 66040300:CLASSIC RED:4:GRAPHIC:TOP - BOTTO</t>
  </si>
  <si>
    <t>TOP - BOTTOM SET LSLP SPIDERMAN GREAT POWER 66040300:CLASSIC RED:5:GRAPHIC:TOP - BOTTO</t>
  </si>
  <si>
    <t>TOP - BOTTOM SET LSLP SPIDERMAN GREAT POWER 66040300:CLASSIC RED:14:GRAPHIC:TOP - BOTTO</t>
  </si>
  <si>
    <t>A423SPD</t>
  </si>
  <si>
    <t>TOP - BOTTOM SET SET SSLP SPIDERMAN JARING 660403000AVG A423SPD:CLASSIC RED:6:GRAPHIC:TOP - BOTTOM S</t>
  </si>
  <si>
    <t>TOP - BOTTOM SET SET SSLP SPIDERMAN JARING 660403000AVG A423SPD:CLASSIC RED:10:GRAPHIC:TOP - BOTTOM</t>
  </si>
  <si>
    <t>TOP - BOTTOM SET SET SSLP SPIDERMAN JARING 660403000AVG A423SPD:CLASSIC RED:14:GRAPHIC:TOP - BOTTOM</t>
  </si>
  <si>
    <t>SSCSPIRN</t>
  </si>
  <si>
    <t>TOP - BOTTOM SET SSSP CHARACTER SPEAK IRON MAN SSCSPIRN:NAVY BLUE:5:GRAPHIC:TOP - BOTT</t>
  </si>
  <si>
    <t>TOP - BOTTOM SET SSSP CHARACTER SPEAK IRON MAN SSCSPIRN:NAVY BLUE:6:GRAPHIC:TOP - BOTT</t>
  </si>
  <si>
    <t>TOP - BOTTOM SET SSSP CHARACTER SPEAK IRON MAN SSCSPIRN:NAVY BLUE:7:GRAPHIC:TOP - BOTT</t>
  </si>
  <si>
    <t>TOP - BOTTOM SET SSSP CHARACTER SPEAK IRON MAN SSCSPIRN:NAVY BLUE:8:GRAPHIC:TOP - BOTT</t>
  </si>
  <si>
    <t>TOP - BOTTOM SET SSSP CHARACTER SPEAK IRON MAN SSCSPIRN:NAVY BLUE:10:GRAPHIC:TOP - BOTT</t>
  </si>
  <si>
    <t>TOP - BOTTOM SET SSSP CHARACTER SPEAK IRON MAN SSCSPIRN:NAVY BLUE:12:GRAPHIC:TOP - BOTT</t>
  </si>
  <si>
    <t>TOP - BOTTOM SET SSSP CHARACTER SPEAK IRON MAN SSCSPIRN:NAVY BLUE:14:GRAPHIC:TOP - BOTT</t>
  </si>
  <si>
    <t>MCSL5</t>
  </si>
  <si>
    <t>TOP - BOTTOM SET LSLP HULK 660403000AVG MCSL5:PASTEL GREEN:4:GRAPHIC:TOP - BOTTOM</t>
  </si>
  <si>
    <t>TOP - BOTTOM SET LSLP HULK 660403000AVG MCSL5:PASTEL GREEN:6:GRAPHIC:TOP - BOTTOM</t>
  </si>
  <si>
    <t>TOP - BOTTOM SET LSLP HULK 660403000AVG MCSL5:PASTEL GREEN:8:GRAPHIC:TOP - BOTTOM</t>
  </si>
  <si>
    <t>TOP - BOTTOM SET LSLP HULK 660403000AVG MCSL5:PASTEL GREEN:14:GRAPHIC:TOP - BOTTOM</t>
  </si>
  <si>
    <t>RS112</t>
  </si>
  <si>
    <t>66020400MCS SET SSLP SPD FACE:NAVY BLUE:M</t>
  </si>
  <si>
    <t>66040300MCS SET SSLP SPD FACE:NAVY BLUE:5-6</t>
  </si>
  <si>
    <t>66040300MCS SET SSLP SPD FACE:NAVY BLUE:9-10</t>
  </si>
  <si>
    <t>RS119</t>
  </si>
  <si>
    <t>66020400MCS SET LSLP SPD FP LETTER:CLASSIC RED:S</t>
  </si>
  <si>
    <t>66020400MCS SET LSLP SPD FP LETTER:CLASSIC RED:M</t>
  </si>
  <si>
    <t>66020400MCS SET LSLP SPD FP LETTER:CLASSIC RED:L</t>
  </si>
  <si>
    <t>66040300MCS SET LSLP SPD FP LETTER:CLASSIC RED:5-6</t>
  </si>
  <si>
    <t>66040300MCS SET LSLP SPD FP LETTER:CLASSIC RED:9-10</t>
  </si>
  <si>
    <t>66060300MCS SET LSLP SPD FP LETTER:CLASSIC RED:11-12</t>
  </si>
  <si>
    <t>GAMA29A</t>
  </si>
  <si>
    <t>660204008M2 LSLP FP MRV:WHITE:S</t>
  </si>
  <si>
    <t>660204008M2 LSLP FP MRV:WHITE:M</t>
  </si>
  <si>
    <t>660204008M2 LSLP FP MRV:WHITE:L</t>
  </si>
  <si>
    <t>GAMA29B</t>
  </si>
  <si>
    <t>660204008M2 LSLP FP MRV:WHITE:5-6</t>
  </si>
  <si>
    <t>RS105</t>
  </si>
  <si>
    <t>66020400MCS SET LSLP SPD FACE FRIEND:MISTY LIGHT BLU:S</t>
  </si>
  <si>
    <t>66020400MCS SET LSLP SPD FACE FRIEND:MISTY LIGHT BLU:M</t>
  </si>
  <si>
    <t>66020400MCS SET LSLP SPD FACE FRIEND:MISTY LIGHT BLU:L</t>
  </si>
  <si>
    <t>66060300MCS SET LSLP SPD FACE FRIEND:MISTY LIGHT BLU:11-12</t>
  </si>
  <si>
    <t>173HRB</t>
  </si>
  <si>
    <t>66040300OAV SET LSLP AVG READY BATTLE:MISTY LIGHT BLU:9-10</t>
  </si>
  <si>
    <t>GAMA30</t>
  </si>
  <si>
    <t>66020400OAV SET LSLP AVG FP FACE HERO:MISTY LIGHT BLU:S</t>
  </si>
  <si>
    <t>66020400OAV SET LSLP AVG FP FACE HERO:MISTY LIGHT BLU:5-6</t>
  </si>
  <si>
    <t>66020400OAV SET LSLP AVG FP FACE HERO:MISTY LIGHT BLU:9-10</t>
  </si>
  <si>
    <t>RS107</t>
  </si>
  <si>
    <t>66020400S9N SET LSLP SPD ROAD TRIP:MISTY LIGHT GREY:S</t>
  </si>
  <si>
    <t>66020400S9N SET LSLP SPD ROAD TRIP:MISTY LIGHT GREY:M</t>
  </si>
  <si>
    <t>66020400S9N SET LSLP SPD ROAD TRIP:MISTY LIGHT GREY:9-10</t>
  </si>
  <si>
    <t>UWSW-01</t>
  </si>
  <si>
    <t>BRIEF FULLPRINT STARWARS 66040200SW UWSW-01:WHITE:S:PRINT:BRIEF</t>
  </si>
  <si>
    <t>BRIEF FULLPRINT STARWARS 66040200SW UWSW-01:WHITE:M:PRINT:BRIEF</t>
  </si>
  <si>
    <t>BRIEF FULLPRINT STARWARS 66040200SW UWSW-01:WHITE:XL:PRINT:BRIEF</t>
  </si>
  <si>
    <t>UWSW-02</t>
  </si>
  <si>
    <t>BRIEF LOGO STARWARS UWSW-02:MISTY MEDIUM GREY:S:TEXT:BRIEF</t>
  </si>
  <si>
    <t>BRIEF LOGO STARWARS UWSW-02:MISTY MEDIUM GREY:M:TEXT:BRIEF</t>
  </si>
  <si>
    <t>BRIEF LOGO STARWARS UWSW-02:MISTY MEDIUM GREY:L:TEXT:BRIEF</t>
  </si>
  <si>
    <t>BRIEF LOGO STARWARS UWSW-02:MISTY MEDIUM GREY:XL:TEXT:BRIEF</t>
  </si>
  <si>
    <t>SW1906BK</t>
  </si>
  <si>
    <t>68060304SWS KK SW FP VADER TROOPER:BLACK:14-16</t>
  </si>
  <si>
    <t>68060304SWS KK SW FP VADER TROOPER:BLACK:18-20</t>
  </si>
  <si>
    <t>SW1906WH</t>
  </si>
  <si>
    <t>68060304SWS KK SW FP VADER TROOPER:WHITE:14-16</t>
  </si>
  <si>
    <t>68060304SWS KK SW FP VADER TROOPER:WHITE:18-20</t>
  </si>
  <si>
    <t>SW1901GY</t>
  </si>
  <si>
    <t>68060304SWS KK SW STRIPE BB8:FROST GREY:14-16</t>
  </si>
  <si>
    <t>SW1901WH</t>
  </si>
  <si>
    <t>68060304SWS KK SW STRIPE BB8:WHITE:14-16</t>
  </si>
  <si>
    <t>68060304SWS KK SW STRIPE BB8:WHITE:18-20</t>
  </si>
  <si>
    <t>SW1906GR</t>
  </si>
  <si>
    <t>68060304SWS KK SW FP VADER TROOPER:FROST GREY:14-16</t>
  </si>
  <si>
    <t>STM-A05</t>
  </si>
  <si>
    <t>TOP - BOTTOM SET LSLP STARWARS 660403000AV STM-A05:MISTY MEDIU:4:GRAPHIC:TOP - BOTTO</t>
  </si>
  <si>
    <t>TOP - BOTTOM SET LSLP STARWARS 660403000AV STM-A05:MISTY MEDIU:5:GRAPHIC:TOP - BOTTO</t>
  </si>
  <si>
    <t>TOP - BOTTOM SET LSLP STARWARS 660403000AV STM-A05:MISTY MEDIU:10:GRAPHIC:TOP - BOTTO</t>
  </si>
  <si>
    <t>STGMA01</t>
  </si>
  <si>
    <t>TOP - BOTTOM SET LSLP STARWARS 660603000AV STGMA01:NAVY BLUE:4:GRAPHIC:TOP - BOTTO</t>
  </si>
  <si>
    <t>TOP - BOTTOM SET LSLP STARWARS 660603000AV STGMA01:NAVY BLUE:5:GRAPHIC:TOP - BOTTO</t>
  </si>
  <si>
    <t>TOP - BOTTOM SET LSLP STARWARS 660603000AV STGMA01:NAVY BLUE:6:GRAPHIC:TOP - BOTTO</t>
  </si>
  <si>
    <t>TOP - BOTTOM SET LSLP STARWARS 660603000AV STGMA01:NAVY BLUE:10:GRAPHIC:TOP - BOTTO</t>
  </si>
  <si>
    <t>TOP - BOTTOM SET LSLP STARWARS 660603000AV STGMA01:NAVY BLUE:12:GRAPHIC:TOP - BOTTO</t>
  </si>
  <si>
    <t>TOP - BOTTOM SET LSLP STARWARS 660603000AV STGMA01:NAVY BLUE:14:GRAPHIC:TOP - BOTTO</t>
  </si>
  <si>
    <t>SLSW-01</t>
  </si>
  <si>
    <t>TOP - BOTTOM SET PIYAMA OBLONG LSLP TIE DYE STARWARS:WHITE:4:GRAPHIC:TOP - BOTTO</t>
  </si>
  <si>
    <t>TOP - BOTTOM SET PIYAMA OBLONG LSLP TIE DYE STARWARS:WHITE:5:GRAPHIC:TOP - BOTTO</t>
  </si>
  <si>
    <t>TOP - BOTTOM SET PIYAMA OBLONG LSLP TIE DYE STARWARS:WHITE:6:GRAPHIC:TOP - BOTTO</t>
  </si>
  <si>
    <t>TOP - BOTTOM SET PIYAMA OBLONG LSLP TIE DYE STARWARS:WHITE:7:GRAPHIC:TOP - BOTTO</t>
  </si>
  <si>
    <t>TOP - BOTTOM SET PIYAMA OBLONG LSLP TIE DYE STARWARS:WHITE:8:GRAPHIC:TOP - BOTTO</t>
  </si>
  <si>
    <t>SWS12</t>
  </si>
  <si>
    <t>66040300SWS SET SS LP SW FP TROOPER:LIGHT BLUE:S</t>
  </si>
  <si>
    <t>66040300SWS SET SS LP SW FP TROOPER:LIGHT BLUE:M</t>
  </si>
  <si>
    <t>66040300SWS SET SS LP SW FP TROOPER:LIGHT BLUE:L</t>
  </si>
  <si>
    <t>66040300SWS SET SS LP SW FP TROOPER:LIGHT BLUE:5-6</t>
  </si>
  <si>
    <t>66040300SWS SET SS LP SW FP TROOPER:LIGHT BLUE:7-8</t>
  </si>
  <si>
    <t>SWS13</t>
  </si>
  <si>
    <t>66020400SWS SET LSLP SW FP PLANE A:CLASSIC YELLOW:S</t>
  </si>
  <si>
    <t>66040300SWS SET LSLP SW FP PLANE A:CLASSIC YELLOW:5-6</t>
  </si>
  <si>
    <t>66060300SWS SET LSLP SW FP PLANE A:CLASSIC YELLOW:11-12</t>
  </si>
  <si>
    <t>SMIKI1</t>
  </si>
  <si>
    <t>DTR SINGLET MICKEY 1:NAVY BLUE:M</t>
  </si>
  <si>
    <t>CPRC14</t>
  </si>
  <si>
    <t>CD IP PRINCESS 14:LIGHT BLUE:XL</t>
  </si>
  <si>
    <t>DIRPG038P</t>
  </si>
  <si>
    <t>CD FP PITA MINNIE:PASTEL PINK:M</t>
  </si>
  <si>
    <t>GGFR02</t>
  </si>
  <si>
    <t>66030200FZA CD FP QUEEN OF SNOW:WHITE:L</t>
  </si>
  <si>
    <t>KKTSUM3</t>
  </si>
  <si>
    <t>KK TSUM TSUM 3:CLASSIC BLUE:18-20</t>
  </si>
  <si>
    <t>DIMKK001</t>
  </si>
  <si>
    <t>KK MINNIE STAR:FUSCHIA:14-16</t>
  </si>
  <si>
    <t>DIMKK013PR</t>
  </si>
  <si>
    <t>KK TSUM MICKEY MINNIE:CLASSIC PURPLE:14-16</t>
  </si>
  <si>
    <t>DIMKK007BL</t>
  </si>
  <si>
    <t>KK MICKEY MODERN PLAY:BLACK:14-16</t>
  </si>
  <si>
    <t>KK MICKEY MODERN PLAY:BLACK:18-20</t>
  </si>
  <si>
    <t>DIMKK007RD</t>
  </si>
  <si>
    <t>KK MICKEY MODERN PLAY:CLASSIC RED:14-16</t>
  </si>
  <si>
    <t>KK MICKEY MODERN PLAY:CLASSIC RED:18-20</t>
  </si>
  <si>
    <t>DIMKK008</t>
  </si>
  <si>
    <t>KK MICKLEY MINNIE MODERN PLAY:CLASSIC RED:18-20</t>
  </si>
  <si>
    <t>DIMKK009W</t>
  </si>
  <si>
    <t>KK FP CARS:WHITE:14-16</t>
  </si>
  <si>
    <t>KK FP CARS:WHITE:18-20</t>
  </si>
  <si>
    <t>DIMKK009RD</t>
  </si>
  <si>
    <t>KK FP CARS:CLASSIC RED:14-16</t>
  </si>
  <si>
    <t>KK FP CARS:CLASSIC RED:18-20</t>
  </si>
  <si>
    <t>DIMKK012PK</t>
  </si>
  <si>
    <t>KK TSUM DONALD DAISY:PASTEL PINK:14-16</t>
  </si>
  <si>
    <t>BTS1901</t>
  </si>
  <si>
    <t>68060304MIN KK BTS KEPALA MINNIE:MISTY MEDIUM GRE:18-20</t>
  </si>
  <si>
    <t>MIN1903</t>
  </si>
  <si>
    <t>68060304MIN KK SNEAKERS MINNIE FASHION MUSE:WHITE:F</t>
  </si>
  <si>
    <t>UNI1902W</t>
  </si>
  <si>
    <t>68060304MIN KK MINNIE UNICORN 02:WHITE:14-16</t>
  </si>
  <si>
    <t>PRC1905</t>
  </si>
  <si>
    <t>68060304PRN KK PRINCESS ARIEL:LIGHT BLUE:14-16</t>
  </si>
  <si>
    <t>PRC1901</t>
  </si>
  <si>
    <t>68060304PRN KK PRINCESS BELLE:CLASSIC YELLOW:14-16</t>
  </si>
  <si>
    <t>PRC1902</t>
  </si>
  <si>
    <t>68060304PRN KK PRINCESS CINDERELLA:PASTEL BLUE:14-16</t>
  </si>
  <si>
    <t>MIN1901W</t>
  </si>
  <si>
    <t>68060304MIN KK SILUET KEPALA MINNIE:WHITE:14-16</t>
  </si>
  <si>
    <t>DIRPG026</t>
  </si>
  <si>
    <t>PYM SSLP FP MICKEY ESSENCE:MISTY LIGHT GREY:10</t>
  </si>
  <si>
    <t>PYM SSLP FP MICKEY ESSENCE:MISTY LIGHT GREY:12</t>
  </si>
  <si>
    <t>MCT05</t>
  </si>
  <si>
    <t>SSLP MICKEY TRUE ORGN 5:CLASSIC BLUE:4</t>
  </si>
  <si>
    <t>SSLP MICKEY TRUE ORGN 5:CLASSIC BLUE:6</t>
  </si>
  <si>
    <t>MCES01</t>
  </si>
  <si>
    <t>LSLP MICKEY ESSN:WHITE:4</t>
  </si>
  <si>
    <t>LSLP MICKEY ESSN:WHITE:5</t>
  </si>
  <si>
    <t>LSLP MICKEY ESSN:WHITE:8</t>
  </si>
  <si>
    <t>LSLP MICKEY ESSN:WHITE:7</t>
  </si>
  <si>
    <t>MCT02</t>
  </si>
  <si>
    <t>LSLP MICKEY TRUE ORGN 2:CLASSIC BLUE:4</t>
  </si>
  <si>
    <t>LSLP MICKEY TRUE ORGN 2:CLASSIC BLUE:7</t>
  </si>
  <si>
    <t>TSN16</t>
  </si>
  <si>
    <t>66020400TS4 SET LSLP TOY STORY HOWDY:MISTY DARK GREY:M</t>
  </si>
  <si>
    <t>66020400TS4 SET LSLP TOY STORY HOWDY:MISTY DARK GREY:L</t>
  </si>
  <si>
    <t>TSN11</t>
  </si>
  <si>
    <t>66020400TS4 SET LSLP TOY STORY HERO:NAVY BLUE:L</t>
  </si>
  <si>
    <t>HRLK138</t>
  </si>
  <si>
    <t>66020400LK SET LSLP LION KING SILUET:CLASSIC RED:S</t>
  </si>
  <si>
    <t>66020400LK SET LSLP LION KING SILUET:CLASSIC RED:M</t>
  </si>
  <si>
    <t>66020400LK SET LSLP LION KING SILUET:CLASSIC RED:XS</t>
  </si>
  <si>
    <t>HRLK139</t>
  </si>
  <si>
    <t>66020400LK SET LSLP LION KING FOREST:CLASSIC BLUE:M</t>
  </si>
  <si>
    <t>66020400LK SET LSLP LION KING FOREST:CLASSIC BLUE:L</t>
  </si>
  <si>
    <t>66020400LK SET LSLP LION KING FOREST:CLASSIC BLUE:XL</t>
  </si>
  <si>
    <t>66020400LK SET LSLP LION KING FOREST:CLASSIC BLUE:XS</t>
  </si>
  <si>
    <t>TSUM4</t>
  </si>
  <si>
    <t>TSUM10</t>
  </si>
  <si>
    <t>TSUM13</t>
  </si>
  <si>
    <t>MINNIE5</t>
  </si>
  <si>
    <t>PRC12</t>
  </si>
  <si>
    <t>PRC10</t>
  </si>
  <si>
    <t>PRC11</t>
  </si>
  <si>
    <t>4GMINEL</t>
  </si>
  <si>
    <t>PYM OBL LSLP MINNIE ELECTRIC:PASTEL PINK:6</t>
  </si>
  <si>
    <t>DIRPG030</t>
  </si>
  <si>
    <t>LSLP PRINCESS AURORA GIFT BEAUTY:PASTEL PINK:S</t>
  </si>
  <si>
    <t>LSLP PRINCESS AURORA GIFT BEAUTY:PASTEL PINK:5-6</t>
  </si>
  <si>
    <t>LSPLCN1</t>
  </si>
  <si>
    <t>LSLP PRINCESS CINDERELLA DREAM:PASTEL BLUE:5</t>
  </si>
  <si>
    <t>DIRPG032</t>
  </si>
  <si>
    <t>DASTER SS PRINCESS BELLE:CLASSIC YELLOW:L</t>
  </si>
  <si>
    <t>DIRPG047</t>
  </si>
  <si>
    <t>66030300FZA LSLP FROZEN ANNA SUBLIM:PASTEL PINK:5-6</t>
  </si>
  <si>
    <t>66030300FZA LSLP FROZEN ANNA SUBLIM:PASTEL PINK:7-8</t>
  </si>
  <si>
    <t>66030300FZA LSLP FROZEN ANNA SUBLIM:PASTEL PINK:11-12</t>
  </si>
  <si>
    <t>66030300FZA LSLP FROZEN ANNA SUBLIM:PASTEL PINK:13-14</t>
  </si>
  <si>
    <t>DIRPG045</t>
  </si>
  <si>
    <t>66030300FZA SSLP FROZEN ELSA:PASTEL BLUE:S</t>
  </si>
  <si>
    <t>DIRPG046</t>
  </si>
  <si>
    <t>66030300FZA LSLP FROZEN ELSA:PASTEL PINK:M</t>
  </si>
  <si>
    <t>LSLPMINH</t>
  </si>
  <si>
    <t>SGSPEDY2</t>
  </si>
  <si>
    <t>SINGLET SPIDERMAN 2 NEW:NAVY BLUE:XL</t>
  </si>
  <si>
    <t>IRONK</t>
  </si>
  <si>
    <t>KK IRON MAN KOSTUM:CLASSIC RED:14-16</t>
  </si>
  <si>
    <t>SPIDEY10</t>
  </si>
  <si>
    <t>KK SPIDERMAN 10:CLASSIC RED:10-12</t>
  </si>
  <si>
    <t>SPIDEY11</t>
  </si>
  <si>
    <t>KK SPIDERMAN 11:CLASSIC BLUE:14-16</t>
  </si>
  <si>
    <t>SPIDEY8BL</t>
  </si>
  <si>
    <t>KK SPIDERMAN 8:CLASSIC BLUE:10-12</t>
  </si>
  <si>
    <t>SPIDEY6M6</t>
  </si>
  <si>
    <t>KK SPIDERMAN 6:MISTY LIGHT GREY:10-12</t>
  </si>
  <si>
    <t>SPIDEY8RD</t>
  </si>
  <si>
    <t>KK SPIDERMAN 8:CLASSIC RED:14-16</t>
  </si>
  <si>
    <t>BTS1903</t>
  </si>
  <si>
    <t>68060304MCS KK BTS SPIDERMAN:BLACK:14-16</t>
  </si>
  <si>
    <t>68060304MCS KK BTS SPIDERMAN:BLACK:18-20</t>
  </si>
  <si>
    <t>AVG1903W</t>
  </si>
  <si>
    <t>68060304OAV KK STRIPE CAPT AMERICA:WHITE:14-16</t>
  </si>
  <si>
    <t>68060304OAV KK STRIPE CAPT AMERICA:WHITE:18-20</t>
  </si>
  <si>
    <t>AVG1903R</t>
  </si>
  <si>
    <t>AVG1904</t>
  </si>
  <si>
    <t>68060304OAV KK STRIPE IRON MAN:WHITE:14-16</t>
  </si>
  <si>
    <t>AVG1905</t>
  </si>
  <si>
    <t>68060304OAV KK STRIPE HULK:WHITE:14-16</t>
  </si>
  <si>
    <t>68060304OAV KK STRIPE HULK:WHITE:18-20</t>
  </si>
  <si>
    <t>THOR3</t>
  </si>
  <si>
    <t>4BAVGN14RO</t>
  </si>
  <si>
    <t>PYM OBL LSLP IRON MAN 4R:NAVY BLUE:8</t>
  </si>
  <si>
    <t>LPSPIDEY2</t>
  </si>
  <si>
    <t>LSLP SPIDERMAN2 NEW:NAVY BLUE:10</t>
  </si>
  <si>
    <t>LPSPIDEY3</t>
  </si>
  <si>
    <t>SSLP SPIDERMAN3 NEW:MISTY MEDIUM GREY:4</t>
  </si>
  <si>
    <t>LPSPIDEY1</t>
  </si>
  <si>
    <t>LSLP SPIDERMAN1 NEW:CLASSIC BLUE:5</t>
  </si>
  <si>
    <t>AVGW56A</t>
  </si>
  <si>
    <t>66020400OAV LSLP AVG LOGO:CLASSIC RED:S</t>
  </si>
  <si>
    <t>66020400OAV LSLP AVG LOGO:CLASSIC RED:L</t>
  </si>
  <si>
    <t>A121</t>
  </si>
  <si>
    <t>66040400MCS SET LSLP SPD FP JONGKOK:MISTY LIGHT GRE:7-8</t>
  </si>
  <si>
    <t>AVGW59</t>
  </si>
  <si>
    <t>66020400OAV SET LSLP AVG TEAM:NAVY BLUE:M</t>
  </si>
  <si>
    <t>66040400OAV SET LSLP AVG TEAM:NAVY BLUE:9-10</t>
  </si>
  <si>
    <t>HR01</t>
  </si>
  <si>
    <t>66020400MCS SET LSLP SPD FACE LABA:WHITE:S</t>
  </si>
  <si>
    <t>66020400MCS SET LSLP SPD FACE LABA:WHITE:L</t>
  </si>
  <si>
    <t>66040300MCS SET LSLP SPD FACE LABA:WHITE:9-10</t>
  </si>
  <si>
    <t>AVEN199</t>
  </si>
  <si>
    <t>66020400OAV SET LSLP AVG FP A TEAM:WHITE:M</t>
  </si>
  <si>
    <t>66060300OAV SET LSLP AVG FP A TEAM:WHITE:11-12</t>
  </si>
  <si>
    <t>AVNA85</t>
  </si>
  <si>
    <t>66040300OAV SET LSLP AVG AMRIK LOGO:CLASSIC BLUE:9-10</t>
  </si>
  <si>
    <t>66060300OAV SET LSLP AVG AMRIK LOGO:CLASSIC BLUE:13-14</t>
  </si>
  <si>
    <t>HR119</t>
  </si>
  <si>
    <t>66060300MCS SET SSLP SPD FACE JARING:MISTY MEDIUM GR:13-14</t>
  </si>
  <si>
    <t>A180</t>
  </si>
  <si>
    <t>66020400MCS SET LSLP SPD FP ACT FACE:MISTY MEDIUM GR:S</t>
  </si>
  <si>
    <t>66040300MCS SET LSLP SPD FP ACT FACE:MISTY MEDIUM GR:9-10</t>
  </si>
  <si>
    <t>66060300MCS SET LSLP SPD FP ACT FACE:MISTY MEDIUM GR:13-14</t>
  </si>
  <si>
    <t>AVN209</t>
  </si>
  <si>
    <t>66020400OAV SET LSLP AVG TEAM 4:MISTY MEDIUM GRE:S</t>
  </si>
  <si>
    <t>66040300OAV SET LSLP AVG TEAM 4:MISTY MEDIUM GRE:7-8</t>
  </si>
  <si>
    <t>SPHR4</t>
  </si>
  <si>
    <t>66040300MCS SET LSLP SPD CRAWL MRV:NAVY BLUE:7-8</t>
  </si>
  <si>
    <t>AVEN207</t>
  </si>
  <si>
    <t>66020400OAV SET SSLP AVG A ASSEMBLE:CLASSIC RED:M</t>
  </si>
  <si>
    <t>AVS71</t>
  </si>
  <si>
    <t>66020400OAV SET LSLP AVG FP FACE MRV:MISTY LIGHT GRE:S</t>
  </si>
  <si>
    <t>66020400OAV SET LSLP AVG FP FACE MRV:MISTY LIGHT GRE:M</t>
  </si>
  <si>
    <t>6604030OAV SET LSLP AVG FP FACE MRV:MISTY LIGHT GRE:9-10</t>
  </si>
  <si>
    <t>RS109</t>
  </si>
  <si>
    <t>66040300S9N SET SSLP SPD PASSPORT:MISTY LIGHT GREY:7-8</t>
  </si>
  <si>
    <t>CDGL01B</t>
  </si>
  <si>
    <t>CD STARWARS GEO:CLASSIC BLUE:S</t>
  </si>
  <si>
    <t>CDGL01R</t>
  </si>
  <si>
    <t>CD STARWARS GEO:CLASSIC RED:S</t>
  </si>
  <si>
    <t>SGGL01</t>
  </si>
  <si>
    <t>SINGLET STARWARS GEO:CLASSIC BLUE:M</t>
  </si>
  <si>
    <t>SINGLET STARWARS GEO:CLASSIC BLUE:L</t>
  </si>
  <si>
    <t>SINGLET STARWARS GEO:CLASSIC BLUE:XL</t>
  </si>
  <si>
    <t>DIMKK011</t>
  </si>
  <si>
    <t>KK STARWARS VADER:WHITE:14-16</t>
  </si>
  <si>
    <t>DIMKK010</t>
  </si>
  <si>
    <t>68060304SWS KK STROM TROOPER:WHITE:14-16</t>
  </si>
  <si>
    <t>SW1902</t>
  </si>
  <si>
    <t>68060304SWS KK SW FP MACHINE:WHITE:14-16</t>
  </si>
  <si>
    <t>68060304SWS KK SW FP MACHINE:WHITE:18-20</t>
  </si>
  <si>
    <t>SW1907</t>
  </si>
  <si>
    <t>68060304SW9 KK SW TROOPER SW9:BLACK:14-16</t>
  </si>
  <si>
    <t>SW1903</t>
  </si>
  <si>
    <t>68060304SW9 KK SW FP LOGO JEDI:FROST GREY:14-16</t>
  </si>
  <si>
    <t>STAR1</t>
  </si>
  <si>
    <t>LSLP STAR WARS RPG 1:WHITE:6</t>
  </si>
  <si>
    <t>DIRPG028</t>
  </si>
  <si>
    <t>PYM SSLP DARTH VADER:WHITE:4</t>
  </si>
  <si>
    <t>PYM SSLP DARTH VADER:WHITE:12</t>
  </si>
  <si>
    <t>SWGLP05</t>
  </si>
  <si>
    <t>SSLP STARWARS GEO:WHITE:6</t>
  </si>
  <si>
    <t>SSLP STARWARS GEO:WHITE:14</t>
  </si>
  <si>
    <t>SSLP STARWARS GEO:WHITE:7</t>
  </si>
  <si>
    <t>SWGL02</t>
  </si>
  <si>
    <t>LSLP STARWARS GEO:CLASSIC BLUE:6</t>
  </si>
  <si>
    <t>LSLP STARWARS GEO:CLASSIC BLUE:8</t>
  </si>
  <si>
    <t>LSLP STARWARS GEO:CLASSIC BLUE:14</t>
  </si>
  <si>
    <t>SWCR01G</t>
  </si>
  <si>
    <t>SSLP STARWARS GALAXI REMIX:MISTY MEDIUM GREY:7</t>
  </si>
  <si>
    <t>BXGY</t>
  </si>
  <si>
    <t>DLOVWMIN</t>
  </si>
  <si>
    <t>DLFRZOVW</t>
  </si>
  <si>
    <t>LSWVFZA</t>
  </si>
  <si>
    <t>LSWKTMIN</t>
  </si>
  <si>
    <t>LS4TXMIN</t>
  </si>
  <si>
    <t>LPDANPRN</t>
  </si>
  <si>
    <t>DENIM LONG PANTS FRAYING PRINCESS ANIME 66050100PRN LPDANPRN:MEDIUM DENIM:5-6:GRAPHIC:DENIM LONG PAN</t>
  </si>
  <si>
    <t>B1G1</t>
  </si>
  <si>
    <t>DENIM LONG PANTS FRAYING PRINCESS ANIME 66050100PRN LPDANPRN:MEDIUM DENIM:7-8:GRAPHIC:DENIM LONG PAN</t>
  </si>
  <si>
    <t>DENIM LONG PANTS FRAYING PRINCESS ANIME 66050100PRN LPDANPRN:MEDIUM DENIM:9-10:GRAPHIC:DENIM LONG PA</t>
  </si>
  <si>
    <t>DENIM LONG PANTS FRAYING PRINCESS ANIME 66050100PRN LPDANPRN:MEDIUM DENIM:11-12:GRAPHIC:DENIM LONG P</t>
  </si>
  <si>
    <t>LPDCKMIN</t>
  </si>
  <si>
    <t>DENIM LONG PANTS MIINIE CHECKED 66050100MIN LPDCKMIN:MEDIUM DENIM:5-6:CHECKS:DENIM LONG PANTS</t>
  </si>
  <si>
    <t>DENIM LONG PANTS MIINIE CHECKED 66050100MIN LPDCKMIN:MEDIUM DENIM:7-8:CHECKS:DENIM LONG PANTS</t>
  </si>
  <si>
    <t>DENIM LONG PANTS MIINIE CHECKED 66050100MIN LPDCKMIN:MEDIUM DENIM:9-10:CHECKS:DENIM LONG PANTS</t>
  </si>
  <si>
    <t>DENIM LONG PANTS MIINIE CHECKED 66050100MIN LPDCKMIN:MEDIUM DENIM:11-12:CHECKS:DENIM LONG PANTS</t>
  </si>
  <si>
    <t>TSPPG4</t>
  </si>
  <si>
    <t>SS T-SHIRT PPG GIRLS LENGAN KERUT TSPPG4:PASTEL PURPLE:5-6:GRAPHIC:SS T-SHIRT</t>
  </si>
  <si>
    <t>SS T-SHIRT PPG GIRLS LENGAN KERUT TSPPG4:PASTEL PURPLE:9-10:GRAPHIC:SS T-SHIRT</t>
  </si>
  <si>
    <t>SS T-SHIRT PPG GIRLS LENGAN KERUT TSPPG4:PASTEL PURPLE:11-12:GRAPHIC:SS T-SHIRT</t>
  </si>
  <si>
    <t>TSPPG5</t>
  </si>
  <si>
    <t>SS T-SHIRT PPG 25 CUT AND SEWN TSPPG5:PASTEL PINK:5-6:GRAPHIC:SS T-SHIRT</t>
  </si>
  <si>
    <t>SS T-SHIRT PPG 25 CUT AND SEWN TSPPG5:PASTEL PINK:7-8:GRAPHIC:SS T-SHIRT</t>
  </si>
  <si>
    <t>SS T-SHIRT PPG 25 CUT AND SEWN TSPPG5:PASTEL PINK:9-10:GRAPHIC:SS T-SHIRT</t>
  </si>
  <si>
    <t>TSPPG1</t>
  </si>
  <si>
    <t>SS T-SHIRT PPG FP SERUT TSPPG1:PASTEL PINK:5-6:PRINT:SS T-SHIRT</t>
  </si>
  <si>
    <t>SS T-SHIRT PPG FP SERUT TSPPG1:PASTEL PINK:7-8:PRINT:SS T-SHIRT</t>
  </si>
  <si>
    <t>SS T-SHIRT PPG FP SERUT TSPPG1:PASTEL PINK:11-12:PRINT:SS T-SHIRT</t>
  </si>
  <si>
    <t>TSPPG2</t>
  </si>
  <si>
    <t>SS T-SHIRT PPG GRL PWR RUFFLE LENGAN TSPPG2:OFF WHITE:5-6:PRINT:SS T-SHIRT</t>
  </si>
  <si>
    <t>SS T-SHIRT PPG GRL PWR RUFFLE LENGAN TSPPG2:OFF WHITE:11-12:PRINT:SS T-SHIRT</t>
  </si>
  <si>
    <t>TSPPG3</t>
  </si>
  <si>
    <t>SS T-SHIRT PPG GIRLS POWER RUFFLE BTM TSPPG3:PASTEL ORANGE:5-6:GRAPHIC:SS T-SHIRT</t>
  </si>
  <si>
    <t>SS T-SHIRT PPG GIRLS POWER RUFFLE BTM TSPPG3:PASTEL ORANGE:9-10:GRAPHIC:SS T-SHIRT</t>
  </si>
  <si>
    <t>SS T-SHIRT PPG GIRLS POWER RUFFLE BTM TSPPG3:PASTEL ORANGE:11-12:GRAPHIC:SS T-SHIRT</t>
  </si>
  <si>
    <t>TSGGPPG1</t>
  </si>
  <si>
    <t>TSGGPPG2</t>
  </si>
  <si>
    <t>SS T-SHIRT PPG HAPPY AND FREE TSGGPPG2:OFF WHITE:5-6:GRAPHIC:SS T-SHIRT</t>
  </si>
  <si>
    <t>TSGGPPG3</t>
  </si>
  <si>
    <t>SS T-SHIRT PPG 3 BIG TSGGPPG3:PASTEL ORANGE:5-6:GRAPHIC:SS T-SHIRT</t>
  </si>
  <si>
    <t>TSGGPPG4</t>
  </si>
  <si>
    <t>SS T-SHIRT PPG GIRL POWER TSGGPPG4:PASTEL PURPLE:7-8:GRAPHIC:SS T-SHIRT</t>
  </si>
  <si>
    <t>SS T-SHIRT PPG GIRL POWER TSGGPPG4:PASTEL PURPLE:9-10:GRAPHIC:SS T-SHIRT</t>
  </si>
  <si>
    <t>SS T-SHIRT PPG GIRL POWER TSGGPPG4:PASTEL PURPLE:11-12:GRAPHIC:SS T-SHIRT</t>
  </si>
  <si>
    <t>TSGGPPG6</t>
  </si>
  <si>
    <t>SS T-SHIRT POWER PARTY PPG TSGGPPG6:PASTEL GREEN:5-6:GRAPHIC:SS T-SHIRT</t>
  </si>
  <si>
    <t>SSBARUC1</t>
  </si>
  <si>
    <t>SS T-SHIRT BARBIE UNICORN OFF SHOULDER SSBARUC1:PASTEL PINK:7-8:GRAPHIC:SS T-SHIRT</t>
  </si>
  <si>
    <t>SS T-SHIRT BARBIE UNICORN OFF SHOULDER SSBARUC1:PASTEL PINK:9-10:GRAPHIC:SS T-SHIRT</t>
  </si>
  <si>
    <t>SS T-SHIRT BARBIE UNICORN OFF SHOULDER SSBARUC1:PASTEL PINK:11-12:GRAPHIC:SS T-SHIRT</t>
  </si>
  <si>
    <t>SSBARUC2</t>
  </si>
  <si>
    <t>SS T-SHIRT BARBIE UNICORN LONG RUFFLE SSBARUC2:PASTEL PINK:5-6:GRAPHIC:SS T-SHIRT</t>
  </si>
  <si>
    <t>SS T-SHIRT BARBIE UNICORN LONG RUFFLE SSBARUC2:PASTEL PINK:7-8:GRAPHIC:SS T-SHIRT</t>
  </si>
  <si>
    <t>SS T-SHIRT BARBIE UNICORN LONG RUFFLE SSBARUC2:PASTEL PINK:9-10:GRAPHIC:SS T-SHIRT</t>
  </si>
  <si>
    <t>SS T-SHIRT BARBIE UNICORN LONG RUFFLE SSBARUC2:PASTEL PINK:11-12:GRAPHIC:SS T-SHIRT</t>
  </si>
  <si>
    <t>SSBARUC3</t>
  </si>
  <si>
    <t>SS T-SHIRT FULL PRINT BARBIE STAR SSBARUC3:PASTEL BLUE:7-8:PRINT:SS T-SHIRT</t>
  </si>
  <si>
    <t>SS T-SHIRT FULL PRINT BARBIE STAR SSBARUC3:PASTEL BLUE:9-10:PRINT:SS T-SHIRT</t>
  </si>
  <si>
    <t>SSBARUC4</t>
  </si>
  <si>
    <t>SS T-SHIRT FULL PRINT LOGO BARBIE SSBARUC4:OFF WHITE:5-6:PRINT:SS T-SHIRT</t>
  </si>
  <si>
    <t>SS T-SHIRT FULL PRINT LOGO BARBIE SSBARUC4:OFF WHITE:7-8:PRINT:SS T-SHIRT</t>
  </si>
  <si>
    <t>SS T-SHIRT FULL PRINT LOGO BARBIE SSBARUC4:OFF WHITE:11-12:PRINT:SS T-SHIRT</t>
  </si>
  <si>
    <t>SSBAR10</t>
  </si>
  <si>
    <t>SS T-SHIRT BARBIE LENGAN SERUT SSBAR10:FUSCHIA:7-8:TEXT:SS T-SHIRT</t>
  </si>
  <si>
    <t>SS T-SHIRT BARBIE LENGAN SERUT SSBAR10:FUSCHIA:9-10:TEXT:SS T-SHIRT</t>
  </si>
  <si>
    <t>SS T-SHIRT BARBIE LENGAN SERUT SSBAR10:FUSCHIA:11-12:TEXT:SS T-SHIRT</t>
  </si>
  <si>
    <t>SSBARB7</t>
  </si>
  <si>
    <t>SS T-SHIRT FP LOGO BARBIE SSBARB7:OFF WHITE:11-12:PRINT:SS T-SHIRT</t>
  </si>
  <si>
    <t>SSBARB8</t>
  </si>
  <si>
    <t>SS T-SHIRT FP FACE AND LOGO BARBIE SSBARB8:FUSCHIA:5-6:PRINT:SS T-SHIRT</t>
  </si>
  <si>
    <t>SS T-SHIRT FP FACE AND LOGO BARBIE SSBARB8:FUSCHIA:7-8:PRINT:SS T-SHIRT</t>
  </si>
  <si>
    <t>SS T-SHIRT FP FACE AND LOGO BARBIE SSBARB8:FUSCHIA:9-10:PRINT:SS T-SHIRT</t>
  </si>
  <si>
    <t>SS T-SHIRT FP FACE AND LOGO BARBIE SSBARB8:FUSCHIA:11-12:PRINT:SS T-SHIRT</t>
  </si>
  <si>
    <t>SSBARB9</t>
  </si>
  <si>
    <t>SS T-SHIRT BARBIE PARTY SSBARB9:FUSCHIA:5-6:GRAPHIC:SS T-SHIRT</t>
  </si>
  <si>
    <t>SS T-SHIRT BARBIE PARTY SSBARB9:FUSCHIA:7-8:GRAPHIC:SS T-SHIRT</t>
  </si>
  <si>
    <t>SS T-SHIRT BARBIE PARTY SSBARB9:FUSCHIA:9-10:GRAPHIC:SS T-SHIRT</t>
  </si>
  <si>
    <t>SS T-SHIRT BARBIE PARTY SSBARB9:FUSCHIA:11-12:GRAPHIC:SS T-SHIRT</t>
  </si>
  <si>
    <t>SSBARB4</t>
  </si>
  <si>
    <t>SS T-SHIRT FULL PRINT BARBIE LOVE SSBARB4:OFF WHITE:7-8:PRINT:SS T-SHIRT</t>
  </si>
  <si>
    <t>SSBARB5</t>
  </si>
  <si>
    <t>SS T-SHIRT PRINT BARBIE SSBARB5:PASTEL ORANGE:11-12:GRAPHIC:SS T-SHIRT</t>
  </si>
  <si>
    <t>SSBARB1</t>
  </si>
  <si>
    <t>TSBAR3ST</t>
  </si>
  <si>
    <t>SS T-SHIRT STRIPE BARBIE WITH SUNGLASSES TSBAR3ST:NAVY BLUE:7-8:STRIPES:SS T-SHIRT</t>
  </si>
  <si>
    <t>JKPPG</t>
  </si>
  <si>
    <t>JACKET HODIE PPG JKPPG:PASTEL PINK:9-10:GRAPHIC:JACKET</t>
  </si>
  <si>
    <t>SWBARUC</t>
  </si>
  <si>
    <t>SWEATSHIRT BARBIE UNICORN SWBARUC:PASTEL ORANGE:5-6:GRAPHIC:SWEATSHIRT</t>
  </si>
  <si>
    <t>SWEATSHIRT BARBIE UNICORN SWBARUC:PASTEL ORANGE:7-8:GRAPHIC:SWEATSHIRT</t>
  </si>
  <si>
    <t>SWEATSHIRT BARBIE UNICORN SWBARUC:PASTEL ORANGE:9-10:GRAPHIC:SWEATSHIRT</t>
  </si>
  <si>
    <t>SWEATSHIRT BARBIE UNICORN SWBARUC:PASTEL ORANGE:11-12:GRAPHIC:SWEATSHIRT</t>
  </si>
  <si>
    <t>JKBARB2</t>
  </si>
  <si>
    <t>JACKET LENGAN LIS BARBIE JKBARB2:PASTEL PINK:9-10:GRAPHIC:JACKET</t>
  </si>
  <si>
    <t>JACKET LENGAN LIS BARBIE JKBARB2:PASTEL PINK:11-12:GRAPHIC:JACKET</t>
  </si>
  <si>
    <t>SWHBARDT</t>
  </si>
  <si>
    <t>SWEATSHIRT BARBIE DREAM TOGETHER SWHBARDT:FUSCHIA:5-6:GRAPHIC:SWEATSHIRT</t>
  </si>
  <si>
    <t>SWEATSHIRT BARBIE DREAM TOGETHER SWHBARDT:FUSCHIA:7-8:GRAPHIC:SWEATSHIRT</t>
  </si>
  <si>
    <t>SWEATSHIRT BARBIE DREAM TOGETHER SWHBARDT:FUSCHIA:9-10:GRAPHIC:SWEATSHIRT</t>
  </si>
  <si>
    <t>JKBARBIE</t>
  </si>
  <si>
    <t>JACKET BARBIE JKBARBIE:PASTEL PINK:11-12:GRAPHIC:JACKET</t>
  </si>
  <si>
    <t>SWSTBAR1</t>
  </si>
  <si>
    <t>SWEATSHIRT STRIPE BARBIE SWSTBAR1:PASTEL PINK:7-8:STRIPES:SWEATSHIRT</t>
  </si>
  <si>
    <t>SWEATSHIRT STRIPE BARBIE SWSTBAR1:PASTEL PINK:11-12:STRIPES:SWEATSHIRT</t>
  </si>
  <si>
    <t>SWSTBAR2</t>
  </si>
  <si>
    <t>SWEATSHIRT STRIPE BARBIE SWSTBAR2:PASTEL YELLOW:7-8:STRIPES:SWEATSHIRT</t>
  </si>
  <si>
    <t>SWEATSHIRT STRIPE BARBIE SWSTBAR2:PASTEL YELLOW:11-12:STRIPES:SWEATSHIRT</t>
  </si>
  <si>
    <t>JGBARUC</t>
  </si>
  <si>
    <t>JOGGER BARBIE UNICORN JGBARUC:PASTEL PURPLE:5-6:GRAPHIC:JOGGER</t>
  </si>
  <si>
    <t>JOGGER BARBIE UNICORN JGBARUC:PASTEL PURPLE:7-8:GRAPHIC:JOGGER</t>
  </si>
  <si>
    <t>JOGGER BARBIE UNICORN JGBARUC:PASTEL PURPLE:9-10:GRAPHIC:JOGGER</t>
  </si>
  <si>
    <t>JOGGER BARBIE UNICORN JGBARUC:PASTEL PURPLE:11-12:GRAPHIC:JOGGER</t>
  </si>
  <si>
    <t>JGBARBIE</t>
  </si>
  <si>
    <t>JOGGER BARBIE JGBARBIE:PASTEL PINK:5-6:GRAPHIC:JOGGER</t>
  </si>
  <si>
    <t>JOGGER BARBIE JGBARBIE:PASTEL PINK:9-10:GRAPHIC:JOGGER</t>
  </si>
  <si>
    <t>DLBARUC</t>
  </si>
  <si>
    <t>LS MIDI DRESS BARBIE UNICORN DLBARUC:PASTEL ORANGE:5-6:GRAPHIC:LS MIDI DRESS</t>
  </si>
  <si>
    <t>DSBARB</t>
  </si>
  <si>
    <t>SS MIDI DRESS BARBIE DSBARB:PASTEL PINK:9-10:GRAPHIC:SS MIDI DRESS</t>
  </si>
  <si>
    <t>CHARACTER</t>
  </si>
  <si>
    <t>LONG PANTS BBTR PRINCESS 66050100PRN LPMMPRN:PASTEL PINK:13-14:GRAPHIC:LONG PANTS</t>
  </si>
  <si>
    <t>LPMMPRN</t>
  </si>
  <si>
    <t>LONG PANTS BBTR PRINCESS 66050100PRN LPMMPRN:PASTEL PINK:11-12:GRAPHIC:LONG PANTS</t>
  </si>
  <si>
    <t>LONG PANTS BBTR PRINCESS 66050100PRN LPMMPRN:PASTEL PINK:9-10:GRAPHIC:LONG PANTS</t>
  </si>
  <si>
    <t>LONG PANTS BBTR PRINCESS 66050100PRN LPMMPRN:PASTEL PINK:7-8:GRAPHIC:LONG PANTS</t>
  </si>
  <si>
    <t>JACKET HOODIE PRINCESS 66050100PRN JKHMMPRN:PASTEL PINK:13-14:GRAPHIC:JACKET</t>
  </si>
  <si>
    <t>JKHMMPRN</t>
  </si>
  <si>
    <t>SS T-SHIRT DAISY BORN TO BLOOM 66050100STD TSDSBTB:PASTEL PINK:11-12:GRAPHIC:SS T-SHIRT</t>
  </si>
  <si>
    <t>TSDSBTB</t>
  </si>
  <si>
    <t>SS T-SHIRT DAISY BORN TO BLOOM 66050100STD TSDSBTB:PASTEL PINK:7-8:GRAPHIC:SS T-SHIRT</t>
  </si>
  <si>
    <t>SS T-SHIRT DAISY BORN TO BLOOM 66050100STD TSDSBTB:PASTEL PINK:5-6:GRAPHIC:SS T-SHIRT</t>
  </si>
  <si>
    <t>TSDSMIN</t>
  </si>
  <si>
    <t>SS T-SHIRT CS MINNIE N DAISY 66050100MIN TSDSMIN:ASSORTIVE COLOR:9-10:GRAPHIC:SS T-SHIRT</t>
  </si>
  <si>
    <t>SS T-SHIRT CUT N SEWN PRINCESS SNOW WHITE 66050100PRN SSSWPRN:PASTEL PINK:13-14:GRAPHIC:SS T-SHIRT</t>
  </si>
  <si>
    <t>SSSWPRN</t>
  </si>
  <si>
    <t>SS T-SHIRT CUT N SEWN PRINCESS SNOW WHITE 66050100PRN SSSWPRN:PASTEL PINK:11-12:GRAPHIC:SS T-SHIRT</t>
  </si>
  <si>
    <t>SS T-SHIRT CUT N SEWN PRINCESS SNOW WHITE 66050100PRN SSSWPRN:PASTEL PINK:9-10:GRAPHIC:SS T-SHIRT</t>
  </si>
  <si>
    <t>SS T-SHIRT TEAM UP PRINCESS AURORA 66050100PRN SSTEAMUP:PASTEL PURPLE:13-14:GRAPHIC:SS T-SHIRT</t>
  </si>
  <si>
    <t>SSTEAMUP</t>
  </si>
  <si>
    <t>SS T-SHIRT TEAM UP PRINCESS AURORA 66050100PRN SSTEAMUP:PASTEL PURPLE:11-12:GRAPHIC:SS T-SHIRT</t>
  </si>
  <si>
    <t>SS T-SHIRT TEAM UP PRINCESS AURORA 66050100PRN SSTEAMUP:PASTEL PURPLE:9-10:GRAPHIC:SS T-SHIRT</t>
  </si>
  <si>
    <t>SS T-SHIRT TEAM UP PRINCESS AURORA 66050100PRN SSTEAMUP:PASTEL PURPLE:7-8:GRAPHIC:SS T-SHIRT</t>
  </si>
  <si>
    <t>DDBBAM</t>
  </si>
  <si>
    <t>SS MIDI DRESS DAILY SUSUN BAMBI DDBBAM:ASSORTIVE COLOR:11-12:GRAPHIC:SS MIDI DRESS</t>
  </si>
  <si>
    <t>SS T-SHIRT BABYTERRY PRINCESS SNOW WHITE SSBTSNW:PASTEL PINK:7-8:GRAPHIC:SS T-SHIRT</t>
  </si>
  <si>
    <t>SSBTSNW</t>
  </si>
  <si>
    <t>SS T-SHIRT BABYTERRY PRINCESS SNOW WHITE SSBTSNW:PASTEL PINK:5-6:GRAPHIC:SS T-SHIRT</t>
  </si>
  <si>
    <t>SS T-SHIRT BABYTERRY PRINCESS SNOW WHITE SSBTSNW:PASTEL PINK:4-5:GRAPHIC:SS T-SHIRT</t>
  </si>
  <si>
    <t>SS T-SHIRT BABYTERRY PRINCESS SNOW WHITE SSBTSNW:PASTEL PINK:3-4:GRAPHIC:SS T-SHIRT</t>
  </si>
  <si>
    <t>SS T-SHIRT BABY TERRY PRINCESS ARIEL SSBTARI:PASTEL PINK:4-5:GRAPHIC:SS T-SHIRT</t>
  </si>
  <si>
    <t>SSBTARI</t>
  </si>
  <si>
    <t>SS T-SHIRT BABY TERRY PRINCESS ARIEL SSBTARI:PASTEL PINK:3-4:GRAPHIC:SS T-SHIRT</t>
  </si>
  <si>
    <t>SS T-SHIRT BABY TERRY PRINCESS ARIEL SSBTARI:PASTEL PINK:7-8:GRAPHIC:SS T-SHIRT</t>
  </si>
  <si>
    <t>SS T-SHIRT BABY TERRY PRINCESS ARIEL SSBTARI:PASTEL PINK:5-6:GRAPHIC:SS T-SHIRT</t>
  </si>
  <si>
    <t>DSWFBAMB</t>
  </si>
  <si>
    <t>SS MIDI DRESS SS WAFEL BAMBI DSWFBAMB:OFF WHITE:6-12:PRINT:SS MIDI DRESS</t>
  </si>
  <si>
    <t>SETBAME</t>
  </si>
  <si>
    <t>TOP-BOTTOM SET SS BAMBI SETBAME:OFF WHITE:12-18:PRINT:TOP - BOTTOM SET</t>
  </si>
  <si>
    <t>SPCND</t>
  </si>
  <si>
    <t>SHORT PANTS CHIP N DALE SPCND:SAND:18-24:PRINT:SHORT PANTS</t>
  </si>
  <si>
    <t>SHORT PANTS CHIP N DALE SPCND:SAND:12-18:PRINT:SHORT PANTS</t>
  </si>
  <si>
    <t>JAKET HOODIE CHIP N DALE JKCND:ASSORTIVE COLOR:24-36:PRINT:JACKET</t>
  </si>
  <si>
    <t>JKCND</t>
  </si>
  <si>
    <t>TSCND</t>
  </si>
  <si>
    <t>SS T-SHIRT CUT &amp; SEWN CHIP N DALE 66020100 TSCND:ASSORTIVE COLOR:18-24:PRINT:SS T-SHIRT</t>
  </si>
  <si>
    <t>SS T-SHIRT CUT &amp; SEWN CHIP N DALE 66020100 TSCND:ASSORTIVE COLOR:12-18:PRINT:SS T-SHIRT</t>
  </si>
  <si>
    <t>DSWKTMIN</t>
  </si>
  <si>
    <t>DSBROMIN</t>
  </si>
  <si>
    <t>SS MIDI DRESS BROKAT MINNIE DSBROMIN:OFF WHITE:5-6:GRAPHIC:SS MIDI DRESS</t>
  </si>
  <si>
    <t>SS MIDI DRESS BROKAT MINNIE DSBROMIN:OFF WHITE:7-8:GRAPHIC:SS MIDI DRESS</t>
  </si>
  <si>
    <t>SS MIDI DRESS BROKAT MINNIE DSBROMIN:OFF WHITE:11-12:GRAPHIC:SS MIDI DRESS</t>
  </si>
  <si>
    <t>TSPPG44</t>
  </si>
  <si>
    <t>SS T-SHIRT PPG KERAH TSPPG44:PASTEL PINK:5-6:GRAPHIC:SS T-SHIRT</t>
  </si>
  <si>
    <t>SS T-SHIRT PPG KERAH TSPPG44:PASTEL PINK:7-8:GRAPHIC:SS T-SHIRT</t>
  </si>
  <si>
    <t>SS T-SHIRT PPG KERAH TSPPG44:PASTEL PINK:11-12:GRAPHIC:SS T-SHIRT</t>
  </si>
  <si>
    <t>TSPPG41</t>
  </si>
  <si>
    <t>SS T-SHIRT PPG OMBRE LENGAN RUFFLE TSPPG41:PASTEL PINK:5-6:GRAPHIC:SS T-SHIRT</t>
  </si>
  <si>
    <t>SS T-SHIRT PPG OMBRE LENGAN RUFFLE TSPPG41:PASTEL PINK:7-8:GRAPHIC:SS T-SHIRT</t>
  </si>
  <si>
    <t>SS T-SHIRT PPG OMBRE LENGAN RUFFLE TSPPG41:PASTEL PINK:9-10:GRAPHIC:SS T-SHIRT</t>
  </si>
  <si>
    <t>SS T-SHIRT PPG OMBRE LENGAN RUFFLE TSPPG41:PASTEL PINK:11-12:GRAPHIC:SS T-SHIRT</t>
  </si>
  <si>
    <t>TSPPG42</t>
  </si>
  <si>
    <t>SS T-SHIRT PPG LENGAN SERUT TSPPG42:PASTEL BLUE:5-6:GRAPHIC:SS T-SHIRT</t>
  </si>
  <si>
    <t>SS T-SHIRT PPG LENGAN SERUT TSPPG42:PASTEL BLUE:7-8:GRAPHIC:SS T-SHIRT</t>
  </si>
  <si>
    <t>SS T-SHIRT PPG LENGAN SERUT TSPPG42:PASTEL BLUE:9-10:GRAPHIC:SS T-SHIRT</t>
  </si>
  <si>
    <t>SS T-SHIRT PPG LENGAN SERUT TSPPG42:PASTEL BLUE:11-12:GRAPHIC:SS T-SHIRT</t>
  </si>
  <si>
    <t>TSHK1</t>
  </si>
  <si>
    <t>SS T-SHIRT FP BBTR HELLO KITTY W BAG TSHK1:CLASSIC RED:3-4:PRINT:SS T-SHIRT</t>
  </si>
  <si>
    <t>SS T-SHIRT FP BBTR HELLO KITTY W BAG TSHK1:CLASSIC RED:4-5:PRINT:SS T-SHIRT</t>
  </si>
  <si>
    <t>SS T-SHIRT FP BBTR HELLO KITTY W BAG TSHK1:CLASSIC RED:5-6:PRINT:SS T-SHIRT</t>
  </si>
  <si>
    <t>TSPPG43</t>
  </si>
  <si>
    <t>SS T-SHIRT PPG OMBRE PITA DEPAN TSPPG43:ASSORTIVE COLOR:5-6:GRAPHIC:SS T-SHIRT</t>
  </si>
  <si>
    <t>SS T-SHIRT PPG OMBRE PITA DEPAN TSPPG43:ASSORTIVE COLOR:7-8:GRAPHIC:SS T-SHIRT</t>
  </si>
  <si>
    <t>SS T-SHIRT PPG OMBRE PITA DEPAN TSPPG43:ASSORTIVE COLOR:9-10:GRAPHIC:SS T-SHIRT</t>
  </si>
  <si>
    <t>SS T-SHIRT PPG OMBRE PITA DEPAN TSPPG43:ASSORTIVE COLOR:11-12:GRAPHIC:SS T-SHIRT</t>
  </si>
  <si>
    <t>TSHK3</t>
  </si>
  <si>
    <t>SS T-SHIRT HELLO KITTY RUFFLE TULLE DIL TSHK3:PASTEL ORANGE:3-4:GRAPHIC:SS T-SHIRT</t>
  </si>
  <si>
    <t>SS T-SHIRT HELLO KITTY RUFFLE TULLE DIL TSHK3:PASTEL ORANGE:4-5:GRAPHIC:SS T-SHIRT</t>
  </si>
  <si>
    <t>SS T-SHIRT HELLO KITTY RUFFLE TULLE DIL TSHK3:PASTEL ORANGE:5-6:GRAPHIC:SS T-SHIRT</t>
  </si>
  <si>
    <t>SS T-SHIRT HELLO KITTY RUFFLE TULLE DIL TSHK3:PASTEL ORANGE:7-8:GRAPHIC:SS T-SHIRT</t>
  </si>
  <si>
    <t>SS T-SHIRT PPG APL BORDIR TSGGPPG1:PASTEL PINK:7-8:GRAPHIC:SS T-SHIRT</t>
  </si>
  <si>
    <t>SS T-SHIRT PPG HAPPY AND FREE TSGGPPG2:OFF WHITE:7-8:GRAPHIC:SS T-SHIRT</t>
  </si>
  <si>
    <t>SS T-SHIRT POWER PARTY PPG TSGGPPG6:PASTEL GREEN:7-8:GRAPHIC:SS T-SHIRT</t>
  </si>
  <si>
    <t>TSHKT5</t>
  </si>
  <si>
    <t>SS T-SHIRT CS HELLO KITTY TSHKT5:ASSORTIVE COLOR:5-6:GRAPHIC:SS T-SHIRT</t>
  </si>
  <si>
    <t>SS T-SHIRT CS HELLO KITTY TSHKT5:ASSORTIVE COLOR:7-8:GRAPHIC:SS T-SHIRT</t>
  </si>
  <si>
    <t>SS T-SHIRT CS HELLO KITTY TSHKT5:ASSORTIVE COLOR:11-12:GRAPHIC:SS T-SHIRT</t>
  </si>
  <si>
    <t>TSHKT6</t>
  </si>
  <si>
    <t>SS T-SHIRT FP HELLO KITTY TSHKT6:OFF WHITE:5-6:PRINT:SS T-SHIRT</t>
  </si>
  <si>
    <t>SS T-SHIRT FP HELLO KITTY TSHKT6:OFF WHITE:7-8:PRINT:SS T-SHIRT</t>
  </si>
  <si>
    <t>SS T-SHIRT FP HELLO KITTY TSHKT6:OFF WHITE:11-12:PRINT:SS T-SHIRT</t>
  </si>
  <si>
    <t>SSBAR245</t>
  </si>
  <si>
    <t>SS T-SHIRT BARBIE SQUAD GOALS SSBAR245:PASTEL PINK:5-6:GRAPHIC:SS T-SHIRT</t>
  </si>
  <si>
    <t>SS T-SHIRT BARBIE SQUAD GOALS SSBAR245:PASTEL PINK:7-8:GRAPHIC:SS T-SHIRT</t>
  </si>
  <si>
    <t>SS T-SHIRT BARBIE SQUAD GOALS SSBAR245:PASTEL PINK:9-10:GRAPHIC:SS T-SHIRT</t>
  </si>
  <si>
    <t>SS T-SHIRT BARBIE SQUAD GOALS SSBAR245:PASTEL PINK:11-12:GRAPHIC:SS T-SHIRT</t>
  </si>
  <si>
    <t>SSBAR242</t>
  </si>
  <si>
    <t>SS T-SHIRT BARBIE LGN TULLE LEBAR SSBAR242:OFF WHITE:5-6:GRAPHIC:SS T-SHIRT</t>
  </si>
  <si>
    <t>SS T-SHIRT BARBIE LGN TULLE LEBAR SSBAR242:OFF WHITE:7-8:GRAPHIC:SS T-SHIRT</t>
  </si>
  <si>
    <t>SS T-SHIRT BARBIE LGN TULLE LEBAR SSBAR242:OFF WHITE:9-10:GRAPHIC:SS T-SHIRT</t>
  </si>
  <si>
    <t>SS T-SHIRT BARBIE LGN TULLE LEBAR SSBAR242:OFF WHITE:11-12:GRAPHIC:SS T-SHIRT</t>
  </si>
  <si>
    <t>SSBAR243</t>
  </si>
  <si>
    <t>SS T-SHIRT BARBIE RAINBOW LGN LEBAR SSBAR243:PASTEL PINK:5-6:GRAPHIC:SS T-SHIRT</t>
  </si>
  <si>
    <t>SS T-SHIRT BARBIE RAINBOW LGN LEBAR SSBAR243:PASTEL PINK:7-8:GRAPHIC:SS T-SHIRT</t>
  </si>
  <si>
    <t>SS T-SHIRT BARBIE RAINBOW LGN LEBAR SSBAR243:PASTEL PINK:9-10:GRAPHIC:SS T-SHIRT</t>
  </si>
  <si>
    <t>SS T-SHIRT BARBIE RAINBOW LGN LEBAR SSBAR243:PASTEL PINK:11-12:GRAPHIC:SS T-SHIRT</t>
  </si>
  <si>
    <t>SSBARB2A</t>
  </si>
  <si>
    <t>SS T-SHIRT BARBIE COLOR BLOCK SSBARB2A:PASTEL PINK:5-6:TEXT:SS T-SHIRT</t>
  </si>
  <si>
    <t>SS T-SHIRT BARBIE COLOR BLOCK SSBARB2A:PASTEL PINK:7-8:TEXT:SS T-SHIRT</t>
  </si>
  <si>
    <t>SS T-SHIRT BARBIE COLOR BLOCK SSBARB2A:PASTEL PINK:9-10:TEXT:SS T-SHIRT</t>
  </si>
  <si>
    <t>SS T-SHIRT BARBIE COLOR BLOCK SSBARB2A:PASTEL PINK:11-12:TEXT:SS T-SHIRT</t>
  </si>
  <si>
    <t>LSBAR242</t>
  </si>
  <si>
    <t>LS T-SHIRT BARBIE CUT N SEWN KANTONG LSBAR242:PASTEL PINK:5-6:GRAPHIC:LS T-SHIRT</t>
  </si>
  <si>
    <t>LS T-SHIRT BARBIE CUT N SEWN KANTONG LSBAR242:PASTEL PINK:7-8:GRAPHIC:LS T-SHIRT</t>
  </si>
  <si>
    <t>LS T-SHIRT BARBIE CUT N SEWN KANTONG LSBAR242:PASTEL PINK:9-10:GRAPHIC:LS T-SHIRT</t>
  </si>
  <si>
    <t>LS T-SHIRT BARBIE CUT N SEWN KANTONG LSBAR242:PASTEL PINK:11-12:GRAPHIC:LS T-SHIRT</t>
  </si>
  <si>
    <t>JKAMHK</t>
  </si>
  <si>
    <t>JACKET HELLO KITTY JKAMHK:CLASSIC RED:3-4:GRAPHIC:JACKET</t>
  </si>
  <si>
    <t>JACKET HELLO KITTY JKAMHK:CLASSIC RED:4-5:GRAPHIC:JACKET</t>
  </si>
  <si>
    <t>JACKET HELLO KITTY JKAMHK:CLASSIC RED:5-6:GRAPHIC:JACKET</t>
  </si>
  <si>
    <t>SWAMHK</t>
  </si>
  <si>
    <t>SWEATSHIRT HELLO KITTY SWAMHK:OFF WHITE:3-4:GRAPHIC:SWEATSHIRT</t>
  </si>
  <si>
    <t>SWEATSHIRT HELLO KITTY SWAMHK:OFF WHITE:4-5:GRAPHIC:SWEATSHIRT</t>
  </si>
  <si>
    <t>SWEATSHIRT HELLO KITTY SWAMHK:OFF WHITE:5-6:GRAPHIC:SWEATSHIRT</t>
  </si>
  <si>
    <t>SWBAR241</t>
  </si>
  <si>
    <t>SWEATSHIRT BARBIE DREAM BIG SWBAR241:PASTEL PINK:5-6:GRAPHIC:SWEATSHIRT</t>
  </si>
  <si>
    <t>SWEATSHIRT BARBIE DREAM BIG SWBAR241:PASTEL PINK:7-8:GRAPHIC:SWEATSHIRT</t>
  </si>
  <si>
    <t>SWEATSHIRT BARBIE DREAM BIG SWBAR241:PASTEL PINK:9-10:GRAPHIC:SWEATSHIRT</t>
  </si>
  <si>
    <t>SWEATSHIRT BARBIE DREAM BIG SWBAR241:PASTEL PINK:11-12:GRAPHIC:SWEATSHIRT</t>
  </si>
  <si>
    <t>SKAMHK</t>
  </si>
  <si>
    <t>MINI SKIRT SKORT HELLO KITTY SKAMHK:CLASSIC RED:3-4:GRAPHIC:MINI SKIRT</t>
  </si>
  <si>
    <t>MINI SKIRT SKORT HELLO KITTY SKAMHK:CLASSIC RED:4-5:GRAPHIC:MINI SKIRT</t>
  </si>
  <si>
    <t>MINI SKIRT SKORT HELLO KITTY SKAMHK:CLASSIC RED:5-6:GRAPHIC:MINI SKIRT</t>
  </si>
  <si>
    <t>JGAMHK</t>
  </si>
  <si>
    <t>JOGGER HELLO KITTY JGAMHK:CLASSIC RED:3-4:GRAPHIC:JOGGER</t>
  </si>
  <si>
    <t>JOGGER HELLO KITTY JGAMHK:CLASSIC RED:4-5:GRAPHIC:JOGGER</t>
  </si>
  <si>
    <t>JOGGER HELLO KITTY JGAMHK:CLASSIC RED:5-6:GRAPHIC:JOGGER</t>
  </si>
  <si>
    <t>SKKIBHK</t>
  </si>
  <si>
    <t>MINI SKIRT SKORT DENIM HELLO KITTY SKKIBHK:MEDIUM DENIM:5-6:GRAPHIC:MINI SKIRT</t>
  </si>
  <si>
    <t>MINI SKIRT SKORT DENIM HELLO KITTY SKKIBHK:MEDIUM DENIM:7-8:GRAPHIC:MINI SKIRT</t>
  </si>
  <si>
    <t>MINI SKIRT SKORT DENIM HELLO KITTY SKKIBHK:MEDIUM DENIM:11-12:GRAPHIC:MINI SKIRT</t>
  </si>
  <si>
    <t>DOSHK</t>
  </si>
  <si>
    <t>SS MIDI DRESS OVERALL HELLO KITTY DOSHK:OFF WHITE:3-4:GRAPHIC:SS MIDI DRESS</t>
  </si>
  <si>
    <t>SS MIDI DRESS OVERALL HELLO KITTY DOSHK:OFF WHITE:4-5:GRAPHIC:SS MIDI DRESS</t>
  </si>
  <si>
    <t>SS MIDI DRESS OVERALL HELLO KITTY DOSHK:OFF WHITE:5-6:GRAPHIC:SS MIDI DRESS</t>
  </si>
  <si>
    <t>DSKRHK</t>
  </si>
  <si>
    <t>SS MIDI DRESS HELLO KITTY KERAH DSKRHK:CLASSIC RED:3-4:GRAPHIC:SS MIDI DRESS</t>
  </si>
  <si>
    <t>SS MIDI DRESS HELLO KITTY KERAH DSKRHK:CLASSIC RED:4-5:GRAPHIC:SS MIDI DRESS</t>
  </si>
  <si>
    <t>SS MIDI DRESS HELLO KITTY KERAH DSKRHK:CLASSIC RED:5-6:GRAPHIC:SS MIDI DRESS</t>
  </si>
  <si>
    <t>DSDILHK1</t>
  </si>
  <si>
    <t>SS MIDI DRESS FP HELLO KITTY DSDILHK1:OFF WHITE:3-4:GRAPHIC:SS MIDI DRESS</t>
  </si>
  <si>
    <t>SS MIDI DRESS FP HELLO KITTY DSDILHK1:OFF WHITE:4-5:GRAPHIC:SS MIDI DRESS</t>
  </si>
  <si>
    <t>SS MIDI DRESS FP HELLO KITTY DSDILHK1:OFF WHITE:5-6:GRAPHIC:SS MIDI DRESS</t>
  </si>
  <si>
    <t>SS MIDI DRESS FP HELLO KITTY DSDILHK1:OFF WHITE:7-8:GRAPHIC:SS MIDI DRESS</t>
  </si>
  <si>
    <t>DSDILHK2</t>
  </si>
  <si>
    <t>SS MIDI DRESS OVERALL HELLO KITTY DIL DSDILHK2:PASTEL PINK:3-4:GRAPHIC:SS MIDI DRESS</t>
  </si>
  <si>
    <t>SS MIDI DRESS OVERALL HELLO KITTY DIL DSDILHK2:PASTEL PINK:4-5:GRAPHIC:SS MIDI DRESS</t>
  </si>
  <si>
    <t>SS MIDI DRESS OVERALL HELLO KITTY DIL DSDILHK2:PASTEL PINK:5-6:GRAPHIC:SS MIDI DRESS</t>
  </si>
  <si>
    <t>SS MIDI DRESS OVERALL HELLO KITTY DIL DSDILHK2:PASTEL PINK:7-8:GRAPHIC:SS MIDI DRESS</t>
  </si>
  <si>
    <t>DSDILHK</t>
  </si>
  <si>
    <t>LS MIDI DRESS HELLO KITTY SLING BAG DSDILHK:OFF WHITE:3-4:GRAPHIC:LS MIDI DRESS</t>
  </si>
  <si>
    <t>LS MIDI DRESS HELLO KITTY SLING BAG DSDILHK:OFF WHITE:4-5:GRAPHIC:LS MIDI DRESS</t>
  </si>
  <si>
    <t>LS MIDI DRESS HELLO KITTY SLING BAG DSDILHK:OFF WHITE:5-6:GRAPHIC:LS MIDI DRESS</t>
  </si>
  <si>
    <t>LS MIDI DRESS HELLO KITTY SLING BAG DSDILHK:OFF WHITE:7-8:GRAPHIC:LS MIDI DRESS</t>
  </si>
  <si>
    <t>SSMEMAR1</t>
  </si>
  <si>
    <t>SS T-SHIRT TOP TALI SERUT FP MARIE SSMEMAR1:PASTEL ORANGE:5-6:PRINT:SS T-SHIRT</t>
  </si>
  <si>
    <t>SS T-SHIRT TOP TALI SERUT FP MARIE SSMEMAR1:PASTEL ORANGE:7-8:PRINT:SS T-SHIRT</t>
  </si>
  <si>
    <t>SS T-SHIRT TOP TALI SERUT FP MARIE SSMEMAR1:PASTEL ORANGE:9-10:PRINT:SS T-SHIRT</t>
  </si>
  <si>
    <t>SS T-SHIRT TOP TALI SERUT FP MARIE SSMEMAR1:PASTEL ORANGE:11-12:PRINT:SS T-SHIRT</t>
  </si>
  <si>
    <t>SSMMIN</t>
  </si>
  <si>
    <t>SS T-SHIRT TOP FP MINNIE FLOCKING SSMMIN:PASTEL BLUE:5-6:PRINT:SS T-SHIRT</t>
  </si>
  <si>
    <t>SS T-SHIRT TOP FP MINNIE FLOCKING SSMMIN:PASTEL BLUE:7-8:PRINT:SS T-SHIRT</t>
  </si>
  <si>
    <t>SS T-SHIRT TOP FP MINNIE FLOCKING SSMMIN:PASTEL BLUE:11-12:PRINT:SS T-SHIRT</t>
  </si>
  <si>
    <t>LSMINL4</t>
  </si>
  <si>
    <t>LS T-SHIRT 3/4 BT MINNIE WILD FLOWER LSMINL4:PASTEL PINK:5-6:GRAPHIC:LS T-SHIRT</t>
  </si>
  <si>
    <t>LS T-SHIRT 3/4 BT MINNIE WILD FLOWER LSMINL4:PASTEL PINK:7-8:GRAPHIC:LS T-SHIRT</t>
  </si>
  <si>
    <t>LS T-SHIRT 3/4 BT MINNIE WILD FLOWER LSMINL4:PASTEL PINK:11-12:GRAPHIC:LS T-SHIRT</t>
  </si>
  <si>
    <t>TSSNMIN</t>
  </si>
  <si>
    <t>SS T-SHIRT FP MINNIE STARRY NIGHT TSSNMIN:PASTEL ORANGE:5-6:PRINT:SS T-SHIRT</t>
  </si>
  <si>
    <t>SS T-SHIRT FP MINNIE STARRY NIGHT TSSNMIN:PASTEL ORANGE:7-8:PRINT:SS T-SHIRT</t>
  </si>
  <si>
    <t>SS T-SHIRT FP MINNIE STARRY NIGHT TSSNMIN:PASTEL ORANGE:9-10:PRINT:SS T-SHIRT</t>
  </si>
  <si>
    <t>SS T-SHIRT FP MINNIE STARRY NIGHT TSSNMIN:PASTEL ORANGE:11-12:PRINT:SS T-SHIRT</t>
  </si>
  <si>
    <t>LSL4FZA</t>
  </si>
  <si>
    <t>LS T-SHIRT TOP FROZEN RUFFLE LENGAN BBTR  LSL4FZA:PASTEL GREEN:5-6:GRAPHIC:LS T-SHIRT</t>
  </si>
  <si>
    <t>LS T-SHIRT TOP FROZEN RUFFLE LENGAN BBTR  LSL4FZA:PASTEL GREEN:7-8:GRAPHIC:LS T-SHIRT</t>
  </si>
  <si>
    <t>LS T-SHIRT TOP FROZEN RUFFLE LENGAN BBTR  LSL4FZA:PASTEL GREEN:9-10:GRAPHIC:LS T-SHIRT</t>
  </si>
  <si>
    <t>LS T-SHIRT TOP FROZEN RUFFLE LENGAN BBTR  LSL4FZA:PASTEL GREEN:11-12:GRAPHIC:LS T-SHIRT</t>
  </si>
  <si>
    <t>LSL4RMAR</t>
  </si>
  <si>
    <t>LS T-SHIRT TOP MARIE RUFFLE BAWAH BBTR LSL4RMAR:PASTEL PINK:5-6:GRAPHIC:LS T-SHIRT</t>
  </si>
  <si>
    <t>LS T-SHIRT TOP MARIE RUFFLE BAWAH BBTR LSL4RMAR:PASTEL PINK:7-8:GRAPHIC:LS T-SHIRT</t>
  </si>
  <si>
    <t>LS T-SHIRT TOP MARIE RUFFLE BAWAH BBTR LSL4RMAR:PASTEL PINK:9-10:GRAPHIC:LS T-SHIRT</t>
  </si>
  <si>
    <t>LS T-SHIRT TOP MARIE RUFFLE BAWAH BBTR LSL4RMAR:PASTEL PINK:11-12:GRAPHIC:LS T-SHIRT</t>
  </si>
  <si>
    <t>TSCSANPRN</t>
  </si>
  <si>
    <t>SS T-SHIRT PRINCESS ANIME CUT AND SEWN TSCSANPRN:ASSORTIVE COLOR:5-6:GRAPHIC:SS T-SHIRT</t>
  </si>
  <si>
    <t>SS T-SHIRT PRINCESS ANIME CUT AND SEWN TSCSANPRN:ASSORTIVE COLOR:7-8:GRAPHIC:SS T-SHIRT</t>
  </si>
  <si>
    <t>SS T-SHIRT PRINCESS ANIME CUT AND SEWN TSCSANPRN:ASSORTIVE COLOR:11-12:GRAPHIC:SS T-SHIRT</t>
  </si>
  <si>
    <t>SWTANPRN</t>
  </si>
  <si>
    <t>SWEATSHIRT TIEDYE PRINCESS ANIME 66050100PRN SWTANPRN:ASSORTIVE COLOR:5-6:OMBRE:SWEATSHIRT</t>
  </si>
  <si>
    <t>SWEATSHIRT TIEDYE PRINCESS ANIME 66050100PRN SWTANPRN:ASSORTIVE COLOR:7-8:OMBRE:SWEATSHIRT</t>
  </si>
  <si>
    <t>SWEATSHIRT TIEDYE PRINCESS ANIME 66050100PRN SWTANPRN:ASSORTIVE COLOR:9-10:OMBRE:SWEATSHIRT</t>
  </si>
  <si>
    <t>SWEATSHIRT TIEDYE PRINCESS ANIME 66050100PRN SWTANPRN:ASSORTIVE COLOR:11-12:OMBRE:SWEATSHIRT</t>
  </si>
  <si>
    <t>SWSNMIN</t>
  </si>
  <si>
    <t>SWEATSHIRT MINNIE STARRY NIGHT SWSNMIN:PASTEL ORANGE:5-6:GRAPHIC:SWEATSHIRT</t>
  </si>
  <si>
    <t>SWEATSHIRT MINNIE STARRY NIGHT SWSNMIN:PASTEL ORANGE:7-8:GRAPHIC:SWEATSHIRT</t>
  </si>
  <si>
    <t>SWEATSHIRT MINNIE STARRY NIGHT SWSNMIN:PASTEL ORANGE:9-10:GRAPHIC:SWEATSHIRT</t>
  </si>
  <si>
    <t>SWEATSHIRT MINNIE STARRY NIGHT SWSNMIN:PASTEL ORANGE:11-12:GRAPHIC:SWEATSHIRT</t>
  </si>
  <si>
    <t>DLANPRN</t>
  </si>
  <si>
    <t>LS MIDI DRESS PRINCESS ANIME 66050100PRN DLANPRN:PASTEL PINK:5-6:GRAPHIC:LS MIDI DRESS</t>
  </si>
  <si>
    <t>LS MIDI DRESS PRINCESS ANIME 66050100PRN DLANPRN:PASTEL PINK:7-8:GRAPHIC:LS MIDI DRESS</t>
  </si>
  <si>
    <t>LS MIDI DRESS PRINCESS ANIME 66050100PRN DLANPRN:PASTEL PINK:9-10:GRAPHIC:LS MIDI DRESS</t>
  </si>
  <si>
    <t>LS MIDI DRESS PRINCESS ANIME 66050100PRN DLANPRN:PASTEL PINK:11-12:GRAPHIC:LS MIDI DRESS</t>
  </si>
  <si>
    <t>DD23FZA</t>
  </si>
  <si>
    <t>SS MIDI DRESS DAILY TOD FROZEN DD23FZA:ASSORTIVE COLOR:3-4:GRAPHIC:SS MIDI DRESS</t>
  </si>
  <si>
    <t>SS MIDI DRESS DAILY TOD FROZEN DD23FZA:ASSORTIVE COLOR:4-5:GRAPHIC:SS MIDI DRESS</t>
  </si>
  <si>
    <t>SS MIDI DRESS DAILY TOD FROZEN DD23FZA:ASSORTIVE COLOR:5-6:GRAPHIC:SS MIDI DRESS</t>
  </si>
  <si>
    <t>SS MIDI DRESS DAILY TOD FROZEN DD23FZA:ASSORTIVE COLOR:7-8:GRAPHIC:SS MIDI DRESS</t>
  </si>
  <si>
    <t>DLFZALV</t>
  </si>
  <si>
    <t>LS MIDI DRESS APL LOVE FROZEN 66050100FZA DLFZALV:PASTEL GREEN:5-6:GRAPHIC:LS MIDI DRESS</t>
  </si>
  <si>
    <t>LS MIDI DRESS APL LOVE FROZEN 66050100FZA DLFZALV:PASTEL GREEN:7-8:GRAPHIC:LS MIDI DRESS</t>
  </si>
  <si>
    <t>LS MIDI DRESS APL LOVE FROZEN 66050100FZA DLFZALV:PASTEL GREEN:9-10:GRAPHIC:LS MIDI DRESS</t>
  </si>
  <si>
    <t>LS MIDI DRESS APL LOVE FROZEN 66050100FZA DLFZALV:PASTEL GREEN:11-12:GRAPHIC:LS MIDI DRESS</t>
  </si>
  <si>
    <t>DSMARFLW</t>
  </si>
  <si>
    <t>SS MIDI DRESS MARIE FLOWER DSMARFLW:PASTEL ORANGE:5-6:GRAPHIC:SS MIDI DRESS</t>
  </si>
  <si>
    <t>SS MIDI DRESS MARIE FLOWER DSMARFLW:PASTEL ORANGE:7-8:GRAPHIC:SS MIDI DRESS</t>
  </si>
  <si>
    <t>SS MIDI DRESS MARIE FLOWER DSMARFLW:PASTEL ORANGE:9-10:GRAPHIC:SS MIDI DRESS</t>
  </si>
  <si>
    <t>SS MIDI DRESS MARIE FLOWER DSMARFLW:PASTEL ORANGE:11-12:GRAPHIC:SS MIDI DRESS</t>
  </si>
  <si>
    <t>DOLMARIE</t>
  </si>
  <si>
    <t>LS MIDI DRESS OVERALL MARIE DOLMARIE:PASTEL PINK:3-4:GRAPHIC:LS MIDI DRESS</t>
  </si>
  <si>
    <t>LS MIDI DRESS OVERALL MARIE DOLMARIE:PASTEL PINK:4-5:GRAPHIC:LS MIDI DRESS</t>
  </si>
  <si>
    <t>LS MIDI DRESS OVERALL MARIE DOLMARIE:PASTEL PINK:5-6:GRAPHIC:LS MIDI DRESS</t>
  </si>
  <si>
    <t>LS MIDI DRESS OVERALL MARIE DOLMARIE:PASTEL PINK:7-8:GRAPHIC:LS MIDI DRESS</t>
  </si>
  <si>
    <t>LSMINFL</t>
  </si>
  <si>
    <t>LS T-SHIRT MINNIE LITTLE FLOWER LSMINFL:PASTEL PINK:6-12:PRINT:LS T-SHIRT</t>
  </si>
  <si>
    <t>LS T-SHIRT MINNIE LITTLE FLOWER LSMINFL:PASTEL PINK:18-24:PRINT:LS T-SHIRT</t>
  </si>
  <si>
    <t>LS T-SHIRT MINNIE LITTLE FLOWER LSMINFL:PASTEL PINK:24-36:PRINT:LS T-SHIRT</t>
  </si>
  <si>
    <t>TSBTBMIN</t>
  </si>
  <si>
    <t>SS T-SHIRT MINNIE AND DAISY BORN TO BLOOM TSBTBMIN:PASTEL GREEN:6-12:PRINT:SS T-SHIRT</t>
  </si>
  <si>
    <t>SS T-SHIRT MINNIE AND DAISY BORN TO BLOOM TSBTBMIN:PASTEL GREEN:12-18:PRINT:SS T-SHIRT</t>
  </si>
  <si>
    <t>SS T-SHIRT MINNIE AND DAISY BORN TO BLOOM TSBTBMIN:PASTEL GREEN:18-24:PRINT:SS T-SHIRT</t>
  </si>
  <si>
    <t>SS T-SHIRT MINNIE AND DAISY BORN TO BLOOM TSBTBMIN:PASTEL GREEN:24-36:PRINT:SS T-SHIRT</t>
  </si>
  <si>
    <t>SSMICCS</t>
  </si>
  <si>
    <t>SS T-SHIRT CUT &amp; SEWN MICKEY 66020100MIC DSKTPOOH:ASSORTIVE COLOR:6-12:GRAPHIC:SS T-SHIRT</t>
  </si>
  <si>
    <t>SS T-SHIRT CUT &amp; SEWN MICKEY 66020100MIC DSKTPOOH:ASSORTIVE COLOR:18-24:GRAPHIC:SS T-SHIRT</t>
  </si>
  <si>
    <t>SS T-SHIRT CUT &amp; SEWN MICKEY 66020100MIC DSKTPOOH:ASSORTIVE COLOR:24-36:GRAPHIC:SS T-SHIRT</t>
  </si>
  <si>
    <t>SETMINLF</t>
  </si>
  <si>
    <t>TOP - BOTTOM SET SS MINNIE LITTLE FLOWER SETMINLF:PASTEL PINK:6-12:PRINT:TOP - BOTTOM SET</t>
  </si>
  <si>
    <t>TOP - BOTTOM SET SS MINNIE LITTLE FLOWER SETMINLF:PASTEL PINK:18-24:PRINT:TOP - BOTTOM SET</t>
  </si>
  <si>
    <t>ONE SET SS MINNIE LITTLE FLOWER SETMINLF:PASTEL PINK:24-36:PRINT:TOP - BOTTOM SET</t>
  </si>
  <si>
    <t>SETMINLP</t>
  </si>
  <si>
    <t>TOP - BOTTOM SET SS MINNIE LITTLE PETAL SETMINLP:PASTEL BLUE:6-12:PRINT:TOP - BOTTOM SET</t>
  </si>
  <si>
    <t>TOP - BOTTOM SET SS MINNIE LITTLE PETAL SETMINLP:PASTEL BLUE:12-18:PRINT:TOP - BOTTOM SET</t>
  </si>
  <si>
    <t>TOP - BOTTOM SET SS MINNIE LITTLE PETAL SETMINLP:PASTEL BLUE:18-24:PRINT:TOP - BOTTOM SET</t>
  </si>
  <si>
    <t>TOP - BOTTOM SET SS MINNIE LITTLE PETAL SETMINLP:PASTEL BLUE:24-36:PRINT:TOP - BOTTOM SET</t>
  </si>
  <si>
    <t>SETPLBAM</t>
  </si>
  <si>
    <t>TOP - BOTTOM SET SKIRT SS RUFFLE BAMBI SETPLBAM:PASTEL PINK:6-12:PRINT:TOP - BOTTOM SET</t>
  </si>
  <si>
    <t>TOP - BOTTOM SET SKIRT SS RUFFLE BAMBI SETPLBAM:PASTEL PINK:12-18:PRINT:TOP - BOTTOM SET</t>
  </si>
  <si>
    <t>TOP - BOTTOM SET SKIRT SS RUFFLE BAMBI SETPLBAM:PASTEL PINK:18-24:PRINT:TOP - BOTTOM SET</t>
  </si>
  <si>
    <t>TOP - BOTTOM SET SKIRT SS RUFFLE BAMBI SETPLBAM:PASTEL PINK:24-36:PRINT:TOP - BOTTOM SET</t>
  </si>
  <si>
    <t>SETLKNG</t>
  </si>
  <si>
    <t>ONE SET LION KING 66020100 SETLKNG:MUSTARD:6-12:PRINT:TOP - BOTTOM SET</t>
  </si>
  <si>
    <t>ONE SET LION KING 66020100 SETLKNG:MUSTARD:12-18:PRINT:TOP - BOTTOM SET</t>
  </si>
  <si>
    <t>ONE SET LION KING 66020100 SETLKNG:MUSTARD:18-24:PRINT:TOP - BOTTOM SET</t>
  </si>
  <si>
    <t>ONE SET LION KING 66020100 SETLKNG:MUSTARD:24-36:PRINT:TOP - BOTTOM SET</t>
  </si>
  <si>
    <t>SETBAMKIB</t>
  </si>
  <si>
    <t>TOP - BOTTOM SET SSLP BAMBI SETBAMKIB:PASTEL PINK:6-12:PRINT:TOP - BOTTOM SET</t>
  </si>
  <si>
    <t>TOP - BOTTOM SET SSLP BAMBI SETBAMKIB:PASTEL PINK:12-18:PRINT:TOP - BOTTOM SET</t>
  </si>
  <si>
    <t>TOP - BOTTOM SET SSLP BAMBI SETBAMKIB:PASTEL PINK:18-24:PRINT:TOP - BOTTOM SET</t>
  </si>
  <si>
    <t>TOP - BOTTOM SET SSLP BAMBI SETBAMKIB:PASTEL PINK:24-36:PRINT:TOP - BOTTOM SET</t>
  </si>
  <si>
    <t>DSKRBAMB</t>
  </si>
  <si>
    <t>SS MIDI DRESS SS LITTLE BAMBI DSKRBAMB:PASTEL PINK:6-12:PRINT:SS MIDI DRESS</t>
  </si>
  <si>
    <t>SS MIDI DRESS SS LITTLE BAMBI DSKRBAMB:PASTEL PINK:12-18:PRINT:SS MIDI DRESS</t>
  </si>
  <si>
    <t>SS MIDI DRESS SS LITTLE BAMBI DSKRBAMB:PASTEL PINK:18-24:PRINT:SS MIDI DRESS</t>
  </si>
  <si>
    <t>SS MIDI DRESS SS LITTLE BAMBI DSKRBAMB:PASTEL PINK:24-36:PRINT:SS MIDI DRESS</t>
  </si>
  <si>
    <t>DSMINLF</t>
  </si>
  <si>
    <t>SS MIDI DRESS MINNIE LITTLE FLOWER DSMINLF:PASTEL PINK:6-12:PRINT:SS MIDI DRESS</t>
  </si>
  <si>
    <t>SS MIDI DRESS MINNIE LITTLE FLOWER DSMINLF:PASTEL PINK:18-24:PRINT:SS MIDI DRESS</t>
  </si>
  <si>
    <t>SS MIDI DRESS MINNIE LITTLE FLOWER DSMINLF:PASTEL PINK:24-36:PRINT:SS MIDI DRESS</t>
  </si>
  <si>
    <t>DTLPRIN</t>
  </si>
  <si>
    <t>SS MIDI DRESS TULLE PRINCESS DTLPRIN:OFF WHITE:6-12:PRINT:SS MIDI DRESS</t>
  </si>
  <si>
    <t>SS MIDI DRESS TULLE PRINCESS DTLPRIN:OFF WHITE:12-18:PRINT:SS MIDI DRESS</t>
  </si>
  <si>
    <t>SS MIDI DRESS TULLE PRINCESS DTLPRIN:OFF WHITE:18-24:PRINT:SS MIDI DRESS</t>
  </si>
  <si>
    <t>SS MIDI DRESS TULLE PRINCESS DTLPRIN:OFF WHITE:24-36:PRINT:SS MIDI DRESS</t>
  </si>
  <si>
    <t>OVGPRIN</t>
  </si>
  <si>
    <t>SS MIDI DRESS CLN PRINCESS OVGPRIN:PASTEL PINK:6-12:PRINT:SS MIDI DRESS</t>
  </si>
  <si>
    <t>SS MIDI DRESS CLN PRINCESS OVGPRIN:PASTEL PINK:12-18:PRINT:SS MIDI DRESS</t>
  </si>
  <si>
    <t>SS MIDI DRESS CLN PRINCESS OVGPRIN:PASTEL PINK:18-24:PRINT:SS MIDI DRESS</t>
  </si>
  <si>
    <t>SS MIDI DRESS CLN PRINCESS OVGPRIN:PASTEL PINK:24-36:PRINT:SS MIDI DRESS</t>
  </si>
  <si>
    <t>DSKTPOOH</t>
  </si>
  <si>
    <t>SS MIDI DRESS KOTAK POOH DSKTPOOH:PASTEL ORANGE:6-12:PRINT:SS MIDI DRESS</t>
  </si>
  <si>
    <t>SS MIDI DRESS KOTAK POOH DSKTPOOH:PASTEL ORANGE:12-18:PRINT:SS MIDI DRESS</t>
  </si>
  <si>
    <t>SS MIDI DRESS KOTAK POOH DSKTPOOH:PASTEL ORANGE:18-24:PRINT:SS MIDI DRESS</t>
  </si>
  <si>
    <t>SS MIDI DRESS SS KOTAK POOH DSKTPOOH:PASTEL ORANGE:24-36:PRINT:SS MIDI DRESS</t>
  </si>
  <si>
    <t>DSMINLP</t>
  </si>
  <si>
    <t>SS MIDI DRESS MINNIE LOVE PETAL DSMINLP:PASTEL PINK:6-12:PRINT:SS MIDI DRESS</t>
  </si>
  <si>
    <t>SS MIDI DRESS MINNIE LOVE PETAL DSMINLP:PASTEL PINK:12-18:PRINT:SS MIDI DRESS</t>
  </si>
  <si>
    <t>SS MIDI DRESS MINNIE LOVE PETAL DSMINLP:PASTEL PINK:18-24:PRINT:SS MIDI DRESS</t>
  </si>
  <si>
    <t>SS MIDI DRESS MINNIE LOVE PETAL DSMINLP:PASTEL PINK:24-36:PRINT:SS MIDI DRESS</t>
  </si>
  <si>
    <t>ODSMINLF</t>
  </si>
  <si>
    <t>OVERALL MIDI SKIRT MINNIE LITTLE FLOWER ODSMINLF:PASTEL PINK:6-12:PRINT:OVERALL MIDI SKIRT</t>
  </si>
  <si>
    <t>OVERALL MIDI SKIRT MINNIE LITTLE FLOWER ODSMINLF:PASTEL PINK:18-24:PRINT:OVERALL MIDI SKIRT</t>
  </si>
  <si>
    <t>OVERALL MIDI SKIRT MINNIE LITTLE FLOWER ODSMINLF:PASTEL PINK:24-36:PRINT:OVERALL MIDI SKIRT</t>
  </si>
  <si>
    <t>OVGMIN</t>
  </si>
  <si>
    <t>OVERALL MIDI SKIRT GIRLS SS MINNIE OVGMIN:PASTEL PINK:6-12:PRINT:OVERALL MIDI SKIRT</t>
  </si>
  <si>
    <t>OVERALL MIDI SKIRT GIRLS SS MINNIE OVGMIN:PASTEL PINK:12-18:PRINT:OVERALL MIDI SKIRT</t>
  </si>
  <si>
    <t>OVERALL MIDI SKIRT GIRLS SS MINNIE OVGMIN:PASTEL PINK:18-24:PRINT:OVERALL MIDI SKIRT</t>
  </si>
  <si>
    <t>OVERALL MIDI SKIRT GIRLS SS MINNIE OVGMIN:PASTEL PINK:24-36:PRINT:OVERALL MIDI SKIRT</t>
  </si>
  <si>
    <t>OVGPLMAR</t>
  </si>
  <si>
    <t>OVERALL MIDI SKIRT GIRLS SS MARIE OVGPLMAR:PASTEL ORANGE:6-12:PRINT:OVERALL MIDI SKIRT</t>
  </si>
  <si>
    <t>OVERALL MIDI SKIRT GIRLS SS MARIE OVGPLMAR:PASTEL ORANGE:12-18:PRINT:OVERALL MIDI SKIRT</t>
  </si>
  <si>
    <t>OVERALL MIDI SKIRT GIRLS SS MARIE OVGPLMAR:PASTEL ORANGE:18-24:PRINT:OVERALL MIDI SKIRT</t>
  </si>
  <si>
    <t>OVERALL MIDI SKIRT GIRLS SS MARIE OVGPLMAR:PASTEL ORANGE:24-36:PRINT:OVERALL MIDI SKIRT</t>
  </si>
  <si>
    <t>OVLKING</t>
  </si>
  <si>
    <t>OVERALL MIDI SKIRT LION KING 66020100 OVLKING:MUSTARD:6-12:PRINT:OVERALL MIDI SKIRT</t>
  </si>
  <si>
    <t>OVERALL MIDI SKIRT LION KING 66020100 OVLKING:MUSTARD:18-24:PRINT:OVERALL MIDI SKIRT</t>
  </si>
  <si>
    <t>OVERALL MIDI SKIRT LION KING 66020100 OVLKING:MUSTARD:24-36:PRINT:OVERALL MIDI SKIRT</t>
  </si>
  <si>
    <t>OVGUFMIC</t>
  </si>
  <si>
    <t>OVERALL MIDI SKIRT MICKEY AND GUFI 66020100 OVGUFMIC:ASSORTIVE COLOR:6-12:PRINT:OVERALL MIDI SKIRT</t>
  </si>
  <si>
    <t>OVERALL MIDI SKIRT MICKEY AND GUFI 66020100 OVGUFMIC:ASSORTIVE COLOR:18-24:PRINT:OVERALL MIDI SKIRT</t>
  </si>
  <si>
    <t>OVERALL MIDI SKIRT MICKEY AND GUFI 66020100 OVGUFMIC:ASSORTIVE COLOR:24-36:PRINT:OVERALL MIDI SKIRT</t>
  </si>
  <si>
    <t>TSMVCB</t>
  </si>
  <si>
    <t>SS T-SHIRT MARVEL CHIBI SUPER HEROES 66020100 TSMVCB:NAVY BLUE:6-12:GRAPHIC:SS T-SHIRT</t>
  </si>
  <si>
    <t>SS T-SHIRT MARVEL CHIBI SUPER HEROES 66020100 TSMVCB:NAVY BLUE:18-24:GRAPHIC:SS T-SHIRT</t>
  </si>
  <si>
    <t>SS T-SHIRT MARVEL CHIBI SUPER HEROES 66020100 TSMVCB:NAVY BLUE:24-36:GRAPHIC:SS T-SHIRT</t>
  </si>
  <si>
    <t>SETMVCB</t>
  </si>
  <si>
    <t>ONE SET MARVEL CHIBI SUPER HEROES 66020100 SETMVCB:NAVY BLUE:6-12:GRAPHIC:TOP - BOTTOM SET</t>
  </si>
  <si>
    <t>ONE SET MARVEL CHIBI SUPER HEROES 66020100 SETMVCB:NAVY BLUE:18-24:GRAPHIC:TOP - BOTTOM SET</t>
  </si>
  <si>
    <t>ONE SET MARVEL CHIBI SUPER HEROES 66020100 SETMVCB:NAVY BLUE:24-36:GRAPHIC:TOP - BOTTOM SET</t>
  </si>
  <si>
    <t>KKBLMIN</t>
  </si>
  <si>
    <t>KK MINNIE 68060304MIN KKBLMIN:BLACK:14-16:PRINT:SOCKS</t>
  </si>
  <si>
    <t>KK MINNIE 68060304MIN KKBLMIN:BLACK:18-20:PRINT:SOCKS</t>
  </si>
  <si>
    <t>KKBLMIC</t>
  </si>
  <si>
    <t>KK MICKEY 68060304MIC KKBLMIC:BLACK:14-16:PRINT:SOCKS</t>
  </si>
  <si>
    <t>KK MICKEY 68060304MIC KKBLMIC:BLACK:18-20:PRINT:SOCKS</t>
  </si>
  <si>
    <t>KK23MICFP</t>
  </si>
  <si>
    <t>SOCKS KKB FP MICKEY KK23MICFP:PASTEL GREY:14-16:PRINT:SOCKS</t>
  </si>
  <si>
    <t>SOCKS KKB FP MICKEY KK23MICFP:PASTEL GREY:18-20:PRINT:SOCKS</t>
  </si>
  <si>
    <t>SWLARIEL</t>
  </si>
  <si>
    <t>LS PYJAMA PANTS LSLP ARIEL 66040300PRN SWLARIEL:PASTEL PINK:4:PRINT:LS PYJAMA PANTS</t>
  </si>
  <si>
    <t>LS PYJAMA PANTS LSLP ARIEL 66040300PRN SWLARIEL:PASTEL PINK:5:PRINT:LS PYJAMA PANTS</t>
  </si>
  <si>
    <t>LS PYJAMA PANTS LSLP ARIEL 66040300PRN SWLARIEL:PASTEL PINK:6:PRINT:LS PYJAMA PANTS</t>
  </si>
  <si>
    <t>LS PYJAMA PANTS LSLP ARIEL 66040300PRN SWLARIEL:PASTEL PINK:7:PRINT:LS PYJAMA PANTS</t>
  </si>
  <si>
    <t>LS PYJAMA PANTS LSLP ARIEL 66040300PRN SWLARIEL:PASTEL PINK:8:PRINT:LS PYJAMA PANTS</t>
  </si>
  <si>
    <t>LS PYJAMA PANTS LSLP ARIEL 66040300PRN SWLARIEL:PASTEL PINK:10:PRINT:LS PYJAMA PANTS</t>
  </si>
  <si>
    <t>LS PYJAMA PANTS LSLP ARIEL 66040300PRN SWLARIEL:PASTEL PINK:12:PRINT:LS PYJAMA PANTS</t>
  </si>
  <si>
    <t>LS PYJAMA PANTS LSLP ARIEL 66040300PRN SWLARIEL:PASTEL PINK:14:PRINT:LS PYJAMA PANTS</t>
  </si>
  <si>
    <t>SWDILMAR</t>
  </si>
  <si>
    <t>ONE SET LSLP MARIE SWDILMAR:PASTEL PINK:8:GRAPHIC:TOP - BOTTOM SET</t>
  </si>
  <si>
    <t>ONE SET LSLP MARIE SWDILMAR:PASTEL PINK:10:GRAPHIC:TOP - BOTTOM SET</t>
  </si>
  <si>
    <t>ONE SET LSLP MARIE SWDILMAR:PASTEL PINK:12:GRAPHIC:TOP - BOTTOM SET</t>
  </si>
  <si>
    <t>ONE SET LSLP MARIE SWDILMAR:PASTEL PINK:14:GRAPHIC:TOP - BOTTOM SET</t>
  </si>
  <si>
    <t>SWRFMIN</t>
  </si>
  <si>
    <t>PYJAMAS SET LSLP MINNIE RUFFLE BAHU SWRFMIN:PASTEL PINK:4:PRINT:LS PYJAMA PANTS</t>
  </si>
  <si>
    <t>PYJAMAS SET LSLP MINNIE RUFFLE BAHU SWRFMIN:PASTEL PINK:5:PRINT:LS PYJAMA PANTS</t>
  </si>
  <si>
    <t>PYJAMAS SET LSLP MINNIE RUFFLE BAHU SWRFMIN:PASTEL PINK:6:PRINT:LS PYJAMA PANTS</t>
  </si>
  <si>
    <t>PYJAMAS SET LSLP MINNIE RUFFLE BAHU SWRFMIN:PASTEL PINK:7:PRINT:LS PYJAMA PANTS</t>
  </si>
  <si>
    <t>PYJAMAS SET LSLP MINNIE RUFFLE BAHU SWRFMIN:PASTEL PINK:8:PRINT:LS PYJAMA PANTS</t>
  </si>
  <si>
    <t>PYJAMAS SET LSLP MINNIE RUFFLE BAHU SWRFMIN:PASTEL PINK:10:PRINT:LS PYJAMA PANTS</t>
  </si>
  <si>
    <t>PYJAMAS SET LSLP MINNIE RUFFLE BAHU SWRFMIN:PASTEL PINK:12:PRINT:LS PYJAMA PANTS</t>
  </si>
  <si>
    <t>KKJRSPD</t>
  </si>
  <si>
    <t>KKB SPIDERMAN JARING LABA KKJRSPD:CLASSIC RED:14-16:PRINT:SOCKS</t>
  </si>
  <si>
    <t>KKB SPIDERMAN JARING LABA KKJRSPD:CLASSIC RED:18-20:PRINT:SOCKS</t>
  </si>
  <si>
    <t>KKIRNLK</t>
  </si>
  <si>
    <t>SOCKS KKB LKR IRON MAN KKIRNLK:WHITE:14-16:PRINT:SOCKS</t>
  </si>
  <si>
    <t>SOCKS KKB LKR IRON MAN KKIRNLK:WHITE:18-20:PRINT:SOCKS</t>
  </si>
  <si>
    <t>KKCAPTLK</t>
  </si>
  <si>
    <t>SOCKS KKB LKR LOGO CAPTAIN AMERICA KKCAPTLK:PASTEL GREY:14-16:PRINT:SOCKS</t>
  </si>
  <si>
    <t>SOCKS KKB LKR LOGO CAPTAIN AMERICA KKCAPTLK:PASTEL GREY:18-20:PRINT:SOCKS</t>
  </si>
  <si>
    <t>KKSPD242</t>
  </si>
  <si>
    <t>SOCKS KKB SPIDERMAN KKSPD242:CLASSIC BLUE:14-16:PRINT:SOCKS</t>
  </si>
  <si>
    <t>SOCKS KKB SPIDERMAN KKSPD242:CLASSIC BLUE:18-20:PRINT:SOCKS</t>
  </si>
  <si>
    <t>KKSPD243</t>
  </si>
  <si>
    <t>SOCKS KKB SPIDERMAN KKSPD243:PASTEL GREY:14-16:PRINT:SOCKS</t>
  </si>
  <si>
    <t>SOCKS KKB SPIDERMAN KKSPD243:PASTEL GREY:18-20:PRINT:SOCKS</t>
  </si>
  <si>
    <t>KKPTSPD15</t>
  </si>
  <si>
    <t>SOCKS KKB JARING SPIDERMAN KKPTSPD15:PASTEL GREY:14-16:PRINT:SOCKS</t>
  </si>
  <si>
    <t>SOCKS KKB JARING SPIDERMAN KKPTSPD15:PASTEL GREY:18-20:PRINT:SOCKS</t>
  </si>
  <si>
    <t>KKPTSPD16</t>
  </si>
  <si>
    <t>SOCKS KKB FP KEPALA SPIDERMAN KKPTSPD16:PASTEL GREY:14-16:PRINT:SOCKS</t>
  </si>
  <si>
    <t>SOCKS KKB FP KEPALA SPIDERMAN KKPTSPD16:PASTEL GREY:18-20:PRINT:SOCKS</t>
  </si>
  <si>
    <t>KKPTSPD17</t>
  </si>
  <si>
    <t>SOCKS KKB FP JARING SPIDERMAN KKPTSPD17:PASTEL GREY:14-16:PRINT:SOCKS</t>
  </si>
  <si>
    <t>SOCKS KKB FP JARING SPIDERMAN KKPTSPD17:PASTEL GREY:18-20:PRINT:SOCKS</t>
  </si>
  <si>
    <t>KKPTSPD18</t>
  </si>
  <si>
    <t>SOCKS KKG BIG SPIDERMAN KKPTSPD18:PASTEL GREY:14-16:PRINT:SOCKS</t>
  </si>
  <si>
    <t>SOCKS KKG BIG SPIDERMAN KKPTSPD18:PASTEL GREY:18-20:PRINT:SOCKS</t>
  </si>
  <si>
    <t>KKPTSPD19</t>
  </si>
  <si>
    <t>SOCKS KKG BIG SPIDERMAN KKPTSPD19:CLASSIC BLUE:14-16:PRINT:SOCKS</t>
  </si>
  <si>
    <t>SOCKS KKG BIG SPIDERMAN KKPTSPD19:CLASSIC BLUE:18-20:PRINT:SOCKS</t>
  </si>
  <si>
    <t>SWCOSCA</t>
  </si>
  <si>
    <t>SET SSLP COSTUM CAPTAIN AMERICA 660603000VA SWCOSCA:CLASSIC BLUE:4:PRINT:SS PYJAMA PANTS</t>
  </si>
  <si>
    <t>SET SSLP COSTUM CAPTAIN AMERICA 660603000VA SWCOSCA:CLASSIC BLUE:5:PRINT:SS PYJAMA PANTS</t>
  </si>
  <si>
    <t>SET SSLP COSTUM CAPTAIN AMERICA 660603000VA SWCOSCA:CLASSIC BLUE:6:PRINT:SS PYJAMA PANTS</t>
  </si>
  <si>
    <t>SW23MCOM</t>
  </si>
  <si>
    <t>SET LSLP MARVEL COMICS 66040300MCU SW23MCOM:NAVY BLUE:8:GRAPHIC:BACKPACK</t>
  </si>
  <si>
    <t>SET LSLP MARVEL COMICS 66040300MCU SW23MCOM:NAVY BLUE:10:GRAPHIC:BACKPACK</t>
  </si>
  <si>
    <t>SET LSLP MARVEL COMICS 66040300MCU SW23MCOM:NAVY BLUE:12:GRAPHIC:BACKPACK</t>
  </si>
  <si>
    <t>SET LSLP MARVEL COMICS 66040300MCU SW23MCOM:NAVY BLUE:14:GRAPHIC:BACKPACK</t>
  </si>
  <si>
    <t>SWBLSPD</t>
  </si>
  <si>
    <t>SET LSLP SPIDERMAN THWIP 66040300MCS SWBLSPD:BLACK:8:PRINT:SACKPACK</t>
  </si>
  <si>
    <t>SET LSLP SPIDERMAN THWIP 66040300MCS SWBLSPD:BLACK:10:PRINT:SACKPACK</t>
  </si>
  <si>
    <t>SET LSLP SPIDERMAN THWIP 66040300MCS SWBLSPD:BLACK:12:PRINT:SACKPACK</t>
  </si>
  <si>
    <t>SET LSLP SPIDERMAN THWIP 66040300MCS SWBLSPD:BLACK:14:PRINT:SACKPACK</t>
  </si>
  <si>
    <t>SWHEROAVG</t>
  </si>
  <si>
    <t>SET LSLP MARVEL HERO FOR HIRE 660603000VA SWHEROAVG:NAVY BLUE:4:PRINT:TOP - BOTTOM SET</t>
  </si>
  <si>
    <t>SET LSLP MARVEL HERO FOR HIRE 660603000VA SWHEROAVG:NAVY BLUE:5:PRINT:TOP - BOTTOM SET</t>
  </si>
  <si>
    <t>SET LSLP MARVEL HERO FOR HIRE 660603000VA SWHEROAVG:NAVY BLUE:6:PRINT:TOP - BOTTOM SET</t>
  </si>
  <si>
    <t>SET LSLP MARVEL HERO FOR HIRE 660603000VA SWHEROAVG:NAVY BLUE:7:PRINT:TOP - BOTTOM SET</t>
  </si>
  <si>
    <t>SET LSLP MARVEL HERO FOR HIRE 660603000VA SWHEROAVG:NAVY BLUE:8:PRINT:TOP - BOTTOM SET</t>
  </si>
  <si>
    <t>SET LSLP MARVEL HERO FOR HIRE 660603000VA SWHEROAVG:NAVY BLUE:10:PRINT:TOP - BOTTOM SET</t>
  </si>
  <si>
    <t>SET LSLP MARVEL HERO FOR HIRE 660603000VA SWHEROAVG:NAVY BLUE:12:PRINT:TOP - BOTTOM SET</t>
  </si>
  <si>
    <t>SET LSLP MARVEL HERO FOR HIRE 660603000VA SWHEROAVG:NAVY BLUE:14:PRINT:TOP - BOTTOM SET</t>
  </si>
  <si>
    <t>SWFPMV</t>
  </si>
  <si>
    <t>PYJAMAS SET LSLP FULL PRINT MARVEL SWFPMV:OFF WHITE:4:PRINT:LS PYJAMA PANTS</t>
  </si>
  <si>
    <t>PYJAMAS SET LSLP FULL PRINT MARVEL SWFPMV:OFF WHITE:5:PRINT:LS PYJAMA PANTS</t>
  </si>
  <si>
    <t>PYJAMAS SET LSLP FULL PRINT MARVEL SWFPMV:OFF WHITE:6:PRINT:LS PYJAMA PANTS</t>
  </si>
  <si>
    <t>PYJAMAS SET LSLP FULL PRINT MARVEL SWFPMV:OFF WHITE:7:PRINT:LS PYJAMA PANTS</t>
  </si>
  <si>
    <t>PYJAMAS SET LSLP FULL PRINT MARVEL SWFPMV:OFF WHITE:8:PRINT:LS PYJAMA PANTS</t>
  </si>
  <si>
    <t>PYJAMAS SET LSLP FULL PRINT MARVEL SWFPMV:OFF WHITE:10:PRINT:LS PYJAMA PANTS</t>
  </si>
  <si>
    <t>PYJAMAS SET LSLP FULL PRINT MARVEL SWFPMV:OFF WHITE:12:PRINT:LS PYJAMA PANTS</t>
  </si>
  <si>
    <t>SSSHK1</t>
  </si>
  <si>
    <t>SS T-SHIRT TOP BBTR SPORT HELLO KITTY SSSHK1:PASTEL PINK:5-6:GRAPHIC:SS T-SHIRT</t>
  </si>
  <si>
    <t>SS T-SHIRT TOP BBTR SPORT HELLO KITTY SSSHK1:PASTEL PINK:7-8:GRAPHIC:SS T-SHIRT</t>
  </si>
  <si>
    <t>SS T-SHIRT TOP BBTR SPORT HELLO KITTY SSSHK1:PASTEL PINK:9-10:GRAPHIC:SS T-SHIRT</t>
  </si>
  <si>
    <t>SS T-SHIRT TOP BBTR SPORT HELLO KITTY SSSHK1:PASTEL PINK:11-12:GRAPHIC:SS T-SHIRT</t>
  </si>
  <si>
    <t>SSSHK2</t>
  </si>
  <si>
    <t>SS T-SHIRT TOP BBTR SPORT HELLO KITTY SSSHK2:OFF WHITE:5-6:PRINT:SS T-SHIRT</t>
  </si>
  <si>
    <t>SS T-SHIRT TOP BBTR SPORT HELLO KITTY SSSHK2:OFF WHITE:7-8:PRINT:SS T-SHIRT</t>
  </si>
  <si>
    <t>SS T-SHIRT TOP BBTR SPORT HELLO KITTY SSSHK2:OFF WHITE:9-10:PRINT:SS T-SHIRT</t>
  </si>
  <si>
    <t>SS T-SHIRT TOP BBTR SPORT HELLO KITTY SSSHK2:OFF WHITE:11-12:PRINT:SS T-SHIRT</t>
  </si>
  <si>
    <t>SSSPPG1</t>
  </si>
  <si>
    <t>SS T-SHIRT TOP SPORT PPG SSSPPG1:PASTEL PINK:5-6:GRAPHIC:SS T-SHIRT</t>
  </si>
  <si>
    <t>SS T-SHIRT TOP SPORT PPG SSSPPG1:PASTEL PINK:7-8:GRAPHIC:SS T-SHIRT</t>
  </si>
  <si>
    <t>SS T-SHIRT TOP SPORT PPG SSSPPG1:PASTEL PINK:9-10:GRAPHIC:SS T-SHIRT</t>
  </si>
  <si>
    <t>SS T-SHIRT TOP SPORT PPG SSSPPG1:PASTEL PINK:11-12:GRAPHIC:SS T-SHIRT</t>
  </si>
  <si>
    <t>SSSPPG2</t>
  </si>
  <si>
    <t>SS T-SHIRT TOP SPORT PPG SSSPPG2:OFF WHITE:5-6:GRAPHIC:SS T-SHIRT</t>
  </si>
  <si>
    <t>SS T-SHIRT TOP SPORT PPG SSSPPG2:OFF WHITE:7-8:GRAPHIC:SS T-SHIRT</t>
  </si>
  <si>
    <t>SS T-SHIRT TOP SPORT PPG SSSPPG2:OFF WHITE:9-10:GRAPHIC:SS T-SHIRT</t>
  </si>
  <si>
    <t>SS T-SHIRT TOP SPORT PPG SSSPPG2:OFF WHITE:11-12:GRAPHIC:SS T-SHIRT</t>
  </si>
  <si>
    <t>SS T-SHIRT PPG KERAH TSPPG44:PASTEL PINK:9-10:GRAPHIC:SS T-SHIRT</t>
  </si>
  <si>
    <t>SS T-SHIRT FP BBTR HELLO KITTY W BAG TSHK1:CLASSIC RED:7-8:PRINT:SS T-SHIRT</t>
  </si>
  <si>
    <t>SS T-SHIRT FP HELLO KITTY TSHKT6:OFF WHITE:9-10:PRINT:SS T-SHIRT</t>
  </si>
  <si>
    <t>TSHKT7</t>
  </si>
  <si>
    <t>SS T-SHIRT CS HELLO KITTY WORDING TSHKT7:ASSORTIVE COLOR:5-6:GRAPHIC:SS T-SHIRT</t>
  </si>
  <si>
    <t>SS T-SHIRT CS HELLO KITTY WORDING TSHKT7:ASSORTIVE COLOR:7-8:GRAPHIC:SS T-SHIRT</t>
  </si>
  <si>
    <t>SS T-SHIRT CS HELLO KITTY WORDING TSHKT7:ASSORTIVE COLOR:9-10:GRAPHIC:SS T-SHIRT</t>
  </si>
  <si>
    <t>SS T-SHIRT CS HELLO KITTY WORDING TSHKT7:ASSORTIVE COLOR:11-12:GRAPHIC:SS T-SHIRT</t>
  </si>
  <si>
    <t>JKSPPPG</t>
  </si>
  <si>
    <t>JACKET SPORT PPG JKSPPPG:PASTEL PINK:5-6:GRAPHIC:JACKET</t>
  </si>
  <si>
    <t>JACKET SPORT PPG JKSPPPG:PASTEL PINK:7-8:GRAPHIC:JACKET</t>
  </si>
  <si>
    <t>JACKET SPORT PPG JKSPPPG:PASTEL PINK:9-10:GRAPHIC:JACKET</t>
  </si>
  <si>
    <t>JACKET SPORT PPG JKSPPPG:PASTEL PINK:11-12:GRAPHIC:JACKET</t>
  </si>
  <si>
    <t>JACKET HELLO KITTY JKAMHK:CLASSIC RED:7-8:GRAPHIC:JACKET</t>
  </si>
  <si>
    <t>SWEATSHIRT HELLO KITTY SWAMHK:OFF WHITE:7-8:GRAPHIC:SWEATSHIRT</t>
  </si>
  <si>
    <t>JGSPPPG</t>
  </si>
  <si>
    <t>JOGGER SPORT PPG JGSPPPG:PASTEL PINK:5-6:GRAPHIC:JOGGER</t>
  </si>
  <si>
    <t>JOGGER SPORT PPG JGSPPPG:PASTEL PINK:7-8:GRAPHIC:JOGGER</t>
  </si>
  <si>
    <t>JOGGER SPORT PPG JGSPPPG:PASTEL PINK:9-10:GRAPHIC:JOGGER</t>
  </si>
  <si>
    <t>JOGGER SPORT PPG JGSPPPG:PASTEL PINK:11-12:GRAPHIC:JOGGER</t>
  </si>
  <si>
    <t>MINI SKIRT SKORT HELLO KITTY SKAMHK:CLASSIC RED:7-8:GRAPHIC:MINI SKIRT</t>
  </si>
  <si>
    <t>JOGGER HELLO KITTY JGAMHK:CLASSIC RED:7-8:GRAPHIC:JOGGER</t>
  </si>
  <si>
    <t>JGBAR24</t>
  </si>
  <si>
    <t>JOGGER BARBIE TALI STOPPER JGBAR24:PASTEL PINK:5-6:GRAPHIC:JOGGER</t>
  </si>
  <si>
    <t>JOGGER BARBIE TALI STOPPER JGBAR24:PASTEL PINK:7-8:GRAPHIC:JOGGER</t>
  </si>
  <si>
    <t>JOGGER BARBIE TALI STOPPER JGBAR24:PASTEL PINK:9-10:GRAPHIC:JOGGER</t>
  </si>
  <si>
    <t>JOGGER BARBIE TALI STOPPER JGBAR24:PASTEL PINK:11-12:GRAPHIC:JOGGER</t>
  </si>
  <si>
    <t>MINI SKIRT SKORT DENIM HELLO KITTY SKKIBHK:MEDIUM DENIM:9-10:GRAPHIC:MINI SKIRT</t>
  </si>
  <si>
    <t>DSSPPPG</t>
  </si>
  <si>
    <t>SS MIDI DRESS SPORT PPG DSSPPPG:PASTEL PINK:5-6:GRAPHIC:SS MIDI DRESS</t>
  </si>
  <si>
    <t>SS MIDI DRESS SPORT PPG DSSPPPG:PASTEL PINK:7-8:GRAPHIC:SS MIDI DRESS</t>
  </si>
  <si>
    <t>SS MIDI DRESS SPORT PPG DSSPPPG:PASTEL PINK:9-10:GRAPHIC:SS MIDI DRESS</t>
  </si>
  <si>
    <t>SS MIDI DRESS SPORT PPG DSSPPPG:PASTEL PINK:11-12:GRAPHIC:SS MIDI DRESS</t>
  </si>
  <si>
    <t>DSGHKLV</t>
  </si>
  <si>
    <t>SS MIDI DRESS HELLO KITTY LOVE PLEATS DSGHKLV:PASTEL PINK:3-4:GRAPHIC:SS MIDI DRESS</t>
  </si>
  <si>
    <t>SS MIDI DRESS HELLO KITTY LOVE PLEATS DSGHKLV:PASTEL PINK:4-5:GRAPHIC:SS MIDI DRESS</t>
  </si>
  <si>
    <t>SS MIDI DRESS HELLO KITTY LOVE PLEATS DSGHKLV:PASTEL PINK:5-6:GRAPHIC:SS MIDI DRESS</t>
  </si>
  <si>
    <t>SS MIDI DRESS HELLO KITTY LOVE PLEATS DSGHKLV:PASTEL PINK:7-8:GRAPHIC:SS MIDI DRESS</t>
  </si>
  <si>
    <t>DSSPHK</t>
  </si>
  <si>
    <t>SS MIDI DRESS SPORT HELLO KITTY DSSPHK:PASTEL ORANGE:5-6:GRAPHIC:SS MIDI DRESS</t>
  </si>
  <si>
    <t>SS MIDI DRESS SPORT HELLO KITTY DSSPHK:PASTEL ORANGE:7-8:GRAPHIC:SS MIDI DRESS</t>
  </si>
  <si>
    <t>SS MIDI DRESS SPORT HELLO KITTY DSSPHK:PASTEL ORANGE:9-10:GRAPHIC:SS MIDI DRESS</t>
  </si>
  <si>
    <t>SS MIDI DRESS SPORT HELLO KITTY DSSPHK:PASTEL ORANGE:11-12:GRAPHIC:SS MIDI DRESS</t>
  </si>
  <si>
    <t>SS MIDI DRESS OVERALL HELLO KITTY DOSHK:OFF WHITE:7-8:GRAPHIC:SS MIDI DRESS</t>
  </si>
  <si>
    <t>SS MIDI DRESS HELLO KITTY KERAH DSKRHK:CLASSIC RED:7-8:GRAPHIC:SS MIDI DRESS</t>
  </si>
  <si>
    <t>DLBAR24</t>
  </si>
  <si>
    <t>LS MIDI DRESS BARBIE TEXTURE DLBAR24:PASTEL PINK:5-6:GRAPHIC:LS MIDI DRESS</t>
  </si>
  <si>
    <t>LS MIDI DRESS BARBIE TEXTURE DLBAR24:PASTEL PINK:7-8:GRAPHIC:LS MIDI DRESS</t>
  </si>
  <si>
    <t>LS MIDI DRESS BARBIE TEXTURE DLBAR24:PASTEL PINK:9-10:GRAPHIC:LS MIDI DRESS</t>
  </si>
  <si>
    <t>LS MIDI DRESS BARBIE TEXTURE DLBAR24:PASTEL PINK:11-12:GRAPHIC:LS MIDI DRESS</t>
  </si>
  <si>
    <t>SS T-SHIRT TOP FP MINNIE FLOCKING SSMMIN:PASTEL BLUE:9-10:PRINT:SS T-SHIRT</t>
  </si>
  <si>
    <t>LSKBMAR</t>
  </si>
  <si>
    <t>LS T-SHIRT TOP MARIE KOMBI KATUN EMBRO LSKBMAR:PASTEL PINK:5-6:GRAPHIC:LS T-SHIRT</t>
  </si>
  <si>
    <t>LS T-SHIRT TOP MARIE KOMBI KATUN EMBRO LSKBMAR:PASTEL PINK:7-8:GRAPHIC:LS T-SHIRT</t>
  </si>
  <si>
    <t>LS T-SHIRT TOP MARIE KOMBI KATUN EMBRO LSKBMAR:PASTEL PINK:11-12:GRAPHIC:LS T-SHIRT</t>
  </si>
  <si>
    <t>LS T-SHIRT 3/4 BT MINNIE WILD FLOWER LSMINL4:PASTEL PINK:9-10:GRAPHIC:LS T-SHIRT</t>
  </si>
  <si>
    <t>SSLRCIN</t>
  </si>
  <si>
    <t>SS T-SHIRT LENGAN RUFFLE CINDERELLA SSLRCIN:PASTEL BLUE:5-6:GRAPHIC:SS T-SHIRT</t>
  </si>
  <si>
    <t>SS T-SHIRT LENGAN RUFFLE CINDERELLA SSLRCIN:PASTEL BLUE:7-8:GRAPHIC:SS T-SHIRT</t>
  </si>
  <si>
    <t>SS T-SHIRT LENGAN RUFFLE CINDERELLA SSLRCIN:PASTEL BLUE:9-10:GRAPHIC:SS T-SHIRT</t>
  </si>
  <si>
    <t>SS T-SHIRT LENGAN RUFFLE CINDERELLA SSLRCIN:PASTEL BLUE:11-12:GRAPHIC:SS T-SHIRT</t>
  </si>
  <si>
    <t>SSFZASC</t>
  </si>
  <si>
    <t>SS T-SHIRT TOP FROZEN CS RUFFL STAY COOL SSFZASC:PASTEL ORANGE:5-6:GRAPHIC:SS T-SHIRT</t>
  </si>
  <si>
    <t>SS T-SHIRT TOP FROZEN CS RUFFL STAY COOL SSFZASC:PASTEL ORANGE:7-8:GRAPHIC:SS T-SHIRT</t>
  </si>
  <si>
    <t>SS T-SHIRT TOP FROZEN CS RUFFL STAY COOL SSFZASC:PASTEL ORANGE:11-12:GRAPHIC:SS T-SHIRT</t>
  </si>
  <si>
    <t>TSSRANPRN</t>
  </si>
  <si>
    <t>SS T-SHIRT PRINCESS ANIME SERUT BAWAH TSSRANPRN:ASSORTIVE COLOR:5-6:GRAPHIC:SS T-SHIRT</t>
  </si>
  <si>
    <t>SS T-SHIRT PRINCESS ANIME SERUT BAWAH TSSRANPRN:ASSORTIVE COLOR:7-8:GRAPHIC:SS T-SHIRT</t>
  </si>
  <si>
    <t>SS T-SHIRT PRINCESS ANIME SERUT BAWAH TSSRANPRN:ASSORTIVE COLOR:9-10:GRAPHIC:SS T-SHIRT</t>
  </si>
  <si>
    <t>SS T-SHIRT PRINCESS ANIME SERUT BAWAH TSSRANPRN:ASSORTIVE COLOR:11-12:GRAPHIC:SS T-SHIRT</t>
  </si>
  <si>
    <t>TSC4MARI</t>
  </si>
  <si>
    <t>SS T-SHIRT CS4 FP MARIE TSC4MARI:PASTEL PINK:5-6:PRINT:SS T-SHIRT</t>
  </si>
  <si>
    <t>SS T-SHIRT CS4 FP MARIE TSC4MARI:PASTEL PINK:7-8:PRINT:SS T-SHIRT</t>
  </si>
  <si>
    <t>SS T-SHIRT CS4 FP MARIE TSC4MARI:PASTEL PINK:9-10:PRINT:SS T-SHIRT</t>
  </si>
  <si>
    <t>SS T-SHIRT CS4 FP MARIE TSC4MARI:PASTEL PINK:11-12:PRINT:SS T-SHIRT</t>
  </si>
  <si>
    <t>TSFPITM</t>
  </si>
  <si>
    <t>SS T-SHIRT CS FP PITA MINNIE TSFPITM:OFF WHITE:5-6:PRINT:SS T-SHIRT</t>
  </si>
  <si>
    <t>SS T-SHIRT CS FP PITA MINNIE TSFPITM:OFF WHITE:7-8:PRINT:SS T-SHIRT</t>
  </si>
  <si>
    <t>SS T-SHIRT CS FP PITA MINNIE TSFPITM:OFF WHITE:9-10:PRINT:SS T-SHIRT</t>
  </si>
  <si>
    <t>SS T-SHIRT CS FP PITA MINNIE TSFPITM:OFF WHITE:11-12:PRINT:SS T-SHIRT</t>
  </si>
  <si>
    <t>JKWMIN</t>
  </si>
  <si>
    <t>JACKET WORDING MINNIE MOUSE JKWMIN:PASTEL PINK:5-6:GRAPHIC:JACKET</t>
  </si>
  <si>
    <t>JACKET WORDING MINNIE MOUSE JKWMIN:PASTEL PINK:7-8:GRAPHIC:JACKET</t>
  </si>
  <si>
    <t>JACKET WORDING MINNIE MOUSE JKWMIN:PASTEL PINK:9-10:GRAPHIC:JACKET</t>
  </si>
  <si>
    <t>JACKET WORDING MINNIE MOUSE JKWMIN:PASTEL PINK:11-12:GRAPHIC:JACKET</t>
  </si>
  <si>
    <t>DOVARBAM3</t>
  </si>
  <si>
    <t>SS MIDI DRESS OVERALL BAMBI DOVARBAM3:PASTEL ORANGE:3-4:GRAPHIC:SS MIDI DRESS</t>
  </si>
  <si>
    <t>SS MIDI DRESS OVERALL BAMBI DOVARBAM3:PASTEL ORANGE:4-5:GRAPHIC:SS MIDI DRESS</t>
  </si>
  <si>
    <t>SS MIDI DRESS OVERALL BAMBI DOVARBAM3:PASTEL ORANGE:5-6:GRAPHIC:SS MIDI DRESS</t>
  </si>
  <si>
    <t>DOSCDMIN</t>
  </si>
  <si>
    <t>SS MIDI DRESS OVR FP MINNIE CDR DOSCDMIN:PASTEL PURPLE:3-4:PRINT:SS MIDI DRESS</t>
  </si>
  <si>
    <t>SS MIDI DRESS OVR FP MINNIE CDR DOSCDMIN:PASTEL PURPLE:4-5:PRINT:SS MIDI DRESS</t>
  </si>
  <si>
    <t>SS MIDI DRESS OVR FP MINNIE CDR DOSCDMIN:PASTEL PURPLE:5-6:PRINT:SS MIDI DRESS</t>
  </si>
  <si>
    <t>DOSCOMAR</t>
  </si>
  <si>
    <t>SS MIDI DRESS OVR RIB MARIE DOSCOMAR:PASTEL ORANGE:3-4:GRAPHIC:SS MIDI DRESS</t>
  </si>
  <si>
    <t>SS MIDI DRESS OVR RIB MARIE DOSCOMAR:PASTEL ORANGE:4-5:GRAPHIC:SS MIDI DRESS</t>
  </si>
  <si>
    <t>SS MIDI DRESS OVR RIB MARIE DOSCOMAR:PASTEL ORANGE:5-6:GRAPHIC:SS MIDI DRESS</t>
  </si>
  <si>
    <t>SSTDPPG</t>
  </si>
  <si>
    <t>SS T-SHIRT TOP TIEDYE PPG SSTDPPG:PASTEL PINK:5-6:GRAPHIC:SS T-SHIRT</t>
  </si>
  <si>
    <t>SS T-SHIRT TOP TIEDYE PPG SSTDPPG:PASTEL PINK:7-8:GRAPHIC:SS T-SHIRT</t>
  </si>
  <si>
    <t>SS T-SHIRT TOP TIEDYE PPG SSTDPPG:PASTEL PINK:9-10:GRAPHIC:SS T-SHIRT</t>
  </si>
  <si>
    <t>SS T-SHIRT TOP TIEDYE PPG SSTDPPG:PASTEL PINK:11-12:GRAPHIC:SS T-SHIRT</t>
  </si>
  <si>
    <t>TSPPG6</t>
  </si>
  <si>
    <t>SS T-SHIRT PPG POWER RIB NECI TSPPG6:OFF WHITE:5-6:GRAPHIC:SS T-SHIRT</t>
  </si>
  <si>
    <t>SS T-SHIRT PPG POWER RIB NECI TSPPG6:OFF WHITE:7-8:GRAPHIC:SS T-SHIRT</t>
  </si>
  <si>
    <t>SS T-SHIRT PPG POWER RIB NECI TSPPG6:OFF WHITE:9-10:GRAPHIC:SS T-SHIRT</t>
  </si>
  <si>
    <t>SS T-SHIRT PPG POWER RIB NECI TSPPG6:OFF WHITE:11-12:GRAPHIC:SS T-SHIRT</t>
  </si>
  <si>
    <t>SSDILPPG1</t>
  </si>
  <si>
    <t>SS T-SHIRT TOP PPG TEXTURE RUFFLE LENGAN SSDILPPG1:PASTEL PINK:5-6:GRAPHIC:SS T-SHIRT</t>
  </si>
  <si>
    <t>SS T-SHIRT TOP PPG TEXTURE RUFFLE LENGAN SSDILPPG1:PASTEL PINK:7-8:GRAPHIC:SS T-SHIRT</t>
  </si>
  <si>
    <t>SS T-SHIRT TOP PPG TEXTURE RUFFLE LENGAN SSDILPPG1:PASTEL PINK:11-12:GRAPHIC:SS T-SHIRT</t>
  </si>
  <si>
    <t>SSDILPPG2</t>
  </si>
  <si>
    <t>SS T-SHIRT TOP PPG TEXTURE RUFFLE KERAH SSDILPPG2:PASTEL ORANGE:5-6:GRAPHIC:SS T-SHIRT</t>
  </si>
  <si>
    <t>SS T-SHIRT TOP PPG TEXTURE RUFFLE KERAH SSDILPPG2:PASTEL ORANGE:7-8:GRAPHIC:SS T-SHIRT</t>
  </si>
  <si>
    <t>SS T-SHIRT TOP PPG TEXTURE RUFFLE KERAH SSDILPPG2:PASTEL ORANGE:11-12:GRAPHIC:SS T-SHIRT</t>
  </si>
  <si>
    <t>SSDILPPG3</t>
  </si>
  <si>
    <t>SS T-SHIRT TOP PPG TEXTURE SSDILPPG3:OFF WHITE:5-6:GRAPHIC:SS T-SHIRT</t>
  </si>
  <si>
    <t>SS T-SHIRT TOP PPG TEXTURE SSDILPPG3:OFF WHITE:7-8:GRAPHIC:SS T-SHIRT</t>
  </si>
  <si>
    <t>SS T-SHIRT TOP PPG TEXTURE SSDILPPG3:OFF WHITE:9-10:GRAPHIC:SS T-SHIRT</t>
  </si>
  <si>
    <t>SS T-SHIRT TOP PPG TEXTURE SSDILPPG3:OFF WHITE:11-12:GRAPHIC:SS T-SHIRT</t>
  </si>
  <si>
    <t>TSPPG22</t>
  </si>
  <si>
    <t>SS T-SHIRT PPG GRL PWR RUFFLE LENGAN KOTAK-KOTAK TSPPG22:PASTEL PINK:5-6:GRAPHIC:SS T-SHIRT</t>
  </si>
  <si>
    <t>SS T-SHIRT PPG GRL PWR RUFFLE LENGAN KOTAK-KOTAK TSPPG22:PASTEL PINK:7-8:GRAPHIC:SS T-SHIRT</t>
  </si>
  <si>
    <t>SS T-SHIRT PPG GRL PWR RUFFLE LENGAN KOTAK-KOTAK TSPPG22:PASTEL PINK:9-10:GRAPHIC:SS T-SHIRT</t>
  </si>
  <si>
    <t>SS T-SHIRT PPG GRL PWR RUFFLE LENGAN KOTAK-KOTAK TSPPG22:PASTEL PINK:11-12:GRAPHIC:SS T-SHIRT</t>
  </si>
  <si>
    <t>SSBAR241</t>
  </si>
  <si>
    <t>SS T-SHIRT BARBIE STAR LGN RUFFLE SSBAR241:PASTEL PINK:5-6:GRAPHIC:SS T-SHIRT</t>
  </si>
  <si>
    <t>SS T-SHIRT BARBIE STAR LGN RUFFLE SSBAR241:PASTEL PINK:7-8:GRAPHIC:SS T-SHIRT</t>
  </si>
  <si>
    <t>SS T-SHIRT BARBIE STAR LGN RUFFLE SSBAR241:PASTEL PINK:11-12:GRAPHIC:SS T-SHIRT</t>
  </si>
  <si>
    <t>JGTDPPG</t>
  </si>
  <si>
    <t>JOGGER TIEDYE PPG JGTDPPG:PASTEL PINK:5-6:GRAPHIC:JOGGER</t>
  </si>
  <si>
    <t>JOGGER TIEDYE PPG JGTDPPG:PASTEL PINK:7-8:GRAPHIC:JOGGER</t>
  </si>
  <si>
    <t>JOGGER TIEDYE PPG JGTDPPG:PASTEL PINK:9-10:GRAPHIC:JOGGER</t>
  </si>
  <si>
    <t>JOGGER TIEDYE PPG JGTDPPG:PASTEL PINK:11-12:GRAPHIC:JOGGER</t>
  </si>
  <si>
    <t>LS T-SHIRT TOP MARIE KOMBI KATUN EMBRO LSKBMAR:PASTEL PINK:9-10:GRAPHIC:LS T-SHIRT</t>
  </si>
  <si>
    <t>SS T-SHIRT TOP FROZEN CS RUFFL STAY COOL SSFZASC:PASTEL ORANGE:9-10:GRAPHIC:SS T-SHIRT</t>
  </si>
  <si>
    <t>TSC2MAR</t>
  </si>
  <si>
    <t>SS T-SHIRT CS2 FP MARIE TSC2MAR:PASTEL BLUE:5-6:PRINT:SS T-SHIRT</t>
  </si>
  <si>
    <t>SS T-SHIRT CS2 FP MARIE TSC2MAR:PASTEL BLUE:7-8:PRINT:SS T-SHIRT</t>
  </si>
  <si>
    <t>SS T-SHIRT CS2 FP MARIE TSC2MAR:PASTEL BLUE:9-10:PRINT:SS T-SHIRT</t>
  </si>
  <si>
    <t>SS T-SHIRT CS2 FP MARIE TSC2MAR:PASTEL BLUE:11-12:PRINT:SS T-SHIRT</t>
  </si>
  <si>
    <t>SS MIDI DRESS OVERALL BAMBI DOVARBAM3:PASTEL ORANGE:7-8:GRAPHIC:SS MIDI DRESS</t>
  </si>
  <si>
    <t>SS MIDI DRESS OVR FP MINNIE CDR DOSCDMIN:PASTEL PURPLE:7-8:PRINT:SS MIDI DRESS</t>
  </si>
  <si>
    <t>SS MIDI DRESS OVR RIB MARIE DOSCOMAR:PASTEL ORANGE:7-8:GRAPHIC:SS MIDI DRESS</t>
  </si>
  <si>
    <t>DSFPBMIN</t>
  </si>
  <si>
    <t>SS MIDI DRESS WOVEN FULL PRINT FLOWER MINNIE TUMPUK DSFPBMIN:OFF WHITE:3-4:PRINT:SS MIDI DRESS</t>
  </si>
  <si>
    <t>SS MIDI DRESS WOVEN FULL PRINT FLOWER MINNIE TUMPUK DSFPBMIN:OFF WHITE:4-5:PRINT:SS MIDI DRESS</t>
  </si>
  <si>
    <t>SS MIDI DRESS WOVEN FULL PRINT FLOWER MINNIE TUMPUK DSFPBMIN:OFF WHITE:5-6:PRINT:SS MIDI DRESS</t>
  </si>
  <si>
    <t>DSOSSFZA</t>
  </si>
  <si>
    <t>SS MIDI DRESS WOVEN OVERALL FROZEN RUFFLE SUSUN DSOSSFZA:PASTEL BLUE:3-4:GRAPHIC:SS MIDI DRESS</t>
  </si>
  <si>
    <t>SS MIDI DRESS WOVEN OVERALL FROZEN RUFFLE SUSUN DSOSSFZA:PASTEL BLUE:4-5:GRAPHIC:SS MIDI DRESS</t>
  </si>
  <si>
    <t>SS MIDI DRESS WOVEN OVERALL FROZEN RUFFLE SUSUN DSOSSFZA:PASTEL BLUE:5-6:GRAPHIC:SS MIDI DRESS</t>
  </si>
  <si>
    <t>SS MIDI DRESS WOVEN OVERALL FROZEN RUFFLE SUSUN DSOSSFZA:PASTEL BLUE:7-8:GRAPHIC:SS MIDI DRESS</t>
  </si>
  <si>
    <t>DSOVSLR</t>
  </si>
  <si>
    <t>SS MIDI DRESS WOVEN OVERALL STRIPE MINNIE DSOVSLR:PASTEL PINK:5-6:STRIPES:SS MIDI DRESS</t>
  </si>
  <si>
    <t>SS MIDI DRESS WOVEN OVERALL STRIPE MINNIE DSOVSLR:PASTEL PINK:7-8:STRIPES:SS MIDI DRESS</t>
  </si>
  <si>
    <t>SS MIDI DRESS WOVEN OVERALL STRIPE MINNIE DSOVSLR:PASTEL PINK:9-10:STRIPES:SS MIDI DRESS</t>
  </si>
  <si>
    <t>SS MIDI DRESS WOVEN OVERALL STRIPE MINNIE DSOVSLR:PASTEL PINK:11-12:STRIPES:SS MIDI DRESS</t>
  </si>
  <si>
    <t>LS T-SHIRT MINNIE LITTLE FLOWER LSMINFL:PASTEL PINK:12-18:PRINT:LS T-SHIRT</t>
  </si>
  <si>
    <t>JKHKTMIN</t>
  </si>
  <si>
    <t>JACKET HOODIE MINNIE EMBOS KOTAK JKHKTMIN:PASTEL PINK:6-12:PRINT:JACKET</t>
  </si>
  <si>
    <t>JACKET HOODIE MINNIE EMBOS KOTAK JKHKTMIN:PASTEL PINK:12-18:PRINT:JACKET</t>
  </si>
  <si>
    <t>JACKET HOODIE MINNIE EMBOS KOTAK JKHKTMIN:PASTEL PINK:18-24:PRINT:JACKET</t>
  </si>
  <si>
    <t>JACKET HOODIE MINNIE EMBOS KOTAK JKHKTMIN:PASTEL PINK:24-36:PRINT:JACKET</t>
  </si>
  <si>
    <t>SSPLMAR</t>
  </si>
  <si>
    <t>SS T-SHIRT TOP FP MARIE SSPLMAR:OFF WHITE:6-12:PRINT:SS T-SHIRT</t>
  </si>
  <si>
    <t>SS T-SHIRT TOP FP MARIE SSPLMAR:OFF WHITE:12-18:PRINT:SS T-SHIRT</t>
  </si>
  <si>
    <t>SS T-SHIRT TOP FP MARIE SSPLMAR:OFF WHITE:18-24:PRINT:SS T-SHIRT</t>
  </si>
  <si>
    <t>SS T-SHIRT TOP FP MARIE SSPLMAR:OFF WHITE:24-36:PRINT:SS T-SHIRT</t>
  </si>
  <si>
    <t>SS T-SHIRT CUT &amp; SEWN MICKEY 66020100MIC DSKTPOOH:ASSORTIVE COLOR:12-18:GRAPHIC:SS T-SHIRT</t>
  </si>
  <si>
    <t>LONG PANTS DENIM MINNIE LPDNMIN:MEDIUM DENIM:6-12:PRINT:DENIM LONG PANTS</t>
  </si>
  <si>
    <t>LONG PANTS DENIM MINNIE LPDNMIN:MEDIUM DENIM:12-18:PRINT:DENIM LONG PANTS</t>
  </si>
  <si>
    <t>LONG PANTS DENIM MINNIE LPDNMIN:MEDIUM DENIM:18-24:PRINT:DENIM LONG PANTS</t>
  </si>
  <si>
    <t>LONG PANTS DENIM MINNIE LPDNMIN:MEDIUM DENIM:24-36:PRINT:DENIM LONG PANTS</t>
  </si>
  <si>
    <t>SETTXMAR</t>
  </si>
  <si>
    <t>ONE SET SS MARIE BTM TEXTURE  SETTXMAR:PASTEL ORANGE:6-12:PRINT:TOP - BOTTOM SET</t>
  </si>
  <si>
    <t>ONE SET SS MARIE BTM TEXTURE  SETTXMAR:PASTEL ORANGE:12-18:PRINT:TOP - BOTTOM SET</t>
  </si>
  <si>
    <t>ONE SET SS MARIE BTM TEXTURE  SETTXMAR:PASTEL ORANGE:18-24:PRINT:TOP - BOTTOM SET</t>
  </si>
  <si>
    <t>ONE SET SS MARIE BTM TEXTURE  SETTXMAR:PASTEL ORANGE:24-36:PRINT:TOP - BOTTOM SET</t>
  </si>
  <si>
    <t>TOP - BOTTOM SET SS MINNIE LITTLE FLOWER SETMINLF:PASTEL PINK:12-18:PRINT:TOP - BOTTOM SET</t>
  </si>
  <si>
    <t>SETHDPOO</t>
  </si>
  <si>
    <t>ONE SET SS POOH HAPPY DAY SETHDPOO:PASTEL YELLOW:6-12:PRINT:TOP - BOTTOM SET</t>
  </si>
  <si>
    <t>ONE SET SS POOH HAPPY DAY SETHDPOO:PASTEL YELLOW:12-18:PRINT:TOP - BOTTOM SET</t>
  </si>
  <si>
    <t>ONE SET SS POOH HAPPY DAY SETHDPOO:PASTEL YELLOW:18-24:PRINT:TOP - BOTTOM SET</t>
  </si>
  <si>
    <t>ONE SET SS POOH HAPPY DAY SETHDPOO:PASTEL YELLOW:24-36:PRINT:TOP - BOTTOM SET</t>
  </si>
  <si>
    <t>SLDILMIN</t>
  </si>
  <si>
    <t>ONE SET LS TULLE TEXTURE MINNIE SLDILMIN:PASTEL PINK:6-12:PRINT:TOP - BOTTOM SET</t>
  </si>
  <si>
    <t>ONE SET LS TULLE TEXTURE MINNIE SLDILMIN:PASTEL PINK:12-18:PRINT:TOP - BOTTOM SET</t>
  </si>
  <si>
    <t>ONE SET LS TULLE TEXTURE MINNIE SLDILMIN:PASTEL PINK:18-24:PRINT:TOP - BOTTOM SET</t>
  </si>
  <si>
    <t>ONE SET LS TULLE TEXTURE MINNIE SLDILMIN:PASTEL PINK:24-36:PRINT:TOP - BOTTOM SET</t>
  </si>
  <si>
    <t>SETDILMIN</t>
  </si>
  <si>
    <t>ONE SET TEXTURE MINNIE SETDILMIN:PASTEL PINK:6-12:PRINT:TOP - BOTTOM SET</t>
  </si>
  <si>
    <t>ONE SET TEXTURE MINNIE SETDILMIN:PASTEL PINK:12-18:PRINT:TOP - BOTTOM SET</t>
  </si>
  <si>
    <t>ONE SET TEXTURE MINNIE SETDILMIN:PASTEL PINK:18-24:PRINT:TOP - BOTTOM SET</t>
  </si>
  <si>
    <t>ONE SET TEXTURE MINNIE SETDILMIN:PASTEL PINK:24-36:PRINT:TOP - BOTTOM SET</t>
  </si>
  <si>
    <t>SETORMIC</t>
  </si>
  <si>
    <t>ONE SET MICKEY ORNAMEN 66020100MIC SETORMIC:PASTEL BLUE:6-12:PRINT:TOP - BOTTOM SET</t>
  </si>
  <si>
    <t>ONE SET MICKEY ORNAMEN 66020100MIC SETORMIC:PASTEL BLUE:12-18:PRINT:TOP - BOTTOM SET</t>
  </si>
  <si>
    <t>ONE SET MICKEY ORNAMEN 66020100MIC SETORMIC:PASTEL BLUE:18-24:PRINT:TOP - BOTTOM SET</t>
  </si>
  <si>
    <t>ONE SET MICKEY ORNAMEN 66020100MIC SETORMIC:PASTEL BLUE:24-36:PRINT:TOP - BOTTOM SET</t>
  </si>
  <si>
    <t>SS MIDI DRESS MINNIE LITTLE FLOWER DSMINLF:PASTEL PINK:12-18:PRINT:SS MIDI DRESS</t>
  </si>
  <si>
    <t>DSOKPOOH</t>
  </si>
  <si>
    <t>SS MIDI DRESS TALI KEPANG POOH DSOKPOOH:OFF WHITE:6-12:PRINT:SS MIDI DRESS</t>
  </si>
  <si>
    <t>SS MIDI DRESS TALI KEPANG POOH DSOKPOOH:OFF WHITE:12-18:PRINT:SS MIDI DRESS</t>
  </si>
  <si>
    <t>SS MIDI DRESS TALI KEPANG POOH DSOKPOOH:OFF WHITE:18-24:PRINT:SS MIDI DRESS</t>
  </si>
  <si>
    <t>SS MIDI DRESS TALI KEPANG POOH DSOKPOOH:OFF WHITE:24-36:PRINT:SS MIDI DRESS</t>
  </si>
  <si>
    <t>DLELMIN</t>
  </si>
  <si>
    <t>LS MIDI DRESS TULLE MINNIE DLELMIN:PASTEL PINK:6-12:PRINT:LS MIDI DRESS</t>
  </si>
  <si>
    <t>LS MIDI DRESS TULLE MINNIE DLELMIN:PASTEL PINK:12-18:PRINT:LS MIDI DRESS</t>
  </si>
  <si>
    <t>LS MIDI DRESS TULLE MINNIE DLELMIN:PASTEL PINK:18-24:PRINT:LS MIDI DRESS</t>
  </si>
  <si>
    <t>LS MIDI DRESS TULLE MINNIE DLELMIN:PASTEL PINK:24-36:PRINT:LS MIDI DRESS</t>
  </si>
  <si>
    <t>DTDILMAR</t>
  </si>
  <si>
    <t>SS MIDI DRESS TULLE MARIE DTDILMAR:PASTEL PINK:6-12:PRINT:SS MIDI DRESS</t>
  </si>
  <si>
    <t>SS MIDI DRESS TULLE MARIE DTDILMAR:PASTEL PINK:12-18:PRINT:SS MIDI DRESS</t>
  </si>
  <si>
    <t>SS MIDI DRESS TULLE MARIE DTDILMAR:PASTEL PINK:18-24:PRINT:SS MIDI DRESS</t>
  </si>
  <si>
    <t>SS MIDI DRESS TULLE MARIE DTDILMAR:PASTEL PINK:24-36:PRINT:SS MIDI DRESS</t>
  </si>
  <si>
    <t>OVGCLNMAR</t>
  </si>
  <si>
    <t>SS MIDI DRESS OVERALL SS SP MARIE OVGCLNMAR:PASTEL PINK:6-12:PRINT:SS MIDI DRESS</t>
  </si>
  <si>
    <t>SS MIDI DRESS OVERALL SS SP MARIE OVGCLNMAR:PASTEL PINK:12-18:PRINT:SS MIDI DRESS</t>
  </si>
  <si>
    <t>SS MIDI DRESS OVERALL SS SP MARIE OVGCLNMAR:PASTEL PINK:18-24:PRINT:SS MIDI DRESS</t>
  </si>
  <si>
    <t>SS MIDI DRESS OVERALL SS SP MARIE OVGCLNMAR:PASTEL PINK:24-36:PRINT:SS MIDI DRESS</t>
  </si>
  <si>
    <t>OVERALL MIDI SKIRT MINNIE LITTLE FLOWER ODSMINLF:PASTEL PINK:12-18:PRINT:OVERALL MIDI SKIRT</t>
  </si>
  <si>
    <t>OVTIGER</t>
  </si>
  <si>
    <t>OVERALL MIDI SKIRT TIGER OVTIGER:CLASSIC ORANGE:6-12:PRINT:OVERALL MIDI SKIRT</t>
  </si>
  <si>
    <t>OVERALL MIDI SKIRT TIGER OVTIGER:CLASSIC ORANGE:12-18:PRINT:OVERALL MIDI SKIRT</t>
  </si>
  <si>
    <t>OVERALL MIDI SKIRT TIGER OVTIGER:CLASSIC ORANGE:18-24:PRINT:OVERALL MIDI SKIRT</t>
  </si>
  <si>
    <t>OVERALL MIDI SKIRT TIGER OVTIGER:CLASSIC ORANGE:24-36:PRINT:OVERALL MIDI SKIRT</t>
  </si>
  <si>
    <t>OVPLBAM</t>
  </si>
  <si>
    <t>OVERALL MIDI SKIRT GIRLS SS BAMBI OVPLBAM:PASTEL PINK:6-12:PRINT:OVERALL MIDI SKIRT</t>
  </si>
  <si>
    <t>OVERALL MIDI SKIRT GIRLS SS BAMBI OVPLBAM:PASTEL PINK:12-18:PRINT:OVERALL MIDI SKIRT</t>
  </si>
  <si>
    <t>OVERALL MIDI SKIRT GIRLS SS BAMBI OVPLBAM:PASTEL PINK:18-24:PRINT:OVERALL MIDI SKIRT</t>
  </si>
  <si>
    <t>OVERALL MIDI SKIRT GIRLS SS BAMBI OVPLBAM:PASTEL PINK:24-36:PRINT:OVERALL MIDI SKIRT</t>
  </si>
  <si>
    <t>OVDILPOOH</t>
  </si>
  <si>
    <t>OVERALL GIRLS POOH 66020100 OVDILPOOH:PASTEL PINK:6-12:PRINT:SHORT JUMPSUIT</t>
  </si>
  <si>
    <t>OVERALL GIRLS POOH 66020100 OVDILPOOH:PASTEL PINK:12-18:PRINT:SHORT JUMPSUIT</t>
  </si>
  <si>
    <t>OVERALL GIRLS POOH 66020100 OVDILPOOH:PASTEL PINK:18-24:PRINT:SHORT JUMPSUIT</t>
  </si>
  <si>
    <t>OVERALL GIRLS POOH 66020100 OVDILPOOH:PASTEL PINK:24-36:PRINT:SHORT JUMPSUIT</t>
  </si>
  <si>
    <t>OVERALL MIDI SKIRT LION KING 66020100 OVLKING:MUSTARD:12-18:PRINT:OVERALL MIDI SKIRT</t>
  </si>
  <si>
    <t>OVERALL MIDI SKIRT MICKEY AND GUFI 66020100 OVGUFMIC:ASSORTIVE COLOR:12-18:PRINT:OVERALL MIDI SKIRT</t>
  </si>
  <si>
    <t>OVBORMIC</t>
  </si>
  <si>
    <t>OVERALL MICKEY ORNAMEN 66020100 OVBORMIC:PASTEL BLUE:6-12:PRINT:SHORT JUMPSUIT</t>
  </si>
  <si>
    <t>OVERALL MICKEY ORNAMEN 66020100 OVBORMIC:PASTEL BLUE:12-18:PRINT:SHORT JUMPSUIT</t>
  </si>
  <si>
    <t>OVERALL MICKEY ORNAMEN 66020100 OVBORMIC:PASTEL BLUE:18-24:PRINT:SHORT JUMPSUIT</t>
  </si>
  <si>
    <t>OVERALL MICKEY ORNAMEN 66020100 OVBORMIC:PASTEL BLUE:24-36:PRINT:SHORT JUMPSUIT</t>
  </si>
  <si>
    <t>OVBSIM</t>
  </si>
  <si>
    <t>OVERALL MIDI SKIRT SIMBA KAKI OVBSIM:PASTEL BLUE:6-12:PRINT:OVERALL MIDI SKIRT</t>
  </si>
  <si>
    <t>OVERALL MIDI SKIRT SIMBA KAKI OVBSIM:PASTEL BLUE:12-18:PRINT:OVERALL MIDI SKIRT</t>
  </si>
  <si>
    <t>OVERALL MIDI SKIRT SIMBA KAKI OVBSIM:PASTEL BLUE:18-24:PRINT:OVERALL MIDI SKIRT</t>
  </si>
  <si>
    <t>OVERALL MIDI SKIRT SIMBA KAKI OVBSIM:PASTEL BLUE:24-36:PRINT:OVERALL MIDI SKIRT</t>
  </si>
  <si>
    <t>SS T-SHIRT MARVEL CHIBI SUPER HEROES 66020100 TSMVCB:NAVY BLUE:12-18:GRAPHIC:SS T-SHIRT</t>
  </si>
  <si>
    <t>JKMVCB</t>
  </si>
  <si>
    <t>JACKET MARVEL CHIBI SUPER HEROES 66020100 JKMVCB:NAVY BLUE:6-12:GRAPHIC:JACKET</t>
  </si>
  <si>
    <t>JACKET MARVEL CHIBI SUPER HEROES 66020100 JKMVCB:NAVY BLUE:12-18:GRAPHIC:JACKET</t>
  </si>
  <si>
    <t>JACKET MARVEL CHIBI SUPER HEROES 66020100 JKMVCB:NAVY BLUE:18-24:GRAPHIC:JACKET</t>
  </si>
  <si>
    <t>JACKET MARVEL CHIBI SUPER HEROES 66020100 JKMVCB:NAVY BLUE:24-36:GRAPHIC:JACKET</t>
  </si>
  <si>
    <t>ONE SET MARVEL CHIBI SUPER HEROES 66020100 SETMVCB:NAVY BLUE:12-18:GRAPHIC:TOP - BOTTOM SET</t>
  </si>
  <si>
    <t>OVLMVCB</t>
  </si>
  <si>
    <t>OVERALL MARVEL CHIBI SUPER HEROES 66020100 OVLMVCB:NAVY BLUE:6-12:GRAPHIC:SHORT JUMPSUIT</t>
  </si>
  <si>
    <t>OVERALL MARVEL CHIBI SUPER HEROES 66020100 OVLMVCB:NAVY BLUE:12-18:GRAPHIC:SHORT JUMPSUIT</t>
  </si>
  <si>
    <t>OVERALL MARVEL CHIBI SUPER HEROES 66020100 OVLMVCB:NAVY BLUE:18-24:GRAPHIC:SHORT JUMPSUIT</t>
  </si>
  <si>
    <t>OVERALL MARVEL CHIBI SUPER HEROES 66020100 OVLMVCB:NAVY BLUE:24-36:GRAPHIC:SHORT JUMPSUIT</t>
  </si>
  <si>
    <t>KKSPTMIN</t>
  </si>
  <si>
    <t>SOCKS KKG FP &amp; PITA MINNIE KKSPTMIN:PASTEL YELLOW:14-16:PRINT:SOCKS</t>
  </si>
  <si>
    <t>SOCKS KKG FP &amp; PITA MINNIE KKSPTMIN:PASTEL YELLOW:18-20:PRINT:SOCKS</t>
  </si>
  <si>
    <t>SWLAURR</t>
  </si>
  <si>
    <t>LS PYJAMA PANTS LSLP SLEEPING BEAUTY 66040300PRN SWLAURR:PASTEL PINK:4:PRINT:LS PYJAMA PANTS</t>
  </si>
  <si>
    <t>LS PYJAMA PANTS LSLP SLEEPING BEAUTY 66040300PRN SWLAURR:PASTEL PINK:5:PRINT:LS PYJAMA PANTS</t>
  </si>
  <si>
    <t>LS PYJAMA PANTS LSLP SLEEPING BEAUTY 66040300PRN SWLAURR:PASTEL PINK:6:PRINT:LS PYJAMA PANTS</t>
  </si>
  <si>
    <t>LS PYJAMA PANTS LSLP SLEEPING BEAUTY 66040300PRN SWLAURR:PASTEL PINK:7:PRINT:LS PYJAMA PANTS</t>
  </si>
  <si>
    <t>LS PYJAMA PANTS LSLP SLEEPING BEAUTY 66040300PRN SWLAURR:PASTEL PINK:8:PRINT:LS PYJAMA PANTS</t>
  </si>
  <si>
    <t>LS PYJAMA PANTS LSLP SLEEPING BEAUTY 66040300PRN SWLAURR:PASTEL PINK:10:PRINT:LS PYJAMA PANTS</t>
  </si>
  <si>
    <t>LS PYJAMA PANTS LSLP SLEEPING BEAUTY 66040300PRN SWLAURR:PASTEL PINK:12:PRINT:LS PYJAMA PANTS</t>
  </si>
  <si>
    <t>LS PYJAMA PANTS LSLP SLEEPING BEAUTY 66040300PRN SWLAURR:PASTEL PINK:14:PRINT:LS PYJAMA PANTS</t>
  </si>
  <si>
    <t>PYJAMAS SET LSLP MINNIE RUFFLE BAHU SWRFMIN:PASTEL PINK:14:PRINT:LS PYJAMA PANTS</t>
  </si>
  <si>
    <t>KKSPSPD</t>
  </si>
  <si>
    <t>SOCKS KKB SPIDERMAN HEAD KKSPSPD:CLASSIC RED:14-16:PRINT:SOCKS</t>
  </si>
  <si>
    <t>SOCKS KKB SPIDERMAN HEAD KKSPSPD:CLASSIC RED:18-20:PRINT:SOCKS</t>
  </si>
  <si>
    <t>KKMM2401</t>
  </si>
  <si>
    <t>SOCKS KKB SPIDERMAN KKMM2401:BLACK:14-16:PRINT:SOCKS</t>
  </si>
  <si>
    <t>SOCKS KKB SPIDERMAN KKMM2401:BLACK:18-20:PRINT:SOCKS</t>
  </si>
  <si>
    <t>KKMM2402</t>
  </si>
  <si>
    <t>SOCKS KKB JARING SPIDERMAN KKMM2402:BLACK:14-16:PRINT:SOCKS</t>
  </si>
  <si>
    <t>SOCKS KKB JARING SPIDERMAN KKMM2402:BLACK:18-20:PRINT:SOCKS</t>
  </si>
  <si>
    <t>KKMM2404</t>
  </si>
  <si>
    <t>SOCKS KKB JARING SPIDERMAN KKMM2404:CLASSIC RED:14-16:PRINT:SOCKS</t>
  </si>
  <si>
    <t>SOCKS KKB JARING SPIDERMAN KKMM2404:CLASSIC RED:18-20:PRINT:SOCKS</t>
  </si>
  <si>
    <t>KKMM2406</t>
  </si>
  <si>
    <t>SOCKS KKB JARING SPIDERMAN KKMM2406:PASTEL GREY:14-16:PRINT:SOCKS</t>
  </si>
  <si>
    <t>SOCKS KKB JARING SPIDERMAN KKMM2406:PASTEL GREY:18-20:PRINT:SOCKS</t>
  </si>
  <si>
    <t>A-909</t>
  </si>
  <si>
    <t>ONE SET SSLP MARVEL AVENGERS A-909:MISTY MEDIUM BLUE:8:PRINT:LS PYJAMA PANTS</t>
  </si>
  <si>
    <t>ONE SET SSLP MARVEL AVENGERS A-909:MISTY MEDIUM BLUE:10:PRINT:LS PYJAMA PANTS</t>
  </si>
  <si>
    <t>ONE SET SSLP MARVEL AVENGERS A-909:MISTY MEDIUM BLUE:12:PRINT:LS PYJAMA PANTS</t>
  </si>
  <si>
    <t>ONE SET SSLP MARVEL AVENGERS A-909:MISTY MEDIUM BLUE:14:PRINT:LS PYJAMA PANTS</t>
  </si>
  <si>
    <t>PYJAMAS SET LSLP FULL PRINT MARVEL SWFPMV:OFF WHITE:14:PRINT:LS PYJAMA PANTS</t>
  </si>
  <si>
    <t>SET SSLP COSTUM CAPTAIN AMERICA 660603000VA SWCOSCA:CLASSIC BLUE:7:PRINT:SS PYJAMA PANTS</t>
  </si>
  <si>
    <t>TSMEPPGBL</t>
  </si>
  <si>
    <t>SS T-SHIRT PPG BLOSSOM TSMEPPGBL:PASTEL PINK:3-4:GRAPHIC:SS T-SHIRT</t>
  </si>
  <si>
    <t>SS T-SHIRT PPG BLOSSOM TSMEPPGBL:PASTEL PINK:4-5:GRAPHIC:SS T-SHIRT</t>
  </si>
  <si>
    <t>SS T-SHIRT PPG BLOSSOM TSMEPPGBL:PASTEL PINK:5-6:GRAPHIC:SS T-SHIRT</t>
  </si>
  <si>
    <t>SS T-SHIRT PPG BLOSSOM TSMEPPGBL:PASTEL PINK:7-8:GRAPHIC:SS T-SHIRT</t>
  </si>
  <si>
    <t>TSME3PPG</t>
  </si>
  <si>
    <t>SS T-SHIRT 3 PPG TSME3PPG:PASTEL GREEN:3-4:GRAPHIC:SS T-SHIRT</t>
  </si>
  <si>
    <t>SS T-SHIRT 3 PPG TSME3PPG:PASTEL GREEN:4-5:GRAPHIC:SS T-SHIRT</t>
  </si>
  <si>
    <t>SS T-SHIRT 3 PPG TSME3PPG:PASTEL GREEN:5-6:GRAPHIC:SS T-SHIRT</t>
  </si>
  <si>
    <t>SS T-SHIRT 3 PPG TSME3PPG:PASTEL GREEN:7-8:GRAPHIC:SS T-SHIRT</t>
  </si>
  <si>
    <t>SSAMIMYM</t>
  </si>
  <si>
    <t>SS T-SHIRT TOP MY MELODY SSAMIMYM:PASTEL PINK:3-4:GRAPHIC:SS T-SHIRT</t>
  </si>
  <si>
    <t>SS T-SHIRT TOP MY MELODY SSAMIMYM:PASTEL PINK:4-5:GRAPHIC:SS T-SHIRT</t>
  </si>
  <si>
    <t>SS T-SHIRT TOP MY MELODY SSAMIMYM:PASTEL PINK:5-6:GRAPHIC:SS T-SHIRT</t>
  </si>
  <si>
    <t>SS T-SHIRT TOP MY MELODY SSAMIMYM:PASTEL PINK:7-8:GRAPHIC:SS T-SHIRT</t>
  </si>
  <si>
    <t>TSHK1HMT</t>
  </si>
  <si>
    <t>SS T-SHIRT HELLO KITTY TSHK1HMT:PASTEL PINK:5-6:GRAPHIC:SS T-SHIRT</t>
  </si>
  <si>
    <t>SS T-SHIRT HELLO KITTY TSHK1HMT:PASTEL PINK:7-8:GRAPHIC:SS T-SHIRT</t>
  </si>
  <si>
    <t>SS T-SHIRT HELLO KITTY TSHK1HMT:PASTEL PINK:9-10:GRAPHIC:SS T-SHIRT</t>
  </si>
  <si>
    <t>SS T-SHIRT HELLO KITTY TSHK1HMT:PASTEL PINK:11-12:GRAPHIC:SS T-SHIRT</t>
  </si>
  <si>
    <t>TS50HK2</t>
  </si>
  <si>
    <t>SS T-SHIRT KANTONG HELLO KITTY 25 TS50HK2:PASTEL PINK:5-6:GRAPHIC:SS T-SHIRT</t>
  </si>
  <si>
    <t>SS T-SHIRT KANTONG HELLO KITTY 25 TS50HK2:PASTEL PINK:7-8:GRAPHIC:SS T-SHIRT</t>
  </si>
  <si>
    <t>SS T-SHIRT KANTONG HELLO KITTY 25 TS50HK2:PASTEL PINK:9-10:GRAPHIC:SS T-SHIRT</t>
  </si>
  <si>
    <t>SS T-SHIRT KANTONG HELLO KITTY 25 TS50HK2:PASTEL PINK:11-12:GRAPHIC:SS T-SHIRT</t>
  </si>
  <si>
    <t>TS50HK4</t>
  </si>
  <si>
    <t>SS T-SHIRT 2PR HELLO KITTY 25 TS50HK4:PASTEL BLUE:5-6:GRAPHIC:SS T-SHIRT</t>
  </si>
  <si>
    <t>SS T-SHIRT 2PR HELLO KITTY 25 TS50HK4:PASTEL BLUE:7-8:GRAPHIC:SS T-SHIRT</t>
  </si>
  <si>
    <t>SS T-SHIRT 2PR HELLO KITTY 25 TS50HK4:PASTEL BLUE:9-10:GRAPHIC:SS T-SHIRT</t>
  </si>
  <si>
    <t>SS T-SHIRT 2PR HELLO KITTY 25 TS50HK4:PASTEL BLUE:11-12:GRAPHIC:SS T-SHIRT</t>
  </si>
  <si>
    <t>TS50HK5</t>
  </si>
  <si>
    <t>SS T-SHIRT RIB HELLO KITTY 25 TS50HK5:PASTEL ORANGE:5-6:GRAPHIC:SS T-SHIRT</t>
  </si>
  <si>
    <t>SS T-SHIRT RIB HELLO KITTY 25 TS50HK5:PASTEL ORANGE:7-8:GRAPHIC:SS T-SHIRT</t>
  </si>
  <si>
    <t>SS T-SHIRT RIB HELLO KITTY 25 TS50HK5:PASTEL ORANGE:9-10:GRAPHIC:SS T-SHIRT</t>
  </si>
  <si>
    <t>SS T-SHIRT RIB HELLO KITTY 25 TS50HK5:PASTEL ORANGE:11-12:GRAPHIC:SS T-SHIRT</t>
  </si>
  <si>
    <t>TSTWT1</t>
  </si>
  <si>
    <t>SS T-SHIRT FP TWEETY TSTWT1:OFF WHITE:5-6:PRINT:SS T-SHIRT</t>
  </si>
  <si>
    <t>SS T-SHIRT FP TWEETY TSTWT1:OFF WHITE:7-8:PRINT:SS T-SHIRT</t>
  </si>
  <si>
    <t>SS T-SHIRT FP TWEETY TSTWT1:OFF WHITE:9-10:PRINT:SS T-SHIRT</t>
  </si>
  <si>
    <t>SS T-SHIRT FP TWEETY TSTWT1:OFF WHITE:11-12:PRINT:SS T-SHIRT</t>
  </si>
  <si>
    <t>TSTWT2</t>
  </si>
  <si>
    <t>SS T-SHIRT TWEETY GOOD VIBES ONLY TSTWT2:PASTEL ORANGE:5-6:GRAPHIC:SS T-SHIRT</t>
  </si>
  <si>
    <t>SS T-SHIRT TWEETY GOOD VIBES ONLY TSTWT2:PASTEL ORANGE:7-8:GRAPHIC:SS T-SHIRT</t>
  </si>
  <si>
    <t>SS T-SHIRT TWEETY GOOD VIBES ONLY TSTWT2:PASTEL ORANGE:9-10:GRAPHIC:SS T-SHIRT</t>
  </si>
  <si>
    <t>SS T-SHIRT TWEETY GOOD VIBES ONLY TSTWT2:PASTEL ORANGE:11-12:GRAPHIC:SS T-SHIRT</t>
  </si>
  <si>
    <t>TSTWT3</t>
  </si>
  <si>
    <t>SS T-SHIRT FE TWEETY OUTLINE TSTWT3:PASTEL YELLOW:5-6:GRAPHIC:SS T-SHIRT</t>
  </si>
  <si>
    <t>SS T-SHIRT FE TWEETY OUTLINE TSTWT3:PASTEL YELLOW:7-8:GRAPHIC:SS T-SHIRT</t>
  </si>
  <si>
    <t>SS T-SHIRT FE TWEETY OUTLINE TSTWT3:PASTEL YELLOW:9-10:GRAPHIC:SS T-SHIRT</t>
  </si>
  <si>
    <t>SS T-SHIRT FE TWEETY OUTLINE TSTWT3:PASTEL YELLOW:11-12:GRAPHIC:SS T-SHIRT</t>
  </si>
  <si>
    <t>TSTWT4</t>
  </si>
  <si>
    <t>SS T-SHIRT CS TWEETY SUPER CHICK TSTWT4:PASTEL PINK:5-6:GRAPHIC:SS T-SHIRT</t>
  </si>
  <si>
    <t>SS T-SHIRT CS TWEETY SUPER CHICK TSTWT4:PASTEL PINK:7-8:GRAPHIC:SS T-SHIRT</t>
  </si>
  <si>
    <t>SS T-SHIRT CS TWEETY SUPER CHICK TSTWT4:PASTEL PINK:9-10:GRAPHIC:SS T-SHIRT</t>
  </si>
  <si>
    <t>SS T-SHIRT CS TWEETY SUPER CHICK TSTWT4:PASTEL PINK:11-12:GRAPHIC:SS T-SHIRT</t>
  </si>
  <si>
    <t>TSTWT5</t>
  </si>
  <si>
    <t>SS T-SHIRT TWEETY PITA TSTWT5:PASTEL YELLOW:5-6:GRAPHIC:SS T-SHIRT</t>
  </si>
  <si>
    <t>SS T-SHIRT TWEETY PITA TSTWT5:PASTEL YELLOW:7-8:GRAPHIC:SS T-SHIRT</t>
  </si>
  <si>
    <t>SS T-SHIRT TWEETY PITA TSTWT5:PASTEL YELLOW:9-10:GRAPHIC:SS T-SHIRT</t>
  </si>
  <si>
    <t>SS T-SHIRT TWEETY PITA TSTWT5:PASTEL YELLOW:11-12:GRAPHIC:SS T-SHIRT</t>
  </si>
  <si>
    <t>TS50HK1</t>
  </si>
  <si>
    <t>SS T-SHIRT FP HELLO KITTY 50 TS50HK1:OFF WHITE:5-6:PRINT:SS T-SHIRT</t>
  </si>
  <si>
    <t>SS T-SHIRT FP HELLO KITTY 50 TS50HK1:OFF WHITE:7-8:PRINT:SS T-SHIRT</t>
  </si>
  <si>
    <t>SS T-SHIRT FP HELLO KITTY 50 TS50HK1:OFF WHITE:9-10:PRINT:SS T-SHIRT</t>
  </si>
  <si>
    <t>SS T-SHIRT FP HELLO KITTY 50 TS50HK1:OFF WHITE:11-12:PRINT:SS T-SHIRT</t>
  </si>
  <si>
    <t>TS50HK3</t>
  </si>
  <si>
    <t>SS T-SHIRT RIB HELLO KITTY 50 TS50HK3:OFF WHITE:5-6:GRAPHIC:SS T-SHIRT</t>
  </si>
  <si>
    <t>SS T-SHIRT RIB HELLO KITTY 50 TS50HK3:OFF WHITE:7-8:GRAPHIC:SS T-SHIRT</t>
  </si>
  <si>
    <t>SS T-SHIRT RIB HELLO KITTY 50 TS50HK3:OFF WHITE:9-10:GRAPHIC:SS T-SHIRT</t>
  </si>
  <si>
    <t>SS T-SHIRT RIB HELLO KITTY 50 TS50HK3:OFF WHITE:11-12:GRAPHIC:SS T-SHIRT</t>
  </si>
  <si>
    <t>SS T-SHIRT TOP PPG TEXTURE RUFFLE LENGAN SSDILPPG1:PASTEL PINK:9-10:GRAPHIC:SS T-SHIRT</t>
  </si>
  <si>
    <t>SS T-SHIRT TOP PPG TEXTURE RUFFLE KERAH SSDILPPG2:PASTEL ORANGE:9-10:GRAPHIC:SS T-SHIRT</t>
  </si>
  <si>
    <t>SS T-SHIRT CS HELLO KITTY TSHKT5:ASSORTIVE COLOR:9-10:GRAPHIC:SS T-SHIRT</t>
  </si>
  <si>
    <t>TSMYM05</t>
  </si>
  <si>
    <t>SS T-SHIRT MY MELODY TSMYM05:OFF WHITE:5-6:PRINT:SS T-SHIRT</t>
  </si>
  <si>
    <t>SS T-SHIRT MY MELODY TSMYM05:OFF WHITE:7-8:PRINT:SS T-SHIRT</t>
  </si>
  <si>
    <t>SS T-SHIRT MY MELODY TSMYM05:OFF WHITE:9-10:PRINT:SS T-SHIRT</t>
  </si>
  <si>
    <t>SS T-SHIRT MY MELODY TSMYM05:OFF WHITE:11-12:PRINT:SS T-SHIRT</t>
  </si>
  <si>
    <t>TSMYM06</t>
  </si>
  <si>
    <t>SS T-SHIRT MY MELODY TSMYM06:PASTEL BLUE:5-6:GRAPHIC:SS T-SHIRT</t>
  </si>
  <si>
    <t>SS T-SHIRT MY MELODY TSMYM06:PASTEL BLUE:7-8:GRAPHIC:SS T-SHIRT</t>
  </si>
  <si>
    <t>SS T-SHIRT MY MELODY TSMYM06:PASTEL BLUE:9-10:GRAPHIC:SS T-SHIRT</t>
  </si>
  <si>
    <t>SS T-SHIRT MY MELODY TSMYM06:PASTEL BLUE:11-12:GRAPHIC:SS T-SHIRT</t>
  </si>
  <si>
    <t>TSGPPG1</t>
  </si>
  <si>
    <t>SS T-SHIRT PPG LOVE TSGPPG1:OFF WHITE:5-6:GRAPHIC:SS T-SHIRT</t>
  </si>
  <si>
    <t>SS T-SHIRT PPG LOVE TSGPPG1:OFF WHITE:7-8:GRAPHIC:SS T-SHIRT</t>
  </si>
  <si>
    <t>SS T-SHIRT PPG LOVE TSGPPG1:OFF WHITE:9-10:GRAPHIC:SS T-SHIRT</t>
  </si>
  <si>
    <t>SS T-SHIRT PPG LOVE TSGPPG1:OFF WHITE:11-12:GRAPHIC:SS T-SHIRT</t>
  </si>
  <si>
    <t>SS T-SHIRT BARBIE STAR LGN RUFFLE SSBAR241:PASTEL PINK:9-10:GRAPHIC:SS T-SHIRT</t>
  </si>
  <si>
    <t>SSBAR246</t>
  </si>
  <si>
    <t>SS T-SHIRT BARBIE TENNIS CLUB SSBAR246:OFF WHITE:5-6:GRAPHIC:SS T-SHIRT</t>
  </si>
  <si>
    <t>SS T-SHIRT BARBIE TENNIS CLUB SSBAR246:OFF WHITE:7-8:GRAPHIC:SS T-SHIRT</t>
  </si>
  <si>
    <t>SS T-SHIRT BARBIE TENNIS CLUB SSBAR246:OFF WHITE:9-10:GRAPHIC:SS T-SHIRT</t>
  </si>
  <si>
    <t>SS T-SHIRT BARBIE TENNIS CLUB SSBAR246:OFF WHITE:11-12:GRAPHIC:SS T-SHIRT</t>
  </si>
  <si>
    <t>SSBAR244</t>
  </si>
  <si>
    <t>SS T-SHIRT BARBIE OFFSHOULDER SSBAR244:PASTEL PINK:5-6:GRAPHIC:SS T-SHIRT</t>
  </si>
  <si>
    <t>SS T-SHIRT BARBIE OFFSHOULDER SSBAR244:PASTEL PINK:7-8:GRAPHIC:SS T-SHIRT</t>
  </si>
  <si>
    <t>SS T-SHIRT BARBIE OFFSHOULDER SSBAR244:PASTEL PINK:9-10:GRAPHIC:SS T-SHIRT</t>
  </si>
  <si>
    <t>SS T-SHIRT BARBIE OFFSHOULDER SSBAR244:PASTEL PINK:11-12:GRAPHIC:SS T-SHIRT</t>
  </si>
  <si>
    <t>SSBAR247</t>
  </si>
  <si>
    <t>SS T-SHIRT BARBIE DREAMS SSBAR247:PASTEL PURPLE:5-6:GRAPHIC:SS T-SHIRT</t>
  </si>
  <si>
    <t>SS T-SHIRT BARBIE DREAMS SSBAR247:PASTEL PURPLE:7-8:GRAPHIC:SS T-SHIRT</t>
  </si>
  <si>
    <t>SS T-SHIRT BARBIE DREAMS SSBAR247:PASTEL PURPLE:9-10:GRAPHIC:SS T-SHIRT</t>
  </si>
  <si>
    <t>SS T-SHIRT BARBIE DREAMS SSBAR247:PASTEL PURPLE:11-12:GRAPHIC:SS T-SHIRT</t>
  </si>
  <si>
    <t>JKAMIMYM</t>
  </si>
  <si>
    <t>JACKET HOODIE MY MELODY JKAMIMYM:PASTEL PINK:3-4:GRAPHIC:JACKET</t>
  </si>
  <si>
    <t>JACKET HOODIE MY MELODY JKAMIMYM:PASTEL PINK:4-5:GRAPHIC:JACKET</t>
  </si>
  <si>
    <t>JACKET HOODIE MY MELODY JKAMIMYM:PASTEL PINK:5-6:GRAPHIC:JACKET</t>
  </si>
  <si>
    <t>JACKET HOODIE MY MELODY JKAMIMYM:PASTEL PINK:7-8:GRAPHIC:JACKET</t>
  </si>
  <si>
    <t>SWBAR242</t>
  </si>
  <si>
    <t>SWEATSHIRT BARBIE TEXTURE SWBAR242:FUSCHIA:5-6:TEXT:SWEATSHIRT</t>
  </si>
  <si>
    <t>SWEATSHIRT BARBIE TEXTURE SWBAR242:FUSCHIA:7-8:TEXT:SWEATSHIRT</t>
  </si>
  <si>
    <t>SWEATSHIRT BARBIE TEXTURE SWBAR242:FUSCHIA:9-10:TEXT:SWEATSHIRT</t>
  </si>
  <si>
    <t>SWEATSHIRT BARBIE TEXTURE SWBAR242:FUSCHIA:11-12:TEXT:SWEATSHIRT</t>
  </si>
  <si>
    <t>SWBAR242P</t>
  </si>
  <si>
    <t>SWEATSHIRT BARBIE TEXTURE SWBAR242P:PASTEL PINK:5-6:TEXT:SWEATSHIRT</t>
  </si>
  <si>
    <t>SWEATSHIRT BARBIE TEXTURE SWBAR242P:PASTEL PINK:7-8:TEXT:SWEATSHIRT</t>
  </si>
  <si>
    <t>SWEATSHIRT BARBIE TEXTURE SWBAR242P:PASTEL PINK:9-10:TEXT:SWEATSHIRT</t>
  </si>
  <si>
    <t>SWEATSHIRT BARBIE TEXTURE SWBAR242P:PASTEL PINK:11-12:TEXT:SWEATSHIRT</t>
  </si>
  <si>
    <t>JGAMIMYM</t>
  </si>
  <si>
    <t>JOGGER MY MELODY JGAMIMYM:PASTEL PINK:3-4:GRAPHIC:JOGGER</t>
  </si>
  <si>
    <t>JOGGER MY MELODY JGAMIMYM:PASTEL PINK:4-5:GRAPHIC:JOGGER</t>
  </si>
  <si>
    <t>JOGGER MY MELODY JGAMIMYM:PASTEL PINK:5-6:GRAPHIC:JOGGER</t>
  </si>
  <si>
    <t>JOGGER MY MELODY JGAMIMYM:PASTEL PINK:7-8:GRAPHIC:JOGGER</t>
  </si>
  <si>
    <t>DSDILMYM</t>
  </si>
  <si>
    <t>SS MIDI DRESS MY MELODY DSDILMYM:OFF WHITE:3-4:GRAPHIC:SS MIDI DRESS</t>
  </si>
  <si>
    <t>SS MIDI DRESS MY MELODY DSDILMYM:OFF WHITE:4-5:GRAPHIC:SS MIDI DRESS</t>
  </si>
  <si>
    <t>SS MIDI DRESS MY MELODY DSDILMYM:OFF WHITE:5-6:GRAPHIC:SS MIDI DRESS</t>
  </si>
  <si>
    <t>SS MIDI DRESS MY MELODY DSDILMYM:OFF WHITE:7-8:GRAPHIC:SS MIDI DRESS</t>
  </si>
  <si>
    <t>SSMINDO</t>
  </si>
  <si>
    <t>SS T-SHIRT TOP MINNIE DONALD MAKE YOUR SOUL HAPPY SSMINDO:PASTEL PINK:5-6:GRAPHIC:SS T-SHIRT</t>
  </si>
  <si>
    <t>SS T-SHIRT TOP MINNIE DONALD MAKE YOUR SOUL HAPPY SSMINDO:PASTEL PINK:7-8:GRAPHIC:SS T-SHIRT</t>
  </si>
  <si>
    <t>SS T-SHIRT TOP MINNIE DONALD MAKE YOUR SOUL HAPPY SSMINDO:PASTEL PINK:9-10:GRAPHIC:SS T-SHIRT</t>
  </si>
  <si>
    <t>SS T-SHIRT TOP MINNIE DONALD MAKE YOUR SOUL HAPPY SSMINDO:PASTEL PINK:11-12:GRAPHIC:SS T-SHIRT</t>
  </si>
  <si>
    <t>SSRFMAR4</t>
  </si>
  <si>
    <t>SS T-SHIRT RUFFLE MARIE SSRFMAR4:PASTEL PINK:3-4:GRAPHIC:SS T-SHIRT</t>
  </si>
  <si>
    <t>SS T-SHIRT RUFFLE MARIE SSRFMAR4:PASTEL PINK:4-5:GRAPHIC:SS T-SHIRT</t>
  </si>
  <si>
    <t>SS T-SHIRT RUFFLE MARIE SSRFMAR4:PASTEL PINK:5-6:GRAPHIC:SS T-SHIRT</t>
  </si>
  <si>
    <t>SS T-SHIRT RUFFLE MARIE SSRFMAR4:PASTEL PINK:7-8:GRAPHIC:SS T-SHIRT</t>
  </si>
  <si>
    <t>SSCSBAM5</t>
  </si>
  <si>
    <t>SS T-SHIRT CUT AND SEWN BAMBI SSCSBAM5:PASTEL PINK:3-4:GRAPHIC:SS T-SHIRT</t>
  </si>
  <si>
    <t>SS T-SHIRT CUT AND SEWN BAMBI SSCSBAM5:PASTEL PINK:4-5:GRAPHIC:SS T-SHIRT</t>
  </si>
  <si>
    <t>SS T-SHIRT CUT AND SEWN BAMBI SSCSBAM5:PASTEL PINK:5-6:GRAPHIC:SS T-SHIRT</t>
  </si>
  <si>
    <t>SS T-SHIRT CUT AND SEWN BAMBI SSCSBAM5:PASTEL PINK:7-8:GRAPHIC:SS T-SHIRT</t>
  </si>
  <si>
    <t>SS T-SHIRT PRINCESS ANIME CUT AND SEWN TSCSANPRN:ASSORTIVE COLOR:9-10:GRAPHIC:SS T-SHIRT</t>
  </si>
  <si>
    <t>TSFPLOTS</t>
  </si>
  <si>
    <t>SS T-SHIRT FP LOTSO TSFPLOTS:OFF WHITE:5-6:PRINT:SS T-SHIRT</t>
  </si>
  <si>
    <t>SS T-SHIRT FP LOTSO TSFPLOTS:OFF WHITE:7-8:PRINT:SS T-SHIRT</t>
  </si>
  <si>
    <t>SS T-SHIRT FP LOTSO TSFPLOTS:OFF WHITE:9-10:PRINT:SS T-SHIRT</t>
  </si>
  <si>
    <t>SS T-SHIRT FP LOTSO TSFPLOTS:OFF WHITE:11-12:PRINT:SS T-SHIRT</t>
  </si>
  <si>
    <t>TSLOTSO</t>
  </si>
  <si>
    <t>SS T-SHIRT LOTSO TSLOTSO:PASTEL PINK:5-6:GRAPHIC:SS T-SHIRT</t>
  </si>
  <si>
    <t>SS T-SHIRT LOTSO TSLOTSO:PASTEL PINK:7-8:GRAPHIC:SS T-SHIRT</t>
  </si>
  <si>
    <t>SS T-SHIRT LOTSO TSLOTSO:PASTEL PINK:9-10:GRAPHIC:SS T-SHIRT</t>
  </si>
  <si>
    <t>SS T-SHIRT LOTSO TSLOTSO:PASTEL PINK:11-12:GRAPHIC:SS T-SHIRT</t>
  </si>
  <si>
    <t>TSSTC01</t>
  </si>
  <si>
    <t>SS T-SHIRT STITCH JUST A PHASE TSSTC01:PASTEL BLUE:5-6:GRAPHIC:SS T-SHIRT</t>
  </si>
  <si>
    <t>SS T-SHIRT STITCH JUST A PHASE TSSTC01:PASTEL BLUE:7-8:GRAPHIC:SS T-SHIRT</t>
  </si>
  <si>
    <t>SS T-SHIRT STITCH JUST A PHASE TSSTC01:PASTEL BLUE:9-10:GRAPHIC:SS T-SHIRT</t>
  </si>
  <si>
    <t>SS T-SHIRT STITCH JUST A PHASE TSSTC01:PASTEL BLUE:11-12:GRAPHIC:SS T-SHIRT</t>
  </si>
  <si>
    <t>TSSTC05</t>
  </si>
  <si>
    <t>SS T-SHIRT ONE OF A KIND STITCH TSSTC05:PASTEL PINK:5-6:GRAPHIC:SS T-SHIRT</t>
  </si>
  <si>
    <t>SS T-SHIRT ONE OF A KIND STITCH TSSTC05:PASTEL PINK:7-8:GRAPHIC:SS T-SHIRT</t>
  </si>
  <si>
    <t>SS T-SHIRT ONE OF A KIND STITCH TSSTC05:PASTEL PINK:9-10:GRAPHIC:SS T-SHIRT</t>
  </si>
  <si>
    <t>SS T-SHIRT ONE OF A KIND STITCH TSSTC05:PASTEL PINK:11-12:GRAPHIC:SS T-SHIRT</t>
  </si>
  <si>
    <t>JKMINDO</t>
  </si>
  <si>
    <t>JACKET KOMBI FP MINNIE DAISY JKMINDO:PASTEL PINK:5-6:GRAPHIC:JACKET</t>
  </si>
  <si>
    <t>JACKET KOMBI FP MINNIE DAISY JKMINDO:PASTEL PINK:7-8:GRAPHIC:JACKET</t>
  </si>
  <si>
    <t>JACKET KOMBI FP MINNIE DAISY JKMINDO:PASTEL PINK:9-10:GRAPHIC:JACKET</t>
  </si>
  <si>
    <t>JACKET KOMBI FP MINNIE DAISY JKMINDO:PASTEL PINK:11-12:GRAPHIC:JACKET</t>
  </si>
  <si>
    <t>SWLOTSO</t>
  </si>
  <si>
    <t>SWEATSHIRT HOODIE LOTSO SWLOTSO:PASTEL PINK:5-6:GRAPHIC:SWEATSHIRT</t>
  </si>
  <si>
    <t>SWEATSHIRT HOODIE LOTSO SWLOTSO:PASTEL PINK:7-8:GRAPHIC:SWEATSHIRT</t>
  </si>
  <si>
    <t>SWEATSHIRT HOODIE LOTSO SWLOTSO:PASTEL PINK:9-10:GRAPHIC:SWEATSHIRT</t>
  </si>
  <si>
    <t>SWEATSHIRT HOODIE LOTSO SWLOTSO:PASTEL PINK:11-12:GRAPHIC:SWEATSHIRT</t>
  </si>
  <si>
    <t>SKBAM4</t>
  </si>
  <si>
    <t>MINI SKIRT SKORT MARIE AND BAMBI SKBAM4:PASTEL PINK:3-4:GRAPHIC:MINI SKIRT</t>
  </si>
  <si>
    <t>MINI SKIRT SKORT MARIE AND BAMBI SKBAM4:PASTEL PINK:4-5:GRAPHIC:MINI SKIRT</t>
  </si>
  <si>
    <t>MINI SKIRT SKORT MARIE AND BAMBI SKBAM4:PASTEL PINK:5-6:GRAPHIC:MINI SKIRT</t>
  </si>
  <si>
    <t>MINI SKIRT SKORT MARIE AND BAMBI SKBAM4:PASTEL PINK:7-8:GRAPHIC:MINI SKIRT</t>
  </si>
  <si>
    <t>DSKMINDO</t>
  </si>
  <si>
    <t>SS MIDI DRESS MINNIE DAISY KERAH KOMBI KANTONG KOTAK DSKMINDO:PASTEL PURPLE:5-6:GRAPHIC:SS MIDI DRES</t>
  </si>
  <si>
    <t>SS MIDI DRESS MINNIE DAISY KERAH KOMBI KANTONG KOTAK DSKMINDO:PASTEL PURPLE:7-8:GRAPHIC:SS MIDI DRES</t>
  </si>
  <si>
    <t>SS MIDI DRESS MINNIE DAISY KERAH KOMBI KANTONG KOTAK DSKMINDO:PASTEL PURPLE:9-10:GRAPHIC:SS MIDI DRE</t>
  </si>
  <si>
    <t>SS MIDI DRESS MINNIE DAISY KERAH KOMBI KANTONG KOTAK DSKMINDO:PASTEL PURPLE:11-12:GRAPHIC:SS MIDI DR</t>
  </si>
  <si>
    <t>DSHMINDO</t>
  </si>
  <si>
    <t>SS MIDI DRESS HOODIE MINNIE DAISY DSHMINDO:PASTEL PINK:3-4:GRAPHIC:SS MIDI DRESS</t>
  </si>
  <si>
    <t>SS MIDI DRESS HOODIE MINNIE DAISY DSHMINDO:PASTEL PINK:4-5:GRAPHIC:SS MIDI DRESS</t>
  </si>
  <si>
    <t>SS MIDI DRESS HOODIE MINNIE DAISY DSHMINDO:PASTEL PINK:5-6:GRAPHIC:SS MIDI DRESS</t>
  </si>
  <si>
    <t>SS MIDI DRESS HOODIE MINNIE DAISY DSHMINDO:PASTEL PINK:7-8:GRAPHIC:SS MIDI DRESS</t>
  </si>
  <si>
    <t>DSHLOTS</t>
  </si>
  <si>
    <t>SS MIDI DRESS LOTSO KTG CARGO DSHLOTS:PASTEL PINK:5-6:GRAPHIC:SS MIDI DRESS</t>
  </si>
  <si>
    <t>SS MIDI DRESS LOTSO KTG CARGO DSHLOTS:PASTEL PINK:7-8:GRAPHIC:SS MIDI DRESS</t>
  </si>
  <si>
    <t>SS MIDI DRESS LOTSO KTG CARGO DSHLOTS:PASTEL PINK:9-10:GRAPHIC:SS MIDI DRESS</t>
  </si>
  <si>
    <t>SS MIDI DRESS LOTSO KTG CARGO DSHLOTS:PASTEL PINK:11-12:GRAPHIC:SS MIDI DRESS</t>
  </si>
  <si>
    <t>DSSPBAM4</t>
  </si>
  <si>
    <t>SS MIDI DRESS SLING POCKET BAMBI DSSPBAM4:PASTEL PINK:3-4:GRAPHIC:SS MIDI DRESS</t>
  </si>
  <si>
    <t>SS MIDI DRESS SLING POCKET BAMBI DSSPBAM4:PASTEL PINK:4-5:GRAPHIC:SS MIDI DRESS</t>
  </si>
  <si>
    <t>SS MIDI DRESS SLING POCKET BAMBI DSSPBAM4:PASTEL PINK:5-6:GRAPHIC:SS MIDI DRESS</t>
  </si>
  <si>
    <t>SS MIDI DRESS SLING POCKET BAMBI DSSPBAM4:PASTEL PINK:7-8:GRAPHIC:SS MIDI DRESS</t>
  </si>
  <si>
    <t>DSOMAR4</t>
  </si>
  <si>
    <t>SS MIDI DRESS OVL MARIE DSOMAR4:PASTEL PINK:3-4:GRAPHIC:SS MIDI DRESS</t>
  </si>
  <si>
    <t>SS MIDI DRESS OVL MARIE DSOMAR4:PASTEL PINK:4-5:GRAPHIC:SS MIDI DRESS</t>
  </si>
  <si>
    <t>SS MIDI DRESS OVL MARIE DSOMAR4:PASTEL PINK:5-6:GRAPHIC:SS MIDI DRESS</t>
  </si>
  <si>
    <t>SS MIDI DRESS OVL MARIE DSOMAR4:PASTEL PINK:7-8:GRAPHIC:SS MIDI DRESS</t>
  </si>
  <si>
    <t>DSIKMAR</t>
  </si>
  <si>
    <t>SS MIDI DRESS MARIE IKAT DEPAN DSIKMAR:PASTEL BLUE:5-6:STRIPES:SS MIDI DRESS</t>
  </si>
  <si>
    <t>SS MIDI DRESS MARIE IKAT DEPAN DSIKMAR:PASTEL BLUE:7-8:STRIPES:SS MIDI DRESS</t>
  </si>
  <si>
    <t>SS MIDI DRESS MARIE IKAT DEPAN DSIKMAR:PASTEL BLUE:9-10:STRIPES:SS MIDI DRESS</t>
  </si>
  <si>
    <t>SS MIDI DRESS MARIE IKAT DEPAN DSIKMAR:PASTEL BLUE:11-12:STRIPES:SS MIDI DRESS</t>
  </si>
  <si>
    <t>SS MIDI DRESS WOVEN FULL PRINT FLOWER MINNIE TUMPUK DSFPBMIN:OFF WHITE:7-8:PRINT:SS MIDI DRESS</t>
  </si>
  <si>
    <t>DSFPBMIN2</t>
  </si>
  <si>
    <t>SS MIDI DRESS WOVEN FULL PRINT FLOWER MINNIE KATUN TWILL DSFPBMIN2:PASTEL PINK:3-4:PRINT:SS MIDI DRE</t>
  </si>
  <si>
    <t>SS MIDI DRESS WOVEN FULL PRINT FLOWER MINNIE KATUN TWILL DSFPBMIN2:PASTEL PINK:4-5:PRINT:SS MIDI DRE</t>
  </si>
  <si>
    <t>SS MIDI DRESS WOVEN FULL PRINT FLOWER MINNIE KATUN TWILL DSFPBMIN2:PASTEL PINK:5-6:PRINT:SS MIDI DRE</t>
  </si>
  <si>
    <t>SS MIDI DRESS WOVEN FULL PRINT FLOWER MINNIE KATUN TWILL DSFPBMIN2:PASTEL PINK:7-8:PRINT:SS MIDI DRE</t>
  </si>
  <si>
    <t>SETFRPOO</t>
  </si>
  <si>
    <t>ONE SET SS FRESH POOH SETFRPOO:PASTEL PINK:6-12:GRAPHIC:TOP - BOTTOM SET</t>
  </si>
  <si>
    <t>ONE SET SS FRESH POOH SETFRPOO:PASTEL PINK:12-18:GRAPHIC:TOP - BOTTOM SET</t>
  </si>
  <si>
    <t>ONE SET SS FRESH POOH SETFRPOO:PASTEL PINK:18-24:GRAPHIC:TOP - BOTTOM SET</t>
  </si>
  <si>
    <t>ONE SET SS FRESH POOH SETFRPOO:PASTEL PINK:24-36:GRAPHIC:TOP - BOTTOM SET</t>
  </si>
  <si>
    <t>SETFLMAR</t>
  </si>
  <si>
    <t>ONE SET MARIE FLOWER SETFLMAR:PASTEL PINK:6-12:GRAPHIC:TOP - BOTTOM SET</t>
  </si>
  <si>
    <t>ONE SET MARIE FLOWER SETFLMAR:PASTEL PINK:12-18:GRAPHIC:TOP - BOTTOM SET</t>
  </si>
  <si>
    <t>ONE SET MARIE FLOWER SETFLMAR:PASTEL PINK:18-24:GRAPHIC:TOP - BOTTOM SET</t>
  </si>
  <si>
    <t>ONE SET MARIE FLOWER SETFLMAR:PASTEL PINK:24-36:GRAPHIC:TOP - BOTTOM SET</t>
  </si>
  <si>
    <t>SETLCMIN</t>
  </si>
  <si>
    <t>ONE SET LACE MINNIE SETLCMIN:OFF WHITE:6-12:GRAPHIC:TOP - BOTTOM SET</t>
  </si>
  <si>
    <t>ONE SET LACE MINNIE SETLCMIN:OFF WHITE:12-18:GRAPHIC:TOP - BOTTOM SET</t>
  </si>
  <si>
    <t>ONE SET LACE MINNIE SETLCMIN:OFF WHITE:18-24:GRAPHIC:TOP - BOTTOM SET</t>
  </si>
  <si>
    <t>ONE SET LACE MINNIE SETLCMIN:OFF WHITE:24-36:GRAPHIC:TOP - BOTTOM SET</t>
  </si>
  <si>
    <t>SETSIM</t>
  </si>
  <si>
    <t>TOP - BOTTOM SET SIMBA 66020100 SETSIM:PASTEL BLUE:6-12:PRINT:TOP - BOTTOM SET</t>
  </si>
  <si>
    <t>TOP - BOTTOM SET SIMBA 66020100 SETSIM:PASTEL BLUE:12-18:PRINT:TOP - BOTTOM SET</t>
  </si>
  <si>
    <t>TOP - BOTTOM SET SIMBA 66020100 SETSIM:PASTEL BLUE:18-24:PRINT:TOP - BOTTOM SET</t>
  </si>
  <si>
    <t>TOP - BOTTOM SET SIMBA 66020100 SETSIM:PASTEL BLUE:24-36:PRINT:TOP - BOTTOM SET</t>
  </si>
  <si>
    <t>DSFRPOO</t>
  </si>
  <si>
    <t>SS MIDI DRESS SS FRESH POOH DSFRPOO:PASTEL PINK:6-12:GRAPHIC:SS MIDI DRESS</t>
  </si>
  <si>
    <t>SS MIDI DRESS SS FRESH POOH DSFRPOO:PASTEL PINK:12-18:GRAPHIC:SS MIDI DRESS</t>
  </si>
  <si>
    <t>SS MIDI DRESS SS FRESH POOH DSFRPOO:PASTEL PINK:18-24:GRAPHIC:SS MIDI DRESS</t>
  </si>
  <si>
    <t>SS MIDI DRESS SS FRESH POOH DSFRPOO:PASTEL PINK:24-36:GRAPHIC:SS MIDI DRESS</t>
  </si>
  <si>
    <t>DSORFBAM</t>
  </si>
  <si>
    <t>SS MIDI DRESS OVERALL SS BAMBI DSORFBAM:PASTEL PINK:6-12:GRAPHIC:SS MIDI DRESS</t>
  </si>
  <si>
    <t>SS MIDI DRESS OVERALL SS BAMBI DSORFBAM:PASTEL PINK:12-18:GRAPHIC:SS MIDI DRESS</t>
  </si>
  <si>
    <t>SS MIDI DRESS OVERALL SS BAMBI DSORFBAM:PASTEL PINK:18-24:GRAPHIC:SS MIDI DRESS</t>
  </si>
  <si>
    <t>SS MIDI DRESS OVERALL SS BAMBI DSORFBAM:PASTEL PINK:24-36:GRAPHIC:SS MIDI DRESS</t>
  </si>
  <si>
    <t>KKMMSIM1</t>
  </si>
  <si>
    <t>SOCKS KKB SIMBA LION KING  KKMMSIM1:CLASSIC ORANGE:14-16:PRINT:SOCKS</t>
  </si>
  <si>
    <t>KKELSAFZ2</t>
  </si>
  <si>
    <t>SOCKS ELSA FROZEN 68060304FZA KKELSAFZ2:PASTEL BLUE:18-20:PRINT:SOCKS</t>
  </si>
  <si>
    <t>KKMICST</t>
  </si>
  <si>
    <t>SOCKS MICKEY 5 STRIPE  KKMICST:BLACK:14-16:PRINT:SOCKS</t>
  </si>
  <si>
    <t>SOCKS MICKEY 5 STRIPE  KKMICST:BLACK:18-20:PRINT:SOCKS</t>
  </si>
  <si>
    <t>KKMMMIC</t>
  </si>
  <si>
    <t>SOCKS KKB MICKEY KKMMMIC:PASTEL BLUE:14-16:PRINT:SOCKS</t>
  </si>
  <si>
    <t>KKDON</t>
  </si>
  <si>
    <t>SOCKS KKB DONALD DUCK KKDON:OFF WHITE:14-16:GRAPHIC:SOCKS</t>
  </si>
  <si>
    <t>SOCKS KKB DONALD DUCK KKDON:OFF WHITE:18-20:GRAPHIC:SOCKS</t>
  </si>
  <si>
    <t>KKMMDON</t>
  </si>
  <si>
    <t>SOCKS KKB DONALD DUCK KKMMDON:PASTEL BLUE:14-16:GRAPHIC:SOCKS</t>
  </si>
  <si>
    <t>SOCKS KKB DONALD DUCK KKMMDON:PASTEL BLUE:18-20:GRAPHIC:SOCKS</t>
  </si>
  <si>
    <t>SWSLMAR</t>
  </si>
  <si>
    <t>LS PYJAMA PANTS LSLP MARIE 66040300MAR SWSLMAR:PASTEL PINK:8:PRINT:LS PYJAMA PANTS</t>
  </si>
  <si>
    <t>LS PYJAMA PANTS LSLP MARIE 66040300MAR SWSLMAR:PASTEL PINK:10:PRINT:LS PYJAMA PANTS</t>
  </si>
  <si>
    <t>LS PYJAMA PANTS LSLP MARIE 66040300MAR SWSLMAR:PASTEL PINK:12:PRINT:LS PYJAMA PANTS</t>
  </si>
  <si>
    <t>LS PYJAMA PANTS LSLP MARIE 66040300MAR SWSLMAR:PASTEL PINK:14:PRINT:LS PYJAMA PANTS</t>
  </si>
  <si>
    <t>SWREX3</t>
  </si>
  <si>
    <t>LS PYJAMA PANTS LSLP REX SWREX3:MISTY MEDIUM GREY:8:PRINT:LS PYJAMA PANTS</t>
  </si>
  <si>
    <t>LS PYJAMA PANTS LSLP REX SWREX3:MISTY MEDIUM GREY:10:PRINT:LS PYJAMA PANTS</t>
  </si>
  <si>
    <t>LS PYJAMA PANTS LSLP REX SWREX3:MISTY MEDIUM GREY:14:PRINT:LS PYJAMA PANTS</t>
  </si>
  <si>
    <t>ONE SET LSLP LOTSO SWLOTSO:PASTEL PINK:8:GRAPHIC:LS PYJAMA PANTS</t>
  </si>
  <si>
    <t>ONE SET LSLP LOTSO SWLOTSO:PASTEL PINK:10:GRAPHIC:LS PYJAMA PANTS</t>
  </si>
  <si>
    <t>ONE SET LSLP LOTSO SWLOTSO:PASTEL PINK:12:GRAPHIC:LS PYJAMA PANTS</t>
  </si>
  <si>
    <t>ONE SET LSLP LOTSO SWLOTSO:PASTEL PINK:14:GRAPHIC:LS PYJAMA PANTS</t>
  </si>
  <si>
    <t>SWFPLOTS</t>
  </si>
  <si>
    <t>LS PYJAMA PANTS LSLP FP LOTSO SWFPLOTS:PASTEL PINK:8:PRINT:LS PYJAMA PANTS</t>
  </si>
  <si>
    <t>LS PYJAMA PANTS LSLP FP LOTSO SWFPLOTS:PASTEL PINK:10:PRINT:LS PYJAMA PANTS</t>
  </si>
  <si>
    <t>LS PYJAMA PANTS LSLP FP LOTSO SWFPLOTS:PASTEL PINK:12:PRINT:LS PYJAMA PANTS</t>
  </si>
  <si>
    <t>LS PYJAMA PANTS LSLP FP LOTSO SWFPLOTS:PASTEL PINK:14:PRINT:LS PYJAMA PANTS</t>
  </si>
  <si>
    <t>MP3HERO</t>
  </si>
  <si>
    <t>BRIEF MP UW MARVEL HEROES MP3HERO:ASSORTIVE COLOR:S:PRINT:TRUNK</t>
  </si>
  <si>
    <t>BRIEF MP UW MARVEL HEROES MP3HERO:ASSORTIVE COLOR:L:PRINT:TRUNK</t>
  </si>
  <si>
    <t>BRIEF MP UW MARVEL HEROES MP3HERO:ASSORTIVE COLOR:XL:PRINT:TRUNK</t>
  </si>
  <si>
    <t>KKCAP241</t>
  </si>
  <si>
    <t>SOCKS KK LOGO CAPTAIN AMERICA KKCAP241:OFF WHITE:14-16:PRINT:SOCKS</t>
  </si>
  <si>
    <t>KKCAP242</t>
  </si>
  <si>
    <t>SOCKS KK CAPTAIN AMERICA FACE KKCAP242:CLASSIC BLUE:14-16:PRINT:SOCKS</t>
  </si>
  <si>
    <t>KKFP2IRN</t>
  </si>
  <si>
    <t>SOCKS KKB FP IRON MAN KKFP2IRN:BLACK:18-20:PRINT:SOCKS</t>
  </si>
  <si>
    <t>KKWHAM</t>
  </si>
  <si>
    <t>SOCKS KKB SPIDERMAN WHAM KKWHAM:PASTEL GREY:18-20:PRINT:SOCKS</t>
  </si>
  <si>
    <t>KKFPLABA</t>
  </si>
  <si>
    <t>SOCKS KKB FP SPIDERMAN JARING KKFPLABA:BLACK:18-20:PRINT:SOCKS</t>
  </si>
  <si>
    <t>KKFP3CAPT</t>
  </si>
  <si>
    <t>SOCKS KKB FP MARVEL KKFP3CAPT:BLACK:14-16:PRINT:SOCKS</t>
  </si>
  <si>
    <t>SOCKS KKB FP MARVEL KKFP3CAPT:BLACK:18-20:PRINT:SOCKS</t>
  </si>
  <si>
    <t>KKFP1SPD</t>
  </si>
  <si>
    <t>SOCKS KKB FP SPIDERMAN KKFP1SPD:CLASSIC BLUE:14-16:PRINT:SOCKS</t>
  </si>
  <si>
    <t>SOCKS KKB FP SPIDERMAN KKFP1SPD:CLASSIC BLUE:18-20:PRINT:SOCKS</t>
  </si>
  <si>
    <t>M3DWB01</t>
  </si>
  <si>
    <t>BRIEF CD PACK OF 3 SPIDERMAN 66040200 M3DWB01:ASSORTIVE COLOR:S:PRINT:TRUNK</t>
  </si>
  <si>
    <t>BRIEF CD PACK OF 3 SPIDERMAN 66040200 M3DWB01:ASSORTIVE COLOR:L:PRINT:TRUNK</t>
  </si>
  <si>
    <t>M3DWB03</t>
  </si>
  <si>
    <t>BRIEF CD PACK OF 3 SPIDERMAN 66040200 M3DWB03:ASSORTIVE COLOR:S:PRINT:TRUNK</t>
  </si>
  <si>
    <t>BRIEF CD PACK OF 3 SPIDERMAN 66040200 M3DWB03:ASSORTIVE COLOR:M:PRINT:TRUNK</t>
  </si>
  <si>
    <t>BRIEF CD PACK OF 3 SPIDERMAN 66040200 M3DWB03:ASSORTIVE COLOR:L:PRINT:TRUNK</t>
  </si>
  <si>
    <t>M3UNDW04</t>
  </si>
  <si>
    <t>BRIEF PACK OF 3 SPIDEY FRIENDLY NEIGHBORHOOD M3UNDW04:ASSORTIVE COLOR:S:PRINT:TRUNK</t>
  </si>
  <si>
    <t>BRIEF PACK OF 3 SPIDEY FRIENDLY NEIGHBORHOOD M3UNDW04:ASSORTIVE COLOR:M:PRINT:TRUNK</t>
  </si>
  <si>
    <t>BRIEF PACK OF 3 SPIDEY FRIENDLY NEIGHBORHOOD M3UNDW04:ASSORTIVE COLOR:L:PRINT:TRUNK</t>
  </si>
  <si>
    <t>BRIEF PACK OF 3 SPIDEY FRIENDLY NEIGHBORHOOD M3UNDW04:ASSORTIVE COLOR:XL:PRINT:TRUNK</t>
  </si>
  <si>
    <t>MP3SNMIN</t>
  </si>
  <si>
    <t>BRIEF PACK OF 3 UW MINNIE STARRY NIGHTS MP3SNMIN:ASSORTIVE COLOR:S:PRINT:TRUNK</t>
  </si>
  <si>
    <t>BRIEF PACK OF 3 UW MINNIE STARRY NIGHTS MP3SNMIN:ASSORTIVE COLOR:M:PRINT:TRUNK</t>
  </si>
  <si>
    <t>BRIEF PACK OF 3 UW MINNIE STARRY NIGHTS MP3SNMIN:ASSORTIVE COLOR:L:PRINT:TRUNK</t>
  </si>
  <si>
    <t>BRIEF PACK OF 3 UW MINNIE STARRY NIGHTS MP3SNMIN:ASSORTIVE COLOR:XL:PRINT:TRUNK</t>
  </si>
  <si>
    <t>MP3AWMIN</t>
  </si>
  <si>
    <t>BRIEF PACK OF 3 UW MINNIE AWESOME MP3AWMIN:ASSORTIVE COLOR:S:PRINT:TRUNK</t>
  </si>
  <si>
    <t>BRIEF PACK OF 3 UW MINNIE AWESOME MP3AWMIN:ASSORTIVE COLOR:M:PRINT:TRUNK</t>
  </si>
  <si>
    <t>BRIEF PACK OF 3 UW MINNIE AWESOME MP3AWMIN:ASSORTIVE COLOR:L:PRINT:TRUNK</t>
  </si>
  <si>
    <t>BRIEF PACK OF 3 UW MINNIE AWESOME MP3AWMIN:ASSORTIVE COLOR:XL:PRINT:TRUNK</t>
  </si>
  <si>
    <t>MP3BAMRP</t>
  </si>
  <si>
    <t>BRIEF PACK OF 3 UW BAMBI MP3BAMRP:ASSORTIVE COLOR:S:PRINT:TRUNK</t>
  </si>
  <si>
    <t>BRIEF PACK OF 3 UW BAMBI MP3BAMRP:ASSORTIVE COLOR:M:PRINT:TRUNK</t>
  </si>
  <si>
    <t>BRIEF PACK OF 3 UW BAMBI MP3BAMRP:ASSORTIVE COLOR:L:PRINT:TRUNK</t>
  </si>
  <si>
    <t>BRIEF PACK OF 3 UW BAMBI MP3BAMRP:ASSORTIVE COLOR:XL:PRINT:TRUNK</t>
  </si>
  <si>
    <t>MP3PRN241</t>
  </si>
  <si>
    <t>BRIEF MULTIPACK UW PRINCESS MP3PRN241:ASSORTIVE COLOR:S:PRINT:TRUNK</t>
  </si>
  <si>
    <t>BRIEF MULTIPACK UW PRINCESS MP3PRN241:ASSORTIVE COLOR:M:PRINT:TRUNK</t>
  </si>
  <si>
    <t>BRIEF MULTIPACK UW PRINCESS MP3PRN241:ASSORTIVE COLOR:L:PRINT:TRUNK</t>
  </si>
  <si>
    <t>BRIEF MULTIPACK UW PRINCESS MP3PRN241:ASSORTIVE COLOR:XL:PRINT:TRUNK</t>
  </si>
  <si>
    <t>MP3FZ241</t>
  </si>
  <si>
    <t>BRIEF MULTIPACK UW FROZEN MP3FZ241:ASSORTIVE COLOR:S:PRINT:TRUNK</t>
  </si>
  <si>
    <t>BRIEF MULTIPACK UW FROZEN MP3FZ241:ASSORTIVE COLOR:M:PRINT:TRUNK</t>
  </si>
  <si>
    <t>BRIEF MULTIPACK UW FROZEN MP3FZ241:ASSORTIVE COLOR:L:PRINT:TRUNK</t>
  </si>
  <si>
    <t>BRIEF MULTIPACK UW FROZEN MP3FZ241:ASSORTIVE COLOR:XL:PRINT:TRUNK</t>
  </si>
  <si>
    <t>MP3MIN241</t>
  </si>
  <si>
    <t>BRIEF MULTIPACK UW MINNIE MP3MIN241:ASSORTIVE COLOR:S:PRINT:TRUNK</t>
  </si>
  <si>
    <t>BRIEF MULTIPACK UW MINNIE MP3MIN241:ASSORTIVE COLOR:M:PRINT:TRUNK</t>
  </si>
  <si>
    <t>BRIEF MULTIPACK UW MINNIE MP3MIN241:ASSORTIVE COLOR:L:PRINT:TRUNK</t>
  </si>
  <si>
    <t>BRIEF MULTIPACK UW MINNIE MP3MIN241:ASSORTIVE COLOR:XL:PRINT:TRUNK</t>
  </si>
  <si>
    <t>MP3AVG</t>
  </si>
  <si>
    <t>PACK OF 3 UW AVENGERS MP3AVG:ASSORTIVE COLOR:S:PRINT:TRUNK</t>
  </si>
  <si>
    <t>PACK OF 3 UW AVENGERS MP3AVG:ASSORTIVE COLOR:M:PRINT:TRUNK</t>
  </si>
  <si>
    <t>PACK OF 3 UW AVENGERS MP3AVG:ASSORTIVE COLOR:L:PRINT:TRUNK</t>
  </si>
  <si>
    <t>PACK OF 3 UW AVENGERS MP3AVG:ASSORTIVE COLOR:XL:PRINT:TRUNK</t>
  </si>
  <si>
    <t>MP3SPD41</t>
  </si>
  <si>
    <t>BRIEF PACK OF 3 UW SPIDERMAN MP3SPD41:ASSORTIVE COLOR:S:PRINT:TRUNK</t>
  </si>
  <si>
    <t>BRIEF PACK OF 3 UW SPIDERMAN MP3SPD41:ASSORTIVE COLOR:M:PRINT:TRUNK</t>
  </si>
  <si>
    <t>BRIEF PACK OF 3 UW SPIDERMAN MP3SPD41:ASSORTIVE COLOR:L:PRINT:TRUNK</t>
  </si>
  <si>
    <t>BRIEF PACK OF 3 UW SPIDERMAN MP3SPD41:ASSORTIVE COLOR:XL:PRINT:TRUNK</t>
  </si>
  <si>
    <t>MP3AVSPD</t>
  </si>
  <si>
    <t>BRIEF MP UW AMERICAN VINTAGE SPIDERMAN MP3AVSPD:ASSORTIVE COLOR:S:PRINT:TRUNK</t>
  </si>
  <si>
    <t>BRIEF MP UW AMERICAN VINTAGE SPIDERMAN MP3AVSPD:ASSORTIVE COLOR:M:PRINT:TRUNK</t>
  </si>
  <si>
    <t>BRIEF MP UW AMERICAN VINTAGE SPIDERMAN MP3AVSPD:ASSORTIVE COLOR:L:PRINT:TRUNK</t>
  </si>
  <si>
    <t>BRIEF MP UW AMERICAN VINTAGE SPIDERMAN MP3AVSPD:ASSORTIVE COLOR:XL:PRINT:TRUNK</t>
  </si>
  <si>
    <t>MP3SPDCF</t>
  </si>
  <si>
    <t>BRIEF PACK OF 3 UW SPIDERMAN CRIME FIGHTER MP3SPDCF:ASSORTIVE COLOR:S:PRINT:TRUNK</t>
  </si>
  <si>
    <t>BRIEF PACK OF 3 UW SPIDERMAN CRIME FIGHTER MP3SPDCF:ASSORTIVE COLOR:M:PRINT:TRUNK</t>
  </si>
  <si>
    <t>BRIEF PACK OF 3 UW SPIDERMAN CRIME FIGHTER MP3SPDCF:ASSORTIVE COLOR:L:PRINT:TRUNK</t>
  </si>
  <si>
    <t>BRIEF PACK OF 3 UW SPIDERMAN CRIME FIGHTER MP3SPDCF:ASSORTIVE COLOR:XL:PRINT:TRUNK</t>
  </si>
  <si>
    <t>MP3SPY03</t>
  </si>
  <si>
    <t>CD PACK OF 3 SPIDERSENSE 66040200 MP3SPY03:ASSORTIVE COLOR:S:PRINT:PUSH UP REGULAR BRA</t>
  </si>
  <si>
    <t>CD PACK OF 3 SPIDERSENSE 66040200 MP3SPY03:ASSORTIVE COLOR:M:PRINT:PUSH UP REGULAR BRA</t>
  </si>
  <si>
    <t>CD PACK OF 3 SPIDERSENSE 66040200 MP3SPY03:ASSORTIVE COLOR:L:PRINT:PUSH UP REGULAR BRA</t>
  </si>
  <si>
    <t>CD PACK OF 3 SPIDERSENSE 66040200 MP3SPY03:ASSORTIVE COLOR:XL:PRINT:PUSH UP REGULAR BRA</t>
  </si>
  <si>
    <t>MP3DW07</t>
  </si>
  <si>
    <t>CD PACK OF 3 MARVEL 66040200 MP3DW07:ASSORTIVE COLOR:S:PRINT:PUSH UP REGULAR BRA</t>
  </si>
  <si>
    <t>CD PACK OF 3 MARVEL 66040200 MP3DW07:ASSORTIVE COLOR:M:PRINT:PUSH UP REGULAR BRA</t>
  </si>
  <si>
    <t>CD PACK OF 3 MARVEL 66040200 MP3DW07:ASSORTIVE COLOR:L:PRINT:PUSH UP REGULAR BRA</t>
  </si>
  <si>
    <t>CD PACK OF 3 MARVEL 66040200 MP3DW07:ASSORTIVE COLOR:XL:PRINT:PUSH UP REGULAR BRA</t>
  </si>
  <si>
    <t>2019 ALL D95</t>
  </si>
  <si>
    <t>SS T-SHIRT TOP KOTAK MY MELODY SSKTMYM:PASTEL PINK:3-4:CHECKS:SS T-SHIRT</t>
  </si>
  <si>
    <t>SS T-SHIRT TOP KOTAK MY MELODY SSKTMYM:PASTEL PINK:4-5:CHECKS:SS T-SHIRT</t>
  </si>
  <si>
    <t>SS T-SHIRT TOP KOTAK MY MELODY SSKTMYM:PASTEL PINK:5-6:CHECKS:SS T-SHIRT</t>
  </si>
  <si>
    <t>SS T-SHIRT TOP KOTAK MY MELODY SSKTMYM:PASTEL PINK:7-8:CHECKS:SS T-SHIRT</t>
  </si>
  <si>
    <t>SS T-SHIRT MY MELODY EMBOS TSMYM03:PASTEL PINK:5-6:GRAPHIC:SS T-SHIRT</t>
  </si>
  <si>
    <t>SS T-SHIRT MY MELODY EMBOS TSMYM03:PASTEL PINK:7-8:GRAPHIC:SS T-SHIRT</t>
  </si>
  <si>
    <t>SS T-SHIRT MY MELODY EMBOS TSMYM03:PASTEL PINK:9-10:GRAPHIC:SS T-SHIRT</t>
  </si>
  <si>
    <t>SS T-SHIRT MY MELODY EMBOS TSMYM03:PASTEL PINK:11-12:GRAPHIC:SS T-SHIRT</t>
  </si>
  <si>
    <t>SS T-SHIRT MY MELODY EMBOS TSMYM04:PASTEL ORANGE:5-6:GRAPHIC:SS T-SHIRT</t>
  </si>
  <si>
    <t>SS T-SHIRT MY MELODY EMBOS TSMYM04:PASTEL ORANGE:7-8:GRAPHIC:SS T-SHIRT</t>
  </si>
  <si>
    <t>SS T-SHIRT MY MELODY EMBOS TSMYM04:PASTEL ORANGE:9-10:GRAPHIC:SS T-SHIRT</t>
  </si>
  <si>
    <t>SS T-SHIRT MY MELODY EMBOS TSMYM04:PASTEL ORANGE:11-12:GRAPHIC:SS T-SHIRT</t>
  </si>
  <si>
    <t>SS MIDI DRESS KOTAK MY MELODY DSKTMYM:PASTEL PINK:3-4:CHECKS:SS MIDI DRESS</t>
  </si>
  <si>
    <t>SS MIDI DRESS KOTAK MY MELODY DSKTMYM:PASTEL PINK:4-5:CHECKS:SS MIDI DRESS</t>
  </si>
  <si>
    <t>SS MIDI DRESS KOTAK MY MELODY DSKTMYM:PASTEL PINK:5-6:CHECKS:SS MIDI DRESS</t>
  </si>
  <si>
    <t>SS MIDI DRESS KOTAK MY MELODY DSKTMYM:PASTEL PINK:7-8:CHECKS:SS MIDI DRESS</t>
  </si>
  <si>
    <t>SSKTMYM</t>
  </si>
  <si>
    <t>TSMYM03</t>
  </si>
  <si>
    <t>TSMYM04</t>
  </si>
  <si>
    <t>DSKTMYM</t>
  </si>
  <si>
    <t>KKMMSIM3</t>
  </si>
  <si>
    <t>SOCKS KKB LION KING SIMBA KKMMSIM3:CLASSIC YELLOW:14-16:GRAPHIC:SOCKS</t>
  </si>
  <si>
    <t>SOCKS KKB LION KING SIMBA KKMMSIM3:CLASSIC YELLOW:18-20:GRAPHIC:SOCKS</t>
  </si>
  <si>
    <t>SWREX2</t>
  </si>
  <si>
    <t>TOP - BOTTOM SET LSLP REX TOYS STORY SWREX2:NAVY BLUE:8:GRAPHIC:TOP - BOTTOM SET</t>
  </si>
  <si>
    <t>TOP - BOTTOM SET LSLP REX TOYS STORY SWREX2:NAVY BLUE:10:GRAPHIC:TOP - BOTTOM SET</t>
  </si>
  <si>
    <t>TOP - BOTTOM SET LSLP REX TOYS STORY SWREX2:NAVY BLUE:12:GRAPHIC:TOP - BOTTOM SET</t>
  </si>
  <si>
    <t>TOP - BOTTOM SET LSLP REX TOYS STORY SWREX2:NAVY BLUE:14:GRAPHIC:TOP - BOTTOM SET</t>
  </si>
  <si>
    <t>M3UNDW02</t>
  </si>
  <si>
    <t>BRIEF UW PACK OF 3 CAPTAIN AMERICA M3UNDW02:ASSORTIVE COLOR:S:PRINT:TRUNK</t>
  </si>
  <si>
    <t>BRIEF UW PACK OF 3 CAPTAIN AMERICA M3UNDW02:ASSORTIVE COLOR:M:PRINT:TRUNK</t>
  </si>
  <si>
    <t>BRIEF UW PACK OF 3 CAPTAIN AMERICA M3UNDW02:ASSORTIVE COLOR:L:PRINT:TRUNK</t>
  </si>
  <si>
    <t>BRIEF UW PACK OF 3 CAPTAIN AMERICA M3UNDW02:ASSORTIVE COLOR:XL:PRINT:TRUNK</t>
  </si>
  <si>
    <t>KKCAP24</t>
  </si>
  <si>
    <t>SOCKS KKB AVENGERS MUKA KKCAP24:PASTEL BLUE:14-16:GRAPHIC:SOCKS</t>
  </si>
  <si>
    <t>SOCKS KKB AVENGERS MUKA KKCAP24:PASTEL BLUE:18-20:GRAPHIC:SOCKS</t>
  </si>
  <si>
    <t>KKAVGLG</t>
  </si>
  <si>
    <t>SOCKS KKB AVENGERS LOGO KKAVGLG:OFF WHITE:14-16:GRAPHIC:SOCKS</t>
  </si>
  <si>
    <t>SOCKS KKB AVENGERS LOGO KKAVGLG:OFF WHITE:18-20:GRAPHIC:SOCKS</t>
  </si>
  <si>
    <t>DSTJCN</t>
  </si>
  <si>
    <t>SS MIDI DRESS KRH CINNAMOROLL KB WVN DSTJCN:OFF WHITE:3-4:GRAPHIC:SS MIDI DRESS</t>
  </si>
  <si>
    <t>SS MIDI DRESS KRH CINNAMOROLL KB WVN DSTJCN:OFF WHITE:4-5:GRAPHIC:SS MIDI DRESS</t>
  </si>
  <si>
    <t>SS MIDI DRESS KRH CINNAMOROLL KB WVN DSTJCN:OFF WHITE:5-6:GRAPHIC:SS MIDI DRESS</t>
  </si>
  <si>
    <t>SS MIDI DRESS KRH CINNAMOROLL KB WVN DSTJCN:OFF WHITE:7-8:GRAPHIC:SS MIDI DRESS</t>
  </si>
  <si>
    <t>SS MIDI DRESS KRH CINNAMOROLL KB WVN DSTJCN:OFF WHITE:9-10:GRAPHIC:SS MIDI DRESS</t>
  </si>
  <si>
    <t>DSCKTMAR</t>
  </si>
  <si>
    <t>SS MIDI DRESS MARIE CARDI KOMBI KTK AND RIB DSCKTMAR:PASTEL ORANGE:3-4:CHECKS:SS MIDI DRESS</t>
  </si>
  <si>
    <t>SS MIDI DRESS MARIE CARDI KOMBI KTK AND RIB DSCKTMAR:PASTEL ORANGE:4-5:CHECKS:SS MIDI DRESS</t>
  </si>
  <si>
    <t>SS MIDI DRESS MARIE CARDI KOMBI KTK AND RIB DSCKTMAR:PASTEL ORANGE:5-6:CHECKS:SS MIDI DRESS</t>
  </si>
  <si>
    <t>SS MIDI DRESS MARIE CARDI KOMBI KTK AND RIB DSCKTMAR:PASTEL ORANGE:7-8:CHECKS:SS MIDI DRESS</t>
  </si>
  <si>
    <t>DSKTMAR</t>
  </si>
  <si>
    <t>SS MIDI DRESS MARIE KOMBI KTK AND TAS DSKTMAR:OFF WHITE:3-4:CHECKS:SS MIDI DRESS</t>
  </si>
  <si>
    <t>SS MIDI DRESS MARIE KOMBI KTK AND TAS DSKTMAR:OFF WHITE:4-5:CHECKS:SS MIDI DRESS</t>
  </si>
  <si>
    <t>SS MIDI DRESS MARIE KOMBI KTK AND TAS DSKTMAR:OFF WHITE:5-6:CHECKS:SS MIDI DRESS</t>
  </si>
  <si>
    <t>SS MIDI DRESS MARIE KOMBI KTK AND TAS DSKTMAR:OFF WHITE:7-8:CHECKS:SS MIDI DRESS</t>
  </si>
  <si>
    <t>DSMEKTFZ</t>
  </si>
  <si>
    <t>SS MIDI DRESS KOMBI KOTAK FROZEN DSMEKTFZ:OFF WHITE:3-4:CHECKS:SS MIDI DRESS</t>
  </si>
  <si>
    <t>SS MIDI DRESS KOMBI KOTAK FROZEN DSMEKTFZ:OFF WHITE:4-5:CHECKS:SS MIDI DRESS</t>
  </si>
  <si>
    <t>SS MIDI DRESS KOMBI KOTAK FROZEN DSMEKTFZ:OFF WHITE:5-6:CHECKS:SS MIDI DRESS</t>
  </si>
  <si>
    <t>SS MIDI DRESS KOMBI KOTAK FROZEN DSMEKTFZ:OFF WHITE:7-8:CHECKS:SS MIDI DRESS</t>
  </si>
  <si>
    <t>SSHDMYM</t>
  </si>
  <si>
    <t>SS T-SHIRT TIEDYE MY MELODY SSHDMYM:ASSORTIVE COLOR:5-6:OMBRE:SS T-SHIRT</t>
  </si>
  <si>
    <t>SS T-SHIRT TIEDYE MY MELODY SSHDMYM:ASSORTIVE COLOR:7-8:OMBRE:SS T-SHIRT</t>
  </si>
  <si>
    <t>SS T-SHIRT TIEDYE MY MELODY SSHDMYM:ASSORTIVE COLOR:9-10:OMBRE:SS T-SHIRT</t>
  </si>
  <si>
    <t>SS T-SHIRT TIEDYE MY MELODY SSHDMYM:ASSORTIVE COLOR:11-12:OMBRE:SS T-SHIRT</t>
  </si>
  <si>
    <t>TSHK6</t>
  </si>
  <si>
    <t>SS T-SHIRT HELLO KITTY STAMP LOVE TSHK6:PASTEL PINK:5-6:GRAPHIC:SS T-SHIRT</t>
  </si>
  <si>
    <t>SS T-SHIRT HELLO KITTY STAMP LOVE TSHK6:PASTEL PINK:7-8:GRAPHIC:SS T-SHIRT</t>
  </si>
  <si>
    <t>SS T-SHIRT HELLO KITTY STAMP LOVE TSHK6:PASTEL PINK:9-10:GRAPHIC:SS T-SHIRT</t>
  </si>
  <si>
    <t>SS T-SHIRT HELLO KITTY STAMP LOVE TSHK6:PASTEL PINK:11-12:GRAPHIC:SS T-SHIRT</t>
  </si>
  <si>
    <t>SSHDCINN</t>
  </si>
  <si>
    <t>SS T-SHIRT TIEDYE CINNAMOROLL SSHDCINN:ASSORTIVE COLOR:5-6:OMBRE:SS T-SHIRT</t>
  </si>
  <si>
    <t>SS T-SHIRT TIEDYE CINNAMOROLL SSHDCINN:ASSORTIVE COLOR:7-8:OMBRE:SS T-SHIRT</t>
  </si>
  <si>
    <t>SS T-SHIRT TIEDYE CINNAMOROLL SSHDCINN:ASSORTIVE COLOR:9-10:OMBRE:SS T-SHIRT</t>
  </si>
  <si>
    <t>SS T-SHIRT TIEDYE CINNAMOROLL SSHDCINN:ASSORTIVE COLOR:11-12:OMBRE:SS T-SHIRT</t>
  </si>
  <si>
    <t>SSHDKURM</t>
  </si>
  <si>
    <t>SS T-SHIRT TIEDYE KUROMI SSHDKURM:PASTEL PURPLE:9-10:STRIPES:SS T-SHIRT</t>
  </si>
  <si>
    <t>SS T-SHIRT TIEDYE KUROMI SSHDKURM:PASTEL PURPLE:5-6:STRIPES:SS T-SHIRT</t>
  </si>
  <si>
    <t>SS T-SHIRT TIEDYE KUROMI SSHDKURM:PASTEL PURPLE:11-12:STRIPES:SS T-SHIRT</t>
  </si>
  <si>
    <t>TSGKUR5</t>
  </si>
  <si>
    <t>SS T-SHIRT KUROMI TSGKUR5:BLACK:5-6:GRAPHIC:SS T-SHIRT</t>
  </si>
  <si>
    <t>SS T-SHIRT KUROMI TSGKUR5:BLACK:7-8:GRAPHIC:SS T-SHIRT</t>
  </si>
  <si>
    <t>SS T-SHIRT KUROMI TSGKUR5:BLACK:9-10:GRAPHIC:SS T-SHIRT</t>
  </si>
  <si>
    <t>SS T-SHIRT KUROMI TSGKUR5:BLACK:11-12:GRAPHIC:SS T-SHIRT</t>
  </si>
  <si>
    <t>TSGCIN1</t>
  </si>
  <si>
    <t>SS T-SHIRT TIE DYE APL CINNAMOROLL TSGCIN1:PASTEL BLUE:3-4:GRAPHIC:SS T-SHIRT</t>
  </si>
  <si>
    <t>SS T-SHIRT TIE DYE APL CINNAMOROLL TSGCIN1:PASTEL BLUE:4-5:GRAPHIC:SS T-SHIRT</t>
  </si>
  <si>
    <t>SS T-SHIRT TIE DYE APL CINNAMOROLL TSGCIN1:PASTEL BLUE:5-6:GRAPHIC:SS T-SHIRT</t>
  </si>
  <si>
    <t>SS T-SHIRT TIE DYE APL CINNAMOROLL TSGCIN1:PASTEL BLUE:7-8:GRAPHIC:SS T-SHIRT</t>
  </si>
  <si>
    <t>TSGCIN4</t>
  </si>
  <si>
    <t>SS T-SHIRT RAGLAN CINNAMOROLL TSGCIN4:OFF WHITE:3-4:GRAPHIC:SS T-SHIRT</t>
  </si>
  <si>
    <t>SS T-SHIRT RAGLAN CINNAMOROLL TSGCIN4:OFF WHITE:4-5:GRAPHIC:SS T-SHIRT</t>
  </si>
  <si>
    <t>SS T-SHIRT RAGLAN CINNAMOROLL TSGCIN4:OFF WHITE:5-6:GRAPHIC:SS T-SHIRT</t>
  </si>
  <si>
    <t>SS T-SHIRT RAGLAN CINNAMOROLL TSGCIN4:OFF WHITE:7-8:GRAPHIC:SS T-SHIRT</t>
  </si>
  <si>
    <t>DSCROL</t>
  </si>
  <si>
    <t>SS MIDI DRESS CINNAMOROLL DSCROL:PASTEL BLUE:3-4:GRAPHIC:SS MIDI DRESS</t>
  </si>
  <si>
    <t>SS MIDI DRESS CINNAMOROLL DSCROL:PASTEL BLUE:4-5:GRAPHIC:SS MIDI DRESS</t>
  </si>
  <si>
    <t>SS MIDI DRESS CINNAMOROLL DSCROL:PASTEL BLUE:5-6:GRAPHIC:SS MIDI DRESS</t>
  </si>
  <si>
    <t>SS MIDI DRESS CINNAMOROLL DSCROL:PASTEL BLUE:7-8:GRAPHIC:SS MIDI DRESS</t>
  </si>
  <si>
    <t>DSRTJKU</t>
  </si>
  <si>
    <t>SS MIDI DRESS KUROMI ROMPI KRH KB WVN DSRTJKU:PASTEL PURPLE:3-4:GRAPHIC:SS MIDI DRESS</t>
  </si>
  <si>
    <t>SS MIDI DRESS KUROMI ROMPI KRH KB WVN DSRTJKU:PASTEL PURPLE:4-5:GRAPHIC:SS MIDI DRESS</t>
  </si>
  <si>
    <t>SS MIDI DRESS KUROMI ROMPI KRH KB WVN DSRTJKU:PASTEL PURPLE:5-6:GRAPHIC:SS MIDI DRESS</t>
  </si>
  <si>
    <t>SS MIDI DRESS KUROMI ROMPI KRH KB WVN DSRTJKU:PASTEL PURPLE:7-8:GRAPHIC:SS MIDI DRESS</t>
  </si>
  <si>
    <t>SS MIDI DRESS KUROMI ROMPI KRH KB WVN DSRTJKU:PASTEL PURPLE:9-10:GRAPHIC:SS MIDI DRESS</t>
  </si>
  <si>
    <t>DSMARST</t>
  </si>
  <si>
    <t>SS MIDI DRESS STRIPE MARIE DSMARST:PASTEL PINK:3-4:GRAPHIC:SS MIDI DRESS</t>
  </si>
  <si>
    <t>SS MIDI DRESS STRIPE MARIE DSMARST:PASTEL PINK:4-5:GRAPHIC:SS MIDI DRESS</t>
  </si>
  <si>
    <t>SS MIDI DRESS STRIPE MARIE DSMARST:PASTEL PINK:5-6:GRAPHIC:SS MIDI DRESS</t>
  </si>
  <si>
    <t>SS MIDI DRESS STRIPE MARIE DSMARST:PASTEL PINK:7-8:GRAPHIC:SS MIDI DRESS</t>
  </si>
  <si>
    <t>M3DWG01</t>
  </si>
  <si>
    <t>BRIEF UW PACK OF 3 MINNIE BESTIES M3DWG01:ASSORTIVE COLOR:S:PRINT:BRIEF</t>
  </si>
  <si>
    <t>BRIEF UW PACK OF 3 MINNIE BESTIES M3DWG01:ASSORTIVE COLOR:M:PRINT:BRIEF</t>
  </si>
  <si>
    <t>BRIEF UW PACK OF 3 MINNIE BESTIES M3DWG01:ASSORTIVE COLOR:L:PRINT:BRIEF</t>
  </si>
  <si>
    <t>BRIEF UW PACK OF 3 MINNIE BESTIES M3DWG01:ASSORTIVE COLOR:XL:PRINT:BRIEF</t>
  </si>
  <si>
    <t>UNBOY02</t>
  </si>
  <si>
    <t>BRIEF UW PACK OF 3 SPIDEY UNBOY02:ASSORTIVE COLOR:S:PRINT:BRIEF</t>
  </si>
  <si>
    <t>BRIEF UW PACK OF 3 SPIDEY UNBOY02:ASSORTIVE COLOR:M:PRINT:BRIEF</t>
  </si>
  <si>
    <t>BRIEF UW PACK OF 3 SPIDEY UNBOY02:ASSORTIVE COLOR:L:PRINT:BRIEF</t>
  </si>
  <si>
    <t>BRIEF UW PACK OF 3 SPIDEY UNBOY02:ASSORTIVE COLOR:XL:PRINT:BRIEF</t>
  </si>
  <si>
    <t>KKIRNST</t>
  </si>
  <si>
    <t>SOCKS KKB IRON MAN MUKA KKIRNST:PASTEL GREY:14-16:GRAPHIC:SOCKS</t>
  </si>
  <si>
    <t>SOCKS KKB IRON MAN MUKA KKIRNST:PASTEL GREY:18-20:GRAPHIC:SOCKS</t>
  </si>
  <si>
    <t>KKMM2405</t>
  </si>
  <si>
    <t>SOCKS JARING SPIDERMAN KKMM2405:CLASSIC BLUE:14-16:PRINT:SOCKS</t>
  </si>
  <si>
    <t>SOCKS JARING SPIDERMAN KKMM2405:CLASSIC BLUE:18-20:PRINT:SOCKS</t>
  </si>
  <si>
    <t>SWMVFC</t>
  </si>
  <si>
    <t>TOP - BOTTOM SET LSLP FULL PRINT MARVEL SPIDERMAN HEAD SWMVFC:BROWN SUGAR:4:PRINT:TOP - BOTTOM SET</t>
  </si>
  <si>
    <t>TOP - BOTTOM SET LSLP FULL PRINT MARVEL SPIDERMAN HEAD SWMVFC:BROWN SUGAR:5:PRINT:TOP - BOTTOM SET</t>
  </si>
  <si>
    <t>TOP - BOTTOM SET LSLP FULL PRINT MARVEL SPIDERMAN HEAD SWMVFC:BROWN SUGAR:6:PRINT:TOP - BOTTOM SET</t>
  </si>
  <si>
    <t>TOP - BOTTOM SET LSLP FULL PRINT MARVEL SPIDERMAN HEAD SWMVFC:BROWN SUGAR:7:PRINT:TOP - BOTTOM SET</t>
  </si>
  <si>
    <t>TOP - BOTTOM SET LSLP FULL PRINT MARVEL SPIDERMAN HEAD SWMVFC:BROWN SUGAR:8:PRINT:TOP - BOTTOM SET</t>
  </si>
  <si>
    <t>TOP - BOTTOM SET LSLP FULL PRINT MARVEL SPIDERMAN HEAD SWMVFC:BROWN SUGAR:10:PRINT:TOP - BOTTOM SET</t>
  </si>
  <si>
    <t>TOP - BOTTOM SET LSLP FULL PRINT MARVEL SPIDERMAN HEAD SWMVFC:BROWN SUGAR:12:PRINT:TOP - BOTTOM SET</t>
  </si>
  <si>
    <t>TOP - BOTTOM SET LSLP FULL PRINT MARVEL SPIDERMAN HEAD SWMVFC:BROWN SUGAR:14:PRINT:TOP - BOTTOM SET</t>
  </si>
  <si>
    <t>TSGCIN2</t>
  </si>
  <si>
    <t>SS T-SHIRT STRIPE CINNAMOROLL TSGCIN2:PASTEL PINK:3-4:STRIPES:SS T-SHIRT</t>
  </si>
  <si>
    <t>SS T-SHIRT STRIPE CINNAMOROLL TSGCIN2:PASTEL PINK:4-5:STRIPES:SS T-SHIRT</t>
  </si>
  <si>
    <t>SS T-SHIRT STRIPE CINNAMOROLL TSGCIN2:PASTEL PINK:5-6:STRIPES:SS T-SHIRT</t>
  </si>
  <si>
    <t>SS T-SHIRT STRIPE CINNAMOROLL TSGCIN2:PASTEL PINK:7-8:STRIPES:SS T-SHIRT</t>
  </si>
  <si>
    <t>DSOTJMM</t>
  </si>
  <si>
    <t>SS MIDI DRESS OVR KOMBI WVN MY MELODY DSOTJMM:PASTEL PINK:3-4:GRAPHIC:SS MIDI DRESS</t>
  </si>
  <si>
    <t>SS MIDI DRESS OVR KOMBI WVN MY MELODY DSOTJMM:PASTEL PINK:4-5:GRAPHIC:SS MIDI DRESS</t>
  </si>
  <si>
    <t>SS MIDI DRESS OVR KOMBI WVN MY MELODY DSOTJMM:PASTEL PINK:5-6:GRAPHIC:SS MIDI DRESS</t>
  </si>
  <si>
    <t>SS MIDI DRESS OVR KOMBI WVN MY MELODY DSOTJMM:PASTEL PINK:7-8:GRAPHIC:SS MIDI DRESS</t>
  </si>
  <si>
    <t>SS MIDI DRESS OVR KOMBI WVN MY MELODY DSOTJMM:PASTEL PINK:9-10:GRAPHIC:SS MIDI DRESS</t>
  </si>
  <si>
    <t>TSGCIN3</t>
  </si>
  <si>
    <t>SS T-SHIRT CUT N SEWN CINNAMOROLL TSGCIN3:PASTEL BLUE:3-4:GRAPHIC:SS T-SHIRT</t>
  </si>
  <si>
    <t>SS T-SHIRT CUT N SEWN CINNAMOROLL TSGCIN3:PASTEL BLUE:4-5:GRAPHIC:SS T-SHIRT</t>
  </si>
  <si>
    <t>SS T-SHIRT CUT N SEWN CINNAMOROLL TSGCIN3:PASTEL BLUE:5-6:GRAPHIC:SS T-SHIRT</t>
  </si>
  <si>
    <t>SS T-SHIRT CUT N SEWN CINNAMOROLL TSGCIN3:PASTEL BLUE:7-8:GRAPHIC:SS T-SHIRT</t>
  </si>
  <si>
    <t>TSGKUR6</t>
  </si>
  <si>
    <t>SS T-SHIRT KUROMI TSGKUR6:PASTEL PINK:5-6:GRAPHIC:SS T-SHIRT</t>
  </si>
  <si>
    <t>SS T-SHIRT KUROMI TSGKUR6:PASTEL PINK:7-8:GRAPHIC:SS T-SHIRT</t>
  </si>
  <si>
    <t>SS T-SHIRT KUROMI TSGKUR6:PASTEL PINK:11-12:GRAPHIC:SS T-SHIRT</t>
  </si>
  <si>
    <t>SS T-SHIRT KUROMI TSGKUR6:PASTEL PINK:9-10:GRAPHIC:SS T-SHIRT</t>
  </si>
  <si>
    <t>SSRKU</t>
  </si>
  <si>
    <t>SS T-SHIRT RAGLAN APLIKASI &amp; POMPOM KUROMI SSRKU:OFF WHITE:3-4:GRAPHIC:SS T-SHIRT</t>
  </si>
  <si>
    <t>SS T-SHIRT RAGLAN APLIKASI &amp; POMPOM KUROMI SSRKU:OFF WHITE:4-5:GRAPHIC:SS T-SHIRT</t>
  </si>
  <si>
    <t>SS T-SHIRT RAGLAN APLIKASI &amp; POMPOM KUROMI SSRKU:OFF WHITE:5-6:GRAPHIC:SS T-SHIRT</t>
  </si>
  <si>
    <t>SS T-SHIRT RAGLAN APLIKASI &amp; POMPOM KUROMI SSRKU:OFF WHITE:7-8:GRAPHIC:SS T-SHIRT</t>
  </si>
  <si>
    <t>SSSRKU</t>
  </si>
  <si>
    <t>SS T-SHIRT LENGAN SERUT KUROMI SSSRKU:PASTEL PURPLE:3-4:GRAPHIC:SS T-SHIRT</t>
  </si>
  <si>
    <t>SS T-SHIRT LENGAN SERUT KUROMI SSSRKU:PASTEL PURPLE:4-5:GRAPHIC:SS T-SHIRT</t>
  </si>
  <si>
    <t>SS T-SHIRT LENGAN SERUT KUROMI SSSRKU:PASTEL PURPLE:5-6:GRAPHIC:SS T-SHIRT</t>
  </si>
  <si>
    <t>SS T-SHIRT LENGAN SERUT KUROMI SSSRKU:PASTEL PURPLE:7-8:GRAPHIC:SS T-SHIRT</t>
  </si>
  <si>
    <t>JKKU</t>
  </si>
  <si>
    <t>JACKET VARSITY MANSET KUROMI JKKU:PASTEL PURPLE:5-6:GRAPHIC:JACKET</t>
  </si>
  <si>
    <t>JACKET VARSITY MANSET KUROMI JKKU:PASTEL PURPLE:7-8:GRAPHIC:JACKET</t>
  </si>
  <si>
    <t>JACKET VARSITY MANSET KUROMI JKKU:PASTEL PURPLE:3-4:GRAPHIC:JACKET</t>
  </si>
  <si>
    <t>JACKET VARSITY MANSET KUROMI JKKU:PASTEL PURPLE:4-5:GRAPHIC:JACKET</t>
  </si>
  <si>
    <t>JGKU</t>
  </si>
  <si>
    <t>LONG PANTS KUROMI JGKU:PASTEL PURPLE:5-6:GRAPHIC:LONG PANTS</t>
  </si>
  <si>
    <t>LONG PANTS KUROMI JGKU:PASTEL PURPLE:7-8:GRAPHIC:LONG PANTS</t>
  </si>
  <si>
    <t>LONG PANTS KUROMI JGKU:PASTEL PURPLE:3-4:GRAPHIC:LONG PANTS</t>
  </si>
  <si>
    <t>LONG PANTS KUROMI JGKU:PASTEL PURPLE:4-5:GRAPHIC:LONG PANTS</t>
  </si>
  <si>
    <t>DCOSKUR</t>
  </si>
  <si>
    <t>SS MIDI DRESS COSTUME KUROMI DCOSKUR:PASTEL PURPLE:3-4:GRAPHIC:SS MIDI DRESS</t>
  </si>
  <si>
    <t>SS MIDI DRESS COSTUME KUROMI DCOSKUR:PASTEL PURPLE:4-5:GRAPHIC:SS MIDI DRESS</t>
  </si>
  <si>
    <t>SS MIDI DRESS COSTUME KUROMI DCOSKUR:PASTEL PURPLE:5-6:GRAPHIC:SS MIDI DRESS</t>
  </si>
  <si>
    <t>SS MIDI DRESS COSTUME KUROMI DCOSKUR:PASTEL PURPLE:7-8:GRAPHIC:SS MIDI DRESS</t>
  </si>
  <si>
    <t>MP3RMIN2</t>
  </si>
  <si>
    <t>BRIEF MP UW MINNIE MP3RMIN2:ASSORTIVE COLOR:S:PRINT:BRIEF</t>
  </si>
  <si>
    <t>BRIEF MP UW MINNIE MP3RMIN2:ASSORTIVE COLOR:M:PRINT:BRIEF</t>
  </si>
  <si>
    <t>BRIEF MP UW MINNIE MP3RMIN2:ASSORTIVE COLOR:L:PRINT:BRIEF</t>
  </si>
  <si>
    <t>BRIEF MP UW MINNIE MP3RMIN2:ASSORTIVE COLOR:XL:PRINT:BRIEF</t>
  </si>
  <si>
    <t>MP3RMAR</t>
  </si>
  <si>
    <t>BRIEF MP UW MARIE MP3RMAR:ASSORTIVE COLOR:S:PRINT:BRIEF</t>
  </si>
  <si>
    <t>BRIEF MP UW MARIE MP3RMAR:ASSORTIVE COLOR:M:PRINT:BRIEF</t>
  </si>
  <si>
    <t>BRIEF MP UW MARIE MP3RMAR:ASSORTIVE COLOR:L:PRINT:BRIEF</t>
  </si>
  <si>
    <t>BRIEF MP UW MARIE MP3RMAR:ASSORTIVE COLOR:XL:PRINT:BRIEF</t>
  </si>
  <si>
    <t>KKSPD246</t>
  </si>
  <si>
    <t>SOCKS KK SPIDERMAN SPIDEY KKSPD246:BLACK:14-16:GRAPHIC:SOCKS</t>
  </si>
  <si>
    <t>SOCKS KK SPIDERMAN SPIDEY KKSPD246:BLACK:18-20:GRAPHIC:SOCKS</t>
  </si>
  <si>
    <t>KKSPD245</t>
  </si>
  <si>
    <t>SOCKS KK SPIDERMAN KKSPD245:PASTEL GREY:14-16:GRAPHIC:SOCKS</t>
  </si>
  <si>
    <t>SOCKS KK SPIDERMAN KKSPD245:PASTEL GREY:18-20:GRAPHIC:SOCKS</t>
  </si>
  <si>
    <t>KKMMSIM4</t>
  </si>
  <si>
    <t>SOCKS KKB STRIPE SIMBA LION KING KKMMSIM4:CLASSIC ORANGE:14-16:GRAPHIC:SOCKS</t>
  </si>
  <si>
    <t>SOCKS KKB STRIPE SIMBA LION KING KKMMSIM4:CLASSIC ORANGE:18-20:GRAPHIC:SOCKS</t>
  </si>
  <si>
    <t>KKSPD247</t>
  </si>
  <si>
    <t>SOCKS KK SPIDERMAN KKSPD247:PASTEL GREY:14-16:GRAPHIC:SOCKS</t>
  </si>
  <si>
    <t>SOCKS KK SPIDERMAN KKSPD247:PASTEL GREY:18-20:GRAPHIC:SOCKS</t>
  </si>
  <si>
    <t>KKSPD248</t>
  </si>
  <si>
    <t>SOCKS KK SPIDERMAN TO THE RESCUE KKSPD248:BLACK:14-16:GRAPHIC:SOCKS</t>
  </si>
  <si>
    <t>SOCKS KK SPIDERMAN TO THE RESCUE KKSPD248:BLACK:18-20:GRAPHIC:SOCKS</t>
  </si>
  <si>
    <t>SWSIMBA</t>
  </si>
  <si>
    <t>TOP - BOTTOM SET LSLP FP SIMBA SWSIMBA:BROWN SUGAR:4:PRINT:TOP - BOTTOM SET</t>
  </si>
  <si>
    <t>TOP - BOTTOM SET LSLP FP SIMBA SWSIMBA:BROWN SUGAR:5:PRINT:TOP - BOTTOM SET</t>
  </si>
  <si>
    <t>TOP - BOTTOM SET LSLP FP SIMBA SWSIMBA:BROWN SUGAR:6:PRINT:TOP - BOTTOM SET</t>
  </si>
  <si>
    <t>TOP - BOTTOM SET LSLP FP SIMBA SWSIMBA:BROWN SUGAR:7:PRINT:TOP - BOTTOM SET</t>
  </si>
  <si>
    <t>TOP - BOTTOM SET LSLP FP SIMBA SWSIMBA:BROWN SUGAR:8:PRINT:TOP - BOTTOM SET</t>
  </si>
  <si>
    <t>TOP - BOTTOM SET LSLP FP SIMBA SWSIMBA:BROWN SUGAR:10:PRINT:TOP - BOTTOM SET</t>
  </si>
  <si>
    <t>TOP - BOTTOM SET LSLP FP SIMBA SWSIMBA:BROWN SUGAR:12:PRINT:TOP - BOTTOM SET</t>
  </si>
  <si>
    <t>TOP - BOTTOM SET LSLP FP SIMBA SWSIMBA:BROWN SUGAR:14:PRINT:TOP - BOTTOM SET</t>
  </si>
  <si>
    <t>SWSPD241</t>
  </si>
  <si>
    <t>TOP - BOTTOM SET LSLP SPIDERMAN SWSPD241:CLASSIC BLUE:4:PRINT:TOP - BOTTOM SET</t>
  </si>
  <si>
    <t>TOP - BOTTOM SET LSLP SPIDERMAN SWSPD241:CLASSIC BLUE:5:PRINT:TOP - BOTTOM SET</t>
  </si>
  <si>
    <t>TOP - BOTTOM SET LSLP SPIDERMAN SWSPD241:CLASSIC BLUE:6:PRINT:TOP - BOTTOM SET</t>
  </si>
  <si>
    <t>TOP - BOTTOM SET LSLP SPIDERMAN SWSPD241:CLASSIC BLUE:7:PRINT:TOP - BOTTOM SET</t>
  </si>
  <si>
    <t>TOP - BOTTOM SET LSLP SPIDERMAN SWSPD241:CLASSIC BLUE:8:PRINT:TOP - BOTTOM SET</t>
  </si>
  <si>
    <t>TOP - BOTTOM SET LSLP SPIDERMAN SWSPD241:CLASSIC BLUE:10:PRINT:TOP - BOTTOM SET</t>
  </si>
  <si>
    <t>TOP - BOTTOM SET LSLP SPIDERMAN SWSPD241:CLASSIC BLUE:12:PRINT:TOP - BOTTOM SET</t>
  </si>
  <si>
    <t>TOP - BOTTOM SET LSLP SPIDERMAN SWSPD241:CLASSIC BLUE:14:PRINT:TOP - BOTTOM SET</t>
  </si>
  <si>
    <t>SWSPD243</t>
  </si>
  <si>
    <t>TOP - BOTTOM SET LSLP SPIDERMAN SWSPD243:CLASSIC RED:4:PRINT:TOP - BOTTOM SET</t>
  </si>
  <si>
    <t>TOP - BOTTOM SET LSLP SPIDERMAN SWSPD243:CLASSIC RED:5:PRINT:TOP - BOTTOM SET</t>
  </si>
  <si>
    <t>TOP - BOTTOM SET LSLP SPIDERMAN SWSPD243:CLASSIC RED:6:PRINT:TOP - BOTTOM SET</t>
  </si>
  <si>
    <t>TOP - BOTTOM SET LSLP SPIDERMAN SWSPD243:CLASSIC RED:7:PRINT:TOP - BOTTOM SET</t>
  </si>
  <si>
    <t>TOP - BOTTOM SET LSLP SPIDERMAN SWSPD243:CLASSIC RED:8:PRINT:TOP - BOTTOM SET</t>
  </si>
  <si>
    <t>TOP - BOTTOM SET LSLP SPIDERMAN SWSPD243:CLASSIC RED:10:PRINT:TOP - BOTTOM SET</t>
  </si>
  <si>
    <t>TOP - BOTTOM SET LSLP SPIDERMAN SWSPD243:CLASSIC RED:12:PRINT:TOP - BOTTOM SET</t>
  </si>
  <si>
    <t>TOP - BOTTOM SET LSLP SPIDERMAN SWSPD243:CLASSIC RED:14:PRINT:TOP - BOTTOM SET</t>
  </si>
  <si>
    <t>MP3RSPD</t>
  </si>
  <si>
    <t>BRIEF MP UW SPIDERMAN MP3RSPD:ASSORTIVE COLOR:S:PRINT:BRIEF</t>
  </si>
  <si>
    <t>BRIEF MP UW SPIDERMAN MP3RSPD:ASSORTIVE COLOR:L:PRINT:BRIEF</t>
  </si>
  <si>
    <t>MP3RAVG</t>
  </si>
  <si>
    <t>BRIEF MP UW AVENGERS MP3RAVG:ASSORTIVE COLOR:S:PRINT:BRIEF</t>
  </si>
  <si>
    <t>BRIEF MP UW AVENGERS MP3RAVG:ASSORTIVE COLOR:M:PRINT:BRIEF</t>
  </si>
  <si>
    <t>BRIEF MP UW AVENGERS MP3RAVG:ASSORTIVE COLOR:L:PRINT:BRIEF</t>
  </si>
  <si>
    <t>BRIEF MP UW AVENGERS MP3RAVG:ASSORTIVE COLOR:XL:PRINT:BRIEF</t>
  </si>
  <si>
    <t>BRIEF MP UW SPIDERMAN MP3RSPD:ASSORTIVE COLOR:M:PRINT:BRIEF</t>
  </si>
  <si>
    <t>BRIEF MP UW SPIDERMAN MP3RSPD:ASSORTIVE COLOR:XL:PRINT:BRIEF</t>
  </si>
  <si>
    <t>MP3RFZA</t>
  </si>
  <si>
    <t>BRIEF MP UW FROZEN MP3RFZA:ASSORTIVE COLOR:S:PRINT:BRIEF</t>
  </si>
  <si>
    <t>BRIEF MP UW FROZEN MP3RFZA:ASSORTIVE COLOR:M:PRINT:BRIEF</t>
  </si>
  <si>
    <t>BRIEF MP UW FROZEN MP3RFZA:ASSORTIVE COLOR:L:PRINT:BRIEF</t>
  </si>
  <si>
    <t>BRIEF MP UW FROZEN MP3RFZA:ASSORTIVE COLOR:XL:PRINT:BRIEF</t>
  </si>
  <si>
    <t>KKFZELS</t>
  </si>
  <si>
    <t>SOCKS KKG ELSA FROZEN KKFZELS:PASTEL BLUE:14-16:PRINT:SOCKS</t>
  </si>
  <si>
    <t>SOCKS KKG ELSA FROZEN KKFZELS:PASTEL BLUE:18-20:PRINT:SOCKS</t>
  </si>
  <si>
    <t>SSTDFZA</t>
  </si>
  <si>
    <t>SS T-SHIRT TIEDYE FROZEN SSTDFZA:ASSORTIVE COLOR:5-6:PRINT:SS T-SHIRT</t>
  </si>
  <si>
    <t>SS T-SHIRT TIEDYE FROZEN SSTDFZA:ASSORTIVE COLOR:7-8:PRINT:SS T-SHIRT</t>
  </si>
  <si>
    <t>SS T-SHIRT TIEDYE FROZEN SSTDFZA:ASSORTIVE COLOR:9-10:PRINT:SS T-SHIRT</t>
  </si>
  <si>
    <t>SS T-SHIRT TIEDYE FROZEN SSTDFZA:ASSORTIVE COLOR:11-12:PRINT:SS T-SHIRT</t>
  </si>
  <si>
    <t>LSDLFZA</t>
  </si>
  <si>
    <t>SWEATSHIRT FROZEN II PRINT EMBRO LSDLFZA:PASTEL BLUE:3-4:GRAPHIC:SWEATSHIRT</t>
  </si>
  <si>
    <t>SWEATSHIRT FROZEN II PRINT EMBRO LSDLFZA:PASTEL BLUE:4-5:GRAPHIC:SWEATSHIRT</t>
  </si>
  <si>
    <t>SWEATSHIRT FROZEN II PRINT EMBRO LSDLFZA:PASTEL BLUE:5-6:GRAPHIC:SWEATSHIRT</t>
  </si>
  <si>
    <t>SWEATSHIRT FROZEN II PRINT EMBRO LSDLFZA:PASTEL BLUE:7-8:GRAPHIC:SWEATSHIRT</t>
  </si>
  <si>
    <t>DSDLFZA2</t>
  </si>
  <si>
    <t>SS MIDI DRESS FROZEN II PRINT EMBRO RIB KARET DSDLFZA2:PASTEL BLUE:3-4:PRINT:SS MIDI DRESS</t>
  </si>
  <si>
    <t>SS MIDI DRESS FROZEN II PRINT EMBRO RIB KARET DSDLFZA2:PASTEL BLUE:4-5:PRINT:SS MIDI DRESS</t>
  </si>
  <si>
    <t>SS MIDI DRESS FROZEN II PRINT EMBRO RIB KARET DSDLFZA2:PASTEL BLUE:5-6:PRINT:SS MIDI DRESS</t>
  </si>
  <si>
    <t>SS MIDI DRESS FROZEN II PRINT EMBRO RIB KARET DSDLFZA2:PASTEL BLUE:7-8:PRINT:SS MIDI DRESS</t>
  </si>
  <si>
    <t>KULDNFZA</t>
  </si>
  <si>
    <t>DENIM LONG PANTS KULOT FROZEN II KULDNFZA:MEDIUM DENIM:3-4:GRAPHIC:DENIM LONG PANTS</t>
  </si>
  <si>
    <t>DENIM LONG PANTS KULOT FROZEN II KULDNFZA:MEDIUM DENIM:4-5:GRAPHIC:DENIM LONG PANTS</t>
  </si>
  <si>
    <t>DENIM LONG PANTS KULOT FROZEN II KULDNFZA:MEDIUM DENIM:5-6:GRAPHIC:DENIM LONG PANTS</t>
  </si>
  <si>
    <t>DENIM LONG PANTS KULOT FROZEN II KULDNFZA:MEDIUM DENIM:7-8:GRAPHIC:DENIM LONG PANTS</t>
  </si>
  <si>
    <t>DSBRFZA</t>
  </si>
  <si>
    <t>SS MIDI DRESS BORDER FROZEN DSBRFZA:OFF WHITE:3-4:GRAPHIC:SS MIDI DRESS</t>
  </si>
  <si>
    <t>SS MIDI DRESS BORDER FROZEN DSBRFZA:OFF WHITE:4-5:GRAPHIC:SS MIDI DRESS</t>
  </si>
  <si>
    <t>SS MIDI DRESS BORDER FROZEN DSBRFZA:OFF WHITE:5-6:GRAPHIC:SS MIDI DRESS</t>
  </si>
  <si>
    <t>SS MIDI DRESS BORDER FROZEN DSBRFZA:OFF WHITE:7-8:GRAPHIC:SS MIDI DRESS</t>
  </si>
  <si>
    <t>DSDLFZA1</t>
  </si>
  <si>
    <t>SS MIDI DRESS OVR FROZEN II PRINT EMBRO DSDLFZA1:PASTEL BLUE:3-4:PRINT:SS MIDI DRESS</t>
  </si>
  <si>
    <t>SS MIDI DRESS OVR FROZEN II PRINT EMBRO DSDLFZA1:PASTEL BLUE:4-5:PRINT:SS MIDI DRESS</t>
  </si>
  <si>
    <t>SS MIDI DRESS OVR FROZEN II PRINT EMBRO DSDLFZA1:PASTEL BLUE:5-6:PRINT:SS MIDI DRESS</t>
  </si>
  <si>
    <t>SS MIDI DRESS OVR FROZEN II PRINT EMBRO DSDLFZA1:PASTEL BLUE:7-8:PRINT:SS MIDI DRESS</t>
  </si>
  <si>
    <t>DSMINFP</t>
  </si>
  <si>
    <t>SS MIDI DRESS WVN FP MINNIE HEAD DSMINFP:PASTEL ORANGE:5-6:PRINT:SS MIDI DRESS</t>
  </si>
  <si>
    <t>SS MIDI DRESS WVN FP MINNIE HEAD DSMINFP:PASTEL ORANGE:7-8:PRINT:SS MIDI DRESS</t>
  </si>
  <si>
    <t>SS MIDI DRESS WVN FP MINNIE HEAD DSMINFP:PASTEL ORANGE:9-10:PRINT:SS MIDI DRESS</t>
  </si>
  <si>
    <t>SS MIDI DRESS WVN FP MINNIE HEAD DSMINFP:PASTEL ORANGE:11-12:PRINT:SS MIDI DRESS</t>
  </si>
  <si>
    <t>DSLOTKT2</t>
  </si>
  <si>
    <t>SS MIDI DRESS LOTSO KOMBI KOTAK DSLOTKT2:PASTEL PINK:3-4:CHECKS:SS MIDI DRESS</t>
  </si>
  <si>
    <t>SS MIDI DRESS LOTSO KOMBI KOTAK DSLOTKT2:PASTEL PINK:4-5:CHECKS:SS MIDI DRESS</t>
  </si>
  <si>
    <t>SS MIDI DRESS LOTSO KOMBI KOTAK DSLOTKT2:PASTEL PINK:5-6:CHECKS:SS MIDI DRESS</t>
  </si>
  <si>
    <t>SS MIDI DRESS LOTSO KOMBI KOTAK DSLOTKT2:PASTEL PINK:7-8:CHECKS:SS MIDI DRESS</t>
  </si>
  <si>
    <t>TSMMLP2</t>
  </si>
  <si>
    <t>SS T-SHIRT LENGAN RUFFLE MY LITTLE PONY TSMMLP2:PASTEL PURPLE:5-6:GRAPHIC:SS T-SHIRT</t>
  </si>
  <si>
    <t>SS T-SHIRT LENGAN RUFFLE MY LITTLE PONY TSMMLP2:PASTEL PURPLE:7-8:GRAPHIC:SS T-SHIRT</t>
  </si>
  <si>
    <t>SS T-SHIRT LENGAN RUFFLE MY LITTLE PONY TSMMLP2:PASTEL PURPLE:9-10:GRAPHIC:SS T-SHIRT</t>
  </si>
  <si>
    <t>SS T-SHIRT LENGAN RUFFLE MY LITTLE PONY TSMMLP2:PASTEL PURPLE:11-12:GRAPHIC:SS T-SHIRT</t>
  </si>
  <si>
    <t>SWMM</t>
  </si>
  <si>
    <t>SWEATSHIRT PITA MY MELODY SWMM:PASTEL PINK:4-5:GRAPHIC:SWEATSHIRT</t>
  </si>
  <si>
    <t>SWEATSHIRT PITA MY MELODY SWMM:PASTEL PINK:5-6:GRAPHIC:SWEATSHIRT</t>
  </si>
  <si>
    <t>SWEATSHIRT PITA MY MELODY SWMM:PASTEL PINK:7-8:GRAPHIC:SWEATSHIRT</t>
  </si>
  <si>
    <t>SWEATSHIRT PITA MY MELODY SWMM:PASTEL PINK:3-4:GRAPHIC:SWEATSHIRT</t>
  </si>
  <si>
    <t>SWEATSHIRT PITA MY MELODY SWMM:PASTEL PINK:9-10:GRAPHIC:SWEATSHIRT</t>
  </si>
  <si>
    <t>DSKUTL</t>
  </si>
  <si>
    <t>SS MIDI DRESS TULLE KERAH SLING BAG KUROMI DSKUTL:PASTEL PURPLE:3-4:GRAPHIC:SS MIDI DRESS</t>
  </si>
  <si>
    <t>SS MIDI DRESS TULLE KERAH SLING BAG KUROMI DSKUTL:PASTEL PURPLE:4-5:GRAPHIC:SS MIDI DRESS</t>
  </si>
  <si>
    <t>SS MIDI DRESS TULLE KERAH SLING BAG KUROMI DSKUTL:PASTEL PURPLE:7-8:GRAPHIC:SS MIDI DRESS</t>
  </si>
  <si>
    <t>SS MIDI DRESS TULLE KERAH SLING BAG KUROMI DSKUTL:PASTEL PURPLE:5-6:GRAPHIC:SS MIDI DRESS</t>
  </si>
  <si>
    <t>JGCN</t>
  </si>
  <si>
    <t>LONG PANTS CINNAMOROLL JGCN:PASTEL BLUE:7-8:GRAPHIC:LONG PANTS</t>
  </si>
  <si>
    <t>LONG PANTS CINNAMOROLL JGCN:PASTEL BLUE:5-6:GRAPHIC:LONG PANTS</t>
  </si>
  <si>
    <t>LONG PANTS CINNAMOROLL JGCN:PASTEL BLUE:3-4:GRAPHIC:LONG PANTS</t>
  </si>
  <si>
    <t>LONG PANTS CINNAMOROLL JGCN:PASTEL BLUE:4-5:GRAPHIC:LONG PANTS</t>
  </si>
  <si>
    <t>OVPCN</t>
  </si>
  <si>
    <t>SHORT JUMPSUIT OVERALL PANTS CINNAMOROLL OVPCN:PASTEL BLUE:3-4:GRAPHIC:SHORT JUMPSUIT</t>
  </si>
  <si>
    <t>SHORT JUMPSUIT OVERALL PANTS CINNAMOROLL OVPCN:PASTEL BLUE:4-5:GRAPHIC:SHORT JUMPSUIT</t>
  </si>
  <si>
    <t>SHORT JUMPSUIT OVERALL PANTS CINNAMOROLL OVPCN:PASTEL BLUE:7-8:GRAPHIC:SHORT JUMPSUIT</t>
  </si>
  <si>
    <t>SHORT JUMPSUIT OVERALL PANTS CINNAMOROLL OVPCN:PASTEL BLUE:5-6:GRAPHIC:SHORT JUMPSUIT</t>
  </si>
  <si>
    <t>TSGKUR7</t>
  </si>
  <si>
    <t>SS T-SHIRT KUROMI CUT N SEWN TSGKUR7:ASSORTIVE COLOR:5-6:PRINT:SS T-SHIRT</t>
  </si>
  <si>
    <t>SS T-SHIRT KUROMI CUT N SEWN TSGKUR7:ASSORTIVE COLOR:7-8:PRINT:SS T-SHIRT</t>
  </si>
  <si>
    <t>SS T-SHIRT KUROMI CUT N SEWN TSGKUR7:ASSORTIVE COLOR:9-10:PRINT:SS T-SHIRT</t>
  </si>
  <si>
    <t>SS T-SHIRT KUROMI CUT N SEWN TSGKUR7:ASSORTIVE COLOR:11-12:PRINT:SS T-SHIRT</t>
  </si>
  <si>
    <t>TSGKUR8</t>
  </si>
  <si>
    <t>SS T-SHIRT FP KUROMI TSGKUR8:PASTEL PURPLE:7-8:PRINT:SS T-SHIRT</t>
  </si>
  <si>
    <t>SS T-SHIRT FP KUROMI TSGKUR8:PASTEL PURPLE:5-6:PRINT:SS T-SHIRT</t>
  </si>
  <si>
    <t>SS T-SHIRT FP KUROMI TSGKUR8:PASTEL PURPLE:9-10:PRINT:SS T-SHIRT</t>
  </si>
  <si>
    <t>SS T-SHIRT FP KUROMI TSGKUR8:PASTEL PURPLE:11-12:PRINT:SS T-SHIRT</t>
  </si>
  <si>
    <t>TSMMLP3</t>
  </si>
  <si>
    <t>SS T-SHIRT RIB MY LITTLE PONY TSMMLP3:PASTEL PINK:5-6:GRAPHIC:SS T-SHIRT</t>
  </si>
  <si>
    <t>SS T-SHIRT RIB MY LITTLE PONY TSMMLP3:PASTEL PINK:7-8:GRAPHIC:SS T-SHIRT</t>
  </si>
  <si>
    <t>SS T-SHIRT RIB MY LITTLE PONY TSMMLP3:PASTEL PINK:9-10:GRAPHIC:SS T-SHIRT</t>
  </si>
  <si>
    <t>SS T-SHIRT RIB MY LITTLE PONY TSMMLP3:PASTEL PINK:11-12:GRAPHIC:SS T-SHIRT</t>
  </si>
  <si>
    <t>TSMMLP1</t>
  </si>
  <si>
    <t>SS T-SHIRT TULLE MY LITTLE PONY TSMMLP1:PASTEL PINK:3-4:GRAPHIC:SS T-SHIRT</t>
  </si>
  <si>
    <t>SS T-SHIRT TULLE MY LITTLE PONY TSMMLP1:PASTEL PINK:4-5:GRAPHIC:SS T-SHIRT</t>
  </si>
  <si>
    <t>SS T-SHIRT TULLE MY LITTLE PONY TSMMLP1:PASTEL PINK:5-6:GRAPHIC:SS T-SHIRT</t>
  </si>
  <si>
    <t>SS T-SHIRT TULLE MY LITTLE PONY TSMMLP1:PASTEL PINK:7-8:GRAPHIC:SS T-SHIRT</t>
  </si>
  <si>
    <t>TSRBLKU1</t>
  </si>
  <si>
    <t>TSRBLKU2</t>
  </si>
  <si>
    <t>SS T-SHIRT RIB KUROMI TSRBLKU2:PASTEL GREY:11-12:GRAPHIC:SS T-SHIRT</t>
  </si>
  <si>
    <t>SS T-SHIRT RIB KUROMI TSRBLKU2:PASTEL GREY:5-6:GRAPHIC:SS T-SHIRT</t>
  </si>
  <si>
    <t>SS T-SHIRT RIB KUROMI TSRBLKU2:PASTEL GREY:7-8:GRAPHIC:SS T-SHIRT</t>
  </si>
  <si>
    <t>SS T-SHIRT RIB KUROMI TSRBLKU2:PASTEL GREY:9-10:GRAPHIC:SS T-SHIRT</t>
  </si>
  <si>
    <t>DSSBCN</t>
  </si>
  <si>
    <t>SS MIDI DRESS CINNAMOROLL SLING BAG DSSBCN:PASTEL PINK:3-4:GRAPHIC:SS MIDI DRESS</t>
  </si>
  <si>
    <t>SS MIDI DRESS CINNAMOROLL SLING BAG DSSBCN:PASTEL PINK:4-5:GRAPHIC:SS MIDI DRESS</t>
  </si>
  <si>
    <t>SS MIDI DRESS CINNAMOROLL SLING BAG DSSBCN:PASTEL PINK:5-6:GRAPHIC:SS MIDI DRESS</t>
  </si>
  <si>
    <t>SS MIDI DRESS CINNAMOROLL SLING BAG DSSBCN:PASTEL PINK:7-8:GRAPHIC:SS MIDI DRESS</t>
  </si>
  <si>
    <t>DSOKU</t>
  </si>
  <si>
    <t>SS MIDI DRESS OVERALL KUROMI DSOKU:PASTEL PINK:3-4:GRAPHIC:SS MIDI DRESS</t>
  </si>
  <si>
    <t>SS MIDI DRESS OVERALL KUROMI DSOKU:PASTEL PINK:4-5:GRAPHIC:SS MIDI DRESS</t>
  </si>
  <si>
    <t>SS MIDI DRESS OVERALL KUROMI DSOKU:PASTEL PINK:5-6:GRAPHIC:SS MIDI DRESS</t>
  </si>
  <si>
    <t>SS MIDI DRESS OVERALL KUROMI DSOKU:PASTEL PINK:7-8:GRAPHIC:SS MIDI DRESS</t>
  </si>
  <si>
    <t>DSOSTJMM</t>
  </si>
  <si>
    <t>SS MIDI DRESS OFF SHOULDER WVN MY MELODY DSOSTJMM:PASTEL PINK:3-4:GRAPHIC:SS MIDI DRESS</t>
  </si>
  <si>
    <t>SS MIDI DRESS OFF SHOULDER WVN MY MELODY DSOSTJMM:PASTEL PINK:4-5:GRAPHIC:SS MIDI DRESS</t>
  </si>
  <si>
    <t>SS MIDI DRESS OFF SHOULDER WVN MY MELODY DSOSTJMM:PASTEL PINK:5-6:GRAPHIC:SS MIDI DRESS</t>
  </si>
  <si>
    <t>SS MIDI DRESS OFF SHOULDER WVN MY MELODY DSOSTJMM:PASTEL PINK:7-8:GRAPHIC:SS MIDI DRESS</t>
  </si>
  <si>
    <t>SS MIDI DRESS OFF SHOULDER WVN MY MELODY DSOSTJMM:PASTEL PINK:9-10:GRAPHIC:SS MIDI DRESS</t>
  </si>
  <si>
    <t>DSOSTJCN</t>
  </si>
  <si>
    <t>SS MIDI DRESS OFF SHOULDER WVN CINNAMOROLL DSOSTJCN:PASTEL BLUE:3-4:GRAPHIC:SS MIDI DRESS</t>
  </si>
  <si>
    <t>SS MIDI DRESS OFF SHOULDER WVN CINNAMOROLL DSOSTJCN:PASTEL BLUE:4-5:GRAPHIC:SS MIDI DRESS</t>
  </si>
  <si>
    <t>SS MIDI DRESS OFF SHOULDER WVN CINNAMOROLL DSOSTJCN:PASTEL BLUE:5-6:GRAPHIC:SS MIDI DRESS</t>
  </si>
  <si>
    <t>SS MIDI DRESS OFF SHOULDER WVN CINNAMOROLL DSOSTJCN:PASTEL BLUE:7-8:GRAPHIC:SS MIDI DRESS</t>
  </si>
  <si>
    <t>SS MIDI DRESS OFF SHOULDER WVN CINNAMOROLL DSOSTJCN:PASTEL BLUE:9-10:GRAPHIC:SS MIDI DRESS</t>
  </si>
  <si>
    <t>SSMLP</t>
  </si>
  <si>
    <t>SS T-SHIRT TOP KERAH MY LITTLE PONY SSMLP:OFF WHITE:3-4:GRAPHIC:SS T-SHIRT</t>
  </si>
  <si>
    <t>SS T-SHIRT TOP KERAH MY LITTLE PONY SSMLP:OFF WHITE:4-5:GRAPHIC:SS T-SHIRT</t>
  </si>
  <si>
    <t>SS T-SHIRT TOP KERAH MY LITTLE PONY SSMLP:OFF WHITE:5-6:GRAPHIC:SS T-SHIRT</t>
  </si>
  <si>
    <t>SS T-SHIRT TOP KERAH MY LITTLE PONY SSMLP:OFF WHITE:7-8:GRAPHIC:SS T-SHIRT</t>
  </si>
  <si>
    <t>SWMLP</t>
  </si>
  <si>
    <t>SWEATSHIRT MY LITTLE PONY SWMLP:PASTEL PINK:3-4:GRAPHIC:SWEATSHIRT</t>
  </si>
  <si>
    <t>SWEATSHIRT MY LITTLE PONY SWMLP:PASTEL PINK:4-5:GRAPHIC:SWEATSHIRT</t>
  </si>
  <si>
    <t>SWEATSHIRT MY LITTLE PONY SWMLP:PASTEL PINK:5-6:GRAPHIC:SWEATSHIRT</t>
  </si>
  <si>
    <t>SWEATSHIRT MY LITTLE PONY SWMLP:PASTEL PINK:7-8:GRAPHIC:SWEATSHIRT</t>
  </si>
  <si>
    <t>JKHCN</t>
  </si>
  <si>
    <t>JACKET HOODIE CINNAMOROLL JKHCN:PASTEL PINK:3-4:GRAPHIC:JACKET</t>
  </si>
  <si>
    <t>JACKET HOODIE CINNAMOROLL JKHCN:PASTEL PINK:4-5:GRAPHIC:JACKET</t>
  </si>
  <si>
    <t>JACKET HOODIE CINNAMOROLL JKHCN:PASTEL PINK:5-6:GRAPHIC:JACKET</t>
  </si>
  <si>
    <t>JACKET HOODIE CINNAMOROLL JKHCN:PASTEL PINK:7-8:GRAPHIC:JACKET</t>
  </si>
  <si>
    <t>SWBARSI</t>
  </si>
  <si>
    <t>SWEATSHIRT BARBIE STYLE ICON SWBARSI:PASTEL PINK:5-6:GRAPHIC:SWEATSHIRT</t>
  </si>
  <si>
    <t>SWEATSHIRT BARBIE STYLE ICON SWBARSI:PASTEL PINK:7-8:GRAPHIC:SWEATSHIRT</t>
  </si>
  <si>
    <t>SWEATSHIRT BARBIE STYLE ICON SWBARSI:PASTEL PINK:9-10:GRAPHIC:SWEATSHIRT</t>
  </si>
  <si>
    <t>SWEATSHIRT BARBIE STYLE ICON SWBARSI:PASTEL PINK:11-12:GRAPHIC:SWEATSHIRT</t>
  </si>
  <si>
    <t>JGBARSI</t>
  </si>
  <si>
    <t>JOGGER BARBIE STOPPER JGBARSI:PASTEL PINK:5-6:GRAPHIC:JOGGER</t>
  </si>
  <si>
    <t>JOGGER BARBIE STOPPER JGBARSI:PASTEL PINK:7-8:GRAPHIC:JOGGER</t>
  </si>
  <si>
    <t>JOGGER BARBIE STOPPER JGBARSI:PASTEL PINK:9-10:GRAPHIC:JOGGER</t>
  </si>
  <si>
    <t>JOGGER BARBIE STOPPER JGBARSI:PASTEL PINK:11-12:GRAPHIC:JOGGER</t>
  </si>
  <si>
    <t>DSCDMLP</t>
  </si>
  <si>
    <t>SS MIDI DRESS CARD MY LITTLE PONY DSCDMLP:PASTEL PINK:3-4:GRAPHIC:SS MIDI DRESS</t>
  </si>
  <si>
    <t>SS MIDI DRESS CARD MY LITTLE PONY DSCDMLP:PASTEL PINK:4-5:GRAPHIC:SS MIDI DRESS</t>
  </si>
  <si>
    <t>SS MIDI DRESS CARD MY LITTLE PONY DSCDMLP:PASTEL PINK:5-6:GRAPHIC:SS MIDI DRESS</t>
  </si>
  <si>
    <t>SS MIDI DRESS CARD MY LITTLE PONY DSCDMLP:PASTEL PINK:7-8:GRAPHIC:SS MIDI DRESS</t>
  </si>
  <si>
    <t>DSTMLP</t>
  </si>
  <si>
    <t>SS MIDI DRESS TULLE MLP DSTMLP:OFF WHITE:3-4:GRAPHIC:SS MIDI DRESS</t>
  </si>
  <si>
    <t>SS MIDI DRESS TULLE MLP DSTMLP:OFF WHITE:4-5:GRAPHIC:SS MIDI DRESS</t>
  </si>
  <si>
    <t>SS MIDI DRESS TULLE MLP DSTMLP:OFF WHITE:5-6:GRAPHIC:SS MIDI DRESS</t>
  </si>
  <si>
    <t>SS MIDI DRESS TULLE MLP DSTMLP:OFF WHITE:7-8:GRAPHIC:SS MIDI DRESS</t>
  </si>
  <si>
    <t>DSPBAR</t>
  </si>
  <si>
    <t>SS MIDI DRESS TULLE BARBIE DSPBAR:PASTEL PINK:4-5:GRAPHIC:SS MIDI DRESS</t>
  </si>
  <si>
    <t>SS MIDI DRESS TULLE BARBIE DSPBAR:PASTEL PINK:5-6:GRAPHIC:SS MIDI DRESS</t>
  </si>
  <si>
    <t>SS MIDI DRESS TULLE BARBIE DSPBAR:PASTEL PINK:7-8:GRAPHIC:SS MIDI DRESS</t>
  </si>
  <si>
    <t>SS MIDI DRESS TULLE BARBIE DSPBAR:PASTEL PINK:9-10:GRAPHIC:SS MIDI DRESS</t>
  </si>
  <si>
    <t>SS T-SHIRT RAGLAN APLIKASI &amp; POMPOM KUROMI SSRKU:OFF WHITE:11-12:GRAPHIC:SS T-SHIRT</t>
  </si>
  <si>
    <t>SS T-SHIRT RAGLAN APLIKASI &amp; POMPOM KUROMI SSRKU:OFF WHITE:9-10:GRAPHIC:SS T-SHIRT</t>
  </si>
  <si>
    <t>SWKEMM</t>
  </si>
  <si>
    <t>SWEATSHIRT PITA MY MELODY SWKEMM:OFF WHITE:4-5:GRAPHIC:SWEATSHIRT</t>
  </si>
  <si>
    <t>SWEATSHIRT PITA MY MELODY SWKEMM:OFF WHITE:9-10:GRAPHIC:SWEATSHIRT</t>
  </si>
  <si>
    <t>SWEATSHIRT PITA MY MELODY SWKEMM:OFF WHITE:7-8:GRAPHIC:SWEATSHIRT</t>
  </si>
  <si>
    <t>SWEATSHIRT PITA MY MELODY SWKEMM:OFF WHITE:5-6:GRAPHIC:SWEATSHIRT</t>
  </si>
  <si>
    <t>SWEATSHIRT PITA MY MELODY SWKEMM:OFF WHITE:3-4:GRAPHIC:SWEATSHIRT</t>
  </si>
  <si>
    <t>JKBARSI</t>
  </si>
  <si>
    <t>JACKET VARSITY BARBIE GLOBAL ICON JKBARSI:PASTEL PINK:9-10:GRAPHIC:JACKET</t>
  </si>
  <si>
    <t>JACKET VARSITY BARBIE GLOBAL ICON JKBARSI:PASTEL PINK:11-12:GRAPHIC:JACKET</t>
  </si>
  <si>
    <t>JACKET VARSITY BARBIE GLOBAL ICON JKBARSI:PASTEL PINK:7-8:GRAPHIC:JACKET</t>
  </si>
  <si>
    <t>JACKET VARSITY BARBIE GLOBAL ICON JKBARSI:PASTEL PINK:5-6:GRAPHIC:JACKET</t>
  </si>
  <si>
    <t>DSOTJKU</t>
  </si>
  <si>
    <t>SS MIDI DRESS OVERALL KUROMI DSOTJKU:PASTEL PURPLE:5-6:GRAPHIC:SS MIDI DRESS</t>
  </si>
  <si>
    <t>SS MIDI DRESS OVERALL KUROMI DSOTJKU:PASTEL PURPLE:7-8:GRAPHIC:SS MIDI DRESS</t>
  </si>
  <si>
    <t>SS MIDI DRESS OVERALL KUROMI DSOTJKU:PASTEL PURPLE:9-10:GRAPHIC:SS MIDI DRESS</t>
  </si>
  <si>
    <t>SS MIDI DRESS OVERALL KUROMI DSOTJKU:PASTEL PURPLE:3-4:GRAPHIC:SS MIDI DRESS</t>
  </si>
  <si>
    <t>SS MIDI DRESS OVERALL KUROMI DSOTJKU:PASTEL PURPLE:4-5:GRAPHIC:SS MIDI DRESS</t>
  </si>
  <si>
    <t>DSCMFZA</t>
  </si>
  <si>
    <t>SS MIDI DRESS COSTUM FROZEN DSCMFZA:PASTEL BLUE:3-4:SOLID:SS MIDI DRESS</t>
  </si>
  <si>
    <t>SS MIDI DRESS COSTUM FROZEN DSCMFZA:PASTEL BLUE:4-5:SOLID:SS MIDI DRESS</t>
  </si>
  <si>
    <t>SS MIDI DRESS COSTUM FROZEN DSCMFZA:PASTEL BLUE:5-6:SOLID:SS MIDI DRESS</t>
  </si>
  <si>
    <t>SS MIDI DRESS COSTUM FROZEN DSCMFZA:PASTEL BLUE:7-8:SOLID:SS MIDI DRESS</t>
  </si>
  <si>
    <t>SSCSMAR</t>
  </si>
  <si>
    <t>SS T-SHIRT RIB CUT N SEWN MARIE SSCSMAR:OFF WHITE:9-10:GRAPHIC:SS T-SHIRT</t>
  </si>
  <si>
    <t>SS T-SHIRT RIB CUT N SEWN MARIE SSCSMAR:OFF WHITE:11-12:GRAPHIC:SS T-SHIRT</t>
  </si>
  <si>
    <t>SS T-SHIRT RIB CUT N SEWN MARIE SSCSMAR:OFF WHITE:5-6:GRAPHIC:SS T-SHIRT</t>
  </si>
  <si>
    <t>SS T-SHIRT RIB CUT N SEWN MARIE SSCSMAR:OFF WHITE:7-8:GRAPHIC:SS T-SHIRT</t>
  </si>
  <si>
    <t>SSAPLMAR</t>
  </si>
  <si>
    <t>SS T-SHIRT RIB APLIKASI MARIE SSAPLMAR:OFF WHITE:3-4:GRAPHIC:SS T-SHIRT</t>
  </si>
  <si>
    <t>SS T-SHIRT RIB APLIKASI MARIE SSAPLMAR:OFF WHITE:4-5:GRAPHIC:SS T-SHIRT</t>
  </si>
  <si>
    <t>SS T-SHIRT RIB APLIKASI MARIE SSAPLMAR:OFF WHITE:5-6:GRAPHIC:SS T-SHIRT</t>
  </si>
  <si>
    <t>SS T-SHIRT RIB APLIKASI MARIE SSAPLMAR:OFF WHITE:7-8:GRAPHIC:SS T-SHIRT</t>
  </si>
  <si>
    <t>DSTULFRZ</t>
  </si>
  <si>
    <t>SS MIDI DRESS TULLE FROZEN DSTULFRZ:PASTEL BLUE:3-4:PRINT:SS MIDI DRESS</t>
  </si>
  <si>
    <t>SS MIDI DRESS TULLE FROZEN DSTULFRZ:PASTEL BLUE:4-5:PRINT:SS MIDI DRESS</t>
  </si>
  <si>
    <t>SS MIDI DRESS TULLE FROZEN DSTULFRZ:PASTEL BLUE:5-6:PRINT:SS MIDI DRESS</t>
  </si>
  <si>
    <t>SS MIDI DRESS TULLE FROZEN DSTULFRZ:PASTEL BLUE:7-8:PRINT:SS MIDI DRESS</t>
  </si>
  <si>
    <t>DSAURO</t>
  </si>
  <si>
    <t>SS MIDI DRESS SLEEPING BEAUTY DSAURO:PASTEL PINK:7-8:PRINT:SS MIDI DRESS</t>
  </si>
  <si>
    <t>SS MIDI DRESS SLEEPING BEAUTY DSAURO:PASTEL PINK:3-4:PRINT:SS MIDI DRESS</t>
  </si>
  <si>
    <t>SS MIDI DRESS SLEEPING BEAUTY DSAURO:PASTEL PINK:4-5:PRINT:SS MIDI DRESS</t>
  </si>
  <si>
    <t>SS MIDI DRESS SLEEPING BEAUTY DSAURO:PASTEL PINK:5-6:PRINT:SS MIDI DRESS</t>
  </si>
  <si>
    <t>DSCTMAR</t>
  </si>
  <si>
    <t>SS MIDI DRESS MARIE KOMBI TULLE DSCTMAR:MISTY MEDIUM GREY:7-8:GRAPHIC:SS MIDI DRESS</t>
  </si>
  <si>
    <t>DSOKMAR</t>
  </si>
  <si>
    <t>SS MIDI DRESS MARIE OVERALL KERAH DSOKMAR:PASTEL PINK:3-4:GRAPHIC:SS MIDI DRESS</t>
  </si>
  <si>
    <t>SS MIDI DRESS MARIE OVERALL KERAH DSOKMAR:PASTEL PINK:4-5:GRAPHIC:SS MIDI DRESS</t>
  </si>
  <si>
    <t>SS MIDI DRESS MARIE OVERALL KERAH DSOKMAR:PASTEL PINK:5-6:GRAPHIC:SS MIDI DRESS</t>
  </si>
  <si>
    <t>SS MIDI DRESS MARIE OVERALL KERAH DSOKMAR:PASTEL PINK:7-8:GRAPHIC:SS MIDI DRESS</t>
  </si>
  <si>
    <t>SS MIDI DRESS MARIE KOMBI TULLE DSCTMAR:MISTY MEDIUM GREY:3-4:GRAPHIC:SS MIDI DRESS</t>
  </si>
  <si>
    <t>SS MIDI DRESS MARIE KOMBI TULLE DSCTMAR:MISTY MEDIUM GREY:4-5:GRAPHIC:SS MIDI DRESS</t>
  </si>
  <si>
    <t>SS MIDI DRESS MARIE KOMBI TULLE DSCTMAR:MISTY MEDIUM GREY:5-6:GRAPHIC:SS MIDI DRESS</t>
  </si>
  <si>
    <t>SWMEMIN</t>
  </si>
  <si>
    <t>SWEATSHIRT CUT SEWN MINNIE SWMEMIN:PASTEL PINK:11-12:GRAPHIC:SWEATSHIRT</t>
  </si>
  <si>
    <t>SWEATSHIRT CUT SEWN MINNIE SWMEMIN:PASTEL PINK:9-10:GRAPHIC:SWEATSHIRT</t>
  </si>
  <si>
    <t>SWEATSHIRT CUT SEWN MINNIE SWMEMIN:PASTEL PINK:5-6:GRAPHIC:SWEATSHIRT</t>
  </si>
  <si>
    <t>SWEATSHIRT CUT SEWN MINNIE SWMEMIN:PASTEL PINK:7-8:GRAPHIC:SWEATSHIRT</t>
  </si>
  <si>
    <t>JGMEMIN</t>
  </si>
  <si>
    <t>JOGGER CARGO MINNIE JGMEMIN:PASTEL PINK:11-12:GRAPHIC:JOGGER</t>
  </si>
  <si>
    <t>JOGGER CARGO MINNIE JGMEMIN:PASTEL PINK:7-8:GRAPHIC:JOGGER</t>
  </si>
  <si>
    <t>JOGGER CARGO MINNIE JGMEMIN:PASTEL PINK:9-10:GRAPHIC:JOGGER</t>
  </si>
  <si>
    <t>JOGGER CARGO MINNIE JGMEMIN:PASTEL PINK:5-6:GRAPHIC:JOGGER</t>
  </si>
  <si>
    <t>DSLOT1</t>
  </si>
  <si>
    <t>SS MIDI DRESS PITA LOTSO DSLOT1:OFF WHITE:5-6:GRAPHIC:SS MIDI DRESS</t>
  </si>
  <si>
    <t>SS MIDI DRESS PITA LOTSO DSLOT1:OFF WHITE:7-8:GRAPHIC:SS MIDI DRESS</t>
  </si>
  <si>
    <t>SS MIDI DRESS PITA LOTSO DSLOT1:OFF WHITE:9-10:GRAPHIC:SS MIDI DRESS</t>
  </si>
  <si>
    <t>SS MIDI DRESS PITA LOTSO DSLOT1:OFF WHITE:11-12:GRAPHIC:SS MIDI DRESS</t>
  </si>
  <si>
    <t>DSLOT2</t>
  </si>
  <si>
    <t>SS MIDI DRESS KOTAK LOTSO DSLOT2:PASTEL PINK:5-6:CHECKS:SS MIDI DRESS</t>
  </si>
  <si>
    <t>SS MIDI DRESS KOTAK LOTSO DSLOT2:PASTEL PINK:7-8:CHECKS:SS MIDI DRESS</t>
  </si>
  <si>
    <t>SS MIDI DRESS KOTAK LOTSO DSLOT2:PASTEL PINK:9-10:CHECKS:SS MIDI DRESS</t>
  </si>
  <si>
    <t>SS MIDI DRESS KOTAK LOTSO DSLOT2:PASTEL PINK:11-12:CHECKS:SS MIDI DRESS</t>
  </si>
  <si>
    <t>UNBOY09</t>
  </si>
  <si>
    <t>BRIEF UW PACK OF 3 SPIDERMAN UNBOY09:ASSORTIVE COLOR:S:PRINT:BRIEF</t>
  </si>
  <si>
    <t>BRIEF UW PACK OF 3 SPIDERMAN UNBOY09:ASSORTIVE COLOR:M:PRINT:BRIEF</t>
  </si>
  <si>
    <t>BRIEF UW PACK OF 3 SPIDERMAN UNBOY09:ASSORTIVE COLOR:L:PRINT:BRIEF</t>
  </si>
  <si>
    <t>BRIEF UW PACK OF 3 SPIDERMAN UNBOY09:ASSORTIVE COLOR:XL:PRINT:BRIEF</t>
  </si>
  <si>
    <t>KKSPD250</t>
  </si>
  <si>
    <t>SOCKS KK SPIDERMAN KKSPD250:BLACK:14-16:GRAPHIC:SOCKS</t>
  </si>
  <si>
    <t>SOCKS KK SPIDERMAN KKSPD250:BLACK:18-20:GRAPHIC:SOCKS</t>
  </si>
  <si>
    <t>KKHDSPD</t>
  </si>
  <si>
    <t>SOCKS KKB FP SPIDERMAN HEAD AND SPIDER KKHDSPD:BLACK:14-16:PRINT:SOCKS</t>
  </si>
  <si>
    <t>SOCKS KKB FP SPIDERMAN HEAD AND SPIDER KKHDSPD:BLACK:18-20:PRINT:SOCKS</t>
  </si>
  <si>
    <t>KKSPDWEB</t>
  </si>
  <si>
    <t>SOCKS KKB FP SPIDERMAN SPIDER WEB KKSPDWEB:BLACK:14-16:PRINT:SOCKS</t>
  </si>
  <si>
    <t>SOCKS KKB FP SPIDERMAN SPIDER WEB KKSPDWEB:BLACK:18-20:PRINT:SOCKS</t>
  </si>
  <si>
    <t>KKSPD249</t>
  </si>
  <si>
    <t>SOCKS KK SPIDERMAN JARING KKSPD249:BLACK:18-20:GRAPHIC:SOCKS</t>
  </si>
  <si>
    <t>SOCKS KK SPIDERMAN JARING KKSPD249:BLACK:14-16:GRAPHIC:SOCKS</t>
  </si>
  <si>
    <t>SWSPD242</t>
  </si>
  <si>
    <t>TOP - BOTTOM SET LSLP FP MARVEL SPIDERMAN SWSPD242:PASTEL GREY:4:PRINT:TOP - BOTTOM SET</t>
  </si>
  <si>
    <t>TOP - BOTTOM SET LSLP FP MARVEL SPIDERMAN SWSPD242:PASTEL GREY:5:PRINT:TOP - BOTTOM SET</t>
  </si>
  <si>
    <t>TOP - BOTTOM SET LSLP FP MARVEL SPIDERMAN SWSPD242:PASTEL GREY:6:PRINT:TOP - BOTTOM SET</t>
  </si>
  <si>
    <t>TOP - BOTTOM SET LSLP FP MARVEL SPIDERMAN SWSPD242:PASTEL GREY:7:PRINT:TOP - BOTTOM SET</t>
  </si>
  <si>
    <t>TOP - BOTTOM SET LSLP FP MARVEL SPIDERMAN SWSPD242:PASTEL GREY:8:PRINT:TOP - BOTTOM SET</t>
  </si>
  <si>
    <t>TOP - BOTTOM SET LSLP FP MARVEL SPIDERMAN SWSPD242:PASTEL GREY:10:PRINT:TOP - BOTTOM SET</t>
  </si>
  <si>
    <t>TOP - BOTTOM SET LSLP FP MARVEL SPIDERMAN SWSPD242:PASTEL GREY:12:PRINT:TOP - BOTTOM SET</t>
  </si>
  <si>
    <t>TOP - BOTTOM SET LSLP FP MARVEL SPIDERMAN SWSPD242:PASTEL GREY:14:PRINT:TOP - BOTTOM SET</t>
  </si>
  <si>
    <t>KKMMLK</t>
  </si>
  <si>
    <t>SOCKS KKB SIMBA LION KING KKMMLK:PASTEL YELLOW:14-16:GRAPHIC:SOCKS</t>
  </si>
  <si>
    <t>SOCKS KKB SIMBA LION KING KKMMLK:PASTEL YELLOW:18-20:GRAPHIC:SOCKS</t>
  </si>
  <si>
    <t>KKLGMIN</t>
  </si>
  <si>
    <t>SOCKS KKG MINNIE LOGO ATAS KKLGMIN:PASTEL PINK:14-16:GRAPHIC:SOCKS</t>
  </si>
  <si>
    <t>SOCKS KKG MINNIE LOGO ATAS KKLGMIN:PASTEL PINK:18-20:GRAPHIC:SOCKS</t>
  </si>
  <si>
    <t>KKELFZA</t>
  </si>
  <si>
    <t>SOCKS KKG ELSA FROZEN 68060304FZA KKELFZA:PASTEL PURPLE:18-20:GRAPHIC:SOCKS</t>
  </si>
  <si>
    <t>SOCKS KKG ELSA FROZEN 68060304FZA KKELFZA:PASTEL PURPLE:14-16:GRAPHIC:SOCKS</t>
  </si>
  <si>
    <t>UNBOY04</t>
  </si>
  <si>
    <t>BRIEF UW PACK OF 3 MARVEL UNBOY04:ASSORTIVE COLOR:M:PRINT:BRIEF</t>
  </si>
  <si>
    <t>BRIEF UW PACK OF 3 MARVEL UNBOY04:ASSORTIVE COLOR:XL:PRINT:BRIEF</t>
  </si>
  <si>
    <t>BRIEF UW PACK OF 3 MARVEL UNBOY04:ASSORTIVE COLOR:S:PRINT:BRIEF</t>
  </si>
  <si>
    <t>BRIEF UW PACK OF 3 MARVEL UNBOY04:ASSORTIVE COLOR:L:PRINT:BRIEF</t>
  </si>
  <si>
    <t>SSTFKU</t>
  </si>
  <si>
    <t>SS T-SHIRT KUROMI R TOFU SSTFKU:PASTEL PURPLE:7-8:GRAPHIC:SS T-SHIRT</t>
  </si>
  <si>
    <t>SSTFCN</t>
  </si>
  <si>
    <t>SS T-SHIRT CINNAMOROLL R TOFU SSTFCN:PASTEL BLUE:9-10:GRAPHIC:SS T-SHIRT</t>
  </si>
  <si>
    <t>SS T-SHIRT KUROMI R TOFU SSTFKU:PASTEL PURPLE:9-10:GRAPHIC:SS T-SHIRT</t>
  </si>
  <si>
    <t>SS T-SHIRT CINNAMOROLL R TOFU SSTFCN:PASTEL BLUE:7-8:GRAPHIC:SS T-SHIRT</t>
  </si>
  <si>
    <t>SS T-SHIRT KUROMI R TOFU SSTFKU:PASTEL PURPLE:11-12:GRAPHIC:SS T-SHIRT</t>
  </si>
  <si>
    <t>SS T-SHIRT CINNAMOROLL R TOFU SSTFCN:PASTEL BLUE:11-12:GRAPHIC:SS T-SHIRT</t>
  </si>
  <si>
    <t>SS T-SHIRT CINNAMOROLL R TOFU SSTFCN:PASTEL BLUE:5-6:GRAPHIC:SS T-SHIRT</t>
  </si>
  <si>
    <t>SS T-SHIRT KUROMI R TOFU SSTFKU:PASTEL PURPLE:5-6:GRAPHIC:SS T-SHIRT</t>
  </si>
  <si>
    <t>JGKU2</t>
  </si>
  <si>
    <t>JOGGER KUROMI JGKU2:PASTEL PURPLE:3-4:GRAPHIC:JOGGER</t>
  </si>
  <si>
    <t>JOGGER KUROMI JGKU2:PASTEL PURPLE:7-8:GRAPHIC:JOGGER</t>
  </si>
  <si>
    <t>JOGGER KUROMI JGKU2:PASTEL PURPLE:5-6:GRAPHIC:JOGGER</t>
  </si>
  <si>
    <t>JOGGER KUROMI JGKU2:PASTEL PURPLE:4-5:GRAPHIC:JOGGER</t>
  </si>
  <si>
    <t>DSOCKU</t>
  </si>
  <si>
    <t>SS MIDI DRESS OVR WVN CHBRY KUROMI DSOCKU:MEDIUM DENIM:3-4:GRAPHIC:SS MIDI DRESS</t>
  </si>
  <si>
    <t>SS MIDI DRESS OVR WVN CHBRY KUROMI DSOCKU:MEDIUM DENIM:9-10:GRAPHIC:SS MIDI DRESS</t>
  </si>
  <si>
    <t>SS MIDI DRESS OVR WVN CHBRY KUROMI DSOCKU:MEDIUM DENIM:5-6:GRAPHIC:SS MIDI DRESS</t>
  </si>
  <si>
    <t>SS MIDI DRESS OVR WVN CHBRY KUROMI DSOCKU:MEDIUM DENIM:4-5:GRAPHIC:SS MIDI DRESS</t>
  </si>
  <si>
    <t>SS MIDI DRESS OVR WVN CHBRY KUROMI DSOCKU:MEDIUM DENIM:7-8:GRAPHIC:SS MIDI DRESS</t>
  </si>
  <si>
    <t>DSCRDOL</t>
  </si>
  <si>
    <t>SS MIDI DRESS CINNAMOROLL DOLL DSCRDOL:PASTEL BLUE:4-5:GRAPHIC:SS MIDI DRESS</t>
  </si>
  <si>
    <t>SS MIDI DRESS CINNAMOROLL DOLL DSCRDOL:PASTEL BLUE:5-6:GRAPHIC:SS MIDI DRESS</t>
  </si>
  <si>
    <t>SS MIDI DRESS CINNAMOROLL DOLL DSCRDOL:PASTEL BLUE:3-4:GRAPHIC:SS MIDI DRESS</t>
  </si>
  <si>
    <t>SS MIDI DRESS CINNAMOROLL DOLL DSCRDOL:PASTEL BLUE:7-8:GRAPHIC:SS MIDI DRESS</t>
  </si>
  <si>
    <t>DSTLMM</t>
  </si>
  <si>
    <t>SS MIDI DRESS MELODY W 3D FLOWER DSTLMM:PASTEL PINK:5-6:GRAPHIC:SS MIDI DRESS</t>
  </si>
  <si>
    <t>SS MIDI DRESS MELODY W 3D FLOWER DSTLMM:PASTEL PINK:3-4:GRAPHIC:SS MIDI DRESS</t>
  </si>
  <si>
    <t>SS MIDI DRESS MELODY W 3D FLOWER DSTLMM:PASTEL PINK:7-8:GRAPHIC:SS MIDI DRESS</t>
  </si>
  <si>
    <t>SS MIDI DRESS MELODY W 3D FLOWER DSTLMM:PASTEL PINK:4-5:GRAPHIC:SS MIDI DRESS</t>
  </si>
  <si>
    <t>SSRPMIN</t>
  </si>
  <si>
    <t>SS T-SHIRT KERAH ROMPI MINNIE SSRPMIN:PASTEL PINK:5-6:GRAPHIC:SS T-SHIRT</t>
  </si>
  <si>
    <t>SS T-SHIRT KERAH ROMPI MINNIE SSRPMIN:PASTEL PINK:7-8:GRAPHIC:SS T-SHIRT</t>
  </si>
  <si>
    <t>SS T-SHIRT KERAH ROMPI MINNIE SSRPMIN:PASTEL PINK:11-12:GRAPHIC:SS T-SHIRT</t>
  </si>
  <si>
    <t>SS T-SHIRT KERAH ROMPI MINNIE SSRPMIN:PASTEL PINK:9-10:GRAPHIC:SS T-SHIRT</t>
  </si>
  <si>
    <t>JKMEMIN</t>
  </si>
  <si>
    <t>JACKET VARSITY MINNIE JKMEMIN:PASTEL PINK:5-6:GRAPHIC:JACKET</t>
  </si>
  <si>
    <t>JACKET VARSITY MINNIE JKMEMIN:PASTEL PINK:9-10:GRAPHIC:JACKET</t>
  </si>
  <si>
    <t>JACKET VARSITY MINNIE JKMEMIN:PASTEL PINK:11-12:GRAPHIC:JACKET</t>
  </si>
  <si>
    <t>JACKET VARSITY MINNIE JKMEMIN:PASTEL PINK:7-8:GRAPHIC:JACKET</t>
  </si>
  <si>
    <t>DSLBLMIN</t>
  </si>
  <si>
    <t>SS MIDI DRESS LENGAN BALON MINNIE DSLBLMIN:PASTEL PINK:4-5:PRINT:SS MIDI DRESS</t>
  </si>
  <si>
    <t>SS MIDI DRESS LENGAN BALON MINNIE DSLBLMIN:PASTEL PINK:3-4:PRINT:SS MIDI DRESS</t>
  </si>
  <si>
    <t>SS MIDI DRESS LENGAN BALON MINNIE DSLBLMIN:PASTEL PINK:5-6:PRINT:SS MIDI DRESS</t>
  </si>
  <si>
    <t>SS MIDI DRESS LENGAN BALON MINNIE DSLBLMIN:PASTEL PINK:7-8:PRINT:SS MIDI DRESS</t>
  </si>
  <si>
    <t>DSMARKT</t>
  </si>
  <si>
    <t>SS MIDI DRESS MARIE KOMBI KOTAK DSMARKT:PASTEL PINK:3-4:GRAPHIC:SS MIDI DRESS</t>
  </si>
  <si>
    <t>SS MIDI DRESS MARIE KOMBI KOTAK DSMARKT:PASTEL PINK:5-6:GRAPHIC:SS MIDI DRESS</t>
  </si>
  <si>
    <t>SS MIDI DRESS MARIE KOMBI KOTAK DSMARKT:PASTEL PINK:7-8:GRAPHIC:SS MIDI DRESS</t>
  </si>
  <si>
    <t>SS MIDI DRESS MARIE KOMBI KOTAK DSMARKT:PASTEL PINK:4-5:GRAPHIC:SS MIDI DRESS</t>
  </si>
  <si>
    <t>DLMMIN</t>
  </si>
  <si>
    <t>LS MIDI DRESS KERAH MINNIE DLMMIN:PASTEL PINK:9-10:GRAPHIC:LS MIDI DRESS</t>
  </si>
  <si>
    <t>LS MIDI DRESS KERAH MINNIE DLMMIN:PASTEL PINK:7-8:GRAPHIC:LS MIDI DRESS</t>
  </si>
  <si>
    <t>LS MIDI DRESS KERAH MINNIE DLMMIN:PASTEL PINK:5-6:GRAPHIC:LS MIDI DRESS</t>
  </si>
  <si>
    <t>LS MIDI DRESS KERAH MINNIE DLMMIN:PASTEL PINK:11-12:GRAPHIC:LS MIDI DRESS</t>
  </si>
  <si>
    <t>2019 ALL D95 DISNEY BABY</t>
  </si>
  <si>
    <t>KKMM2409</t>
  </si>
  <si>
    <t>SOCKS KKB SPIDERMAN KKMM2409:PASTEL BLUE:14-16:GRAPHIC:SOCKS</t>
  </si>
  <si>
    <t>KKMMIRM</t>
  </si>
  <si>
    <t>SOCKS KK IRON MAN KKMMIRM:PASTEL BLUE:14-16:GRAPHIC:SOCKS</t>
  </si>
  <si>
    <t>SOCKS KKB SPIDERMAN KKMM2409:PASTEL BLUE:18-20:GRAPHIC:SOCKS</t>
  </si>
  <si>
    <t>SOCKS KK IRON MAN KKMMIRM:PASTEL BLUE:18-20:GRAPHIC:SOCKS</t>
  </si>
  <si>
    <t>SW4FZA</t>
  </si>
  <si>
    <t>TOP - BOTTOM SET LSLP FROZEN MAGIC OF NATURE SW4FZA:PASTEL BLUE:4:PRINT:TOP - BOTTOM SET</t>
  </si>
  <si>
    <t>TOP - BOTTOM SET LSLP FROZEN MAGIC OF NATURE SW4FZA:PASTEL BLUE:7:PRINT:TOP - BOTTOM SET</t>
  </si>
  <si>
    <t>TOP - BOTTOM SET LSLP FROZEN MAGIC OF NATURE SW4FZA:PASTEL BLUE:14:PRINT:TOP - BOTTOM SET</t>
  </si>
  <si>
    <t>TOP - BOTTOM SET LSLP FROZEN MAGIC OF NATURE SW4FZA:PASTEL BLUE:10:PRINT:TOP - BOTTOM SET</t>
  </si>
  <si>
    <t>TOP - BOTTOM SET LSLP FROZEN MAGIC OF NATURE SW4FZA:PASTEL BLUE:12:PRINT:TOP - BOTTOM SET</t>
  </si>
  <si>
    <t>TOP - BOTTOM SET LSLP FROZEN MAGIC OF NATURE SW4FZA:PASTEL BLUE:8:PRINT:TOP - BOTTOM SET</t>
  </si>
  <si>
    <t>TOP - BOTTOM SET LSLP FROZEN MAGIC OF NATURE SW4FZA:PASTEL BLUE:5:PRINT:TOP - BOTTOM SET</t>
  </si>
  <si>
    <t>TOP - BOTTOM SET LSLP FROZEN MAGIC OF NATURE SW4FZA:PASTEL BLUE:6:PRINT:TOP - BOTTOM SET</t>
  </si>
  <si>
    <t>P3USPDE</t>
  </si>
  <si>
    <t>BRIEF PACK OF 3 UW SPIDERMAN EYES P3USPDE:ASSORTIVE COLOR:L:PRINT:BRIEF</t>
  </si>
  <si>
    <t>BRIEF PACK OF 3 UW SPIDERMAN EYES P3USPDE:ASSORTIVE COLOR:XL:PRINT:BRIEF</t>
  </si>
  <si>
    <t>BRIEF PACK OF 3 UW SPIDERMAN EYES P3USPDE:ASSORTIVE COLOR:M:PRINT:BRIEF</t>
  </si>
  <si>
    <t>BRIEF PACK OF 3 UW SPIDERMAN EYES P3USPDE:ASSORTIVE COLOR:S:PRINT:BRIEF</t>
  </si>
  <si>
    <t>SKKU</t>
  </si>
  <si>
    <t>SKORT PARASUT KUROMI SKKU:BLACK:3-4:GRAPHIC:SKORT</t>
  </si>
  <si>
    <t>SKORT PARASUT KUROMI SKKU:BLACK:5-6:GRAPHIC:SKORT</t>
  </si>
  <si>
    <t>SKORT PARASUT KUROMI SKKU:BLACK:7-8:GRAPHIC:SKORT</t>
  </si>
  <si>
    <t>SKORT PARASUT KUROMI SKKU:BLACK:4-5:GRAPHIC:SKORT</t>
  </si>
  <si>
    <t>DSPTMM</t>
  </si>
  <si>
    <t>SS MIDI DRESS MY MELODY DSPTMM:PASTEL PINK:3-4:GRAPHIC:SS MIDI DRESS</t>
  </si>
  <si>
    <t>SS MIDI DRESS MY MELODY DSPTMM:PASTEL PINK:7-8:GRAPHIC:SS MIDI DRESS</t>
  </si>
  <si>
    <t>SS MIDI DRESS MY MELODY DSPTMM:PASTEL PINK:5-6:GRAPHIC:SS MIDI DRESS</t>
  </si>
  <si>
    <t>SS MIDI DRESS MY MELODY DSPTMM:PASTEL PINK:4-5:GRAPHIC:SS MIDI DRESS</t>
  </si>
  <si>
    <t>DSOARMM2</t>
  </si>
  <si>
    <t>SS MIDI DRESS OVERALL MY MELODY DSOARMM2:PASTEL PINK:5-6:GRAPHIC:SS MIDI DRESS</t>
  </si>
  <si>
    <t>SS MIDI DRESS OVERALL MY MELODY DSOARMM2:PASTEL PINK:4-5:GRAPHIC:SS MIDI DRESS</t>
  </si>
  <si>
    <t>SS MIDI DRESS OVERALL MY MELODY DSOARMM2:PASTEL PINK:3-4:GRAPHIC:SS MIDI DRESS</t>
  </si>
  <si>
    <t>SS MIDI DRESS OVERALL MY MELODY DSOARMM2:PASTEL PINK:7-8:GRAPHIC:SS MIDI DRESS</t>
  </si>
  <si>
    <t>DSOARMM</t>
  </si>
  <si>
    <t>SS MIDI DRESS OVERALL MY MELODY DSOARMM:PASTEL GREEN:3-4:GRAPHIC:SS MIDI DRESS</t>
  </si>
  <si>
    <t>SS MIDI DRESS OVERALL MY MELODY DSOARMM:PASTEL GREEN:5-6:GRAPHIC:SS MIDI DRESS</t>
  </si>
  <si>
    <t>SS MIDI DRESS OVERALL MY MELODY DSOARMM:PASTEL GREEN:4-5:GRAPHIC:SS MIDI DRESS</t>
  </si>
  <si>
    <t>SS MIDI DRESS OVERALL MY MELODY DSOARMM:PASTEL GREEN:7-8:GRAPHIC:SS MIDI DRESS</t>
  </si>
  <si>
    <t>DOWMM</t>
  </si>
  <si>
    <t>SS MIDI DRESS OVERALL KOMBI WVN MY MELODY DOWMM:DUSTY PINK:9-10:GRAPHIC:SS MIDI DRESS</t>
  </si>
  <si>
    <t>SS MIDI DRESS OVERALL KOMBI WVN MY MELODY DOWMM:DUSTY PINK:11-12:GRAPHIC:SS MIDI DRESS</t>
  </si>
  <si>
    <t>SS MIDI DRESS OVERALL KOMBI WVN MY MELODY DOWMM:DUSTY PINK:7-8:GRAPHIC:SS MIDI DRESS</t>
  </si>
  <si>
    <t>SS MIDI DRESS OVERALL KOMBI WVN MY MELODY DOWMM:DUSTY PINK:5-6:GRAPHIC:SS MIDI DRESS</t>
  </si>
  <si>
    <t>DL25AMM</t>
  </si>
  <si>
    <t>LS MIDI DRESS LEB MY MELODY DL25AMM:PASTEL PINK:9-10:GRAPHIC:LS MIDI DRESS</t>
  </si>
  <si>
    <t>LS MIDI DRESS LEB MY MELODY DL25AMM:PASTEL PINK:11-12:GRAPHIC:LS MIDI DRESS</t>
  </si>
  <si>
    <t>LS MIDI DRESS LEB MY MELODY DL25AMM:PASTEL PINK:5-6:GRAPHIC:LS MIDI DRESS</t>
  </si>
  <si>
    <t>LS MIDI DRESS LEB MY MELODY DL25AMM:PASTEL PINK:7-8:GRAPHIC:LS MIDI DRESS</t>
  </si>
  <si>
    <t>SKORT PARASUT KUROMI SKKU:BLACK:9-10:GRAPHIC:SKORT</t>
  </si>
  <si>
    <t>SKORT PARASUT KUROMI SKKU:BLACK:11-12:GRAPHIC:SKORT</t>
  </si>
  <si>
    <t>SSGMLP</t>
  </si>
  <si>
    <t>SS T-SHIRT MY LITTLE PONY KERUT PGG SSGMLP:PASTEL PINK:7-8:GRAPHIC:SS T-SHIRT</t>
  </si>
  <si>
    <t>SS T-SHIRT MY LITTLE PONY KERUT PGG SSGMLP:PASTEL PINK:3-4:GRAPHIC:SS T-SHIRT</t>
  </si>
  <si>
    <t>SS T-SHIRT MY LITTLE PONY KERUT PGG SSGMLP:PASTEL PINK:4-5:GRAPHIC:SS T-SHIRT</t>
  </si>
  <si>
    <t>SS T-SHIRT MY LITTLE PONY KERUT PGG SSGMLP:PASTEL PINK:5-6:GRAPHIC:SS T-SHIRT</t>
  </si>
  <si>
    <t>TSMLP1</t>
  </si>
  <si>
    <t>SS T-SHIRT RUFFLE MY LITTLE PONY TSMLP1:PASTEL PURPLE:5-6:GRAPHIC:SS T-SHIRT</t>
  </si>
  <si>
    <t>SS T-SHIRT RUFFLE MY LITTLE PONY TSMLP1:PASTEL PURPLE:7-8:GRAPHIC:SS T-SHIRT</t>
  </si>
  <si>
    <t>SS T-SHIRT RUFFLE MY LITTLE PONY TSMLP1:PASTEL PURPLE:4-5:GRAPHIC:SS T-SHIRT</t>
  </si>
  <si>
    <t>SS T-SHIRT RUFFLE MY LITTLE PONY TSMLP1:PASTEL PURPLE:3-4:GRAPHIC:SS T-SHIRT</t>
  </si>
  <si>
    <t>TSMLP2</t>
  </si>
  <si>
    <t>SS T-SHIRT OVERSIZED MY LITTLE PONY TSMLP2:FUSCHIA:4-5:GRAPHIC:SS T-SHIRT</t>
  </si>
  <si>
    <t>SS T-SHIRT OVERSIZED MY LITTLE PONY TSMLP2:FUSCHIA:3-4:GRAPHIC:SS T-SHIRT</t>
  </si>
  <si>
    <t>SS T-SHIRT OVERSIZED MY LITTLE PONY TSMLP2:FUSCHIA:5-6:GRAPHIC:SS T-SHIRT</t>
  </si>
  <si>
    <t>SS T-SHIRT OVERSIZED MY LITTLE PONY TSMLP2:FUSCHIA:7-8:GRAPHIC:SS T-SHIRT</t>
  </si>
  <si>
    <t>DSCMM</t>
  </si>
  <si>
    <t>SS MIDI DRESS MY MELODY OVR CLN KOMBI WVN DSCMM:PASTEL GREEN:3-4:GRAPHIC:SS MIDI DRESS</t>
  </si>
  <si>
    <t>SS MIDI DRESS MY MELODY OVR CLN KOMBI WVN DSCMM:PASTEL GREEN:7-8:GRAPHIC:SS MIDI DRESS</t>
  </si>
  <si>
    <t>SS MIDI DRESS MY MELODY OVR CLN KOMBI WVN DSCMM:PASTEL GREEN:4-5:GRAPHIC:SS MIDI DRESS</t>
  </si>
  <si>
    <t>SS MIDI DRESS MY MELODY OVR CLN KOMBI WVN DSCMM:PASTEL GREEN:5-6:GRAPHIC:SS MIDI DRESS</t>
  </si>
  <si>
    <t>DOLPMM</t>
  </si>
  <si>
    <t>SS MIDI DRESS OVERALL LIPIT KOMBI WVN MY MELODY DOLPMM:PASTEL ORANGE:7-8:GRAPHIC:SS MIDI DRESS</t>
  </si>
  <si>
    <t>SS MIDI DRESS OVERALL LIPIT KOMBI WVN MY MELODY DOLPMM:PASTEL ORANGE:5-6:GRAPHIC:SS MIDI DRESS</t>
  </si>
  <si>
    <t>SS MIDI DRESS OVERALL LIPIT KOMBI WVN MY MELODY DOLPMM:PASTEL ORANGE:4-5:GRAPHIC:SS MIDI DRESS</t>
  </si>
  <si>
    <t>SS MIDI DRESS OVERALL LIPIT KOMBI WVN MY MELODY DOLPMM:PASTEL ORANGE:3-4:GRAPHIC:SS MIDI DRESS</t>
  </si>
  <si>
    <t>LPWVMIN</t>
  </si>
  <si>
    <t>LONG PANTS WOVEN MINNIE LPWVMIN:MEDIUM DENIM:7-8:GRAPHIC:LONG PANTS</t>
  </si>
  <si>
    <t>LONG PANTS WOVEN MINNIE LPWVMIN:MEDIUM DENIM:5-6:GRAPHIC:LONG PANTS</t>
  </si>
  <si>
    <t>LONG PANTS WOVEN MINNIE LPWVMIN:MEDIUM DENIM:9-10:GRAPHIC:LONG PANTS</t>
  </si>
  <si>
    <t>LONG PANTS WOVEN MINNIE LPWVMIN:MEDIUM DENIM:11-12:GRAPHIC:LONG PANTS</t>
  </si>
  <si>
    <t>SSFZARIB</t>
  </si>
  <si>
    <t>SS T-SHIRT RIB FROZEN SSFZARIB:PASTEL PURPLE:11-12:GRAPHIC:SS T-SHIRT</t>
  </si>
  <si>
    <t>SS T-SHIRT RIB FROZEN SSFZARIB:PASTEL PURPLE:5-6:GRAPHIC:SS T-SHIRT</t>
  </si>
  <si>
    <t>SS T-SHIRT RIB FROZEN SSFZARIB:PASTEL PURPLE:9-10:GRAPHIC:SS T-SHIRT</t>
  </si>
  <si>
    <t>SS T-SHIRT RIB FROZEN SSFZARIB:PASTEL PURPLE:7-8:GRAPHIC:SS T-SHIRT</t>
  </si>
  <si>
    <t>LSL25MIN</t>
  </si>
  <si>
    <t>LS SHIRT WOVEN MINNIE LSL25MIN:PASTEL GREEN:9-10:GRAPHIC:LS SHIRT</t>
  </si>
  <si>
    <t>LS SHIRT WOVEN MINNIE LSL25MIN:PASTEL GREEN:5-6:GRAPHIC:LS SHIRT</t>
  </si>
  <si>
    <t>LS SHIRT WOVEN MINNIE LSL25MIN:PASTEL GREEN:11-12:GRAPHIC:LS SHIRT</t>
  </si>
  <si>
    <t>LS SHIRT WOVEN MINNIE LSL25MIN:PASTEL GREEN:7-8:GRAPHIC:LS SHIRT</t>
  </si>
  <si>
    <t>SWKRPRN</t>
  </si>
  <si>
    <t>SWEATSHIRT PRINCESS KERAH RENDA SWKRPRN:PASTEL PINK:4-5:GRAPHIC:SWEATSHIRT</t>
  </si>
  <si>
    <t>SWEATSHIRT PRINCESS KERAH RENDA SWKRPRN:PASTEL PINK:7-8:GRAPHIC:SWEATSHIRT</t>
  </si>
  <si>
    <t>SWEATSHIRT PRINCESS KERAH RENDA SWKRPRN:PASTEL PINK:3-4:GRAPHIC:SWEATSHIRT</t>
  </si>
  <si>
    <t>SWEATSHIRT PRINCESS KERAH RENDA SWKRPRN:PASTEL PINK:5-6:GRAPHIC:SWEATSHIRT</t>
  </si>
  <si>
    <t>TSBGPRN</t>
  </si>
  <si>
    <t>SS T-SHIRT PRINCESS BLOOMING GARDEN TSBGPRN:PASTEL PINK:5-6:GRAPHIC:SS T-SHIRT</t>
  </si>
  <si>
    <t>SS T-SHIRT PRINCESS BLOOMING GARDEN TSBGPRN:PASTEL PINK:3-4:GRAPHIC:SS T-SHIRT</t>
  </si>
  <si>
    <t>SS T-SHIRT PRINCESS BLOOMING GARDEN TSBGPRN:PASTEL PINK:4-5:GRAPHIC:SS T-SHIRT</t>
  </si>
  <si>
    <t>SS T-SHIRT PRINCESS BLOOMING GARDEN TSBGPRN:PASTEL PINK:7-8:GRAPHIC:SS T-SHIRT</t>
  </si>
  <si>
    <t>SSMINCC</t>
  </si>
  <si>
    <t>SS T-SHIRT TOP MINNIE COASTAL COTTAGE SSMINCC:PASTEL BLUE:7-8:GRAPHIC:SS T-SHIRT</t>
  </si>
  <si>
    <t>SS T-SHIRT TOP MINNIE COASTAL COTTAGE SSMINCC:PASTEL BLUE:5-6:GRAPHIC:SS T-SHIRT</t>
  </si>
  <si>
    <t>SS T-SHIRT TOP MINNIE COASTAL COTTAGE SSMINCC:PASTEL BLUE:9-10:GRAPHIC:SS T-SHIRT</t>
  </si>
  <si>
    <t>SS T-SHIRT TOP MINNIE COASTAL COTTAGE SSMINCC:PASTEL BLUE:4-5:GRAPHIC:SS T-SHIRT</t>
  </si>
  <si>
    <t>LSL25FZA</t>
  </si>
  <si>
    <t>LS SHIRT WOVEN FROZEN LSL25FZA:PASTEL BLUE:5-6:GRAPHIC:LS SHIRT</t>
  </si>
  <si>
    <t>LS SHIRT WOVEN FROZEN LSL25FZA:PASTEL BLUE:11-12:GRAPHIC:LS SHIRT</t>
  </si>
  <si>
    <t>LS SHIRT WOVEN FROZEN LSL25FZA:PASTEL BLUE:7-8:GRAPHIC:LS SHIRT</t>
  </si>
  <si>
    <t>LS SHIRT WOVEN FROZEN LSL25FZA:PASTEL BLUE:9-10:GRAPHIC:LS SHIRT</t>
  </si>
  <si>
    <t>LSWFPRN</t>
  </si>
  <si>
    <t>LS T-SHIRT WAFEL PRINCESS LSWFPRN:PASTEL PINK:11-12:GRAPHIC:LS T-SHIRT</t>
  </si>
  <si>
    <t>LS T-SHIRT WAFEL PRINCESS LSWFPRN:PASTEL PINK:7-8:GRAPHIC:LS T-SHIRT</t>
  </si>
  <si>
    <t>LS T-SHIRT WAFEL PRINCESS LSWFPRN:PASTEL PINK:5-6:GRAPHIC:LS T-SHIRT</t>
  </si>
  <si>
    <t>LS T-SHIRT WAFEL PRINCESS LSWFPRN:PASTEL PINK:9-10:GRAPHIC:LS T-SHIRT</t>
  </si>
  <si>
    <t>SWPITAMIN</t>
  </si>
  <si>
    <t>SWEATSHIRT MINNIE PITA TULLE SWPITAMIN:PASTEL PINK:9-10:GRAPHIC:SWEATSHIRT</t>
  </si>
  <si>
    <t>SWEATSHIRT MINNIE PITA TULLE SWPITAMIN:PASTEL PINK:5-6:GRAPHIC:SWEATSHIRT</t>
  </si>
  <si>
    <t>SWEATSHIRT MINNIE PITA TULLE SWPITAMIN:PASTEL PINK:7-8:GRAPHIC:SWEATSHIRT</t>
  </si>
  <si>
    <t>SWEATSHIRT MINNIE PITA TULLE SWPITAMIN:PASTEL PINK:11-12:GRAPHIC:SWEATSHIRT</t>
  </si>
  <si>
    <t>DSBPRN</t>
  </si>
  <si>
    <t>SS MIDI DRESS BORDER PRINCESS DSBPRN:PASTEL ORANGE:7-8:GRAPHIC:SS MIDI DRESS</t>
  </si>
  <si>
    <t>SS MIDI DRESS BORDER PRINCESS DSBPRN:PASTEL ORANGE:4-5:GRAPHIC:SS MIDI DRESS</t>
  </si>
  <si>
    <t>SS MIDI DRESS BORDER PRINCESS DSBPRN:PASTEL ORANGE:3-4:GRAPHIC:SS MIDI DRESS</t>
  </si>
  <si>
    <t>SS MIDI DRESS BORDER PRINCESS DSBPRN:PASTEL ORANGE:5-6:GRAPHIC:SS MIDI DRESS</t>
  </si>
  <si>
    <t>DSBRMAR</t>
  </si>
  <si>
    <t>SS MIDI DRESS BORDER MARIE DSBRMAR:PASTEL PINK:7-8:GRAPHIC:SS MIDI DRESS</t>
  </si>
  <si>
    <t>SS MIDI DRESS BORDER MARIE DSBRMAR:PASTEL PINK:3-4:GRAPHIC:SS MIDI DRESS</t>
  </si>
  <si>
    <t>SS MIDI DRESS BORDER MARIE DSBRMAR:PASTEL PINK:5-6:GRAPHIC:SS MIDI DRESS</t>
  </si>
  <si>
    <t>SS MIDI DRESS BORDER MARIE DSBRMAR:PASTEL PINK:4-5:GRAPHIC:SS MIDI DRESS</t>
  </si>
  <si>
    <t>DLOVWFZA2</t>
  </si>
  <si>
    <t>LS MIDI DRESS WOVEN FROZEN DLOVWFZA2:PASTEL BLUE:7-8:GRAPHIC:LS MIDI DRESS</t>
  </si>
  <si>
    <t>LS MIDI DRESS WOVEN FROZEN DLOVWFZA2:PASTEL BLUE:4-5:GRAPHIC:LS MIDI DRESS</t>
  </si>
  <si>
    <t>LS MIDI DRESS WOVEN FROZEN DLOVWFZA2:PASTEL BLUE:9-10:GRAPHIC:LS MIDI DRESS</t>
  </si>
  <si>
    <t>LS MIDI DRESS WOVEN FROZEN DLOVWFZA2:PASTEL BLUE:5-6:GRAPHIC:LS MIDI DRESS</t>
  </si>
  <si>
    <t>DLCCMIN</t>
  </si>
  <si>
    <t>LS MIDI DRESS WOVEN MINNIE COSTAL COTTAGE DLCCMIN:PASTEL BLUE:7-8:GRAPHIC:LS MIDI DRESS</t>
  </si>
  <si>
    <t>LS MIDI DRESS WOVEN MINNIE COSTAL COTTAGE DLCCMIN:PASTEL BLUE:9-10:GRAPHIC:LS MIDI DRESS</t>
  </si>
  <si>
    <t>LS MIDI DRESS WOVEN MINNIE COSTAL COTTAGE DLCCMIN:PASTEL BLUE:4-5:GRAPHIC:LS MIDI DRESS</t>
  </si>
  <si>
    <t>LS MIDI DRESS WOVEN MINNIE COSTAL COTTAGE DLCCMIN:PASTEL BLUE:5-6:GRAPHIC:LS MIDI DRESS</t>
  </si>
  <si>
    <t>DLFLMAR</t>
  </si>
  <si>
    <t>LS MIDI DRESS WOVEN MARIE FLOWER DLFLMAR:PASTEL ORANGE:5-6:PRINT:LS MIDI DRESS</t>
  </si>
  <si>
    <t>LS MIDI DRESS WOVEN MARIE FLOWER DLFLMAR:PASTEL ORANGE:9-10:PRINT:LS MIDI DRESS</t>
  </si>
  <si>
    <t>LS MIDI DRESS WOVEN MARIE FLOWER DLFLMAR:PASTEL ORANGE:7-8:PRINT:LS MIDI DRESS</t>
  </si>
  <si>
    <t>LS MIDI DRESS WOVEN MARIE FLOWER DLFLMAR:PASTEL ORANGE:4-5:PRINT:LS MIDI DRESS</t>
  </si>
  <si>
    <t>P325MAR</t>
  </si>
  <si>
    <t>BRIEF PACK OF 3 UW MARIE HELLO HEART BREAKER P325MAR:ASSORTIVE COLOR:S:PRINT:BRIEF</t>
  </si>
  <si>
    <t>BRIEF PACK OF 3 UW MARIE HELLO HEART BREAKER P325MAR:ASSORTIVE COLOR:XL:PRINT:BRIEF</t>
  </si>
  <si>
    <t>BRIEF PACK OF 3 UW MARIE HELLO HEART BREAKER P325MAR:ASSORTIVE COLOR:L:PRINT:BRIEF</t>
  </si>
  <si>
    <t>BRIEF PACK OF 3 UW MARIE HELLO HEART BREAKER P325MAR:ASSORTIVE COLOR:M:PRINT:BRIEF</t>
  </si>
  <si>
    <t>P3252FZA</t>
  </si>
  <si>
    <t>BRIEF PACK OF 3 UW FROZEN N FRIENDS P3252FZA:ASSORTIVE COLOR:L:PRINT:BRIEF</t>
  </si>
  <si>
    <t>BRIEF PACK OF 3 UW FROZEN N FRIENDS P3252FZA:ASSORTIVE COLOR:XL:PRINT:BRIEF</t>
  </si>
  <si>
    <t>BRIEF PACK OF 3 UW FROZEN N FRIENDS P3252FZA:ASSORTIVE COLOR:S:PRINT:BRIEF</t>
  </si>
  <si>
    <t>BRIEF PACK OF 3 UW FROZEN N FRIENDS P3252FZA:ASSORTIVE COLOR:M:PRINT:BRIEF</t>
  </si>
  <si>
    <t>P325MIN</t>
  </si>
  <si>
    <t>BRIEF PACK OF 3 UW MINNIE FLOWER P325MIN:ASSORTIVE COLOR:XL:PRINT:BRIEF</t>
  </si>
  <si>
    <t>BRIEF PACK OF 3 UW MINNIE FLOWER P325MIN:ASSORTIVE COLOR:S:PRINT:BRIEF</t>
  </si>
  <si>
    <t>BRIEF PACK OF 3 UW MINNIE FLOWER P325MIN:ASSORTIVE COLOR:L:PRINT:BRIEF</t>
  </si>
  <si>
    <t>BRIEF PACK OF 3 UW MINNIE FLOWER P325MIN:ASSORTIVE COLOR:M:PRINT:BRIEF</t>
  </si>
  <si>
    <t>KKSUIMAR2</t>
  </si>
  <si>
    <t>SOCKS KKG MARIE KKSUIMAR2:PASTEL PINK:14-16:PRINT:SOCKS</t>
  </si>
  <si>
    <t>SOCKS KKG MARIE KKSUIMAR2:PASTEL PINK:18-20:PRINT:SOCKS</t>
  </si>
  <si>
    <t>KKSUIMAR3</t>
  </si>
  <si>
    <t>SOCKS KKG MARIE STRIPE KKSUIMAR3:PASTEL PINK:14-16:PRINT:SOCKS</t>
  </si>
  <si>
    <t>SOCKS KKG MARIE STRIPE KKSUIMAR3:PASTEL PINK:18-20:PRINT:SOCKS</t>
  </si>
  <si>
    <t>KK252SPD</t>
  </si>
  <si>
    <t>SOCKS KKB SPIDERMAN KK252SPD:PASTEL GREY:14-16:PRINT:SOCKS</t>
  </si>
  <si>
    <t>SOCKS KKB SPIDERMAN KK252SPD:PASTEL GREY:18-20:PRINT:SOCKS</t>
  </si>
  <si>
    <t>KK256SPD</t>
  </si>
  <si>
    <t>SOCKS KKB SPIDERMAN KK256SPD:BLACK:18-20:PRINT:SOCKS</t>
  </si>
  <si>
    <t>SOCKS KKB SPIDERMAN KK256SPD:BLACK:14-16:PRINT:SOCKS</t>
  </si>
  <si>
    <t>KK251SPD</t>
  </si>
  <si>
    <t>SOCKS KKB SPIDERMAN KK251SPD:NAVY BLUE:14-16:PRINT:SOCKS</t>
  </si>
  <si>
    <t>SOCKS KKB SPIDERMAN KK251SPD:NAVY BLUE:18-20:PRINT:SOCKS</t>
  </si>
  <si>
    <t>KK252CA</t>
  </si>
  <si>
    <t>SOCKS KKB CAPTAIN AMERICA LOGO KK252CA:WHITE:18-20:PRINT:SOCKS</t>
  </si>
  <si>
    <t>SOCKS KKB CAPTAIN AMERICA LOGO KK252CA:WHITE:14-16:PRINT:SOCKS</t>
  </si>
  <si>
    <t>KK253SPD</t>
  </si>
  <si>
    <t>SOCKS KKB SPIDERMAN KK253SPD:BLACK:14-16:PRINT:SOCKS</t>
  </si>
  <si>
    <t>SOCKS KKB SPIDERMAN KK253SPD:BLACK:18-20:PRINT:SOCKS</t>
  </si>
  <si>
    <t>SWSIMBA2</t>
  </si>
  <si>
    <t>TOP - BOTTOM SET LSLP SIMBA WHAT UP CUB SWSIMBA2:KHAKI:4:GRAPHIC:TOP - BOTTOM SET</t>
  </si>
  <si>
    <t>TOP - BOTTOM SET LSLP SIMBA WHAT UP CUB SWSIMBA2:KHAKI:7:GRAPHIC:TOP - BOTTOM SET</t>
  </si>
  <si>
    <t>TOP - BOTTOM SET LSLP SIMBA WHAT UP CUB SWSIMBA2:KHAKI:12:GRAPHIC:TOP - BOTTOM SET</t>
  </si>
  <si>
    <t>TOP - BOTTOM SET LSLP SIMBA WHAT UP CUB SWSIMBA2:KHAKI:6:GRAPHIC:TOP - BOTTOM SET</t>
  </si>
  <si>
    <t>TOP - BOTTOM SET LSLP SIMBA WHAT UP CUB SWSIMBA2:KHAKI:14:GRAPHIC:TOP - BOTTOM SET</t>
  </si>
  <si>
    <t>TOP - BOTTOM SET LSLP SIMBA WHAT UP CUB SWSIMBA2:KHAKI:5:GRAPHIC:TOP - BOTTOM SET</t>
  </si>
  <si>
    <t>TOP - BOTTOM SET LSLP SIMBA WHAT UP CUB SWSIMBA2:KHAKI:10:GRAPHIC:TOP - BOTTOM SET</t>
  </si>
  <si>
    <t>TOP - BOTTOM SET LSLP SIMBA WHAT UP CUB SWSIMBA2:KHAKI:8:GRAPHIC:TOP - BOTTOM SET</t>
  </si>
  <si>
    <t>MP3DR10</t>
  </si>
  <si>
    <t>BRIEF CD PACK OF 3 SPIDERMAN MP3DR10:ASSORTIVE COLOR:S:PRINT:BRIEF</t>
  </si>
  <si>
    <t>BRIEF CD PACK OF 3 SPIDERMAN MP3DR10:ASSORTIVE COLOR:L:PRINT:BRIEF</t>
  </si>
  <si>
    <t>BRIEF CD PACK OF 3 SPIDERMAN MP3DR10:ASSORTIVE COLOR:M:PRINT:BRIEF</t>
  </si>
  <si>
    <t>BRIEF CD PACK OF 3 SPIDERMAN MP3DR10:ASSORTIVE COLOR:XL:PRINT:BRIEF</t>
  </si>
  <si>
    <t>MP3DRO8</t>
  </si>
  <si>
    <t>BRIEF CD PACK OF 3 CAPTAIN AMERICA MP3DRO8:ASSORTIVE COLOR:XL:PRINT:BRIEF</t>
  </si>
  <si>
    <t>BRIEF CD PACK OF 3 CAPTAIN AMERICA MP3DRO8:ASSORTIVE COLOR:L:PRINT:BRIEF</t>
  </si>
  <si>
    <t>BRIEF CD PACK OF 3 CAPTAIN AMERICA MP3DRO8:ASSORTIVE COLOR:M:PRINT:BRIEF</t>
  </si>
  <si>
    <t>BRIEF CD PACK OF 3 CAPTAIN AMERICA MP3DRO8:ASSORTIVE COLOR:S:PRINT:BRIEF</t>
  </si>
  <si>
    <t>KKSUIDON</t>
  </si>
  <si>
    <t>SOCKS KKB DONALD DUCK KKSUIDON:PASTEL YELLOW:14-16:PRINT:SOCKS</t>
  </si>
  <si>
    <t>SOCKS KKB DONALD DUCK KKSUIDON:PASTEL YELLOW:18-20:PRINT:SOCKS</t>
  </si>
  <si>
    <t>KKSUIDSY</t>
  </si>
  <si>
    <t>SOCKS KKG DAISY DUCK KKSUIDSY:PASTEL PINK:14-16:PRINT:SOCKS</t>
  </si>
  <si>
    <t>SOCKS KKG DAISY DUCK KKSUIDSY:PASTEL PINK:18-20:PRINT:SOCKS</t>
  </si>
  <si>
    <t>KK251CA</t>
  </si>
  <si>
    <t>SOCKS KKB CAPTAIN AMERICA LOGO KK251CA:PASTEL BLUE:18-20:PRINT:SOCKS</t>
  </si>
  <si>
    <t>SOCKS KKB CAPTAIN AMERICA LOGO KK251CA:PASTEL BLUE:14-16:PRINT:SOCKS</t>
  </si>
  <si>
    <t>KK253CA</t>
  </si>
  <si>
    <t>SOCKS KKB CAPTAIN AMERICA KK253CA:WHITE:18-20:PRINT:SOCKS</t>
  </si>
  <si>
    <t>SOCKS KKB CAPTAIN AMERICA KK253CA:WHITE:14-16:PRINT:SOCKS</t>
  </si>
  <si>
    <t>SWLAVG</t>
  </si>
  <si>
    <t>TOP - BOTTOM SET LSLP AVENGERS SWLAVG:PASTEL BLUE:5:GRAPHIC:TOP - BOTTOM SET</t>
  </si>
  <si>
    <t>TOP - BOTTOM SET LSLP AVENGERS SWLAVG:PASTEL BLUE:12:GRAPHIC:TOP - BOTTOM SET</t>
  </si>
  <si>
    <t>TOP - BOTTOM SET LSLP AVENGERS SWLAVG:PASTEL BLUE:10:GRAPHIC:TOP - BOTTOM SET</t>
  </si>
  <si>
    <t>TOP - BOTTOM SET LSLP AVENGERS SWLAVG:PASTEL BLUE:7:GRAPHIC:TOP - BOTTOM SET</t>
  </si>
  <si>
    <t>TOP - BOTTOM SET LSLP AVENGERS SWLAVG:PASTEL BLUE:8:GRAPHIC:TOP - BOTTOM SET</t>
  </si>
  <si>
    <t>TOP - BOTTOM SET LSLP AVENGERS SWLAVG:PASTEL BLUE:6:GRAPHIC:TOP - BOTTOM SET</t>
  </si>
  <si>
    <t>TOP - BOTTOM SET LSLP AVENGERS SWLAVG:PASTEL BLUE:14:GRAPHIC:TOP - BOTTOM SET</t>
  </si>
  <si>
    <t>TOP - BOTTOM SET LSLP AVENGERS SWLAVG:PASTEL BLUE:4:GRAPHIC:TOP - BOTTOM SET</t>
  </si>
  <si>
    <t>SWSAVG</t>
  </si>
  <si>
    <t>TOP - BOTTOM SET SSLP CAPTAIN AMERICA SWSAVG:OFF WHITE:5:GRAPHIC:TOP - BOTTOM SET</t>
  </si>
  <si>
    <t>TOP - BOTTOM SET SSLP CAPTAIN AMERICA SWSAVG:OFF WHITE:6:GRAPHIC:TOP - BOTTOM SET</t>
  </si>
  <si>
    <t>TOP - BOTTOM SET SSLP CAPTAIN AMERICA SWSAVG:OFF WHITE:12:GRAPHIC:TOP - BOTTOM SET</t>
  </si>
  <si>
    <t>TOP - BOTTOM SET SSLP CAPTAIN AMERICA SWSAVG:OFF WHITE:4:GRAPHIC:TOP - BOTTOM SET</t>
  </si>
  <si>
    <t>TOP - BOTTOM SET SSLP CAPTAIN AMERICA SWSAVG:OFF WHITE:14:GRAPHIC:TOP - BOTTOM SET</t>
  </si>
  <si>
    <t>TOP - BOTTOM SET SSLP CAPTAIN AMERICA SWSAVG:OFF WHITE:10:GRAPHIC:TOP - BOTTOM SET</t>
  </si>
  <si>
    <t>TOP - BOTTOM SET SSLP CAPTAIN AMERICA SWSAVG:OFF WHITE:7:GRAPHIC:TOP - BOTTOM SET</t>
  </si>
  <si>
    <t>TOP - BOTTOM SET SSLP CAPTAIN AMERICA SWSAVG:OFF WHITE:8:GRAPHIC:TOP - BOTTOM SET</t>
  </si>
  <si>
    <t>OVSTMIC</t>
  </si>
  <si>
    <t>SHORT JUMPSUIT OVERALL MICKEY STRIPE OVSTMIC:CLASSIC BLUE:24-36:STRIPES:SHORT JUMPSUIT</t>
  </si>
  <si>
    <t>SHORT JUMPSUIT OVERALL MICKEY STRIPE OVSTMIC:CLASSIC BLUE:12-18:STRIPES:SHORT JUMPSUIT</t>
  </si>
  <si>
    <t>SHORT JUMPSUIT OVERALL MICKEY STRIPE OVSTMIC:CLASSIC BLUE:18-24:STRIPES:SHORT JUMPSUIT</t>
  </si>
  <si>
    <t>SHORT JUMPSUIT OVERALL MICKEY STRIPE OVSTMIC:CLASSIC BLUE:6-12:STRIPES:SHORT JUMPSUIT</t>
  </si>
  <si>
    <t>OVPLPOOH</t>
  </si>
  <si>
    <t>SHORT JUMPSUIT OVERALL POOH OVPLPOOH:MUSTARD:18-24:GRAPHIC:SHORT JUMPSUIT</t>
  </si>
  <si>
    <t>SHORT JUMPSUIT OVERALL POOH OVPLPOOH:MUSTARD:24-36:GRAPHIC:SHORT JUMPSUIT</t>
  </si>
  <si>
    <t>SHORT JUMPSUIT OVERALL POOH OVPLPOOH:MUSTARD:6-12:GRAPHIC:SHORT JUMPSUIT</t>
  </si>
  <si>
    <t>SHORT JUMPSUIT OVERALL POOH OVPLPOOH:MUSTARD:12-18:GRAPHIC:SHORT JUMPSUIT</t>
  </si>
  <si>
    <t>SETSIM1</t>
  </si>
  <si>
    <t>TOP - BOTTOM SET FP SIMBA SETSIM1:KHAKI:6-12:PRINT:TOP - BOTTOM SET</t>
  </si>
  <si>
    <t>TOP - BOTTOM SET FP SIMBA SETSIM1:KHAKI:24-36:PRINT:TOP - BOTTOM SET</t>
  </si>
  <si>
    <t>TOP - BOTTOM SET FP SIMBA SETSIM1:KHAKI:18-24:PRINT:TOP - BOTTOM SET</t>
  </si>
  <si>
    <t>TOP - BOTTOM SET FP SIMBA SETSIM1:KHAKI:12-18:PRINT:TOP - BOTTOM SET</t>
  </si>
  <si>
    <t>SETSIM2</t>
  </si>
  <si>
    <t>TOP - BOTTOM SET ROMPI SIMBA SETSIM2:CLASSIC GREEN:18-24:PRINT:TOP - BOTTOM SET</t>
  </si>
  <si>
    <t>TOP - BOTTOM SET ROMPI SIMBA SETSIM2:CLASSIC GREEN:6-12:PRINT:TOP - BOTTOM SET</t>
  </si>
  <si>
    <t>TOP - BOTTOM SET ROMPI SIMBA SETSIM2:CLASSIC GREEN:24-36:PRINT:TOP - BOTTOM SET</t>
  </si>
  <si>
    <t>TOP - BOTTOM SET ROMPI SIMBA SETSIM2:CLASSIC GREEN:12-18:PRINT:TOP - BOTTOM SET</t>
  </si>
  <si>
    <t>SETLMAR</t>
  </si>
  <si>
    <t>TOP - BOTTOM SET LS MARIE SETLMAR:PASTEL PINK:12-18:PRINT:TOP - BOTTOM SET</t>
  </si>
  <si>
    <t>TOP - BOTTOM SET LS MARIE SETLMAR:PASTEL PINK:24-36:PRINT:TOP - BOTTOM SET</t>
  </si>
  <si>
    <t>TOP - BOTTOM SET LS MARIE SETLMAR:PASTEL PINK:18-24:PRINT:TOP - BOTTOM SET</t>
  </si>
  <si>
    <t>TOP - BOTTOM SET LS MARIE SETLMAR:PASTEL PINK:6-12:PRINT:TOP - BOTTOM SET</t>
  </si>
  <si>
    <t>TSGKUR10</t>
  </si>
  <si>
    <t>SS T-SHIRT FP KUROMI TSGKUR10:PASTEL PURPLE:9-10:GRAPHIC:SS T-SHIRT</t>
  </si>
  <si>
    <t>SS T-SHIRT FP KUROMI TSGKUR10:PASTEL PURPLE:11-12:GRAPHIC:SS T-SHIRT</t>
  </si>
  <si>
    <t>SS T-SHIRT FP KUROMI TSGKUR10:PASTEL PURPLE:7-8:GRAPHIC:SS T-SHIRT</t>
  </si>
  <si>
    <t>SS T-SHIRT FP KUROMI TSGKUR10:PASTEL PURPLE:5-6:GRAPHIC:SS T-SHIRT</t>
  </si>
  <si>
    <t>TSGKUR9</t>
  </si>
  <si>
    <t>SS T-SHIRT KUROMI CUT N SEWN TSGKUR9:ASSORTIVE COLOR:9-10:GRAPHIC:SS T-SHIRT</t>
  </si>
  <si>
    <t>SS T-SHIRT KUROMI CUT N SEWN TSGKUR9:ASSORTIVE COLOR:5-6:GRAPHIC:SS T-SHIRT</t>
  </si>
  <si>
    <t>SS T-SHIRT KUROMI CUT N SEWN TSGKUR9:ASSORTIVE COLOR:7-8:GRAPHIC:SS T-SHIRT</t>
  </si>
  <si>
    <t>SS T-SHIRT KUROMI CUT N SEWN TSGKUR9:ASSORTIVE COLOR:11-12:GRAPHIC:SS T-SHIRT</t>
  </si>
  <si>
    <t>DL25CN</t>
  </si>
  <si>
    <t>LS MIDI DRESS MIDI CINNAMOROLL DL25CN:PASTEL BLUE:5-6:STRIPES:LS MIDI DRESS</t>
  </si>
  <si>
    <t>LS MIDI DRESS MIDI CINNAMOROLL DL25CN:PASTEL BLUE:7-8:STRIPES:LS MIDI DRESS</t>
  </si>
  <si>
    <t>LS MIDI DRESS MIDI CINNAMOROLL DL25CN:PASTEL BLUE:11-12:STRIPES:LS MIDI DRESS</t>
  </si>
  <si>
    <t>LS MIDI DRESS MIDI CINNAMOROLL DL25CN:PASTEL BLUE:4-5:STRIPES:LS MIDI DRESS</t>
  </si>
  <si>
    <t>LS MIDI DRESS MIDI CINNAMOROLL DL25CN:PASTEL BLUE:9-10:STRIPES:LS MIDI DRESS</t>
  </si>
  <si>
    <t>LS MIDI DRESS MIDI CINNAMOROLL DL25CN:PASTEL BLUE:3-4:STRIPES:LS MIDI DRESS</t>
  </si>
  <si>
    <t>DL25MM</t>
  </si>
  <si>
    <t>LS MIDI DRESS MIDI MY MELODY DL25MM:PASTEL PINK:11-12:STRIPES:LS MIDI DRESS</t>
  </si>
  <si>
    <t>LS MIDI DRESS MIDI MY MELODY DL25MM:PASTEL PINK:7-8:STRIPES:LS MIDI DRESS</t>
  </si>
  <si>
    <t>LS MIDI DRESS MIDI MY MELODY DL25MM:PASTEL PINK:5-6:STRIPES:LS MIDI DRESS</t>
  </si>
  <si>
    <t>LS MIDI DRESS MIDI MY MELODY DL25MM:PASTEL PINK:3-4:STRIPES:LS MIDI DRESS</t>
  </si>
  <si>
    <t>LS MIDI DRESS MIDI MY MELODY DL25MM:PASTEL PINK:9-10:STRIPES:LS MIDI DRESS</t>
  </si>
  <si>
    <t>LS MIDI DRESS MIDI MY MELODY DL25MM:PASTEL PINK:4-5:STRIPES:LS MIDI DRESS</t>
  </si>
  <si>
    <t>LSSWCN</t>
  </si>
  <si>
    <t>LS SHIRT KOMBI WOVEN CINNAMOROLL LSSWCN:PASTEL PINK:7-8:STRIPES:LS SHIRT</t>
  </si>
  <si>
    <t>LS SHIRT KOMBI WOVEN CINNAMOROLL LSSWCN:PASTEL PINK:11-12:STRIPES:LS SHIRT</t>
  </si>
  <si>
    <t>LS SHIRT KOMBI WOVEN CINNAMOROLL LSSWCN:PASTEL PINK:5-6:STRIPES:LS SHIRT</t>
  </si>
  <si>
    <t>LS SHIRT KOMBI WOVEN CINNAMOROLL LSSWCN:PASTEL PINK:9-10:STRIPES:LS SHIRT</t>
  </si>
  <si>
    <t>DL25AKU</t>
  </si>
  <si>
    <t>LS MIDI DRESS LEB KUROMI DL25AKU:PASTEL PURPLE:5-6:GRAPHIC:LS MIDI DRESS</t>
  </si>
  <si>
    <t>LS MIDI DRESS LEB KUROMI DL25AKU:PASTEL PURPLE:9-10:GRAPHIC:LS MIDI DRESS</t>
  </si>
  <si>
    <t>LS MIDI DRESS LEB KUROMI DL25AKU:PASTEL PURPLE:7-8:GRAPHIC:LS MIDI DRESS</t>
  </si>
  <si>
    <t>LS MIDI DRESS LEB KUROMI DL25AKU:PASTEL PURPLE:11-12:GRAPHIC:LS MIDI DRESS</t>
  </si>
  <si>
    <t>SSBGPRN</t>
  </si>
  <si>
    <t>SS T-SHIRT TOP PRINCESS LOVE BLOOMING GARDEN SSBGPRN:PASTEL PINK:4-5:GRAPHIC:SS T-SHIRT</t>
  </si>
  <si>
    <t>SS T-SHIRT TOP PRINCESS LOVE BLOOMING GARDEN SSBGPRN:PASTEL PINK:7-8:GRAPHIC:SS T-SHIRT</t>
  </si>
  <si>
    <t>SS T-SHIRT TOP PRINCESS LOVE BLOOMING GARDEN SSBGPRN:PASTEL PINK:3-4:GRAPHIC:SS T-SHIRT</t>
  </si>
  <si>
    <t>SS T-SHIRT TOP PRINCESS LOVE BLOOMING GARDEN SSBGPRN:PASTEL PINK:5-6:GRAPHIC:SS T-SHIRT</t>
  </si>
  <si>
    <t>LSL25MAR</t>
  </si>
  <si>
    <t>LS BLOUSE WOVEN MARIE LSL25MAR:PASTEL PINK:9-10:GRAPHIC:LS BLOUSE</t>
  </si>
  <si>
    <t>LS BLOUSE WOVEN MARIE LSL25MAR:PASTEL PINK:11-12:GRAPHIC:LS BLOUSE</t>
  </si>
  <si>
    <t>LS BLOUSE WOVEN MARIE LSL25MAR:PASTEL PINK:7-8:GRAPHIC:LS BLOUSE</t>
  </si>
  <si>
    <t>LS BLOUSE WOVEN MARIE LSL25MAR:PASTEL PINK:5-6:GRAPHIC:LS BLOUSE</t>
  </si>
  <si>
    <t>LSDLFZA2</t>
  </si>
  <si>
    <t>SWEATSHIRT FROZEN II PRINT EMBRO LSDLFZA2:PASTEL BLUE:7-8:GRAPHIC:SWEATSHIRT</t>
  </si>
  <si>
    <t>SWEATSHIRT FROZEN II PRINT EMBRO LSDLFZA2:PASTEL BLUE:4-5:GRAPHIC:SWEATSHIRT</t>
  </si>
  <si>
    <t>SWEATSHIRT FROZEN II PRINT EMBRO LSDLFZA2:PASTEL BLUE:5-6:GRAPHIC:SWEATSHIRT</t>
  </si>
  <si>
    <t>SWEATSHIRT FROZEN II PRINT EMBRO LSDLFZA2:PASTEL BLUE:3-4:GRAPHIC:SWEATSHIRT</t>
  </si>
  <si>
    <t>SW25MAR</t>
  </si>
  <si>
    <t>SWEATSHIRT MARIE RIBBON SW25MAR:PASTEL PINK:11-12:GRAPHIC:SWEATSHIRT</t>
  </si>
  <si>
    <t>SWEATSHIRT MARIE RIBBON SW25MAR:PASTEL PINK:9-10:GRAPHIC:SWEATSHIRT</t>
  </si>
  <si>
    <t>SWEATSHIRT MARIE RIBBON SW25MAR:PASTEL PINK:7-8:GRAPHIC:SWEATSHIRT</t>
  </si>
  <si>
    <t>SWEATSHIRT MARIE RIBBON SW25MAR:PASTEL PINK:5-6:GRAPHIC:SWEATSHIRT</t>
  </si>
  <si>
    <t>DLWPMIN</t>
  </si>
  <si>
    <t>LS MIDI DRESS WOVEN PITA KOTAK MINNIE DLWPMIN:TERRACOTTA:11-12:CHECKS:LS MIDI DRESS</t>
  </si>
  <si>
    <t>LS MIDI DRESS WOVEN PITA KOTAK MINNIE DLWPMIN:TERRACOTTA:7-8:CHECKS:LS MIDI DRESS</t>
  </si>
  <si>
    <t>LS MIDI DRESS WOVEN PITA KOTAK MINNIE DLWPMIN:TERRACOTTA:5-6:CHECKS:LS MIDI DRESS</t>
  </si>
  <si>
    <t>LS MIDI DRESS WOVEN PITA KOTAK MINNIE DLWPMIN:TERRACOTTA:9-10:CHECKS:LS MIDI DRESS</t>
  </si>
  <si>
    <t>SWHSFZA</t>
  </si>
  <si>
    <t>SWEATSHIRT HOODIE FROZEN STAR SWHSFZA:PASTEL BLUE:7-8:GRAPHIC:SWEATSHIRT</t>
  </si>
  <si>
    <t>SWEATSHIRT HOODIE FROZEN STAR SWHSFZA:PASTEL BLUE:5-6:GRAPHIC:SWEATSHIRT</t>
  </si>
  <si>
    <t>SWEATSHIRT HOODIE FROZEN STAR SWHSFZA:PASTEL BLUE:9-10:GRAPHIC:SWEATSHIRT</t>
  </si>
  <si>
    <t>SWEATSHIRT HOODIE FROZEN STAR SWHSFZA:PASTEL BLUE:11-12:GRAPHIC:SWEATSHIRT</t>
  </si>
  <si>
    <t>DLKRMIN</t>
  </si>
  <si>
    <t>LS MIDI DRESS MINNIE MOUSE PITA DLKRMIN:PASTEL PINK:11-12:GRAPHIC:LS MIDI DRESS</t>
  </si>
  <si>
    <t>LS MIDI DRESS MINNIE MOUSE PITA DLKRMIN:PASTEL PINK:5-6:GRAPHIC:LS MIDI DRESS</t>
  </si>
  <si>
    <t>LS MIDI DRESS MINNIE MOUSE PITA DLKRMIN:PASTEL PINK:7-8:GRAPHIC:LS MIDI DRESS</t>
  </si>
  <si>
    <t>LS MIDI DRESS MINNIE MOUSE PITA DLKRMIN:PASTEL PINK:9-10:GRAPHIC:LS MIDI DRESS</t>
  </si>
  <si>
    <t>TSSPI</t>
  </si>
  <si>
    <t>SS T-SHIRT SPIDERMAN TSSPI:NAVY BLUE:18-24:PRINT:SS T-SHIRT</t>
  </si>
  <si>
    <t>SS T-SHIRT SPIDERMAN TSSPI:NAVY BLUE:6-12:PRINT:SS T-SHIRT</t>
  </si>
  <si>
    <t>SS T-SHIRT SPIDERMAN TSSPI:NAVY BLUE:12-18:PRINT:SS T-SHIRT</t>
  </si>
  <si>
    <t>SS T-SHIRT SPIDERMAN TSSPI:NAVY BLUE:24-36:PRINT:SS T-SHIRT</t>
  </si>
  <si>
    <t>SETGEMIN</t>
  </si>
  <si>
    <t>TOP - BOTTOM SET GIRLS MINNIE PRINT EMBRO SETGEMIN:PASTEL BLUE:6-12:PRINT:TOP - BOTTOM SET</t>
  </si>
  <si>
    <t>TOP - BOTTOM SET GIRLS MINNIE PRINT EMBRO SETGEMIN:PASTEL BLUE:24-36:PRINT:TOP - BOTTOM SET</t>
  </si>
  <si>
    <t>TOP - BOTTOM SET GIRLS MINNIE PRINT EMBRO SETGEMIN:PASTEL BLUE:12-18:PRINT:TOP - BOTTOM SET</t>
  </si>
  <si>
    <t>TOP - BOTTOM SET GIRLS MINNIE PRINT EMBRO SETGEMIN:PASTEL BLUE:18-24:PRINT:TOP - BOTTOM SET</t>
  </si>
  <si>
    <t>DSWVMAR</t>
  </si>
  <si>
    <t>SS MIDI DRESS OVERALL MARIE WOVEN DSWVMAR:PASTEL PURPLE:24-36:GRAPHIC:SS MIDI DRESS</t>
  </si>
  <si>
    <t>SS MIDI DRESS OVERALL MARIE WOVEN DSWVMAR:PASTEL PURPLE:6-12:GRAPHIC:SS MIDI DRESS</t>
  </si>
  <si>
    <t>SS MIDI DRESS OVERALL MARIE WOVEN DSWVMAR:PASTEL PURPLE:12-18:GRAPHIC:SS MIDI DRESS</t>
  </si>
  <si>
    <t>SS MIDI DRESS OVERALL MARIE WOVEN DSWVMAR:PASTEL PURPLE:18-24:GRAPHIC:SS MIDI DRESS</t>
  </si>
  <si>
    <t>SETLVMIN</t>
  </si>
  <si>
    <t>TOP - BOTTOM SET MINNIE LOVE SETLVMIN:PASTEL ORANGE:12-18:PRINT:TOP - BOTTOM SET</t>
  </si>
  <si>
    <t>TOP - BOTTOM SET MINNIE LOVE SETLVMIN:PASTEL ORANGE:18-24:PRINT:TOP - BOTTOM SET</t>
  </si>
  <si>
    <t>TOP - BOTTOM SET MINNIE LOVE SETLVMIN:PASTEL ORANGE:24-36:PRINT:TOP - BOTTOM SET</t>
  </si>
  <si>
    <t>TOP - BOTTOM SET MINNIE LOVE SETLVMIN:PASTEL ORANGE:6-12:PRINT:TOP - BOTTOM SET</t>
  </si>
  <si>
    <t>OVSIMKK</t>
  </si>
  <si>
    <t>SHORT JUMPSUIT OVERALL SS SIMBA OVSIMKK:MUSTARD:18-24:PRINT:SHORT JUMPSUIT</t>
  </si>
  <si>
    <t>SHORT JUMPSUIT OVERALL SS SIMBA OVSIMKK:MUSTARD:24-36:PRINT:SHORT JUMPSUIT</t>
  </si>
  <si>
    <t>SHORT JUMPSUIT OVERALL SS SIMBA OVSIMKK:MUSTARD:12-18:PRINT:SHORT JUMPSUIT</t>
  </si>
  <si>
    <t>SHORT JUMPSUIT OVERALL SS SIMBA OVSIMKK:MUSTARD:6-12:PRINT:SHORT JUMPSUIT</t>
  </si>
  <si>
    <t>DSKRPOOH</t>
  </si>
  <si>
    <t>SS MIDI DRESS COLLAR POOH DSKRPOOH:PASTEL ORANGE:18-24:GRAPHIC:SS MIDI DRESS</t>
  </si>
  <si>
    <t>SS MIDI DRESS COLLAR POOH DSKRPOOH:PASTEL ORANGE:6-12:GRAPHIC:SS MIDI DRESS</t>
  </si>
  <si>
    <t>SS MIDI DRESS COLLAR POOH DSKRPOOH:PASTEL ORANGE:24-36:GRAPHIC:SS MIDI DRESS</t>
  </si>
  <si>
    <t>SS MIDI DRESS COLLAR POOH DSKRPOOH:PASTEL ORANGE:12-18:GRAPHIC:SS MIDI DRESS</t>
  </si>
  <si>
    <t>DOWVMAR</t>
  </si>
  <si>
    <t>SS MIDI DRESS OVERALL MARIE RIBBON WOVEN DOWVMAR:PASTEL ORANGE:18-24:GRAPHIC:SS MIDI DRESS</t>
  </si>
  <si>
    <t>SS MIDI DRESS OVERALL MARIE RIBBON WOVEN DOWVMAR:PASTEL ORANGE:12-18:GRAPHIC:SS MIDI DRESS</t>
  </si>
  <si>
    <t>SS MIDI DRESS OVERALL MARIE RIBBON WOVEN DOWVMAR:PASTEL ORANGE:24-36:GRAPHIC:SS MIDI DRESS</t>
  </si>
  <si>
    <t>SS MIDI DRESS OVERALL MARIE RIBBON WOVEN DOWVMAR:PASTEL ORANGE:6-12:GRAPHIC:SS MIDI DRESS</t>
  </si>
  <si>
    <t>SETMV2</t>
  </si>
  <si>
    <t>TOP - BOTTOM SET SPIDERMAN SETMV2:ASSORTIVE COLOR:6-12:PRINT:TOP - BOTTOM SET</t>
  </si>
  <si>
    <t>TOP - BOTTOM SET SPIDERMAN SETMV2:ASSORTIVE COLOR:24-36:PRINT:TOP - BOTTOM SET</t>
  </si>
  <si>
    <t>TOP - BOTTOM SET SPIDERMAN SETMV2:ASSORTIVE COLOR:12-18:PRINT:TOP - BOTTOM SET</t>
  </si>
  <si>
    <t>TOP - BOTTOM SET SPIDERMAN SETMV2:ASSORTIVE COLOR:18-24:PRINT:TOP - BOTTOM SET</t>
  </si>
  <si>
    <t>SETRFMAR</t>
  </si>
  <si>
    <t>TOP - BOTTOM SET MARIE RUFFLE SKIRT SETRFMAR:PASTEL PINK:6-12:PRINT:TOP - BOTTOM SET</t>
  </si>
  <si>
    <t>TOP - BOTTOM SET MARIE RUFFLE SKIRT SETRFMAR:PASTEL PINK:18-24:PRINT:TOP - BOTTOM SET</t>
  </si>
  <si>
    <t>TOP - BOTTOM SET MARIE RUFFLE SKIRT SETRFMAR:PASTEL PINK:24-36:PRINT:TOP - BOTTOM SET</t>
  </si>
  <si>
    <t>TOP - BOTTOM SET MARIE RUFFLE SKIRT SETRFMAR:PASTEL PINK:12-18:PRINT:TOP - BOTTOM SET</t>
  </si>
  <si>
    <t>SWHSPI</t>
  </si>
  <si>
    <t>SWEATSHIRT HOODIE SPIDERMAN SWHSPI:NAVY BLUE:12-18:PRINT:SWEATSHIRT</t>
  </si>
  <si>
    <t>SWEATSHIRT HOODIE SPIDERMAN SWHSPI:NAVY BLUE:6-12:PRINT:SWEATSHIRT</t>
  </si>
  <si>
    <t>SWEATSHIRT HOODIE SPIDERMAN SWHSPI:NAVY BLUE:24-36:PRINT:SWEATSHIRT</t>
  </si>
  <si>
    <t>SWEATSHIRT HOODIE SPIDERMAN SWHSPI:NAVY BLUE:18-24:PRINT:SWEATSHIRT</t>
  </si>
  <si>
    <t>JOGSPI</t>
  </si>
  <si>
    <t>JOGGER SPIDERMAN JOGSPI:NAVY BLUE:6-12:PRINT:JOGGER</t>
  </si>
  <si>
    <t>JOGGER SPIDERMAN JOGSPI:NAVY BLUE:24-36:PRINT:JOGGER</t>
  </si>
  <si>
    <t>JOGGER SPIDERMAN JOGSPI:NAVY BLUE:18-24:PRINT:JOGGER</t>
  </si>
  <si>
    <t>JOGGER SPIDERMAN JOGSPI:NAVY BLUE:12-18:PRINT:JOGGER</t>
  </si>
  <si>
    <t>SETMV1</t>
  </si>
  <si>
    <t>TOP - BOTTOM SET CUT AND SEWN SPIDERMAN SETMV1:ASSORTIVE COLOR:18-24:PRINT:TOP - BOTTOM SET</t>
  </si>
  <si>
    <t>TOP - BOTTOM SET CUT AND SEWN SPIDERMAN SETMV1:ASSORTIVE COLOR:6-12:PRINT:TOP - BOTTOM SET</t>
  </si>
  <si>
    <t>TOP - BOTTOM SET CUT AND SEWN SPIDERMAN SETMV1:ASSORTIVE COLOR:12-18:PRINT:TOP - BOTTOM SET</t>
  </si>
  <si>
    <t>TOP - BOTTOM SET CUT AND SEWN SPIDERMAN SETMV1:ASSORTIVE COLOR:24-36:PRINT:TOP - BOTTOM SET</t>
  </si>
  <si>
    <t>OVSPI2</t>
  </si>
  <si>
    <t>SHORT JUMPSUIT OVERALL FP SPIDERMAN OVSPI2:ASSORTIVE COLOR:24-36:PRINT:SHORT JUMPSUIT</t>
  </si>
  <si>
    <t>SHORT JUMPSUIT OVERALL FP SPIDERMAN OVSPI2:ASSORTIVE COLOR:18-24:PRINT:SHORT JUMPSUIT</t>
  </si>
  <si>
    <t>SHORT JUMPSUIT OVERALL FP SPIDERMAN OVSPI2:ASSORTIVE COLOR:6-12:PRINT:SHORT JUMPSUIT</t>
  </si>
  <si>
    <t>SHORT JUMPSUIT OVERALL FP SPIDERMAN OVSPI2:ASSORTIVE COLOR:12-18:PRINT:SHORT JUMPSUIT</t>
  </si>
  <si>
    <t>OVSPI1</t>
  </si>
  <si>
    <t>SHORT JUMPSUIT OVERALL SPIDERMAN OVSPI1:ASSORTIVE COLOR:18-24:PRINT:SHORT JUMPSUIT</t>
  </si>
  <si>
    <t>SHORT JUMPSUIT OVERALL SPIDERMAN OVSPI1:ASSORTIVE COLOR:12-18:PRINT:SHORT JUMPSUIT</t>
  </si>
  <si>
    <t>SHORT JUMPSUIT OVERALL SPIDERMAN OVSPI1:ASSORTIVE COLOR:6-12:PRINT:SHORT JUMPSUIT</t>
  </si>
  <si>
    <t>SHORT JUMPSUIT OVERALL SPIDERMAN OVSPI1:ASSORTIVE COLOR:24-36:PRINT:SHORT JUMPSUIT</t>
  </si>
  <si>
    <t>MP3DRO3</t>
  </si>
  <si>
    <t>BRIEF CD PACK OF 3 SPIDERMAN MP3DRO3:ASSORTIVE COLOR:S:PRINT:BRIEF</t>
  </si>
  <si>
    <t>BRIEF CD PACK OF 3 SPIDERMAN MP3DRO3:ASSORTIVE COLOR:XL:PRINT:BRIEF</t>
  </si>
  <si>
    <t>BRIEF CD PACK OF 3 SPIDERMAN MP3DRO3:ASSORTIVE COLOR:L:PRINT:BRIEF</t>
  </si>
  <si>
    <t>BRIEF CD PACK OF 3 SPIDERMAN MP3DRO3:ASSORTIVE COLOR:M:PRINT:BRIEF</t>
  </si>
  <si>
    <t>U325MVAVG</t>
  </si>
  <si>
    <t>BRIEF PACK OF 3 UNDERWEAR MARVEL U325MVAVG:ASSORTIVE COLOR:M:PRINT:BRIEF</t>
  </si>
  <si>
    <t>BRIEF PACK OF 3 UNDERWEAR MARVEL U325MVAVG:ASSORTIVE COLOR:XL:PRINT:BRIEF</t>
  </si>
  <si>
    <t>BRIEF PACK OF 3 UNDERWEAR MARVEL U325MVAVG:ASSORTIVE COLOR:S:PRINT:BRIEF</t>
  </si>
  <si>
    <t>BRIEF PACK OF 3 UNDERWEAR MARVEL U325MVAVG:ASSORTIVE COLOR:L:PRINT:BRIEF</t>
  </si>
  <si>
    <t>P325SPI</t>
  </si>
  <si>
    <t>BRIEF PACK OF 3 UW SPIDER-MAN P325SPI:ASSORTIVE COLOR:XL:PRINT:BRIEF</t>
  </si>
  <si>
    <t>BRIEF PACK OF 3 UW SPIDER-MAN P325SPI:ASSORTIVE COLOR:M:PRINT:BRIEF</t>
  </si>
  <si>
    <t>BRIEF PACK OF 3 UW SPIDER-MAN P325SPI:ASSORTIVE COLOR:S:PRINT:BRIEF</t>
  </si>
  <si>
    <t>BRIEF PACK OF 3 UW SPIDER-MAN P325SPI:ASSORTIVE COLOR:L:PRINT:BRIEF</t>
  </si>
  <si>
    <t>SWPRSPD</t>
  </si>
  <si>
    <t>TOP - BOTTOM SET LSSP SPIDERMAN SWPRSPD:PASTEL GREY:4:PRINT:TOP - BOTTOM SET</t>
  </si>
  <si>
    <t>TOP - BOTTOM SET LSSP SPIDERMAN SWPRSPD:PASTEL GREY:5:PRINT:TOP - BOTTOM SET</t>
  </si>
  <si>
    <t>TOP - BOTTOM SET LSSP SPIDERMAN SWPRSPD:PASTEL GREY:12:PRINT:TOP - BOTTOM SET</t>
  </si>
  <si>
    <t>TOP - BOTTOM SET LSSP SPIDERMAN SWPRSPD:PASTEL GREY:14:PRINT:TOP - BOTTOM SET</t>
  </si>
  <si>
    <t>TOP - BOTTOM SET LSSP SPIDERMAN SWPRSPD:PASTEL GREY:7:PRINT:TOP - BOTTOM SET</t>
  </si>
  <si>
    <t>TOP - BOTTOM SET LSSP SPIDERMAN SWPRSPD:PASTEL GREY:8:PRINT:TOP - BOTTOM SET</t>
  </si>
  <si>
    <t>TOP - BOTTOM SET LSSP SPIDERMAN SWPRSPD:PASTEL GREY:10:PRINT:TOP - BOTTOM SET</t>
  </si>
  <si>
    <t>TOP - BOTTOM SET LSSP SPIDERMAN SWPRSPD:PASTEL GREY:6:PRINT:TOP - BOTTOM SET</t>
  </si>
  <si>
    <t>SWMFPMV</t>
  </si>
  <si>
    <t>TOP - BOTTOM SET LSLP FULL PRINT MARVEL SWMFPMV:NAVY BLUE:6:PRINT:TOP - BOTTOM SET</t>
  </si>
  <si>
    <t>TOP - BOTTOM SET LSLP FULL PRINT MARVEL SWMFPMV:NAVY BLUE:7:PRINT:TOP - BOTTOM SET</t>
  </si>
  <si>
    <t>TOP - BOTTOM SET LSLP FULL PRINT MARVEL SWMFPMV:NAVY BLUE:10:PRINT:TOP - BOTTOM SET</t>
  </si>
  <si>
    <t>TOP - BOTTOM SET LSLP FULL PRINT MARVEL SWMFPMV:NAVY BLUE:4:PRINT:TOP - BOTTOM SET</t>
  </si>
  <si>
    <t>TOP - BOTTOM SET LSLP FULL PRINT MARVEL SWMFPMV:NAVY BLUE:5:PRINT:TOP - BOTTOM SET</t>
  </si>
  <si>
    <t>TOP - BOTTOM SET LSLP FULL PRINT MARVEL SWMFPMV:NAVY BLUE:14:PRINT:TOP - BOTTOM SET</t>
  </si>
  <si>
    <t>TOP - BOTTOM SET LSLP FULL PRINT MARVEL SWMFPMV:NAVY BLUE:12:PRINT:TOP - BOTTOM SET</t>
  </si>
  <si>
    <t>TOP - BOTTOM SET LSLP FULL PRINT MARVEL SWMFPMV:NAVY BLUE:8:PRINT:TOP - BOTTOM SET</t>
  </si>
  <si>
    <t>P325FZA</t>
  </si>
  <si>
    <t>BRIEF PACK OF 3 UW FROZEN P325FZA:ASSORTIVE COLOR:M:PRINT:BRIEF</t>
  </si>
  <si>
    <t>BRIEF PACK OF 3 UW FROZEN P325FZA:ASSORTIVE COLOR:S:PRINT:BRIEF</t>
  </si>
  <si>
    <t>BRIEF PACK OF 3 UW FROZEN P325FZA:ASSORTIVE COLOR:L:PRINT:BRIEF</t>
  </si>
  <si>
    <t>BRIEF PACK OF 3 UW FROZEN P325FZA:ASSORTIVE COLOR:XL:PRINT:BRIEF</t>
  </si>
  <si>
    <t>SWHMFZA</t>
  </si>
  <si>
    <t>TOP - BOTTOM SET LSLP FROZEN ELSA AND ANNA SWHMFZA:PASTEL ORANGE:7:PRINT:TOP - BOTTOM SET</t>
  </si>
  <si>
    <t>TOP - BOTTOM SET LSLP FROZEN ELSA AND ANNA SWHMFZA:PASTEL ORANGE:6:PRINT:TOP - BOTTOM SET</t>
  </si>
  <si>
    <t>TOP - BOTTOM SET LSLP FROZEN ELSA AND ANNA SWHMFZA:PASTEL ORANGE:5:PRINT:TOP - BOTTOM SET</t>
  </si>
  <si>
    <t>TOP - BOTTOM SET LSLP FROZEN ELSA AND ANNA SWHMFZA:PASTEL ORANGE:12:PRINT:TOP - BOTTOM SET</t>
  </si>
  <si>
    <t>TOP - BOTTOM SET LSLP FROZEN ELSA AND ANNA SWHMFZA:PASTEL ORANGE:14:PRINT:TOP - BOTTOM SET</t>
  </si>
  <si>
    <t>TOP - BOTTOM SET LSLP FROZEN ELSA AND ANNA SWHMFZA:PASTEL ORANGE:4:PRINT:TOP - BOTTOM SET</t>
  </si>
  <si>
    <t>TOP - BOTTOM SET LSLP FROZEN ELSA AND ANNA SWHMFZA:PASTEL ORANGE:10:PRINT:TOP - BOTTOM SET</t>
  </si>
  <si>
    <t>TOP - BOTTOM SET LSLP FROZEN ELSA AND ANNA SWHMFZA:PASTEL ORANGE:8:PRINT:TOP - BOTTOM SET</t>
  </si>
  <si>
    <t>MP3DRO6</t>
  </si>
  <si>
    <t>BRIEF CD PACK OF 3 SPIDERMAN &amp; CAPTEN AMERICA MP3DRO6:ASSORTIVE COLOR:M:PRINT:BRIEF</t>
  </si>
  <si>
    <t>BRIEF CD PACK OF 3 SPIDERMAN &amp; CAPTEN AMERICA MP3DRO6:ASSORTIVE COLOR:XL:PRINT:BRIEF</t>
  </si>
  <si>
    <t>BRIEF CD PACK OF 3 SPIDERMAN &amp; CAPTEN AMERICA MP3DRO6:ASSORTIVE COLOR:L:PRINT:BRIEF</t>
  </si>
  <si>
    <t>BRIEF CD PACK OF 3 SPIDERMAN &amp; CAPTEN AMERICA MP3DRO6:ASSORTIVE COLOR:S:PRINT:BRIEF</t>
  </si>
  <si>
    <t>U325SPDLB</t>
  </si>
  <si>
    <t>BRIEF PACK OF 3 UNDERWEAR SPIDERMAN FP LABA U325SPDLB:ASSORTIVE COLOR:M:PRINT:BRIEF</t>
  </si>
  <si>
    <t>BRIEF PACK OF 3 UNDERWEAR SPIDERMAN FP LABA U325SPDLB:ASSORTIVE COLOR:L:PRINT:BRIEF</t>
  </si>
  <si>
    <t>BRIEF PACK OF 3 UNDERWEAR SPIDERMAN FP LABA U325SPDLB:ASSORTIVE COLOR:XL:PRINT:BRIEF</t>
  </si>
  <si>
    <t>BRIEF PACK OF 3 UNDERWEAR SPIDERMAN FP LABA U325SPDLB:ASSORTIVE COLOR:S:PRINT:BRIEF</t>
  </si>
  <si>
    <t>SS MIDI DRESS BROKAT MINNIE DSBROMIN:OFF WHITE:9-10:GRAPHIC:SS MIDI DRESS</t>
  </si>
  <si>
    <t>TSMGFZA</t>
  </si>
  <si>
    <t>SS T-SHIRT FROZEN ELSA 66050100FZA TSMGFZA:PASTEL PURPLE:5-6:GRAPHIC:SS T-SHIRT</t>
  </si>
  <si>
    <t>SS T-SHIRT FROZEN ELSA 66050100FZA TSMGFZA:PASTEL PURPLE:11-12:GRAPHIC:SS T-SHIRT</t>
  </si>
  <si>
    <t>SWCBBAM</t>
  </si>
  <si>
    <t>SWEATSHIRT CLR BLOCK BAMBI 66050100BAM SWCBBAM:OFF WHITE:3-4:GRAPHIC:SWEATSHIRT</t>
  </si>
  <si>
    <t>SWEATSHIRT CLR BLOCK BAMBI 66050100BAM SWCBBAM:OFF WHITE:4-5:GRAPHIC:SWEATSHIRT</t>
  </si>
  <si>
    <t>SWEATSHIRT CLR BLOCK BAMBI 66050100BAM SWCBBAM:OFF WHITE:5-6:GRAPHIC:SWEATSHIRT</t>
  </si>
  <si>
    <t>SWEATSHIRT CLR BLOCK BAMBI 66050100BAM SWCBBAM:OFF WHITE:7-8:GRAPHIC:SWEATSHIRT</t>
  </si>
  <si>
    <t xml:space="preserve"> SW HOODIE CS MINNIE SKATE 66050100MIN  SWHCSMIN:OFF WHITE:7-8:PRINT:SWEATSHIRT</t>
  </si>
  <si>
    <t xml:space="preserve"> SW CS MINNIE SKATE 66050100MIN  SWSTMIN:PASTEL PINK:9-10:PRINT:SS T-SHIRT</t>
  </si>
  <si>
    <t xml:space="preserve"> SW CS MINNIE SKATE 66050100MIN  SWSTMIN:PASTEL PINK:11-12:PRINT:SS T-SHIRT</t>
  </si>
  <si>
    <t xml:space="preserve"> SW CS MINNIE SKATE 66050100MIN  SWSTMIN:PASTEL PINK:13-14:PRINT:SS T-SHIRT</t>
  </si>
  <si>
    <t xml:space="preserve"> JOG MINNIE SKATE 66050100MIN JGSKTMIN:PASTEL PINK:7-8:PRINT:JOGGER</t>
  </si>
  <si>
    <t xml:space="preserve"> JOG MINNIE SKATE 66050100MIN JGSKTMIN:PASTEL PINK:9-10:PRINT:JOGGER</t>
  </si>
  <si>
    <t xml:space="preserve"> JOG MINNIE SKATE 66050100MIN JGSKTMIN:PASTEL PINK:13-14:PRINT:JOGGER</t>
  </si>
  <si>
    <t xml:space="preserve"> DRESS SS OMBRE MINNIE SKATE 66050100MIN DSSKTMIN:PASTEL PURP:7-8:PRINT:SS MIDI DRE</t>
  </si>
  <si>
    <t xml:space="preserve"> DRESS SS OMBRE MINNIE SKATE 66050100MIN DSSKTMIN:PASTEL PURP:9-10:PRINT:SS MIDI DRE</t>
  </si>
  <si>
    <t xml:space="preserve"> DRESS SS OMBRE MINNIE SKATE 66050100MIN DSSKTMIN:PASTEL PURP:11-12:PRINT:SS MIDI DRE</t>
  </si>
  <si>
    <t xml:space="preserve"> DRESS SS OMBRE MINNIE SKATE 66050100MIN DSSKTMIN:PASTEL PURP:13-14:PRINT:SS MIDI DRE</t>
  </si>
  <si>
    <t>SS T-SHIRT MINNIE UNICORN 3 66050300MIN TSBPL228:MISTY LIGHT GRE:9-10:GRAPHIC:SS T-SHIRT</t>
  </si>
  <si>
    <t>SWEATSHIRT PULLOVER MINNIE &amp; MICKEY 2PLVPL3:MISTY LIGHT G:M:GRAPHIC:SWEATSHIRT</t>
  </si>
  <si>
    <t>MIN02D</t>
  </si>
  <si>
    <t>LS MINNIE DOT WARNA:SALMON:XL</t>
  </si>
  <si>
    <t>MICHEN3</t>
  </si>
  <si>
    <t>MICKEY90 KRAH HENLEY:CLASSIC BLUE:S</t>
  </si>
  <si>
    <t>MICRF5</t>
  </si>
  <si>
    <t>MICKEY90 TS RAFFLE TALI:WHITE:S</t>
  </si>
  <si>
    <t>MICKEY90 TS RAFFLE TALI:WHITE:M</t>
  </si>
  <si>
    <t>TSUM03</t>
  </si>
  <si>
    <t>SH TSUM TSUM KOMB:OFF WHITE:5-6</t>
  </si>
  <si>
    <t>DIR10SWB4</t>
  </si>
  <si>
    <t>66050100 MIN INK; FAKE 2 PCS TUNIC DOT:LIGHT BLUE:13-14</t>
  </si>
  <si>
    <t>2DRMEC1</t>
  </si>
  <si>
    <t>66030100FZA DRESS FROZEN YOU MAKE ME SMILE:LIGHT BLUE:S</t>
  </si>
  <si>
    <t>6605010 MIC; MIC TRUE DR HOOD:PASTEL PINK:11-12</t>
  </si>
  <si>
    <t>SET3DMIN</t>
  </si>
  <si>
    <t>SET MINNIE ROK APLIKASI 3D SET3DMIN:PASTEL PINK:12-18:PRINT:TOP - BOTTOM SET</t>
  </si>
  <si>
    <t>SET MINNIE ROK APLIKASI 3D SET3DMIN:PASTEL PINK:18-24:PRINT:TOP - BOTTOM SET</t>
  </si>
  <si>
    <t>SET MINNIE ROK APLIKASI 3D SET3DMIN:PASTEL PINK:24-36:PRINT:TOP - BOTTOM SET</t>
  </si>
  <si>
    <t>U325MM</t>
  </si>
  <si>
    <t>BRIEF PACK OF 3 UNDERWEAR MY MELODY U325MM:ASSORTIVE COLOR:S:PRINT:BRIEF</t>
  </si>
  <si>
    <t>BRIEF PACK OF 3 UNDERWEAR MY MELODY U325MM:ASSORTIVE COLOR:L:PRINT:BRIEF</t>
  </si>
  <si>
    <t>BRIEF PACK OF 3 UNDERWEAR MY MELODY U325MM:ASSORTIVE COLOR:XL:PRINT:BRIEF</t>
  </si>
  <si>
    <t>BRIEF PACK OF 3 UNDERWEAR MY MELODY U325MM:ASSORTIVE COLOR:M:PRINT:BRIEF</t>
  </si>
  <si>
    <t>KKKU1</t>
  </si>
  <si>
    <t>SOCKS KKG KUROMI FP KKKU1:PASTEL PURPLE:14-16:PRINT:SOCKS</t>
  </si>
  <si>
    <t>KKHK2</t>
  </si>
  <si>
    <t>SOCKS KKG HELLO KITTY STRIPE KKHK2:PASTEL PINK:18-20:PRINT:SOCKS</t>
  </si>
  <si>
    <t>KKKU2</t>
  </si>
  <si>
    <t>SOCKS KKG KUROMI KKKU2:PASTEL PURPLE:14-16:PRINT:SOCKS</t>
  </si>
  <si>
    <t>KKHK4</t>
  </si>
  <si>
    <t>SOCKS KKG HELLO KITTY KKHK4:PASTEL PINK:14-16:PRINT:SOCKS</t>
  </si>
  <si>
    <t>KKHK3</t>
  </si>
  <si>
    <t>SOCKS KKG HELLO KITTY FP KKHK3:PASTEL PINK:14-16:PRINT:SOCKS</t>
  </si>
  <si>
    <t>KKCN2</t>
  </si>
  <si>
    <t>SOCKS KKG CINNAMOROLL KKCN2:PASTEL PINK:14-16:PRINT:SOCKS</t>
  </si>
  <si>
    <t>SOCKS KKG KUROMI FP KKKU1:PASTEL PURPLE:18-20:PRINT:SOCKS</t>
  </si>
  <si>
    <t>SOCKS KKG CINNAMOROLL KKCN2:PASTEL PINK:18-20:PRINT:SOCKS</t>
  </si>
  <si>
    <t>KKHK1</t>
  </si>
  <si>
    <t>SOCKS KKG HELLO KITTY RIBBON KKHK1:PASTEL PINK:14-16:PRINT:SOCKS</t>
  </si>
  <si>
    <t>SOCKS KKG KUROMI KKKU2:PASTEL PURPLE:18-20:PRINT:SOCKS</t>
  </si>
  <si>
    <t>KKCN1</t>
  </si>
  <si>
    <t>SOCKS KKG CINNAMOROLL KKCN1:PASTEL BLUE:18-20:PRINT:SOCKS</t>
  </si>
  <si>
    <t>SOCKS KKG HELLO KITTY FP KKHK3:PASTEL PINK:18-20:PRINT:SOCKS</t>
  </si>
  <si>
    <t>SOCKS KKG HELLO KITTY STRIPE KKHK2:PASTEL PINK:14-16:PRINT:SOCKS</t>
  </si>
  <si>
    <t>SOCKS KKG CINNAMOROLL KKCN1:PASTEL BLUE:14-16:PRINT:SOCKS</t>
  </si>
  <si>
    <t>SOCKS KKG HELLO KITTY RIBBON KKHK1:PASTEL PINK:18-20:PRINT:SOCKS</t>
  </si>
  <si>
    <t>SOCKS KKG HELLO KITTY KKHK4:PASTEL PINK:18-20:PRINT:SOCKS</t>
  </si>
  <si>
    <t>SWMHK</t>
  </si>
  <si>
    <t>TOP - BOTTOM SET SLEEPWEAR HELLO KITTY SWMHK:PASTEL PINK:12:PRINT:TOP - BOTTOM SET</t>
  </si>
  <si>
    <t>TOP - BOTTOM SET SLEEPWEAR HELLO KITTY SWMHK:PASTEL PINK:10:PRINT:TOP - BOTTOM SET</t>
  </si>
  <si>
    <t>TOP - BOTTOM SET SLEEPWEAR HELLO KITTY SWMHK:PASTEL PINK:4:PRINT:TOP - BOTTOM SET</t>
  </si>
  <si>
    <t>TOP - BOTTOM SET SLEEPWEAR HELLO KITTY SWMHK:PASTEL PINK:7:PRINT:TOP - BOTTOM SET</t>
  </si>
  <si>
    <t>TOP - BOTTOM SET SLEEPWEAR HELLO KITTY SWMHK:PASTEL PINK:6:PRINT:TOP - BOTTOM SET</t>
  </si>
  <si>
    <t>TOP - BOTTOM SET SLEEPWEAR HELLO KITTY SWMHK:PASTEL PINK:14:PRINT:TOP - BOTTOM SET</t>
  </si>
  <si>
    <t>TOP - BOTTOM SET SLEEPWEAR HELLO KITTY SWMHK:PASTEL PINK:8:PRINT:TOP - BOTTOM SET</t>
  </si>
  <si>
    <t>TOP - BOTTOM SET SLEEPWEAR HELLO KITTY SWMHK:PASTEL PINK:5:PRINT:TOP - BOTTOM SET</t>
  </si>
  <si>
    <t>U325KITY</t>
  </si>
  <si>
    <t>BRIEF PACK OF 3 UNDERWEAR HELLO KITTY U325KITY:ASSORTIVE COLOR:L:PRINT:BRIEF</t>
  </si>
  <si>
    <t>BRIEF PACK OF 3 UNDERWEAR HELLO KITTY U325KITY:ASSORTIVE COLOR:M:PRINT:BRIEF</t>
  </si>
  <si>
    <t>BRIEF PACK OF 3 UNDERWEAR HELLO KITTY U325KITY:ASSORTIVE COLOR:XL:PRINT:BRIEF</t>
  </si>
  <si>
    <t>BRIEF PACK OF 3 UNDERWEAR HELLO KITTY U325KITY:ASSORTIVE COLOR:S:PRINT:BRIEF</t>
  </si>
  <si>
    <t>U325BAT</t>
  </si>
  <si>
    <t>BRIEF PACK OF 3 UNDERWEAR BATMAN U325BAT:ASSORTIVE COLOR:L:PRINT:BRIEF</t>
  </si>
  <si>
    <t>BRIEF PACK OF 3 UNDERWEAR BATMAN U325BAT:ASSORTIVE COLOR:XL:PRINT:BRIEF</t>
  </si>
  <si>
    <t>BRIEF PACK OF 3 UNDERWEAR BATMAN U325BAT:ASSORTIVE COLOR:M:PRINT:BRIEF</t>
  </si>
  <si>
    <t>BRIEF PACK OF 3 UNDERWEAR BATMAN U325BAT:ASSORTIVE COLOR:S:PRINT:BRIEF</t>
  </si>
  <si>
    <t>MP3BAT05</t>
  </si>
  <si>
    <t>BRIEF UW PACK OF 3 BATMAN MP3BAT05:ASSORTIVE COLOR:S:PRINT:BRIEF</t>
  </si>
  <si>
    <t>BRIEF UW PACK OF 3 BATMAN MP3BAT05:ASSORTIVE COLOR:M:PRINT:BRIEF</t>
  </si>
  <si>
    <t>BRIEF UW PACK OF 3 BATMAN MP3BAT05:ASSORTIVE COLOR:L:PRINT:BRIEF</t>
  </si>
  <si>
    <t>BRIEF UW PACK OF 3 BATMAN MP3BAT05:ASSORTIVE COLOR:XL:PRINT:BRIEF</t>
  </si>
  <si>
    <t>MP3UCN</t>
  </si>
  <si>
    <t>BRIEF PACK OF 3 UW CINNAMOROLL MP3UCN:ASSORTIVE COLOR:S:GRAPHIC:BRIEF</t>
  </si>
  <si>
    <t>BRIEF PACK OF 3 UW CINNAMOROLL MP3UCN:ASSORTIVE COLOR:M:GRAPHIC:BRIEF</t>
  </si>
  <si>
    <t>BRIEF PACK OF 3 UW CINNAMOROLL MP3UCN:ASSORTIVE COLOR:L:GRAPHIC:BRIEF</t>
  </si>
  <si>
    <t>BRIEF PACK OF 3 UW CINNAMOROLL MP3UCN:ASSORTIVE COLOR:XL:GRAPHIC:BRIEF</t>
  </si>
  <si>
    <t>MP3UMM</t>
  </si>
  <si>
    <t>BRIEF PACK OF 3 UW MY MELODY MP3UMM:ASSORTIVE COLOR:S:GRAPHIC:BRIEF</t>
  </si>
  <si>
    <t>BRIEF PACK OF 3 UW MY MELODY MP3UMM:ASSORTIVE COLOR:M:GRAPHIC:BRIEF</t>
  </si>
  <si>
    <t>BRIEF PACK OF 3 UW MY MELODY MP3UMM:ASSORTIVE COLOR:L:GRAPHIC:BRIEF</t>
  </si>
  <si>
    <t>BRIEF PACK OF 3 UW MY MELODY MP3UMM:ASSORTIVE COLOR:XL:GRAPHIC:BRIEF</t>
  </si>
  <si>
    <t>MP3UKU</t>
  </si>
  <si>
    <t>BRIEF PACK OF 3 UW KUROMI MP3UKU:ASSORTIVE COLOR:S:GRAPHIC:BRIEF</t>
  </si>
  <si>
    <t>BRIEF PACK OF 3 UW KUROMI MP3UKU:ASSORTIVE COLOR:M:GRAPHIC:BRIEF</t>
  </si>
  <si>
    <t>BRIEF PACK OF 3 UW KUROMI MP3UKU:ASSORTIVE COLOR:L:GRAPHIC:BRIEF</t>
  </si>
  <si>
    <t>BRIEF PACK OF 3 UW KUROMI MP3UKU:ASSORTIVE COLOR:XL:GRAPHIC:BRIEF</t>
  </si>
  <si>
    <t>PYLMM</t>
  </si>
  <si>
    <t>TOP - BOTTOM SET PIYAMA KERAH LSLP MY MELODY PYLMM:PASTEL PINK:4:PRINT:TOP - BOTTOM SET</t>
  </si>
  <si>
    <t>TOP - BOTTOM SET PIYAMA KERAH LSLP MY MELODY PYLMM:PASTEL PINK:5:PRINT:TOP - BOTTOM SET</t>
  </si>
  <si>
    <t>TOP - BOTTOM SET PIYAMA KERAH LSLP MY MELODY PYLMM:PASTEL PINK:6:PRINT:TOP - BOTTOM SET</t>
  </si>
  <si>
    <t>TOP - BOTTOM SET PIYAMA KERAH LSLP MY MELODY PYLMM:PASTEL PINK:7:PRINT:TOP - BOTTOM SET</t>
  </si>
  <si>
    <t>TOP - BOTTOM SET PIYAMA KERAH LSLP MY MELODY PYLMM:PASTEL PINK:8:PRINT:TOP - BOTTOM SET</t>
  </si>
  <si>
    <t>TOP - BOTTOM SET PIYAMA KERAH LSLP MY MELODY PYLMM:PASTEL PINK:10:PRINT:TOP - BOTTOM SET</t>
  </si>
  <si>
    <t>TOP - BOTTOM SET PIYAMA KERAH LSLP MY MELODY PYLMM:PASTEL PINK:12:PRINT:TOP - BOTTOM SET</t>
  </si>
  <si>
    <t>TOP - BOTTOM SET PIYAMA KERAH LSLP MY MELODY PYLMM:PASTEL PINK:14:PRINT:TOP - BOTTOM SET</t>
  </si>
  <si>
    <t>SWKU</t>
  </si>
  <si>
    <t>TOP - BOTTOM SET LSLP KUROMI SWKU:PASTEL PURPLE:8:PRINT:TOP - BOTTOM SET</t>
  </si>
  <si>
    <t>TOP - BOTTOM SET LSLP KUROMI SWKU:PASTEL PURPLE:10:PRINT:TOP - BOTTOM SET</t>
  </si>
  <si>
    <t>TOP - BOTTOM SET LSLP KUROMI SWKU:PASTEL PURPLE:12:PRINT:TOP - BOTTOM SET</t>
  </si>
  <si>
    <t>TOP - BOTTOM SET LSLP KUROMI SWKU:PASTEL PURPLE:14:PRINT:TOP - BOTTOM SET</t>
  </si>
  <si>
    <t>MP3TWEET</t>
  </si>
  <si>
    <t>PACK OF 3 UW TWEETY MP3TWEET:ASSORTIVE COLOR:S:PRINT:TRUNK</t>
  </si>
  <si>
    <t>PACK OF 3 UW TWEETY MP3TWEET:ASSORTIVE COLOR:M:PRINT:TRUNK</t>
  </si>
  <si>
    <t>PACK OF 3 UW TWEETY MP3TWEET:ASSORTIVE COLOR:L:PRINT:TRUNK</t>
  </si>
  <si>
    <t>PACK OF 3 UW TWEETY MP3TWEET:ASSORTIVE COLOR:XL:PRINT:TRUNK</t>
  </si>
  <si>
    <t>MP3SUP4</t>
  </si>
  <si>
    <t>BRIEF PACK OF 3 SUPERMAN MP3SUP4:ASSORTIVE COLOR:S:PRINT:TRUNK</t>
  </si>
  <si>
    <t>BRIEF PACK OF 3 SUPERMAN MP3SUP4:ASSORTIVE COLOR:M:PRINT:TRUNK</t>
  </si>
  <si>
    <t>BRIEF PACK OF 3 SUPERMAN MP3SUP4:ASSORTIVE COLOR:L:PRINT:TRUNK</t>
  </si>
  <si>
    <t>BRIEF PACK OF 3 SUPERMAN MP3SUP4:ASSORTIVE COLOR:XL:PRINT:TRUNK</t>
  </si>
  <si>
    <t>SWCSBAT</t>
  </si>
  <si>
    <t>SET SSLP COSTUME BATMAN  SWCSBAT:PASTEL GREY:8:PRINT:SS PYJAMA PANTS</t>
  </si>
  <si>
    <t>SET SSLP COSTUME BATMAN  SWCSBAT:PASTEL GREY:10:PRINT:SS PYJAMA PANTS</t>
  </si>
  <si>
    <t>SET SSLP COSTUME BATMAN  SWCSBAT:PASTEL GREY:12:PRINT:SS PYJAMA PANTS</t>
  </si>
  <si>
    <t>SET SSLP COSTUME BATMAN  SWCSBAT:PASTEL GREY:14:PRINT:SS PYJAMA PANTS</t>
  </si>
  <si>
    <t>KKBAT242</t>
  </si>
  <si>
    <t>SOCKS KKB BATMAN KKBAT242:BLACK:14-16:GRAPHIC:SOCKS</t>
  </si>
  <si>
    <t>SOCKS KKB BATMAN KKBAT242:BLACK:18-20:GRAPHIC:SOCKS</t>
  </si>
  <si>
    <t>KKBAT244</t>
  </si>
  <si>
    <t>SOCKS KKB BATMAN KKBAT244:PASTEL GREY:14-16:GRAPHIC:SOCKS</t>
  </si>
  <si>
    <t>SOCKS KKB BATMAN KKBAT244:PASTEL GREY:18-20:GRAPHIC:SOCKS</t>
  </si>
  <si>
    <t>KBAT241</t>
  </si>
  <si>
    <t>SOCKS KKB BATMAN KBAT241:BLACK:14-16:GRAPHIC:SOCKS</t>
  </si>
  <si>
    <t>SOCKS KKB BATMAN KBAT241:BLACK:18-20:GRAPHIC:SOCKS</t>
  </si>
  <si>
    <t>KBAT243</t>
  </si>
  <si>
    <t>SOCKS KKB BATMAN KBAT243:BLACK:14-16:GRAPHIC:SOCKS</t>
  </si>
  <si>
    <t>SOCKS KKB BATMAN KBAT243:BLACK:18-20:GRAPHIC:SOCKS</t>
  </si>
  <si>
    <t>KSUP241</t>
  </si>
  <si>
    <t>SOCKS KKB SUPERMAN KSUP241:CLASSIC BLUE:14-16:GRAPHIC:SOCKS</t>
  </si>
  <si>
    <t>SOCKS KKB SUPERMAN KSUP241:CLASSIC BLUE:18-20:GRAPHIC:SOCKS</t>
  </si>
  <si>
    <t>KSUP242</t>
  </si>
  <si>
    <t>SOCKS KKB SUPERMAN KSUP242:CLASSIC BLUE:14-16:GRAPHIC:SOCKS</t>
  </si>
  <si>
    <t>SOCKS KKB SUPERMAN KSUP242:CLASSIC BLUE:18-20:GRAPHIC:SOCKS</t>
  </si>
  <si>
    <t>KKBAT245</t>
  </si>
  <si>
    <t>SOCKS KKB BATMAN LOGO KKBAT245:PASTEL GREY:14-16:GRAPHIC:SOCKS</t>
  </si>
  <si>
    <t>SOCKS KKB BATMAN LOGO KKBAT245:PASTEL GREY:18-20:GRAPHIC:SOCKS</t>
  </si>
  <si>
    <t>KKBAT246</t>
  </si>
  <si>
    <t>SOCKS KKB BATMAN FP LOGO KKBAT246:BLACK:14-16:GRAPHIC:SOCKS</t>
  </si>
  <si>
    <t>SOCKS KKB BATMAN FP LOGO KKBAT246:BLACK:18-20:GRAPHIC:SOCKS</t>
  </si>
  <si>
    <t>KKTW01</t>
  </si>
  <si>
    <t>SOCKS KKG TWEETY KKTW01:PASTEL YELLOW:14-16:GRAPHIC:SOCKS</t>
  </si>
  <si>
    <t>SOCKS KKG TWEETY KKTW01:PASTEL YELLOW:18-20:GRAPHIC:SOCKS</t>
  </si>
  <si>
    <t>KKTW02</t>
  </si>
  <si>
    <t>SOCKS KKG TWEETY KKTW02:PASTEL YELLOW:14-16:GRAPHIC:SOCKS</t>
  </si>
  <si>
    <t>SOCKS KKG TWEETY KKTW02:PASTEL YELLOW:18-20:GRAPHIC:SOCKS</t>
  </si>
  <si>
    <t>MP3BAT01</t>
  </si>
  <si>
    <t>BRIEF UW  BRIEF PACK  OF 3  BATMAN MP3BAT01:ASSORTIVE COLOR:S:PRINT:TRUNK</t>
  </si>
  <si>
    <t>BRIEF UW  BRIEF PACK  OF 3  BATMAN MP3BAT01:ASSORTIVE COLOR:M:PRINT:TRUNK</t>
  </si>
  <si>
    <t>BRIEF UW  BRIEF PACK  OF 3  BATMAN MP3BAT01:ASSORTIVE COLOR:L:PRINT:TRUNK</t>
  </si>
  <si>
    <t>BRIEF UW  BRIEF PACK  OF 3  BATMAN MP3BAT01:ASSORTIVE COLOR:XL:PRINT:TRUNK</t>
  </si>
  <si>
    <t>MP3SUP01</t>
  </si>
  <si>
    <t>BRIEF UW  BRIEF PACK  OF 3 SUPERMAN MP3SUP01:ASSORTIVE COLOR:S:PRINT:TRUNK</t>
  </si>
  <si>
    <t>BRIEF UW  BRIEF PACK  OF 3 SUPERMAN MP3SUP01:ASSORTIVE COLOR:M:PRINT:TRUNK</t>
  </si>
  <si>
    <t>BRIEF UW  BRIEF PACK  OF 3 SUPERMAN MP3SUP01:ASSORTIVE COLOR:L:PRINT:TRUNK</t>
  </si>
  <si>
    <t>BRIEF UW  BRIEF PACK  OF 3 SUPERMAN MP3SUP01:ASSORTIVE COLOR:XL:PRINT:TRUNK</t>
  </si>
  <si>
    <t>KKLGSUP1</t>
  </si>
  <si>
    <t>KKB FP SUPERMAN LOGO KKLGSUP1:PASTEL BLUE:14-16:PRINT:SOCKS</t>
  </si>
  <si>
    <t>KKB FP SUPERMAN LOGO KKLGSUP1:PASTEL BLUE:18-20:PRINT:SOCKS</t>
  </si>
  <si>
    <t>KKLGBAT1</t>
  </si>
  <si>
    <t>SOCK KKG FP BATMAN LOGO KKLGBAT1:BLACK:14-16:PRINT:SOCKS</t>
  </si>
  <si>
    <t>SOCK KKG FP BATMAN LOGO KKLGBAT1:BLACK:18-20:PRINT:SOCKS</t>
  </si>
  <si>
    <t>CDR1MAR</t>
  </si>
  <si>
    <t>BRIEF MARIE DEPAN CDR1MAR:PASTEL ORANGE:S:GRAPHIC:BRIEF</t>
  </si>
  <si>
    <t>BRIEF MARIE DEPAN CDR1MAR:PASTEL ORANGE:M:GRAPHIC:BRIEF</t>
  </si>
  <si>
    <t>BRIEF MARIE DEPAN CDR1MAR:PASTEL ORANGE:L:GRAPHIC:BRIEF</t>
  </si>
  <si>
    <t>BRIEF MARIE DEPAN CDR1MAR:PASTEL ORANGE:XL:GRAPHIC:BRIEF</t>
  </si>
  <si>
    <t>BRIEF MARIE DEPAN CDR1MAR:PASTEL ORANGE:2XL:GRAPHIC:BRIEF</t>
  </si>
  <si>
    <t>BRIEF MARVEL SPIDERMAN 66040200MCS UWSP05:CLASSIC RED:XL:GRAPHIC:BRIEF</t>
  </si>
  <si>
    <t>BRIEF MARVEL SPIDERMAN 66040200MCS UWSP07:MISTY MEDIUM GREY:L:GRAPHIC:BRIEF</t>
  </si>
  <si>
    <t>BRIEF MARVEL SPIDERMAN 66040200MCS UWSP07:MISTY MEDIUM GREY:XL:GRAPHIC:BRIEF</t>
  </si>
  <si>
    <t>TOP - BOTTOM SET LSLP FULLPRINT MICKEY 660204008MIC:OFF WHITE:4:PRINT:TOP - BOTTO</t>
  </si>
  <si>
    <t>TOP - BOTTOM SET LSLP FULLPRINT MICKEY 660204008MIC:OFF WHITE:8:PRINT:TOP - BOTTO</t>
  </si>
  <si>
    <t>TOP - BOTTOM SET LSLP FULLPRINT MICKEY 660204008MIC:OFF WHITE:10:PRINT:TOP - BOTTO</t>
  </si>
  <si>
    <t>TOP - BOTTOM SET LSLP FULLPRINT MICKEY 660204008MIC:OFF WHITE:12:PRINT:TOP - BOTTO</t>
  </si>
  <si>
    <t>4GAMIN2</t>
  </si>
  <si>
    <t>TOP - BOTTOM SET PIYAMA LSLP MINNIE LOVE 4GAMIN2:OFF WHITE:5:PRINT:TOP - BOTTOM</t>
  </si>
  <si>
    <t>TOP - BOTTOM SET PIYAMA LSLP MINNIE LOVE 4GAMIN2:OFF WHITE:6:PRINT:TOP - BOTTOM</t>
  </si>
  <si>
    <t>TOP - BOTTOM SET PIYAMA LSLP MINNIE LOVE 4GAMIN2:OFF WHITE:7:PRINT:TOP - BOTTOM</t>
  </si>
  <si>
    <t>TOP - BOTTOM SET PIYAMA LSLP MINNIE LOVE 4GAMIN2:OFF WHITE:8:PRINT:TOP - BOTTOM</t>
  </si>
  <si>
    <t>TOP - BOTTOM SET PIYAMA LSLP MINNIE LOVE 4GAMIN2:OFF WHITE:10:PRINT:TOP - BOTTOM</t>
  </si>
  <si>
    <t>TOP - BOTTOM SET PIYAMA LSLP MINNIE LOVE 4GAMIN2:OFF WHITE:12:PRINT:TOP - BOTTOM</t>
  </si>
  <si>
    <t>66040200MIN CD FP RAINBOW MINNIE HEAD:CLASSIC PURPLE:XL</t>
  </si>
  <si>
    <t>KK MINNIE CUTE DREAMS:WHITE:14-16</t>
  </si>
  <si>
    <t>KK MINNIE FP STAR:PASTEL PINK:18-20</t>
  </si>
  <si>
    <t>LSLP MINNIE UNICORN DREAMS:PEPPERMINT:M</t>
  </si>
  <si>
    <t>COLAF</t>
  </si>
  <si>
    <t>CD OLAF 1:LIGHT BLUE:XL</t>
  </si>
  <si>
    <t>CMIKI6</t>
  </si>
  <si>
    <t>CD IP MICKEY 6:NAVY BLUE:S</t>
  </si>
  <si>
    <t>SCW1</t>
  </si>
  <si>
    <t>810 SINGLET CIVIL WARS 1:NAVY BLUE:L</t>
  </si>
  <si>
    <t>SFROZ3</t>
  </si>
  <si>
    <t>812 SINGLET FROZEN 3:FUSCHIA:S</t>
  </si>
  <si>
    <t>PRC30</t>
  </si>
  <si>
    <t>CD IP PRINCESS 30:LIGHT BLUE:L</t>
  </si>
  <si>
    <t>CTSUM3</t>
  </si>
  <si>
    <t>DTR CD SABLON TSUM TSUM 3:WHITE:L</t>
  </si>
  <si>
    <t>STSUM4</t>
  </si>
  <si>
    <t>SINGLET TSUM TSUM 4-MINNIE:WHITE:L</t>
  </si>
  <si>
    <t>SSPIDE1</t>
  </si>
  <si>
    <t>SINGLET SPIDERMAN 1:CLASSIC BLUE:L</t>
  </si>
  <si>
    <t>CMINNIE3</t>
  </si>
  <si>
    <t>CD MINNIE 3 FP:PINK LEMONADE:S</t>
  </si>
  <si>
    <t>CPRC1</t>
  </si>
  <si>
    <t>CD PRINCESS 1 FP:FUSCHIA:XL</t>
  </si>
  <si>
    <t>CSPIDEY9</t>
  </si>
  <si>
    <t>CD SPIDERMAN 9:MISTY LIGHT GREY:S</t>
  </si>
  <si>
    <t>SPRC6</t>
  </si>
  <si>
    <t>SINGLET PRINCESS 6 FP:PASTEL PURPLE:L</t>
  </si>
  <si>
    <t>KK MIX CAR</t>
  </si>
  <si>
    <t>KK CARS 1</t>
  </si>
  <si>
    <t>KKCAR2</t>
  </si>
  <si>
    <t>KK CARS 2:NAVY BLUE:14-16</t>
  </si>
  <si>
    <t>KKCARS95</t>
  </si>
  <si>
    <t>KK CARS 95:PASTEL GREY:18-20</t>
  </si>
  <si>
    <t>KKMICKEY2</t>
  </si>
  <si>
    <t>KK MICKEY 2:CLASSIC RED:14-16</t>
  </si>
  <si>
    <t>DTRKKCAR</t>
  </si>
  <si>
    <t>DTR KK DRIFTING CAR:WHITE:14-16</t>
  </si>
  <si>
    <t>KKMINLOGO</t>
  </si>
  <si>
    <t>DTR LOGO MINNIE MOUSE:WHITE:14-16</t>
  </si>
  <si>
    <t>KKMICKEY</t>
  </si>
  <si>
    <t>KK DTR MICKEY:NAVY BLUE:14-16</t>
  </si>
  <si>
    <t>KKSTAR1</t>
  </si>
  <si>
    <t>KK STAR WARS 1:WHITE:18-20</t>
  </si>
  <si>
    <t>KKSTAR2</t>
  </si>
  <si>
    <t>KK STAR WARS 2:WHITE:14-16</t>
  </si>
  <si>
    <t>KKSW3</t>
  </si>
  <si>
    <t>KK STARWARS 3:WHITE:14-16</t>
  </si>
  <si>
    <t>KKCARS4</t>
  </si>
  <si>
    <t>KK CARS 4:CLASSIC BLUE:14-16</t>
  </si>
  <si>
    <t>KKCARS3</t>
  </si>
  <si>
    <t>KK CARS 3 THINK FAST:CLASSIC RED:14-16</t>
  </si>
  <si>
    <t>KKTSUM2</t>
  </si>
  <si>
    <t>KK TSUM TSUM 2:SALMON:14-16</t>
  </si>
  <si>
    <t>KKFROZ2</t>
  </si>
  <si>
    <t>KK FROZEN 2 - ANNA:WHITE:14-16</t>
  </si>
  <si>
    <t>KKPRC3</t>
  </si>
  <si>
    <t>KK PRINCESS 3 AURORA:BUBBLEGUM PINK:18-20</t>
  </si>
  <si>
    <t>KKMCK3</t>
  </si>
  <si>
    <t>KK MICKEY 3 SALUR:CLASSIC BLUE:14-16</t>
  </si>
  <si>
    <t>SPIDEY5</t>
  </si>
  <si>
    <t>KK SPIDERMAN 5:CLASSIC BLUE:10-12</t>
  </si>
  <si>
    <t>SPIDEY6</t>
  </si>
  <si>
    <t>SPIDEY4</t>
  </si>
  <si>
    <t>KK SPIDERMAN 4:CLASSIC BLUE:10-12</t>
  </si>
  <si>
    <t>KK IRON MAN KOSTUM:CLASSIC RED:10-12</t>
  </si>
  <si>
    <t>SPIDEY8</t>
  </si>
  <si>
    <t>KK SPIDERMAN 10:CLASSIC RED:14-16</t>
  </si>
  <si>
    <t>KK SPIDERMAN 10:CLASSIC RED:18-20</t>
  </si>
  <si>
    <t>KK SPIDERMAN 11:CLASSIC RED:10-12</t>
  </si>
  <si>
    <t>KK SPIDERMAN 11:CLASSIC BLUE:10-12</t>
  </si>
  <si>
    <t>68060304OAV KK STRIPE CAPT AMERICA:CLASSIC RED:14-16</t>
  </si>
  <si>
    <t>12MN59</t>
  </si>
  <si>
    <t>LSLP MINNIE 59 12-14</t>
  </si>
  <si>
    <t>6ULTRN9</t>
  </si>
  <si>
    <t>LSLP AGE OF ULTRON 9 6,8,10</t>
  </si>
  <si>
    <t>6ULTRN6</t>
  </si>
  <si>
    <t>LSLP AGE OF ULTRON 6:6.8.10</t>
  </si>
  <si>
    <t>LSLP MICKEY ESSN:WHITE:12</t>
  </si>
  <si>
    <t>3MCK</t>
  </si>
  <si>
    <t>618 LSLP MICKEY 1 3,4,5</t>
  </si>
  <si>
    <t>SB LSLP MINNIE 5:FUSCHIA:10</t>
  </si>
  <si>
    <t>PRC6</t>
  </si>
  <si>
    <t>D TP PRINCESS 6:BUBBLEGUM PINK:10</t>
  </si>
  <si>
    <t>AVA5</t>
  </si>
  <si>
    <t>TP LSLP AVENGER 5:NAVY BLUE:12</t>
  </si>
  <si>
    <t>IRON 2</t>
  </si>
  <si>
    <t>TP LSLP IRON MAN 2:CLASSIC BLUE:14</t>
  </si>
  <si>
    <t>TP LSLP THOR 3:CLASSIC BLUE:8</t>
  </si>
  <si>
    <t>CARS2</t>
  </si>
  <si>
    <t>LSLP CARS RPG 02:BLACK:12</t>
  </si>
  <si>
    <t>MIKI2</t>
  </si>
  <si>
    <t>LSLP MICKEY 2:BRILLIANT BLUE:4</t>
  </si>
  <si>
    <t>LSLP MICKEY 2:BRILLIANT BLUE:6</t>
  </si>
  <si>
    <t>LSLP TSUM TSUM 4:BUBBLEGUM PINK:4</t>
  </si>
  <si>
    <t>TSUM12</t>
  </si>
  <si>
    <t>LSLP TSUM TSUM 12:PINK LEMONADE:5</t>
  </si>
  <si>
    <t>LSLP TSUM TSUM 12:PINK LEMONADE:14</t>
  </si>
  <si>
    <t>LSLP TSUM TSUM 12:BUBBLEGUM PINK:5</t>
  </si>
  <si>
    <t>LSLP TSUM TSUM 12:BUBBLEGUM PINK:12</t>
  </si>
  <si>
    <t>LSLP TSUM TSUM 12:BUBBLEGUM PINK:7</t>
  </si>
  <si>
    <t>LSLP TSUM TSUM 10:NAVY BLUE:8</t>
  </si>
  <si>
    <t>CSPIDEY6</t>
  </si>
  <si>
    <t>CD SUPERMAN 6:CLASSIC BLUE:S</t>
  </si>
  <si>
    <t>CD SUPERMAN 6:CLASSIC BLUE:M</t>
  </si>
  <si>
    <t>LSLP TSUM TSUM 13 POOH:CLASSIC PURPLE:14</t>
  </si>
  <si>
    <t>PRC9</t>
  </si>
  <si>
    <t>LSLP PRINCESS 9 - BELLE:MISTY LIGHT YELLOW:4</t>
  </si>
  <si>
    <t>PRC2</t>
  </si>
  <si>
    <t>LSLP PRC 2:MISTY LIGHT PURPLE:4</t>
  </si>
  <si>
    <t>AVGN14</t>
  </si>
  <si>
    <t>LSLP IRON MAN 14:NAVY BLUE:12</t>
  </si>
  <si>
    <t>AVGN13</t>
  </si>
  <si>
    <t>LSLP CAPTAIN AMERICA:CLASSIC RED:8</t>
  </si>
  <si>
    <t>PRC5</t>
  </si>
  <si>
    <t>LSLP PRINCESS 5:PASTEL PINK:8</t>
  </si>
  <si>
    <t>LSLP PRINCESS 5:PASTEL PINK:7</t>
  </si>
  <si>
    <t>LSLP MINNIE 5:FUSCHIA:14</t>
  </si>
  <si>
    <t>AVGN15</t>
  </si>
  <si>
    <t>LSLP HULK 15:NAVY BLUE:4</t>
  </si>
  <si>
    <t>LSLP PRINCESS 12:PASTEL PINK:4</t>
  </si>
  <si>
    <t>PRC8</t>
  </si>
  <si>
    <t>LSLP PRINCESS 8:PASTEL PINK:4</t>
  </si>
  <si>
    <t>LSLP SPIDERMAN 8:BLACK:8</t>
  </si>
  <si>
    <t>LSLP SPIDERMAN 8:BLACK:14</t>
  </si>
  <si>
    <t>LSLP SPIDERMAN 8:CLASSIC RED:10</t>
  </si>
  <si>
    <t>LSLP PRINCESS 10:FUSCHIA:5</t>
  </si>
  <si>
    <t>LSLP PRINCESS 10:FUSCHIA:12</t>
  </si>
  <si>
    <t>LSLP PRINCESS 11:PASTEL PINK:7</t>
  </si>
  <si>
    <t>PRC14</t>
  </si>
  <si>
    <t>LSLP PRINCESS 14:PASTEL PINK:10</t>
  </si>
  <si>
    <t>TSUM1</t>
  </si>
  <si>
    <t>LSLP TSUM TSUM 1:CLASSIC RED:5</t>
  </si>
  <si>
    <t>PRC4</t>
  </si>
  <si>
    <t>LSLP PRINCESS 4 - AURORA SUBLIM:PASTEL PINK:10</t>
  </si>
  <si>
    <t>SWARS2</t>
  </si>
  <si>
    <t>LSLP SB STARWARS 2:NAVY BLUE:4</t>
  </si>
  <si>
    <t>SWARS1</t>
  </si>
  <si>
    <t>LLP SB STARWARS 1:MISTY LIGHT GREY:10</t>
  </si>
  <si>
    <t>LLP SB STARWARS 1:MISTY LIGHT GREY:6</t>
  </si>
  <si>
    <t>SW LSLP MINNIE HATI:PASTEL PINK:5</t>
  </si>
  <si>
    <t>SPD8</t>
  </si>
  <si>
    <t>DTR LSLP SPIDERMAN 8:NAVY BLUE:6</t>
  </si>
  <si>
    <t>DTR LSLP SPIDERMAN 8:NAVY BLUE:10</t>
  </si>
  <si>
    <t>SPD7</t>
  </si>
  <si>
    <t>DTR LSLP SPIDERMAN 7:NAVY BLUE:14</t>
  </si>
  <si>
    <t>STAR4</t>
  </si>
  <si>
    <t>LSLP STARWARS 4:MISTY LIGHT GREY:6</t>
  </si>
  <si>
    <t>MICKEY2</t>
  </si>
  <si>
    <t>66040300MI MICKEY 2:CLASSIC BLUE:4</t>
  </si>
  <si>
    <t>66040300MI MICKEY 2:CLASSIC BLUE:5</t>
  </si>
  <si>
    <t>AVGN09</t>
  </si>
  <si>
    <t>LSLP IRON MAN KOSTUM:CLASSIC RED:5</t>
  </si>
  <si>
    <t>SWN074</t>
  </si>
  <si>
    <t>LSLP STAR WARS FP:BLACK:8</t>
  </si>
  <si>
    <t>PPG1</t>
  </si>
  <si>
    <t>ONE SET SS PPG LEGGING POLOS PPG1:ASSORTIVE COLOR:3-6:PRINT:TOP - BOTTOM SET</t>
  </si>
  <si>
    <t>ONE SET SS PPG LEGGING POLOS PPG1:ASSORTIVE COLOR:6-12:PRINT:TOP - BOTTOM SET</t>
  </si>
  <si>
    <t>ONE SET SS PPG LEGGING POLOS PPG1:ASSORTIVE COLOR:12-18:PRINT:TOP - BOTTOM SET</t>
  </si>
  <si>
    <t>ONE SET SS PPG LEGGING POLOS PPG1:ASSORTIVE COLOR:18-24:PRINT:TOP - BOTTOM SET</t>
  </si>
  <si>
    <t>ONE SET SS PPG LEGGING POLOS PPG1:ASSORTIVE COLOR:24-36:PRINT:TOP - BOTTOM SET</t>
  </si>
  <si>
    <t>PPG2</t>
  </si>
  <si>
    <t>SS MIDI DRESS CHARACTER PPG KERAH FULL PRINT PPG2:PASTEL PINK:3-6:PRINT:SS MIDI DRESS</t>
  </si>
  <si>
    <t>SS MIDI DRESS CHARACTER PPG KERAH FULL PRINT PPG2:PASTEL PINK:6-12:PRINT:SS MIDI DRESS</t>
  </si>
  <si>
    <t>SS MIDI DRESS CHARACTER PPG KERAH FULL PRINT PPG2:PASTEL PINK:12-18:PRINT:SS MIDI DRESS</t>
  </si>
  <si>
    <t>SS MIDI DRESS CHARACTER PPG KERAH FULL PRINT PPG2:PASTEL PINK:18-24:PRINT:SS MIDI DRESS</t>
  </si>
  <si>
    <t>SS MIDI DRESS CHARACTER PPG KERAH FULL PRINT PPG2:PASTEL PINK:24-36:PRINT:SS MIDI DRESS</t>
  </si>
  <si>
    <t>PPG3</t>
  </si>
  <si>
    <t>ONE SET SS PPG LEGGING FULL PRINT PPG3:PASTEL PINK:3-6:PRINT:TOP - BOTTOM SET</t>
  </si>
  <si>
    <t>ONE SET SS PPG LEGGING FULL PRINT PPG3:PASTEL PINK:6-12:PRINT:TOP - BOTTOM SET</t>
  </si>
  <si>
    <t>ONE SET SS PPG LEGGING FULL PRINT PPG3:PASTEL PINK:12-18:PRINT:TOP - BOTTOM SET</t>
  </si>
  <si>
    <t>ONE SET SS PPG LEGGING FULL PRINT PPG3:PASTEL PINK:18-24:PRINT:TOP - BOTTOM SET</t>
  </si>
  <si>
    <t>ONE SET SS PPG LEGGING FULL PRINT PPG3:PASTEL PINK:24-36:PRINT:TOP - BOTTOM SET</t>
  </si>
  <si>
    <t>PPG4</t>
  </si>
  <si>
    <t>SS MIDI DRESS OVERALL SUPER CUTE PPG PPG4:PASTEL PINK:3-6:PRINT:SS MIDI DRESS</t>
  </si>
  <si>
    <t>SS MIDI DRESS OVERALL SUPER CUTE PPG PPG4:PASTEL PINK:6-12:PRINT:SS MIDI DRESS</t>
  </si>
  <si>
    <t>SS MIDI DRESS OVERALL SUPER CUTE PPG PPG4:PASTEL PINK:12-18:PRINT:SS MIDI DRESS</t>
  </si>
  <si>
    <t>SS MIDI DRESS OVERALL SUPER CUTE PPG PPG4:PASTEL PINK:18-24:PRINT:SS MIDI DRESS</t>
  </si>
  <si>
    <t>SS MIDI DRESS OVERALL SUPER CUTE PPG PPG4:PASTEL PINK:24-36:PRINT:SS MIDI DRESS</t>
  </si>
  <si>
    <t>LSSWKU</t>
  </si>
  <si>
    <t>LS SHIRT KOMBI WOVEN KUROMI LSSWKU:PASTEL PURPLE:5-6:STRIPES:LS SHIRT</t>
  </si>
  <si>
    <t>LS SHIRT KOMBI WOVEN KUROMI LSSWKU:PASTEL PURPLE:7-8:STRIPES:LS SHIRT</t>
  </si>
  <si>
    <t>LS SHIRT KOMBI WOVEN KUROMI LSSWKU:PASTEL PURPLE:9-10:STRIPES:LS SHIRT</t>
  </si>
  <si>
    <t>LS SHIRT KOMBI WOVEN KUROMI LSSWKU:PASTEL PURPLE:11-12:STRIPES:LS SHIRT</t>
  </si>
  <si>
    <t>TSGKU1</t>
  </si>
  <si>
    <t>SS T-SHIRT KUROMI TSGKU1:PASTEL PINK:7-8:GRAPHIC:SS T-SHIRT</t>
  </si>
  <si>
    <t>SS T-SHIRT KUROMI TSGKU1:PASTEL PINK:9-10:GRAPHIC:SS T-SHIRT</t>
  </si>
  <si>
    <t>TSGKU2</t>
  </si>
  <si>
    <t>SS T-SHIRT KUROMI TSGKU2:OFF WHITE:7-8:GRAPHIC:SS T-SHIRT</t>
  </si>
  <si>
    <t>SS T-SHIRT KUROMI TSGKU1:PASTEL PINK:11-12:GRAPHIC:SS T-SHIRT</t>
  </si>
  <si>
    <t>SS T-SHIRT KUROMI TSGKU1:PASTEL PINK:5-6:GRAPHIC:SS T-SHIRT</t>
  </si>
  <si>
    <t>SS T-SHIRT KUROMI TSGKU2:OFF WHITE:9-10:GRAPHIC:SS T-SHIRT</t>
  </si>
  <si>
    <t>SS T-SHIRT KUROMI TSGKU2:OFF WHITE:11-12:GRAPHIC:SS T-SHIRT</t>
  </si>
  <si>
    <t>SS T-SHIRT KUROMI TSGKU2:OFF WHITE:5-6:GRAPHIC:SS T-SHIRT</t>
  </si>
  <si>
    <t>DLWFMM</t>
  </si>
  <si>
    <t>LS MIDI DRESS WAFEL MY MELODY DLWFMM:PASTEL ORANGE:4-5:GRAPHIC:LS MIDI DRESS</t>
  </si>
  <si>
    <t>LS MIDI DRESS WAFEL MY MELODY DLWFMM:PASTEL ORANGE:3-4:GRAPHIC:LS MIDI DRESS</t>
  </si>
  <si>
    <t>LS MIDI DRESS WAFEL MY MELODY DLWFMM:PASTEL ORANGE:5-6:GRAPHIC:LS MIDI DRESS</t>
  </si>
  <si>
    <t>LS MIDI DRESS WAFEL MY MELODY DLWFMM:PASTEL ORANGE:9-10:GRAPHIC:LS MIDI DRESS</t>
  </si>
  <si>
    <t>LS MIDI DRESS WAFEL MY MELODY DLWFMM:PASTEL ORANGE:11-12:GRAPHIC:LS MIDI DRESS</t>
  </si>
  <si>
    <t>LS MIDI DRESS WAFEL MY MELODY DLWFMM:PASTEL ORANGE:7-8:GRAPHIC:LS MIDI DRESS</t>
  </si>
  <si>
    <t>SWKU1</t>
  </si>
  <si>
    <t>SWEATSHIRT KUROMI COLLAR SWKU1:PASTEL PURPLE:5-6:GRAPHIC:SWEATSHIRT</t>
  </si>
  <si>
    <t>SWEATSHIRT KUROMI COLLAR SWKU1:PASTEL PURPLE:9-10:GRAPHIC:SWEATSHIRT</t>
  </si>
  <si>
    <t>SWEATSHIRT KUROMI COLLAR SWKU1:PASTEL PURPLE:11-12:GRAPHIC:SWEATSHIRT</t>
  </si>
  <si>
    <t>SWEATSHIRT KUROMI COLLAR SWKU1:PASTEL PURPLE:7-8:GRAPHIC:SWEATSHIRT</t>
  </si>
  <si>
    <t>JKVMM</t>
  </si>
  <si>
    <t>JACKET VARSITY MY MELODY JKVMM:PASTEL PINK:7-8:GRAPHIC:JACKET</t>
  </si>
  <si>
    <t>JACKET VARSITY MY MELODY JKVMM:PASTEL PINK:9-10:GRAPHIC:JACKET</t>
  </si>
  <si>
    <t>JACKET VARSITY MY MELODY JKVMM:PASTEL PINK:11-12:GRAPHIC:JACKET</t>
  </si>
  <si>
    <t>JACKET VARSITY MY MELODY JKVMM:PASTEL PINK:5-6:GRAPHIC:JACKET</t>
  </si>
  <si>
    <t>JKTMLP</t>
  </si>
  <si>
    <t>JACKET HOODIE TANDUK MY LITTLE PONY JKTMLP:PASTEL PURPLE:7-8:GRAPHIC:JACKET</t>
  </si>
  <si>
    <t>JACKET HOODIE TANDUK MY LITTLE PONY JKTMLP:PASTEL PURPLE:5-6:GRAPHIC:JACKET</t>
  </si>
  <si>
    <t>JACKET HOODIE TANDUK MY LITTLE PONY JKTMLP:PASTEL PURPLE:3-4:GRAPHIC:JACKET</t>
  </si>
  <si>
    <t>JACKET HOODIE TANDUK MY LITTLE PONY JKTMLP:PASTEL PURPLE:4-5:GRAPHIC:JACKET</t>
  </si>
  <si>
    <t>JGGMM</t>
  </si>
  <si>
    <t>JOGGER MY MELODY JGGMM:PASTEL PINK:5-6:GRAPHIC:JOGGER</t>
  </si>
  <si>
    <t>JOGGER MY MELODY JGGMM:PASTEL PINK:9-10:GRAPHIC:JOGGER</t>
  </si>
  <si>
    <t>JOGGER MY MELODY JGGMM:PASTEL PINK:7-8:GRAPHIC:JOGGER</t>
  </si>
  <si>
    <t>JOGGER MY MELODY JGGMM:PASTEL PINK:11-12:GRAPHIC:JOGGER</t>
  </si>
  <si>
    <t>DLCDMM</t>
  </si>
  <si>
    <t>LS MIDI DRESS CARDIGAN MY MELODY DLCDMM:PASTEL PINK:9-10:FLORAL:LS MIDI DRESS</t>
  </si>
  <si>
    <t>LS MIDI DRESS CARDIGAN MY MELODY DLCDMM:PASTEL PINK:4-5:FLORAL:LS MIDI DRESS</t>
  </si>
  <si>
    <t>LS MIDI DRESS CARDIGAN MY MELODY DLCDMM:PASTEL PINK:3-4:FLORAL:LS MIDI DRESS</t>
  </si>
  <si>
    <t>LS MIDI DRESS CARDIGAN MY MELODY DLCDMM:PASTEL PINK:11-12:FLORAL:LS MIDI DRESS</t>
  </si>
  <si>
    <t>LS MIDI DRESS CARDIGAN MY MELODY DLCDMM:PASTEL PINK:7-8:FLORAL:LS MIDI DRESS</t>
  </si>
  <si>
    <t>LS MIDI DRESS CARDIGAN MY MELODY DLCDMM:PASTEL PINK:5-6:FLORAL:LS MIDI DRESS</t>
  </si>
  <si>
    <t>DSOCKR</t>
  </si>
  <si>
    <t>SHORT JUMPSUIT DRESS SS CORDUROY KUROMI DSOCKR:PASTEL PURPLE:3-4:GRAPHIC:SHORT JUMPSUIT</t>
  </si>
  <si>
    <t>SHORT JUMPSUIT DRESS SS CORDUROY KUROMI DSOCKR:PASTEL PURPLE:4-5:GRAPHIC:SHORT JUMPSUIT</t>
  </si>
  <si>
    <t>SHORT JUMPSUIT DRESS SS CORDUROY KUROMI DSOCKR:PASTEL PURPLE:5-6:GRAPHIC:SHORT JUMPSUIT</t>
  </si>
  <si>
    <t>SHORT JUMPSUIT DRESS SS CORDUROY KUROMI DSOCKR:PASTEL PURPLE:7-8:GRAPHIC:SHORT JUMPSUIT</t>
  </si>
  <si>
    <t>SHORT JUMPSUIT DRESS SS CORDUROY KUROMI DSOCKR:PASTEL PURPLE:9-10:GRAPHIC:SHORT JUMPSUIT</t>
  </si>
  <si>
    <t>TSGCN2</t>
  </si>
  <si>
    <t>SS T-SHIRT CINNAMOROLL TSGCN2:PASTEL BLUE:5-6:GRAPHIC:SS T-SHIRT</t>
  </si>
  <si>
    <t>SS T-SHIRT CINNAMOROLL TSGCN2:PASTEL BLUE:11-12:GRAPHIC:SS T-SHIRT</t>
  </si>
  <si>
    <t>SS T-SHIRT CINNAMOROLL TSGCN2:PASTEL BLUE:9-10:GRAPHIC:SS T-SHIRT</t>
  </si>
  <si>
    <t>SS T-SHIRT CINNAMOROLL TSGCN2:PASTEL BLUE:7-8:GRAPHIC:SS T-SHIRT</t>
  </si>
  <si>
    <t>JKHMLP</t>
  </si>
  <si>
    <t>JACKET HOODIE MY LITTLE PONY JKHMLP:PASTEL PINK:4-5:GRAPHIC:JACKET</t>
  </si>
  <si>
    <t>JACKET HOODIE MY LITTLE PONY JKHMLP:PASTEL PINK:7-8:GRAPHIC:JACKET</t>
  </si>
  <si>
    <t>JACKET HOODIE MY LITTLE PONY JKHMLP:PASTEL PINK:5-6:GRAPHIC:JACKET</t>
  </si>
  <si>
    <t>JACKET HOODIE MY LITTLE PONY JKHMLP:PASTEL PINK:3-4:GRAPHIC:JACKET</t>
  </si>
  <si>
    <t>SSRPKU</t>
  </si>
  <si>
    <t>SS T-SHIRT ROMPI KUROMI SSRPKU:PASTEL PURPLE:5-6:GRAPHIC:SS T-SHIRT</t>
  </si>
  <si>
    <t>SS T-SHIRT ROMPI KUROMI SSRPKU:PASTEL PURPLE:7-8:GRAPHIC:SS T-SHIRT</t>
  </si>
  <si>
    <t>SS T-SHIRT ROMPI KUROMI SSRPKU:PASTEL PURPLE:11-12:GRAPHIC:SS T-SHIRT</t>
  </si>
  <si>
    <t>SS T-SHIRT ROMPI KUROMI SSRPKU:PASTEL PURPLE:9-10:GRAPHIC:SS T-SHIRT</t>
  </si>
  <si>
    <t>LSKRFZA</t>
  </si>
  <si>
    <t>LS T-SHIRT KERAH FROZEN LSKRFZA:PASTEL BLUE:7-8:GRAPHIC:LS T-SHIRT</t>
  </si>
  <si>
    <t>LS T-SHIRT KERAH FROZEN LSKRFZA:PASTEL BLUE:11-12:GRAPHIC:LS T-SHIRT</t>
  </si>
  <si>
    <t>LS T-SHIRT KERAH FROZEN LSKRFZA:PASTEL BLUE:5-6:GRAPHIC:LS T-SHIRT</t>
  </si>
  <si>
    <t>LS T-SHIRT KERAH FROZEN LSKRFZA:PASTEL BLUE:9-10:GRAPHIC:LS T-SHIRT</t>
  </si>
  <si>
    <t>LSL25MAR2</t>
  </si>
  <si>
    <t>LS BLOUSE WOVEN MARIE LSL25MAR2:PASTEL PINK:5-6:GRAPHIC:LS BLOUSE</t>
  </si>
  <si>
    <t>LS BLOUSE WOVEN MARIE LSL25MAR2:PASTEL PINK:4-5:GRAPHIC:LS BLOUSE</t>
  </si>
  <si>
    <t>LS BLOUSE WOVEN MARIE LSL25MAR2:PASTEL PINK:7-8:GRAPHIC:LS BLOUSE</t>
  </si>
  <si>
    <t>LS BLOUSE WOVEN MARIE LSL25MAR2:PASTEL PINK:3-4:GRAPHIC:LS BLOUSE</t>
  </si>
  <si>
    <t>LSCCMIN</t>
  </si>
  <si>
    <t>LS T-SHIRT TOP KERAH MINNIE COASTAL COTTAGE LSCCMIN:PASTEL BLUE:7-8:STRIPES:LS T-SHIRT</t>
  </si>
  <si>
    <t>LS T-SHIRT TOP KERAH MINNIE COASTAL COTTAGE LSCCMIN:PASTEL BLUE:4-5:STRIPES:LS T-SHIRT</t>
  </si>
  <si>
    <t>LS T-SHIRT TOP KERAH MINNIE COASTAL COTTAGE LSCCMIN:PASTEL BLUE:9-10:STRIPES:LS T-SHIRT</t>
  </si>
  <si>
    <t>LS T-SHIRT TOP KERAH MINNIE COASTAL COTTAGE LSCCMIN:PASTEL BLUE:5-6:STRIPES:LS T-SHIRT</t>
  </si>
  <si>
    <t>JKWNMIN</t>
  </si>
  <si>
    <t>JACKET WORDING MINNIE MOUSE JKWNMIN:NAVY BLUE:7-8:GRAPHIC:JACKET</t>
  </si>
  <si>
    <t>JACKET WORDING MINNIE MOUSE JKWNMIN:NAVY BLUE:5-6:GRAPHIC:JACKET</t>
  </si>
  <si>
    <t>JACKET WORDING MINNIE MOUSE JKWNMIN:NAVY BLUE:9-10:GRAPHIC:JACKET</t>
  </si>
  <si>
    <t>JACKET WORDING MINNIE MOUSE JKWNMIN:NAVY BLUE:11-12:GRAPHIC:JACKET</t>
  </si>
  <si>
    <t>DSMINFL</t>
  </si>
  <si>
    <t>SS MIDI DRESS MINNIE FP FLOWER DSMINFL:PASTEL PINK:5-6:PRINT:SS MIDI DRESS</t>
  </si>
  <si>
    <t>SS MIDI DRESS MINNIE FP FLOWER DSMINFL:PASTEL PINK:7-8:PRINT:SS MIDI DRESS</t>
  </si>
  <si>
    <t>SS MIDI DRESS MINNIE FP FLOWER DSMINFL:PASTEL PINK:3-4:PRINT:SS MIDI DRESS</t>
  </si>
  <si>
    <t>SS MIDI DRESS MINNIE FP FLOWER DSMINFL:PASTEL PINK:4-5:PRINT:SS MIDI DRESS</t>
  </si>
  <si>
    <t>DSMINPR</t>
  </si>
  <si>
    <t>SS MIDI DRESS TIERED MINNIE PRINT BTM DSMINPR:OFF WHITE:7-8:PRINT:SS MIDI DRESS</t>
  </si>
  <si>
    <t>DSBRMIN</t>
  </si>
  <si>
    <t>SS MIDI DRESS BORDER MINNIE DSBRMIN:PASTEL ORANGE:7-8:GRAPHIC:SS MIDI DRESS</t>
  </si>
  <si>
    <t>SS MIDI DRESS TIERED MINNIE PRINT BTM DSMINPR:OFF WHITE:4-5:PRINT:SS MIDI DRESS</t>
  </si>
  <si>
    <t>SS MIDI DRESS TIERED MINNIE PRINT BTM DSMINPR:OFF WHITE:5-6:PRINT:SS MIDI DRESS</t>
  </si>
  <si>
    <t>SS MIDI DRESS TIERED MINNIE PRINT BTM DSMINPR:OFF WHITE:3-4:PRINT:SS MIDI DRESS</t>
  </si>
  <si>
    <t>SS MIDI DRESS BORDER MINNIE DSBRMIN:PASTEL ORANGE:3-4:GRAPHIC:SS MIDI DRESS</t>
  </si>
  <si>
    <t>SS MIDI DRESS BORDER MINNIE DSBRMIN:PASTEL ORANGE:5-6:GRAPHIC:SS MIDI DRESS</t>
  </si>
  <si>
    <t>SS MIDI DRESS BORDER MINNIE DSBRMIN:PASTEL ORANGE:4-5:GRAPHIC:SS MIDI DRESS</t>
  </si>
  <si>
    <t>DSMINSM</t>
  </si>
  <si>
    <t>SS MIDI DRESS SMOCK MINNIE DSMINSM:ASSORTIVE COLOR:3-4:PRINT:SS MIDI DRESS</t>
  </si>
  <si>
    <t>SS MIDI DRESS SMOCK MINNIE DSMINSM:ASSORTIVE COLOR:11-12:PRINT:SS MIDI DRESS</t>
  </si>
  <si>
    <t>SS MIDI DRESS SMOCK MINNIE DSMINSM:ASSORTIVE COLOR:7-8:PRINT:SS MIDI DRESS</t>
  </si>
  <si>
    <t>DSWCCMIN</t>
  </si>
  <si>
    <t>SS MIDI DRESS WOVEN MINNIE COASTAL COTTAGE DSWCCMIN:PASTEL BLUE:4-5:GRAPHIC:SS MIDI DRESS</t>
  </si>
  <si>
    <t>SS MIDI DRESS WOVEN MINNIE COASTAL COTTAGE DSWCCMIN:PASTEL BLUE:7-8:GRAPHIC:SS MIDI DRESS</t>
  </si>
  <si>
    <t>SS MIDI DRESS SMOCK MINNIE DSMINSM:ASSORTIVE COLOR:4-5:PRINT:SS MIDI DRESS</t>
  </si>
  <si>
    <t>SS MIDI DRESS SMOCK MINNIE DSMINSM:ASSORTIVE COLOR:5-6:PRINT:SS MIDI DRESS</t>
  </si>
  <si>
    <t>SS MIDI DRESS WOVEN MINNIE COASTAL COTTAGE DSWCCMIN:PASTEL BLUE:5-6:GRAPHIC:SS MIDI DRESS</t>
  </si>
  <si>
    <t>SS MIDI DRESS WOVEN MINNIE COASTAL COTTAGE DSWCCMIN:PASTEL BLUE:3-4:GRAPHIC:SS MIDI DRESS</t>
  </si>
  <si>
    <t>SS MIDI DRESS SMOCK MINNIE DSMINSM:ASSORTIVE COLOR:9-10:PRINT:SS MIDI DRESS</t>
  </si>
  <si>
    <t>TSCDKLOT</t>
  </si>
  <si>
    <t>SS T-SHIRT LOTSO TROPHY COLLAR TSCDKLOT:OFF WHITE:11-12:GRAPHIC:SS T-SHIRT</t>
  </si>
  <si>
    <t>SS T-SHIRT LOTSO TROPHY COLLAR TSCDKLOT:OFF WHITE:7-8:GRAPHIC:SS T-SHIRT</t>
  </si>
  <si>
    <t>SS T-SHIRT LOTSO TROPHY COLLAR TSCDKLOT:OFF WHITE:5-6:GRAPHIC:SS T-SHIRT</t>
  </si>
  <si>
    <t>SS T-SHIRT LOTSO TROPHY COLLAR TSCDKLOT:OFF WHITE:9-10:GRAPHIC:SS T-SHIRT</t>
  </si>
  <si>
    <t>JKHGLOT</t>
  </si>
  <si>
    <t>JACKET HOODIE LOTSO JKHGLOT:PASTEL PINK:7-8:GRAPHIC:JACKET</t>
  </si>
  <si>
    <t>JACKET HOODIE LOTSO JKHGLOT:PASTEL PINK:9-10:GRAPHIC:JACKET</t>
  </si>
  <si>
    <t>JACKET HOODIE LOTSO JKHGLOT:PASTEL PINK:11-12:GRAPHIC:JACKET</t>
  </si>
  <si>
    <t>JACKET HOODIE LOTSO JKHGLOT:PASTEL PINK:5-6:GRAPHIC:JACKET</t>
  </si>
  <si>
    <t>DSKRKTM</t>
  </si>
  <si>
    <t>SS MIDI DRESS COLLAR WOVEN MINNIE DSKRKTM:WOOD BROWN:11-12:CHECKS:SS MIDI DRESS</t>
  </si>
  <si>
    <t>SS MIDI DRESS COLLAR WOVEN MINNIE DSKRKTM:WOOD BROWN:7-8:CHECKS:SS MIDI DRESS</t>
  </si>
  <si>
    <t>SS MIDI DRESS COLLAR WOVEN MINNIE DSKRKTM:WOOD BROWN:9-10:CHECKS:SS MIDI DRESS</t>
  </si>
  <si>
    <t>SS MIDI DRESS COLLAR WOVEN MINNIE DSKRKTM:WOOD BROWN:5-6:CHECKS:SS MIDI DRESS</t>
  </si>
  <si>
    <t>TSDKLOT</t>
  </si>
  <si>
    <t>SS T-SHIRT LOOK OUT LOTSO TSDKLOT:PASTEL PURPLE:5-6:GRAPHIC:SS T-SHIRT</t>
  </si>
  <si>
    <t>SS T-SHIRT LOOK OUT LOTSO TSDKLOT:PASTEL PURPLE:11-12:GRAPHIC:SS T-SHIRT</t>
  </si>
  <si>
    <t>SS T-SHIRT LOOK OUT LOTSO TSDKLOT:PASTEL PURPLE:9-10:GRAPHIC:SS T-SHIRT</t>
  </si>
  <si>
    <t>SS T-SHIRT LOOK OUT LOTSO TSDKLOT:PASTEL PURPLE:7-8:GRAPHIC:SS T-SHIRT</t>
  </si>
  <si>
    <t>SETFLGMIN</t>
  </si>
  <si>
    <t>TOP - BOTTOM SET SS MINNIE FLOWER GARDEN SETFLGMIN:PASTEL ORANGE:24-36:PRINT:TOP - BOTTOM SET</t>
  </si>
  <si>
    <t>TOP - BOTTOM SET SS MINNIE FLOWER GARDEN SETFLGMIN:PASTEL ORANGE:12-18:PRINT:TOP - BOTTOM SET</t>
  </si>
  <si>
    <t>TOP - BOTTOM SET SS MINNIE FLOWER GARDEN SETFLGMIN:PASTEL ORANGE:18-24:PRINT:TOP - BOTTOM SET</t>
  </si>
  <si>
    <t>TOP - BOTTOM SET SS MINNIE FLOWER GARDEN SETFLGMIN:PASTEL ORANGE:6-12:PRINT:TOP - BOTTOM SET</t>
  </si>
  <si>
    <t>D34MAR</t>
  </si>
  <si>
    <t>SS MIDI DRESS 3/4S WVN MARIE D34MAR:PASTEL PINK:12-18:PRINT:SS MIDI DRESS</t>
  </si>
  <si>
    <t>SS MIDI DRESS 3/4S WVN MARIE D34MAR:PASTEL PINK:24-36:PRINT:SS MIDI DRESS</t>
  </si>
  <si>
    <t>SS MIDI DRESS 3/4S WVN MARIE D34MAR:PASTEL PINK:6-12:PRINT:SS MIDI DRESS</t>
  </si>
  <si>
    <t>SS MIDI DRESS 3/4S WVN MARIE D34MAR:PASTEL PINK:18-24:PRINT:SS MIDI DRESS</t>
  </si>
  <si>
    <t>OVRSIM</t>
  </si>
  <si>
    <t>SHORT JUMPSUIT OVERALL SIMBA KOMBI WVN OVRSIM:PASTEL GREEN:6-12:PRINT:SHORT JUMPSUIT</t>
  </si>
  <si>
    <t>SHORT JUMPSUIT OVERALL SIMBA KOMBI WVN OVRSIM:PASTEL GREEN:12-18:PRINT:SHORT JUMPSUIT</t>
  </si>
  <si>
    <t>SHORT JUMPSUIT OVERALL SIMBA KOMBI WVN OVRSIM:PASTEL GREEN:18-24:PRINT:SHORT JUMPSUIT</t>
  </si>
  <si>
    <t>SHORT JUMPSUIT OVERALL SIMBA KOMBI WVN OVRSIM:PASTEL GREEN:24-36:PRINT:SHORT JUMPSUIT</t>
  </si>
  <si>
    <t>AR-MLD5</t>
  </si>
  <si>
    <t>SS MIDI DRESS TAS MELODY AR-MLD5:ASSORTIVE COLOR:6-12:PRINT:SS MIDI DRESS</t>
  </si>
  <si>
    <t>AR-MLD1</t>
  </si>
  <si>
    <t>SS T-SHIRT TOP MELODY FP KOTAK-KOTAK AR-MLD1:OFF WHITE:12-18:GRAPHIC:SS T-SHIRT</t>
  </si>
  <si>
    <t>AR-MLD2</t>
  </si>
  <si>
    <t>SS T-SHIRT TOP MELODY BALON SLEEVE AR-MLD2:PALE PURPLE:12-18:GRAPHIC:SS T-SHIRT</t>
  </si>
  <si>
    <t>SS T-SHIRT TOP MELODY BALON SLEEVE AR-MLD2:PALE PURPLE:6-12:GRAPHIC:SS T-SHIRT</t>
  </si>
  <si>
    <t>AR-MLD4</t>
  </si>
  <si>
    <t>SS MIDI DRESS MY MELODY FP KOTAK-KOTAK AR-MLD4:ASSORTIVE COLOR:12-18:GRAPHIC:SS MIDI DRESS</t>
  </si>
  <si>
    <t>AR-MLD3</t>
  </si>
  <si>
    <t>DENIM LONG PANTS MY MELODY AR-MLD3:LIGHT DENIM:6-12:GRAPHIC:DENIM LONG PANTS</t>
  </si>
  <si>
    <t>SS T-SHIRT TOP MELODY FP KOTAK-KOTAK AR-MLD1:OFF WHITE:6-12:GRAPHIC:SS T-SHIRT</t>
  </si>
  <si>
    <t>DENIM LONG PANTS MY MELODY AR-MLD3:LIGHT DENIM:12-18:GRAPHIC:DENIM LONG PANTS</t>
  </si>
  <si>
    <t>SS MIDI DRESS MY MELODY FP KOTAK-KOTAK AR-MLD4:ASSORTIVE COLOR:6-12:GRAPHIC:SS MIDI DRESS</t>
  </si>
  <si>
    <t>SS T-SHIRT TOP MELODY BALON SLEEVE AR-MLD2:PALE PURPLE:24-36:GRAPHIC:SS T-SHIRT</t>
  </si>
  <si>
    <t>SS MIDI DRESS TAS MELODY AR-MLD5:ASSORTIVE COLOR:24-36:PRINT:SS MIDI DRESS</t>
  </si>
  <si>
    <t>SS MIDI DRESS TAS MELODY AR-MLD5:ASSORTIVE COLOR:18-24:PRINT:SS MIDI DRESS</t>
  </si>
  <si>
    <t>SS T-SHIRT TOP MELODY BALON SLEEVE AR-MLD2:PALE PURPLE:18-24:GRAPHIC:SS T-SHIRT</t>
  </si>
  <si>
    <t>SS MIDI DRESS TAS MELODY AR-MLD5:ASSORTIVE COLOR:12-18:PRINT:SS MIDI DRESS</t>
  </si>
  <si>
    <t>DENIM LONG PANTS MY MELODY AR-MLD3:LIGHT DENIM:18-24:GRAPHIC:DENIM LONG PANTS</t>
  </si>
  <si>
    <t>DENIM LONG PANTS MY MELODY AR-MLD3:LIGHT DENIM:24-36:GRAPHIC:DENIM LONG PANTS</t>
  </si>
  <si>
    <t>SS MIDI DRESS MY MELODY FP KOTAK-KOTAK AR-MLD4:ASSORTIVE COLOR:24-36:GRAPHIC:SS MIDI DRESS</t>
  </si>
  <si>
    <t>SS MIDI DRESS MY MELODY FP KOTAK-KOTAK AR-MLD4:ASSORTIVE COLOR:18-24:GRAPHIC:SS MIDI DRESS</t>
  </si>
  <si>
    <t>SS T-SHIRT TOP MELODY FP KOTAK-KOTAK AR-MLD1:OFF WHITE:24-36:GRAPHIC:SS T-SHIRT</t>
  </si>
  <si>
    <t>SS T-SHIRT TOP MELODY FP KOTAK-KOTAK AR-MLD1:OFF WHITE:18-24:GRAPHIC:SS T-SHIRT</t>
  </si>
  <si>
    <t>AL-DRS50</t>
  </si>
  <si>
    <t>SS MIDI DRESS MY MELODY AL-DRS50:PASTEL PINK:12-18:PRINT:SS MIDI DRESS</t>
  </si>
  <si>
    <t>SS MIDI DRESS MY MELODY AL-DRS50:PASTEL PINK:24-36:PRINT:SS MIDI DRESS</t>
  </si>
  <si>
    <t>SS MIDI DRESS MY MELODY AL-DRS50:PASTEL PINK:6-12:PRINT:SS MIDI DRESS</t>
  </si>
  <si>
    <t>SS MIDI DRESS MY MELODY AL-DRS50:PASTEL PINK:18-24:PRINT:SS MIDI DRESS</t>
  </si>
  <si>
    <t>SS MIDI DRESS MY MELODY AL-DRS50:PASTEL PINK:3-6:PRINT:SS MIDI DRESS</t>
  </si>
  <si>
    <t>DSMINOWV</t>
  </si>
  <si>
    <t>SS MIDI DRESS OVERALL EMBRO MINNIE COMBI WVN DSMINOWV:PASTEL PINK:24-36:PRINT:SS MIDI DRESS</t>
  </si>
  <si>
    <t>SS MIDI DRESS OVERALL EMBRO MINNIE COMBI WVN DSMINOWV:PASTEL PINK:6-12:PRINT:SS MIDI DRESS</t>
  </si>
  <si>
    <t>SS MIDI DRESS OVERALL EMBRO MINNIE COMBI WVN DSMINOWV:PASTEL PINK:18-24:PRINT:SS MIDI DRESS</t>
  </si>
  <si>
    <t>SS MIDI DRESS OVERALL EMBRO MINNIE COMBI WVN DSMINOWV:PASTEL PINK:12-18:PRINT:SS MIDI DRESS</t>
  </si>
  <si>
    <t>SETMINWV</t>
  </si>
  <si>
    <t>TOP - BOTTOM SET SS EMBRO MINNI COMBI WVN SETMINWV:PASTEL PINK:12-18:PRINT:TOP - BOTTOM SET</t>
  </si>
  <si>
    <t>TOP - BOTTOM SET SS EMBRO MINNI COMBI WVN SETMINWV:PASTEL PINK:24-36:PRINT:TOP - BOTTOM SET</t>
  </si>
  <si>
    <t>TOP - BOTTOM SET SS EMBRO MINNI COMBI WVN SETMINWV:PASTEL PINK:18-24:PRINT:TOP - BOTTOM SET</t>
  </si>
  <si>
    <t>TOP - BOTTOM SET SS EMBRO MINNI COMBI WVN SETMINWV:PASTEL PINK:6-12:PRINT:TOP - BOTTOM SET</t>
  </si>
  <si>
    <t>RPMARM</t>
  </si>
  <si>
    <t>SHORT JUMPSUIT ROMPER SS GIRLS MARIE RPMARM:PASTEL PINK:24-36:PRINT:SHORT JUMPSUIT</t>
  </si>
  <si>
    <t>SHORT JUMPSUIT ROMPER SS GIRLS MARIE RPMARM:PASTEL PINK:18-24:PRINT:SHORT JUMPSUIT</t>
  </si>
  <si>
    <t>SHORT JUMPSUIT ROMPER SS GIRLS MARIE RPMARM:PASTEL PINK:6-12:PRINT:SHORT JUMPSUIT</t>
  </si>
  <si>
    <t>SHORT JUMPSUIT ROMPER SS GIRLS MARIE RPMARM:PASTEL PINK:12-18:PRINT:SHORT JUMPSUIT</t>
  </si>
  <si>
    <t>DMARSB</t>
  </si>
  <si>
    <t>SS MIDI DRESS MARIE SLING BAG DMARSB:PASTEL PINK:18-24:PRINT:SS MIDI DRESS</t>
  </si>
  <si>
    <t>SS MIDI DRESS MARIE SLING BAG DMARSB:PASTEL PINK:6-12:PRINT:SS MIDI DRESS</t>
  </si>
  <si>
    <t>SS MIDI DRESS MARIE SLING BAG DMARSB:PASTEL PINK:12-18:PRINT:SS MIDI DRESS</t>
  </si>
  <si>
    <t>SS MIDI DRESS MARIE SLING BAG DMARSB:PASTEL PINK:24-36:PRINT:SS MIDI DRESS</t>
  </si>
  <si>
    <t>JKLOON</t>
  </si>
  <si>
    <t>JACKET LOONEY TUNES JKLOON:PASTEL PINK:12-18:GRAPHIC:JACKET</t>
  </si>
  <si>
    <t>JACKET LOONEY TUNES JKLOON:PASTEL PINK:18-24:GRAPHIC:JACKET</t>
  </si>
  <si>
    <t>JACKET LOONEY TUNES JKLOON:PASTEL PINK:24-36:GRAPHIC:JACKET</t>
  </si>
  <si>
    <t>SETLOON</t>
  </si>
  <si>
    <t>SET LOONEY TUNES SETLOON:PASTEL PINK:18-24:GRAPHIC:TOP - BOTTOM SET</t>
  </si>
  <si>
    <t>DRLOON</t>
  </si>
  <si>
    <t>DRESS LOONEY TUNES DRLOON:PASTEL PINK:24-36:GRAPHIC:SS MIDI DRESS</t>
  </si>
  <si>
    <t>SET-WBB02</t>
  </si>
  <si>
    <t>SET WBB GIRLS SET-WBB02:PEPPERMINT:3-6:PRINT:TOP - BOTTOM SET</t>
  </si>
  <si>
    <t>DS-WBB01</t>
  </si>
  <si>
    <t>SS MIDI DRESS JERSEY FP WBB DS-WBB01:PEPPERMINT:18-24:PRINT:SS MIDI DRESS</t>
  </si>
  <si>
    <t>GGSETB1</t>
  </si>
  <si>
    <t>SET SHORT BATMAN 1 GGSETB1:ASSORTIVE COLOR:3-6:GRAPHIC:TOP - BOTTOM SET</t>
  </si>
  <si>
    <t>SET SHORT BATMAN 1 GGSETB1:ASSORTIVE COLOR:6-12:GRAPHIC:TOP - BOTTOM SET</t>
  </si>
  <si>
    <t>SET SHORT BATMAN 1 GGSETB1:ASSORTIVE COLOR:12-18:GRAPHIC:TOP - BOTTOM SET</t>
  </si>
  <si>
    <t>SET SHORT BATMAN 1 GGSETB1:ASSORTIVE COLOR:18-24:GRAPHIC:TOP - BOTTOM SET</t>
  </si>
  <si>
    <t>GGSETB2</t>
  </si>
  <si>
    <t>SET SHORT BATMAN 2 GGSETB2:ASSORTIVE COLOR:3-6:GRAPHIC:TOP - BOTTOM SET</t>
  </si>
  <si>
    <t>SET SHORT BATMAN 2 GGSETB2:ASSORTIVE COLOR:18-24:GRAPHIC:TOP - BOTTOM SET</t>
  </si>
  <si>
    <t>GGSETB3</t>
  </si>
  <si>
    <t>SET SHORT BATMAN 3 GGSETB3:ASSORTIVE COLOR:3-6:GRAPHIC:TOP - BOTTOM SET</t>
  </si>
  <si>
    <t>SET SHORT BATMAN 3 GGSETB3:ASSORTIVE COLOR:12-18:GRAPHIC:TOP - BOTTOM SET</t>
  </si>
  <si>
    <t>SET SHORT BATMAN 3 GGSETB3:ASSORTIVE COLOR:18-24:GRAPHIC:TOP - BOTTOM SET</t>
  </si>
  <si>
    <t>TSHPOT1</t>
  </si>
  <si>
    <t>TS CUT &amp; SEWN VERT LOGO HARRY POTTER TSHPOT1:CLASSIC YELLOW:6-12:GRAPHIC:SS T-SHIRT</t>
  </si>
  <si>
    <t>TS CUT &amp; SEWN VERT LOGO HARRY POTTER TSHPOT1:CLASSIC YELLOW:24-36:GRAPHIC:SS T-SHIRT</t>
  </si>
  <si>
    <t>TSHPOT2</t>
  </si>
  <si>
    <t>TS CUT &amp; SEWN HORZ HARRY POTTER TSHPOT2:CLASSIC RED:18-24:GRAPHIC:SS T-SHIRT</t>
  </si>
  <si>
    <t>GNWBB1</t>
  </si>
  <si>
    <t>SS T-SHIRT WBB BATCH 1 WBB-IFTS1:ASSORTIVE COLOR:3-6:GRAPHIC:SS T-SHIRT</t>
  </si>
  <si>
    <t>SS T-SHIRT WBB BATCH 1 WBB-IFTS1:ASSORTIVE COLOR:6-12:GRAPHIC:SS T-SHIRT</t>
  </si>
  <si>
    <t>GNWBB2</t>
  </si>
  <si>
    <t>PANTS WBB BATCH 1 WBB-IFP2:CLASSIC BLUE:12-18:GRAPHIC:LONG PANTS</t>
  </si>
  <si>
    <t>PANTS WBB BATCH 1 WBB-IFP2:CLASSIC BLUE:18-24:GRAPHIC:LONG PANTS</t>
  </si>
  <si>
    <t>GNWBB3</t>
  </si>
  <si>
    <t>OVERALL WBB BATCH 1 WBB-IFOV3:CLASSIC BLUE:0-3:GRAPHIC:SHORT JUMPSUIT</t>
  </si>
  <si>
    <t xml:space="preserve"> TSKVBDUM</t>
  </si>
  <si>
    <t xml:space="preserve"> TSKVGDUM</t>
  </si>
  <si>
    <t>HKT-DB141</t>
  </si>
  <si>
    <t>REGULAR FEEDING BOTTLE 125ML HKT-DB141:CLASSIC RED:F:SOLID:FEEDING BOTTLE</t>
  </si>
  <si>
    <t>REGULAR FEEDING BOTTLE 125ML HKT-DB141:CLASSIC BLUE:F:SOLID:FEEDING BOTTLE</t>
  </si>
  <si>
    <t>HKT-DB181</t>
  </si>
  <si>
    <t>REGULAR FEEDING BOTTLE 250ML HKT-DB181:CLASSIC BLUE:F:SOLID:FEEDING BOTTLE</t>
  </si>
  <si>
    <t>HKT-DB341</t>
  </si>
  <si>
    <t>WIDENECK FEEDING BOTTLE HELLO KITTY 150ML HKT-DB341:LIGHT BLUE:F:SOLID:FEEDING BOTTLE</t>
  </si>
  <si>
    <t>WIDENECK FEEDING BOTTLE HELLO KITTY 150ML HKT-DB341:PASTEL PINK:F:SOLID:FEEDING BOTTLE</t>
  </si>
  <si>
    <t>HKT-DB381</t>
  </si>
  <si>
    <t>WIDENECK FEEDING BOTTLE HELLO KITTY 250ML HKT-DB381:CLASSIC BLUE:F:SOLID:FEEDING BOTTLE</t>
  </si>
  <si>
    <t>HKT-DG101</t>
  </si>
  <si>
    <t>STRAW SIPPER CUP WIH HANDLE HKT-DG101:LIGHT BLUE:F:SOLID:FEEDING BOTTLE</t>
  </si>
  <si>
    <t>HKT-DP101</t>
  </si>
  <si>
    <t>HEART PACIFIER HELLO KITTY HKT-DP101:PASTEL PINK:F:SOLID:FEEDING BOTTLE</t>
  </si>
  <si>
    <t>HKT-DP103</t>
  </si>
  <si>
    <t>NETTO PACIFIER HELLO KITTY HKT-DP103:CLASSIC RED:F:SOLID:FEEDING BOTTLE</t>
  </si>
  <si>
    <t>HKT-DP104</t>
  </si>
  <si>
    <t>BIBO PACIFIER HELLO KITTY HKT-DP104:LIGHT BLUE:F:SOLID:FEEDING BOTTLE</t>
  </si>
  <si>
    <t>HKT-PS204</t>
  </si>
  <si>
    <t>SEPATU BABY BALIK HELLO KITTY HKT-PS204:PASTEL ORANGE:2:PRINT:BABY SHOES</t>
  </si>
  <si>
    <t>SEPATU BABY BALIK HELLO KITTY HKT-PS204:PASTEL ORANGE:3:PRINT:BABY SHOES</t>
  </si>
  <si>
    <t>SEPATU BABY BALIK HELLO KITTY HKT-PS204:PASTEL ORANGE:4:PRINT:BABY SHOES</t>
  </si>
  <si>
    <t>HKT-PS206</t>
  </si>
  <si>
    <t>SEPATU BABY BALIK HELLO KITTY HKT-PS206:WHITE:2:PRINT:BABY SHOES</t>
  </si>
  <si>
    <t>SEPATU BABY BALIK HELLO KITTY HKT-PS206:WHITE:3:PRINT:BABY SHOES</t>
  </si>
  <si>
    <t>SS BLOUSE BABYTERRY MARIE LOVE RUFFLE SSMRRFL:PASTEL PINK:6-12:GRAPHIC:SS BLOUSE</t>
  </si>
  <si>
    <t>66010100MIN - GIRLS SET MINNIE HEY CUTIE:CLASSIC YELLOW:XL</t>
  </si>
  <si>
    <t>MCK4</t>
  </si>
  <si>
    <t>SS MICKEY 4 AWESOME:NAVY BLUE:XL</t>
  </si>
  <si>
    <t>MINSIL</t>
  </si>
  <si>
    <t>SS MINNIE SILUET:WHITE:S</t>
  </si>
  <si>
    <t>SS MINNIE SILUET:WHITE:M</t>
  </si>
  <si>
    <t>MINSS1</t>
  </si>
  <si>
    <t>SS MINNIE 1:WHITE:S</t>
  </si>
  <si>
    <t>KKTPCAP1</t>
  </si>
  <si>
    <t>SOCKS KKB CAPTAIN AMERICA LOGO KKTPCAP1:OFF WHITE:14-16:PRINT:SOCKS</t>
  </si>
  <si>
    <t>SOCKS KKB CAPTAIN AMERICA LOGO KKTPCAP1:OFF WHITE:18-20:PRINT:SOCKS</t>
  </si>
  <si>
    <t>KKTPSPD</t>
  </si>
  <si>
    <t>SOCKS KKB SPIDERMAN KKTPSPD:NAVY BLUE:14-16:PRINT:SOCKS</t>
  </si>
  <si>
    <t>KKTPCAP2</t>
  </si>
  <si>
    <t>SOCKS KKB CAPTAIN AMERICA LOGO KKTPCAP2:NAVY BLUE:18-20:PRINT:SOCKS</t>
  </si>
  <si>
    <t>SOCKS KKB SPIDERMAN KKTPSPD:NAVY BLUE:18-20:PRINT:SOCKS</t>
  </si>
  <si>
    <t>SOCKS KKB CAPTAIN AMERICA LOGO KKTPCAP2:NAVY BLUE:14-16:PRINT:SOCKS</t>
  </si>
  <si>
    <t>KKSUIMIC</t>
  </si>
  <si>
    <t>SOCKS KKB MICKEY MOUSE KKSUIMIC:WHITE:18-20:PRINT:SOCKS</t>
  </si>
  <si>
    <t>KKSUIMIN</t>
  </si>
  <si>
    <t>SOCKS KKG MINNIE MOUSE KKSUIMIN:WHITE:14-16:PRINT:SOCKS</t>
  </si>
  <si>
    <t>SOCKS KKG MINNIE MOUSE KKSUIMIN:WHITE:18-20:PRINT:SOCKS</t>
  </si>
  <si>
    <t>SOCKS KKB MICKEY MOUSE KKSUIMIC:WHITE:14-16:PRINT:SOCKS</t>
  </si>
  <si>
    <t>KK254CA</t>
  </si>
  <si>
    <t>SOCKS KKB CAPTAIN AMERICA KK254CA:BLACK:18-20:PRINT:SOCKS</t>
  </si>
  <si>
    <t>KK256CA</t>
  </si>
  <si>
    <t>SOCKS KKB CAPTAIN AMERICA KK256CA:PASTEL GREY:18-20:PRINT:SOCKS</t>
  </si>
  <si>
    <t>KK264SPD</t>
  </si>
  <si>
    <t>SOCKS KKB SPIDERMAN HEAD KK264SPD:BLACK:14-16:PRINT:SOCKS</t>
  </si>
  <si>
    <t>KK255SPD</t>
  </si>
  <si>
    <t>SOCKS KKB SPIDERMAN KK255SPD:WHITE:14-16:PRINT:SOCKS</t>
  </si>
  <si>
    <t>KK258SPD</t>
  </si>
  <si>
    <t>SOCKS KKB SPIDERMAN KK258SPD:BLACK:18-20:PRINT:SOCKS</t>
  </si>
  <si>
    <t>SOCKS KKB SPIDERMAN KK258SPD:BLACK:14-16:PRINT:SOCKS</t>
  </si>
  <si>
    <t>SOCKS KKB CAPTAIN AMERICA KK256CA:PASTEL GREY:14-16:PRINT:SOCKS</t>
  </si>
  <si>
    <t>SOCKS KKB SPIDERMAN KK255SPD:WHITE:18-20:PRINT:SOCKS</t>
  </si>
  <si>
    <t>SOCKS KKB CAPTAIN AMERICA KK254CA:BLACK:14-16:PRINT:SOCKS</t>
  </si>
  <si>
    <t>SOCKS KKB SPIDERMAN HEAD KK264SPD:BLACK:18-20:PRINT:SOCKS</t>
  </si>
  <si>
    <t>KK259SPD</t>
  </si>
  <si>
    <t>SOCKS KKB SPIDERMAN KK259SPD:BLACK:14-16:PRINT:SOCKS</t>
  </si>
  <si>
    <t>SOCKS KKB SPIDERMAN KK259SPD:BLACK:18-20:PRINT:SOCKS</t>
  </si>
  <si>
    <t>PYLMCN</t>
  </si>
  <si>
    <t>LS PYJAMA PANTS LSLP CINNAMOROLL PYLMCN:PASTEL BLUE:7:PRINT:LS PYJAMA PANTS</t>
  </si>
  <si>
    <t>LS PYJAMA PANTS LSLP CINNAMOROLL PYLMCN:PASTEL BLUE:5:PRINT:LS PYJAMA PANTS</t>
  </si>
  <si>
    <t>LS PYJAMA PANTS LSLP CINNAMOROLL PYLMCN:PASTEL BLUE:6:PRINT:LS PYJAMA PANTS</t>
  </si>
  <si>
    <t>LS PYJAMA PANTS LSLP CINNAMOROLL PYLMCN:PASTEL BLUE:4:PRINT:LS PYJAMA PANTS</t>
  </si>
  <si>
    <t>U325MLP2</t>
  </si>
  <si>
    <t>BRIEF PACK OF 3 UNDERWEAR MY LITTLE PONY U325MLP2:ASSORTIVE COLOR:S:PRINT:BRIEF</t>
  </si>
  <si>
    <t>BRIEF PACK OF 3 UNDERWEAR MY LITTLE PONY U325MLP2:ASSORTIVE COLOR:L:PRINT:BRIEF</t>
  </si>
  <si>
    <t>BRIEF PACK OF 3 UNDERWEAR MY LITTLE PONY U325MLP2:ASSORTIVE COLOR:M:PRINT:BRIEF</t>
  </si>
  <si>
    <t>BRIEF PACK OF 3 UNDERWEAR MY LITTLE PONY U325MLP2:ASSORTIVE COLOR:XL:PRINT:BRIEF</t>
  </si>
  <si>
    <t>U325MKU</t>
  </si>
  <si>
    <t>BRIEF PACK OF 3 UNDERWEAR KUROMI U325MKU:ASSORTIVE COLOR:S:PRINT:BRIEF</t>
  </si>
  <si>
    <t>BRIEF PACK OF 3 UNDERWEAR KUROMI U325MKU:ASSORTIVE COLOR:XL:PRINT:BRIEF</t>
  </si>
  <si>
    <t>BRIEF PACK OF 3 UNDERWEAR KUROMI U325MKU:ASSORTIVE COLOR:L:PRINT:BRIEF</t>
  </si>
  <si>
    <t>BRIEF PACK OF 3 UNDERWEAR KUROMI U325MKU:ASSORTIVE COLOR:M:PRINT:BRIEF</t>
  </si>
  <si>
    <t>SWFPSP</t>
  </si>
  <si>
    <t>LS PYJAMA PANTS SET LSLP FULL PRINT SPIDERMAN SWFPSP:OFF WHITE:7:PRINT:LS PYJAMA PANTS</t>
  </si>
  <si>
    <t>LS PYJAMA PANTS SET LSLP FULL PRINT SPIDERMAN SWFPSP:OFF WHITE:6:PRINT:LS PYJAMA PANTS</t>
  </si>
  <si>
    <t>LS PYJAMA PANTS SET LSLP FULL PRINT SPIDERMAN SWFPSP:OFF WHITE:14:PRINT:LS PYJAMA PANTS</t>
  </si>
  <si>
    <t>LS PYJAMA PANTS SET LSLP FULL PRINT SPIDERMAN SWFPSP:OFF WHITE:10:PRINT:LS PYJAMA PANTS</t>
  </si>
  <si>
    <t>LS PYJAMA PANTS SET LSLP FULL PRINT SPIDERMAN SWFPSP:OFF WHITE:5:PRINT:LS PYJAMA PANTS</t>
  </si>
  <si>
    <t>LS PYJAMA PANTS SET LSLP FULL PRINT SPIDERMAN SWFPSP:OFF WHITE:8:PRINT:LS PYJAMA PANTS</t>
  </si>
  <si>
    <t>LS PYJAMA PANTS SET LSLP FULL PRINT SPIDERMAN SWFPSP:OFF WHITE:12:PRINT:LS PYJAMA PANTS</t>
  </si>
  <si>
    <t>LS PYJAMA PANTS SET LSLP FULL PRINT SPIDERMAN SWFPSP:OFF WHITE:4:PRINT:LS PYJAMA PANTS</t>
  </si>
  <si>
    <t>PYLMKU</t>
  </si>
  <si>
    <t>LS PYJAMA PANTS LSLP KUROMI PYLMKU:PASTEL PURPLE:6:PRINT:LS PYJAMA PANTS</t>
  </si>
  <si>
    <t>LS PYJAMA PANTS LSLP KUROMI PYLMKU:PASTEL PURPLE:10:PRINT:LS PYJAMA PANTS</t>
  </si>
  <si>
    <t>LS PYJAMA PANTS LSLP KUROMI PYLMKU:PASTEL PURPLE:7:PRINT:LS PYJAMA PANTS</t>
  </si>
  <si>
    <t>LS PYJAMA PANTS LSLP KUROMI PYLMKU:PASTEL PURPLE:14:PRINT:LS PYJAMA PANTS</t>
  </si>
  <si>
    <t>LS PYJAMA PANTS LSLP KUROMI PYLMKU:PASTEL PURPLE:5:PRINT:LS PYJAMA PANTS</t>
  </si>
  <si>
    <t>LS PYJAMA PANTS LSLP KUROMI PYLMKU:PASTEL PURPLE:4:PRINT:LS PYJAMA PANTS</t>
  </si>
  <si>
    <t>LS PYJAMA PANTS LSLP KUROMI PYLMKU:PASTEL PURPLE:12:PRINT:LS PYJAMA PANTS</t>
  </si>
  <si>
    <t>LS PYJAMA PANTS LSLP KUROMI PYLMKU:PASTEL PURPLE:8:PRINT:LS PYJAMA PANTS</t>
  </si>
  <si>
    <t>KKSUILT3</t>
  </si>
  <si>
    <t>SOCKS KKG LOTSO KOTAK KKSUILT3:PASTEL PINK:18-20:PRINT:SOCKS</t>
  </si>
  <si>
    <t>SOCKS KKG LOTSO KOTAK KKSUILT3:PASTEL PINK:14-16:PRINT:SOCKS</t>
  </si>
  <si>
    <t>KKSUILT4</t>
  </si>
  <si>
    <t>SOCKS KKG LOTSO KOTAK KKSUILT4:PASTEL PINK:18-20:PRINT:SOCKS</t>
  </si>
  <si>
    <t>SOCKS KKG LOTSO KOTAK KKSUILT4:PASTEL PINK:14-16:PRINT:SOCKS</t>
  </si>
  <si>
    <t>KK254SPD</t>
  </si>
  <si>
    <t>SOCKS KKB SPIDERMAN KK254SPD:PASTEL GREY:14-16:PRINT:SOCKS</t>
  </si>
  <si>
    <t>SOCKS KKB SPIDERMAN KK254SPD:PASTEL GREY:18-20:PRINT:SOCKS</t>
  </si>
  <si>
    <t>MP3CN</t>
  </si>
  <si>
    <t>BRIEF PACK OF 3 UW CINNAMOROLL MP3CN:ASSORTIVE COLOR:L:PRINT:BRIEF</t>
  </si>
  <si>
    <t>BRIEF PACK OF 3 UW CINNAMOROLL MP3CN:ASSORTIVE COLOR:M:PRINT:BRIEF</t>
  </si>
  <si>
    <t>BRIEF PACK OF 3 UW CINNAMOROLL MP3CN:ASSORTIVE COLOR:S:PRINT:BRIEF</t>
  </si>
  <si>
    <t>BRIEF PACK OF 3 UW CINNAMOROLL MP3CN:ASSORTIVE COLOR:XL:PRINT:BRIEF</t>
  </si>
  <si>
    <t>KKBAT252</t>
  </si>
  <si>
    <t>SOCKS KKB BATMAN KKBAT252:BLACK:18-20:PRINT:SOCKS</t>
  </si>
  <si>
    <t>SOCKS KKB BATMAN KKBAT252:BLACK:14-16:PRINT:SOCKS</t>
  </si>
  <si>
    <t>KKBAT251</t>
  </si>
  <si>
    <t>SOCKS KKB BATMAN KKBAT251:CLASSIC YELLOW:14-16:PRINT:SOCKS</t>
  </si>
  <si>
    <t>SOCKS KKB BATMAN KKBAT251:CLASSIC YELLOW:18-20:PRINT:SOCKS</t>
  </si>
  <si>
    <t>2019 ALL D95 LICENSE ESS</t>
  </si>
  <si>
    <t>RPBATMAN</t>
  </si>
  <si>
    <t>ROMPER BATMAN RPBATMAN:BLACK:24-36:GRAPHIC:SHORT JUMPSUIT</t>
  </si>
  <si>
    <t>SWMY2</t>
  </si>
  <si>
    <t>SWEATSHIRT MY MELODY COLLAR RETS SWMY2:OFF WHITE:9-10:GRAPHIC:SWEATSHIRT</t>
  </si>
  <si>
    <t>SWEATSHIRT MY MELODY COLLAR RETS SWMY2:OFF WHITE:11-12:GRAPHIC:SWEATSHIRT</t>
  </si>
  <si>
    <t>SWEATSHIRT MY MELODY COLLAR RETS SWMY2:OFF WHITE:5-6:GRAPHIC:SWEATSHIRT</t>
  </si>
  <si>
    <t>SWEATSHIRT MY MELODY COLLAR RETS SWMY2:OFF WHITE:7-8:GRAPHIC:SWEATSHIRT</t>
  </si>
  <si>
    <t>DSBLMM</t>
  </si>
  <si>
    <t>SS MIDI DRESS BALON MY MELODY DSBLMM:PASTEL ORANGE:5-6:GRAPHIC:SS MIDI DRESS</t>
  </si>
  <si>
    <t>SS MIDI DRESS BALON MY MELODY DSBLMM:PASTEL ORANGE:4-5:GRAPHIC:SS MIDI DRESS</t>
  </si>
  <si>
    <t>SS MIDI DRESS BALON MY MELODY DSBLMM:PASTEL ORANGE:3-4:GRAPHIC:SS MIDI DRESS</t>
  </si>
  <si>
    <t>SS MIDI DRESS BALON MY MELODY DSBLMM:PASTEL ORANGE:7-8:GRAPHIC:SS MIDI DRESS</t>
  </si>
  <si>
    <t>TSMNION5</t>
  </si>
  <si>
    <t>SS T-SHIRT MINIONS IKAT DEPAN TSMNION5:PASTEL ORANGE:7-8:GRAPHIC:SS T-SHIRT</t>
  </si>
  <si>
    <t>TSMNION3</t>
  </si>
  <si>
    <t>SS T-SHIRT MINIONS BELLO TSMNION3:PASTEL YELLOW:7-8:EMBRO:SS T-SHIRT</t>
  </si>
  <si>
    <t>TSMNION4</t>
  </si>
  <si>
    <t>SS T-SHIRT MINIONS RAGLAN TSMNION4:OFF WHITE:3-4:GRAPHIC:SS T-SHIRT</t>
  </si>
  <si>
    <t>SS T-SHIRT MINIONS IKAT DEPAN TSMNION5:PASTEL ORANGE:4-5:GRAPHIC:SS T-SHIRT</t>
  </si>
  <si>
    <t>TSMNION2</t>
  </si>
  <si>
    <t>SS T-SHIRT MINIONS STRIPES TSMNION2:OFF WHITE:4-5:STRIPES:SS T-SHIRT</t>
  </si>
  <si>
    <t>SS T-SHIRT MINIONS IKAT DEPAN TSMNION5:PASTEL ORANGE:3-4:GRAPHIC:SS T-SHIRT</t>
  </si>
  <si>
    <t>SS T-SHIRT MINIONS RAGLAN TSMNION4:OFF WHITE:7-8:GRAPHIC:SS T-SHIRT</t>
  </si>
  <si>
    <t>TSMNION1</t>
  </si>
  <si>
    <t>SS T-SHIRT FP MINIONS SERUT TSMNION1:OFF WHITE:4-5:PRINT:SS T-SHIRT</t>
  </si>
  <si>
    <t>SS T-SHIRT FP MINIONS SERUT TSMNION1:OFF WHITE:5-6:PRINT:SS T-SHIRT</t>
  </si>
  <si>
    <t>SS T-SHIRT MINIONS RAGLAN TSMNION4:OFF WHITE:5-6:GRAPHIC:SS T-SHIRT</t>
  </si>
  <si>
    <t>SS T-SHIRT MINIONS STRIPES TSMNION2:OFF WHITE:5-6:STRIPES:SS T-SHIRT</t>
  </si>
  <si>
    <t>SS T-SHIRT MINIONS RAGLAN TSMNION4:OFF WHITE:4-5:GRAPHIC:SS T-SHIRT</t>
  </si>
  <si>
    <t>SS T-SHIRT FP MINIONS SERUT TSMNION1:OFF WHITE:7-8:PRINT:SS T-SHIRT</t>
  </si>
  <si>
    <t>SS T-SHIRT FP MINIONS SERUT TSMNION1:OFF WHITE:3-4:PRINT:SS T-SHIRT</t>
  </si>
  <si>
    <t>SS T-SHIRT MINIONS BELLO TSMNION3:PASTEL YELLOW:4-5:EMBRO:SS T-SHIRT</t>
  </si>
  <si>
    <t>SS T-SHIRT MINIONS BELLO TSMNION3:PASTEL YELLOW:3-4:EMBRO:SS T-SHIRT</t>
  </si>
  <si>
    <t>SS T-SHIRT MINIONS STRIPES TSMNION2:OFF WHITE:3-4:STRIPES:SS T-SHIRT</t>
  </si>
  <si>
    <t>SS T-SHIRT MINIONS BELLO TSMNION3:PASTEL YELLOW:5-6:EMBRO:SS T-SHIRT</t>
  </si>
  <si>
    <t>SS T-SHIRT MINIONS IKAT DEPAN TSMNION5:PASTEL ORANGE:5-6:GRAPHIC:SS T-SHIRT</t>
  </si>
  <si>
    <t>SS T-SHIRT MINIONS STRIPES TSMNION2:OFF WHITE:7-8:STRIPES:SS T-SHIRT</t>
  </si>
  <si>
    <t>SWSTT</t>
  </si>
  <si>
    <t>P325STT</t>
  </si>
  <si>
    <t>BRIEF PACK OF 3 UW STITCH P325STT:ASSORTIVE COLOR:XL:PRINT:BRIEF</t>
  </si>
  <si>
    <t>BRIEF PACK OF 3 UW STITCH P325STT:ASSORTIVE COLOR:L:PRINT:BRIEF</t>
  </si>
  <si>
    <t>BRIEF PACK OF 3 UW STITCH P325STT:ASSORTIVE COLOR:S:PRINT:BRIEF</t>
  </si>
  <si>
    <t>BRIEF PACK OF 3 UW STITCH P325STT:ASSORTIVE COLOR:M:PRINT:BRIEF</t>
  </si>
  <si>
    <t>SWSTTP</t>
  </si>
  <si>
    <t>LS PYJAMA PANTS LSLP STITCH SWSTTP:PASTEL BLUE:10:PRINT:LS PYJAMA PANTS</t>
  </si>
  <si>
    <t>LS PYJAMA PANTS LSLP STITCH SWSTTP:PASTEL BLUE:4:PRINT:LS PYJAMA PANTS</t>
  </si>
  <si>
    <t>LS PYJAMA PANTS LSLP STITCH SWSTTP:PASTEL BLUE:12:PRINT:LS PYJAMA PANTS</t>
  </si>
  <si>
    <t>LS PYJAMA PANTS LSLP STITCH SWSTTP:PASTEL BLUE:7:PRINT:LS PYJAMA PANTS</t>
  </si>
  <si>
    <t>LS PYJAMA PANTS LSLP STITCH SWSTTP:PASTEL BLUE:8:PRINT:LS PYJAMA PANTS</t>
  </si>
  <si>
    <t>LS PYJAMA PANTS LSLP STITCH SWSTTP:PASTEL BLUE:6:PRINT:LS PYJAMA PANTS</t>
  </si>
  <si>
    <t>LS PYJAMA PANTS LSLP STITCH SWSTTP:PASTEL BLUE:14:PRINT:LS PYJAMA PANTS</t>
  </si>
  <si>
    <t>LS PYJAMA PANTS LSLP STITCH SWSTTP:PASTEL BLUE:5:PRINT:LS PYJAMA PANTS</t>
  </si>
  <si>
    <t>TOP - BOTTOM SET LSLP STITCH SWSTT:PASTEL PINK:10:PRINT:TOP - BOTTOM SET</t>
  </si>
  <si>
    <t>TOP - BOTTOM SET LSLP STITCH SWSTT:PASTEL PINK:12:PRINT:TOP - BOTTOM SET</t>
  </si>
  <si>
    <t>TOP - BOTTOM SET LSLP STITCH SWSTT:PASTEL PINK:4:PRINT:TOP - BOTTOM SET</t>
  </si>
  <si>
    <t>TOP - BOTTOM SET LSLP STITCH SWSTT:PASTEL PINK:14:PRINT:TOP - BOTTOM SET</t>
  </si>
  <si>
    <t>TOP - BOTTOM SET LSLP STITCH SWSTT:PASTEL PINK:6:PRINT:TOP - BOTTOM SET</t>
  </si>
  <si>
    <t>TOP - BOTTOM SET LSLP STITCH SWSTT:PASTEL PINK:8:PRINT:TOP - BOTTOM SET</t>
  </si>
  <si>
    <t>TOP - BOTTOM SET LSLP STITCH SWSTT:PASTEL PINK:7:PRINT:TOP - BOTTOM SET</t>
  </si>
  <si>
    <t>TOP - BOTTOM SET LSLP STITCH SWSTT:PASTEL PINK:5:PRINT:TOP - BOTTOM SET</t>
  </si>
  <si>
    <t>KKSUIST2</t>
  </si>
  <si>
    <t>SOCKS KKG STICH LETS CHILL KKSUIST2:PASTEL PINK:18-20:PRINT:SOCKS</t>
  </si>
  <si>
    <t>SOCKS KKG STICH LETS CHILL KKSUIST2:PASTEL PINK:14-16:PRINT:SOCKS</t>
  </si>
  <si>
    <t>KKSUIST3</t>
  </si>
  <si>
    <t>SOCKS KKG STICH LETS CHILL KKSUIST3:PASTEL BLUE:14-16:PRINT:SOCKS</t>
  </si>
  <si>
    <t>KKSUIST1</t>
  </si>
  <si>
    <t>SOCKS KKG FP STICH KKSUIST1:OFF WHITE:18-20:PRINT:SOCKS</t>
  </si>
  <si>
    <t>SOCKS KKG FP STICH KKSUIST1:OFF WHITE:14-16:PRINT:SOCKS</t>
  </si>
  <si>
    <t>SOCKS KKG STICH LETS CHILL KKSUIST3:PASTEL BLUE:18-20:PRINT:SOCKS</t>
  </si>
  <si>
    <t>KK263SPD</t>
  </si>
  <si>
    <t>SOCKS KKB SPIDERMAN HEAD KK263SPD:BLACK:14-16:PRINT:SOCKS</t>
  </si>
  <si>
    <t>KK261SPD</t>
  </si>
  <si>
    <t>SOCKS KKB SPIDERMAN HEAD KK261SPD:PASTEL GREY:14-16:PRINT:SOCKS</t>
  </si>
  <si>
    <t>SOCKS KKB SPIDERMAN HEAD KK261SPD:PASTEL GREY:18-20:PRINT:SOCKS</t>
  </si>
  <si>
    <t>SOCKS KKB SPIDERMAN HEAD KK263SPD:BLACK:18-20:PRINT:SOCKS</t>
  </si>
  <si>
    <t>KK257SPD</t>
  </si>
  <si>
    <t>SOCKS KKB SPIDERMAN STRIPE KK257SPD:BLACK:14-16:STRIPES:SOCKS</t>
  </si>
  <si>
    <t>SOCKS KKB SPIDERMAN STRIPE KK257SPD:BLACK:18-20:STRIPES:SOCKS</t>
  </si>
  <si>
    <t>KKBAT253</t>
  </si>
  <si>
    <t>SOCKS KKB BATMAN KKBAT253:PASTEL GREY:14-16:PRINT:SOCKS</t>
  </si>
  <si>
    <t>SOCKS KKB BATMAN KKBAT253:PASTEL GREY:18-20:PRINT:SOCKS</t>
  </si>
  <si>
    <t>KK255CA</t>
  </si>
  <si>
    <t>SOCKS KKB MARVEL KK255CA:PASTEL GREY:14-16:PRINT:SOCKS</t>
  </si>
  <si>
    <t>KK262SPD</t>
  </si>
  <si>
    <t>SOCKS KKB SPIDERMAN AMAZING KK262SPD:BLACK:14-16:PRINT:SOCKS</t>
  </si>
  <si>
    <t>SOCKS KKB MARVEL KK255CA:PASTEL GREY:18-20:PRINT:SOCKS</t>
  </si>
  <si>
    <t>SOCKS KKB SPIDERMAN AMAZING KK262SPD:BLACK:18-20:PRINT:SOCKS</t>
  </si>
  <si>
    <t>KK260SPD</t>
  </si>
  <si>
    <t>SOCKS KKB SPIDERMAN HEAD KK260SPD:PASTEL GREY:18-20:PRINT:SOCKS</t>
  </si>
  <si>
    <t>SOCKS KKB SPIDERMAN HEAD KK260SPD:PASTEL GREY:14-16:PRINT:SOCKS</t>
  </si>
  <si>
    <t>KKKU3</t>
  </si>
  <si>
    <t>SOCKS KKG KUROMI STR BWH KKKU3:PASTEL PURPLE:14-16:PRINT:SOCKS</t>
  </si>
  <si>
    <t>KKKU5</t>
  </si>
  <si>
    <t>SOCKS KKG KUROMI BWH KKKU5:PASTEL PURPLE:18-20:PRINT:SOCKS</t>
  </si>
  <si>
    <t>KKKKCN3</t>
  </si>
  <si>
    <t>SOCKS KKG CINNAMOROLL STRIPE LOVE KKKKCN3:PASTEL BLUE:14-16:PRINT:SOCKS</t>
  </si>
  <si>
    <t>KKKU4</t>
  </si>
  <si>
    <t>SOCKS KKG KUROMI STR ATAS KKKU4:PASTEL PURPLE:14-16:PRINT:SOCKS</t>
  </si>
  <si>
    <t>SOCKS KKG CINNAMOROLL STRIPE LOVE KKKKCN3:PASTEL BLUE:18-20:PRINT:SOCKS</t>
  </si>
  <si>
    <t>SOCKS KKG KUROMI STR BWH KKKU3:PASTEL PURPLE:18-20:PRINT:SOCKS</t>
  </si>
  <si>
    <t>SOCKS KKG KUROMI STR ATAS KKKU4:PASTEL PURPLE:18-20:PRINT:SOCKS</t>
  </si>
  <si>
    <t>SOCKS KKG KUROMI BWH KKKU5:PASTEL PURPLE:14-16:PRINT:SOCKS</t>
  </si>
  <si>
    <t>JKMNION</t>
  </si>
  <si>
    <t>JACKET MINIONS JKMNION:PASTEL PINK:5-6:GRAPHIC:JACKET</t>
  </si>
  <si>
    <t>JACKET MINIONS JKMNION:PASTEL PINK:3-4:GRAPHIC:JACKET</t>
  </si>
  <si>
    <t>JACKET MINIONS JKMNION:PASTEL PINK:4-5:GRAPHIC:JACKET</t>
  </si>
  <si>
    <t>JACKET MINIONS JKMNION:PASTEL PINK:7-8:GRAPHIC:JACKET</t>
  </si>
  <si>
    <t>SKMNION</t>
  </si>
  <si>
    <t>SKORT MINIONS SKMNION:PASTEL PINK:5-6:GRAPHIC:SKORT</t>
  </si>
  <si>
    <t>SKORT MINIONS SKMNION:PASTEL PINK:4-5:GRAPHIC:SKORT</t>
  </si>
  <si>
    <t>SKORT MINIONS SKMNION:PASTEL PINK:3-4:GRAPHIC:SKORT</t>
  </si>
  <si>
    <t>SKORT MINIONS SKMNION:PASTEL PINK:7-8:GRAPHIC:SKORT</t>
  </si>
  <si>
    <t>DSMNION</t>
  </si>
  <si>
    <t>SS MIDI DRESS MINIONS DSMNION:PASTEL PINK:3-4:EMBRO:SS MIDI DRESS</t>
  </si>
  <si>
    <t>SS MIDI DRESS MINIONS DSMNION:PASTEL PINK:7-8:EMBRO:SS MIDI DRESS</t>
  </si>
  <si>
    <t>SS MIDI DRESS MINIONS DSMNION:PASTEL PINK:5-6:EMBRO:SS MIDI DRESS</t>
  </si>
  <si>
    <t>SS MIDI DRESS MINIONS DSMNION:PASTEL PINK:4-5:EMBRO:SS MIDI DRESS</t>
  </si>
  <si>
    <t>DSOKRMM</t>
  </si>
  <si>
    <t>SS MIDI DRESS KERAH MY MELODY DSOKRMM:PASTEL PINK:3-4:GRAPHIC:SS MIDI DRESS</t>
  </si>
  <si>
    <t>DSOKTMM</t>
  </si>
  <si>
    <t>SS MIDI DRESS OVERALL KANTONG MY MELODY DSOKTMM:PASTEL PINK:3-4:GRAPHIC:SS MIDI DRESS</t>
  </si>
  <si>
    <t>SS MIDI DRESS OVERALL KANTONG MY MELODY DSOKTMM:PASTEL PINK:7-8:GRAPHIC:SS MIDI DRESS</t>
  </si>
  <si>
    <t>SS MIDI DRESS KERAH MY MELODY DSOKRMM:PASTEL PINK:4-5:GRAPHIC:SS MIDI DRESS</t>
  </si>
  <si>
    <t>SS MIDI DRESS KERAH MY MELODY DSOKRMM:PASTEL PINK:7-8:GRAPHIC:SS MIDI DRESS</t>
  </si>
  <si>
    <t>SS MIDI DRESS KERAH MY MELODY DSOKRMM:PASTEL PINK:5-6:GRAPHIC:SS MIDI DRESS</t>
  </si>
  <si>
    <t>SS MIDI DRESS OVERALL KANTONG MY MELODY DSOKTMM:PASTEL PINK:5-6:GRAPHIC:SS MIDI DRESS</t>
  </si>
  <si>
    <t>SS MIDI DRESS OVERALL KANTONG MY MELODY DSOKTMM:PASTEL PINK:4-5:GRAPHIC:SS MIDI DRESS</t>
  </si>
  <si>
    <t>TSKUHD2</t>
  </si>
  <si>
    <t>SS T-SHIRT RAGLAN KUROMI TSKUHD2:OFF WHITE:9-10:GRAPHIC:SS T-SHIRT</t>
  </si>
  <si>
    <t>SS T-SHIRT RAGLAN KUROMI TSKUHD2:OFF WHITE:3-4:GRAPHIC:SS T-SHIRT</t>
  </si>
  <si>
    <t>TSKUHD1</t>
  </si>
  <si>
    <t>SS T-SHIRT KUROMI TSKUHD1:MISTY LIGHT GREY:9-10:GRAPHIC:SS T-SHIRT</t>
  </si>
  <si>
    <t>SS T-SHIRT KUROMI TSKUHD1:MISTY LIGHT GREY:3-4:GRAPHIC:SS T-SHIRT</t>
  </si>
  <si>
    <t>SS T-SHIRT KUROMI TSKUHD1:MISTY LIGHT GREY:4-5:GRAPHIC:SS T-SHIRT</t>
  </si>
  <si>
    <t>SS T-SHIRT RAGLAN KUROMI TSKUHD2:OFF WHITE:7-8:GRAPHIC:SS T-SHIRT</t>
  </si>
  <si>
    <t>SS T-SHIRT KUROMI TSKUHD1:MISTY LIGHT GREY:11-12:GRAPHIC:SS T-SHIRT</t>
  </si>
  <si>
    <t>SS T-SHIRT RAGLAN KUROMI TSKUHD2:OFF WHITE:5-6:GRAPHIC:SS T-SHIRT</t>
  </si>
  <si>
    <t>SS T-SHIRT KUROMI TSKUHD1:MISTY LIGHT GREY:7-8:GRAPHIC:SS T-SHIRT</t>
  </si>
  <si>
    <t>SS T-SHIRT RAGLAN KUROMI TSKUHD2:OFF WHITE:11-12:GRAPHIC:SS T-SHIRT</t>
  </si>
  <si>
    <t>SS T-SHIRT KUROMI TSKUHD1:MISTY LIGHT GREY:5-6:GRAPHIC:SS T-SHIRT</t>
  </si>
  <si>
    <t>SS T-SHIRT RAGLAN KUROMI TSKUHD2:OFF WHITE:4-5:GRAPHIC:SS T-SHIRT</t>
  </si>
  <si>
    <t>SSARMM</t>
  </si>
  <si>
    <t>SS T-SHIRT MY MELODY SSARMM:VANILLA:3-4:GRAPHIC:SS T-SHIRT</t>
  </si>
  <si>
    <t>SS T-SHIRT MY MELODY SSARMM:VANILLA:4-5:GRAPHIC:SS T-SHIRT</t>
  </si>
  <si>
    <t>SS T-SHIRT MY MELODY SSARMM:VANILLA:7-8:GRAPHIC:SS T-SHIRT</t>
  </si>
  <si>
    <t>SS T-SHIRT MY MELODY SSARMM:VANILLA:5-6:GRAPHIC:SS T-SHIRT</t>
  </si>
  <si>
    <t>TSGMM2</t>
  </si>
  <si>
    <t>SS T-SHIRT MY MELODY TSGMM2:PASTEL PINK:7-8:GRAPHIC:SS T-SHIRT</t>
  </si>
  <si>
    <t>SS T-SHIRT MY MELODY TSGMM2:PASTEL PINK:11-12:GRAPHIC:SS T-SHIRT</t>
  </si>
  <si>
    <t>SS T-SHIRT MY MELODY TSGMM2:PASTEL PINK:9-10:GRAPHIC:SS T-SHIRT</t>
  </si>
  <si>
    <t>SS T-SHIRT MY MELODY TSGMM2:PASTEL PINK:5-6:GRAPHIC:SS T-SHIRT</t>
  </si>
  <si>
    <t>SKBMM</t>
  </si>
  <si>
    <t>MINI SKIRT BALON MY MELODY SKBMM:PASTEL PINK:4-5:PRINT:MINI SKIRT</t>
  </si>
  <si>
    <t>MINI SKIRT BALON MY MELODY SKBMM:PASTEL PINK:5-6:PRINT:MINI SKIRT</t>
  </si>
  <si>
    <t>MINI SKIRT BALON MY MELODY SKBMM:PASTEL PINK:7-8:PRINT:MINI SKIRT</t>
  </si>
  <si>
    <t>MINI SKIRT BALON MY MELODY SKBMM:PASTEL PINK:3-4:PRINT:MINI SKIRT</t>
  </si>
  <si>
    <t>SWKRMM</t>
  </si>
  <si>
    <t>SWEATSHIRT COLLAR RETS MY MELODY SWKRMM:PASTEL PINK:4-5:GRAPHIC:SWEATSHIRT</t>
  </si>
  <si>
    <t>SWEATSHIRT COLLAR RETS MY MELODY SWKRMM:PASTEL PINK:5-6:GRAPHIC:SWEATSHIRT</t>
  </si>
  <si>
    <t>SWEATSHIRT COLLAR RETS MY MELODY SWKRMM:PASTEL PINK:7-8:GRAPHIC:SWEATSHIRT</t>
  </si>
  <si>
    <t>SWEATSHIRT COLLAR RETS MY MELODY SWKRMM:PASTEL PINK:3-4:GRAPHIC:SWEATSHIRT</t>
  </si>
  <si>
    <t>SETMM</t>
  </si>
  <si>
    <t>TOP - BOTTOM SET SKORT MY MELODY SETMM:PASTEL PINK:4-5:GRAPHIC:TOP - BOTTOM SET</t>
  </si>
  <si>
    <t>TOP - BOTTOM SET SKORT MY MELODY SETMM:PASTEL PINK:3-4:GRAPHIC:TOP - BOTTOM SET</t>
  </si>
  <si>
    <t>TOP - BOTTOM SET SKORT MY MELODY SETMM:PASTEL PINK:5-6:GRAPHIC:TOP - BOTTOM SET</t>
  </si>
  <si>
    <t>TOP - BOTTOM SET SKORT MY MELODY SETMM:PASTEL PINK:7-8:GRAPHIC:TOP - BOTTOM SET</t>
  </si>
  <si>
    <t>TSGGHK2</t>
  </si>
  <si>
    <t>SS T-SHIRT TD HELLO KITTY TSGGHK2:OFF WHITE:5-6:GRAPHIC:SS T-SHIRT</t>
  </si>
  <si>
    <t>TSGGHK1</t>
  </si>
  <si>
    <t>SS T-SHIRT KTG HELLO KITTY TSGGHK1:PASTEL PINK:5-6:GRAPHIC:SS T-SHIRT</t>
  </si>
  <si>
    <t>SS T-SHIRT KTG HELLO KITTY TSGGHK1:PASTEL PINK:11-12:GRAPHIC:SS T-SHIRT</t>
  </si>
  <si>
    <t>SS T-SHIRT TD HELLO KITTY TSGGHK2:OFF WHITE:11-12:GRAPHIC:SS T-SHIRT</t>
  </si>
  <si>
    <t>SS T-SHIRT TD HELLO KITTY TSGGHK2:OFF WHITE:4-5:GRAPHIC:SS T-SHIRT</t>
  </si>
  <si>
    <t>SS T-SHIRT KTG HELLO KITTY TSGGHK1:PASTEL PINK:3-4:GRAPHIC:SS T-SHIRT</t>
  </si>
  <si>
    <t>SS T-SHIRT TD HELLO KITTY TSGGHK2:OFF WHITE:7-8:GRAPHIC:SS T-SHIRT</t>
  </si>
  <si>
    <t>SS T-SHIRT KTG HELLO KITTY TSGGHK1:PASTEL PINK:4-5:GRAPHIC:SS T-SHIRT</t>
  </si>
  <si>
    <t>SS T-SHIRT KTG HELLO KITTY TSGGHK1:PASTEL PINK:7-8:GRAPHIC:SS T-SHIRT</t>
  </si>
  <si>
    <t>SS T-SHIRT TD HELLO KITTY TSGGHK2:OFF WHITE:9-10:GRAPHIC:SS T-SHIRT</t>
  </si>
  <si>
    <t>SS T-SHIRT KTG HELLO KITTY TSGGHK1:PASTEL PINK:9-10:GRAPHIC:SS T-SHIRT</t>
  </si>
  <si>
    <t>SS T-SHIRT TD HELLO KITTY TSGGHK2:OFF WHITE:3-4:GRAPHIC:SS T-SHIRT</t>
  </si>
  <si>
    <t>U325FZA3</t>
  </si>
  <si>
    <t>BRIEF PACK OF 3 UNDERWEAR FROZEN U325FZA3:ASSORTIVE COLOR:L:PRINT:BRIEF</t>
  </si>
  <si>
    <t>BRIEF PACK OF 3 UNDERWEAR FROZEN U325FZA3:ASSORTIVE COLOR:S:PRINT:BRIEF</t>
  </si>
  <si>
    <t>BRIEF PACK OF 3 UNDERWEAR FROZEN U325FZA3:ASSORTIVE COLOR:M:PRINT:BRIEF</t>
  </si>
  <si>
    <t>BRIEF PACK OF 3 UNDERWEAR FROZEN U325FZA3:ASSORTIVE COLOR:XL:PRINT:BRIEF</t>
  </si>
  <si>
    <t>SWSPD245</t>
  </si>
  <si>
    <t>TOP - BOTTOM SET LSLP MARVEL SPIDERMAN SWSPD245:PASTEL GREY:8:PRINT:TOP - BOTTOM SET</t>
  </si>
  <si>
    <t>TOP - BOTTOM SET LSLP MARVEL SPIDERMAN SWSPD245:PASTEL GREY:6:PRINT:TOP - BOTTOM SET</t>
  </si>
  <si>
    <t>TOP - BOTTOM SET LSLP MARVEL SPIDERMAN SWSPD245:PASTEL GREY:12:PRINT:TOP - BOTTOM SET</t>
  </si>
  <si>
    <t>TOP - BOTTOM SET LSLP MARVEL SPIDERMAN SWSPD245:PASTEL GREY:7:PRINT:TOP - BOTTOM SET</t>
  </si>
  <si>
    <t>TOP - BOTTOM SET LSLP MARVEL SPIDERMAN SWSPD245:PASTEL GREY:10:PRINT:TOP - BOTTOM SET</t>
  </si>
  <si>
    <t>TOP - BOTTOM SET LSLP MARVEL SPIDERMAN SWSPD245:PASTEL GREY:14:PRINT:TOP - BOTTOM SET</t>
  </si>
  <si>
    <t>TOP - BOTTOM SET LSLP MARVEL SPIDERMAN SWSPD245:PASTEL GREY:4:PRINT:TOP - BOTTOM SET</t>
  </si>
  <si>
    <t>TOP - BOTTOM SET LSLP MARVEL SPIDERMAN SWSPD245:PASTEL GREY:5:PRINT:TOP - BOTTOM SET</t>
  </si>
  <si>
    <t>SWCIN3</t>
  </si>
  <si>
    <t>TOP - BOTTOM SET LSLP RUFFLE CINNAMOROLL SWCIN3:PASTEL BLUE:5:PRINT:TOP - BOTTOM SET</t>
  </si>
  <si>
    <t>TOP - BOTTOM SET LSLP RUFFLE CINNAMOROLL SWCIN3:PASTEL BLUE:7:PRINT:TOP - BOTTOM SET</t>
  </si>
  <si>
    <t>TOP - BOTTOM SET LSLP RUFFLE CINNAMOROLL SWCIN3:PASTEL BLUE:4:PRINT:TOP - BOTTOM SET</t>
  </si>
  <si>
    <t>TOP - BOTTOM SET LSLP RUFFLE CINNAMOROLL SWCIN3:PASTEL BLUE:6:PRINT:TOP - BOTTOM SET</t>
  </si>
  <si>
    <t>TOP - BOTTOM SET LSLP RUFFLE CINNAMOROLL SWCIN3:PASTEL BLUE:10:PRINT:TOP - BOTTOM SET</t>
  </si>
  <si>
    <t>TOP - BOTTOM SET LSLP RUFFLE CINNAMOROLL SWCIN3:PASTEL BLUE:14:PRINT:TOP - BOTTOM SET</t>
  </si>
  <si>
    <t>TOP - BOTTOM SET LSLP RUFFLE CINNAMOROLL SWCIN3:PASTEL BLUE:12:PRINT:TOP - BOTTOM SET</t>
  </si>
  <si>
    <t>TOP - BOTTOM SET LSLP RUFFLE CINNAMOROLL SWCIN3:PASTEL BLUE:8:PRINT:TOP - BOTTOM SET</t>
  </si>
  <si>
    <t>SWLKMM</t>
  </si>
  <si>
    <t>TOP - BOTTOM SET LSLP MY MELODY SWLKMM:PASTEL BLUE:10:PRINT:TOP - BOTTOM SET</t>
  </si>
  <si>
    <t>TOP - BOTTOM SET LSLP MY MELODY SWLKMM:PASTEL BLUE:6:PRINT:TOP - BOTTOM SET</t>
  </si>
  <si>
    <t>TOP - BOTTOM SET LSLP MY MELODY SWLKMM:PASTEL BLUE:7:PRINT:TOP - BOTTOM SET</t>
  </si>
  <si>
    <t>TOP - BOTTOM SET LSLP MY MELODY SWLKMM:PASTEL BLUE:5:PRINT:TOP - BOTTOM SET</t>
  </si>
  <si>
    <t>TOP - BOTTOM SET LSLP MY MELODY SWLKMM:PASTEL BLUE:8:PRINT:TOP - BOTTOM SET</t>
  </si>
  <si>
    <t>TOP - BOTTOM SET LSLP MY MELODY SWLKMM:PASTEL BLUE:14:PRINT:TOP - BOTTOM SET</t>
  </si>
  <si>
    <t>TOP - BOTTOM SET LSLP MY MELODY SWLKMM:PASTEL BLUE:4:PRINT:TOP - BOTTOM SET</t>
  </si>
  <si>
    <t>TOP - BOTTOM SET LSLP MY MELODY SWLKMM:PASTEL BLUE:12:PRINT:TOP - BOTTOM SET</t>
  </si>
  <si>
    <t>KKHK5</t>
  </si>
  <si>
    <t>SOCKS KKG HELLO KITTY PITA KKHK5:PASTEL PINK:18-20:PRINT:SOCKS</t>
  </si>
  <si>
    <t>KKHK6</t>
  </si>
  <si>
    <t>SOCKS KKG HELLO KITTY LOVE KKHK6:PASTEL PINK:14-16:PRINT:SOCKS</t>
  </si>
  <si>
    <t>SOCKS KKG HELLO KITTY PITA KKHK5:PASTEL PINK:14-16:PRINT:SOCKS</t>
  </si>
  <si>
    <t>SOCKS KKG HELLO KITTY LOVE KKHK6:PASTEL PINK:18-20:PRINT:SOCKS</t>
  </si>
  <si>
    <t>TS3CN6</t>
  </si>
  <si>
    <t>SS T-SHIRT CINNAMOROLL RAGLAN TS3CN6:OFF WHITE:7-8:GRAPHIC:SS T-SHIRT</t>
  </si>
  <si>
    <t>TS3CN5</t>
  </si>
  <si>
    <t>SS T-SHIRT CINNAMOROLL COLLAR TS3CN5:PASTEL BLUE:9-10:GRAPHIC:SS T-SHIRT</t>
  </si>
  <si>
    <t>SS T-SHIRT CINNAMOROLL RAGLAN TS3CN6:OFF WHITE:11-12:GRAPHIC:SS T-SHIRT</t>
  </si>
  <si>
    <t>SS T-SHIRT CINNAMOROLL COLLAR TS3CN5:PASTEL BLUE:11-12:GRAPHIC:SS T-SHIRT</t>
  </si>
  <si>
    <t>SS T-SHIRT CINNAMOROLL RAGLAN TS3CN6:OFF WHITE:13-14:GRAPHIC:SS T-SHIRT</t>
  </si>
  <si>
    <t>SS T-SHIRT CINNAMOROLL RAGLAN TS3CN6:OFF WHITE:9-10:GRAPHIC:SS T-SHIRT</t>
  </si>
  <si>
    <t>SS T-SHIRT CINNAMOROLL COLLAR TS3CN5:PASTEL BLUE:7-8:GRAPHIC:SS T-SHIRT</t>
  </si>
  <si>
    <t>TS3CN1</t>
  </si>
  <si>
    <t>SS T-SHIRT CINNAMOROLL PITA TS3CN1:PASTEL PINK:5:GRAPHIC:SS T-SHIRT</t>
  </si>
  <si>
    <t>SS T-SHIRT CINNAMOROLL PITA TS3CN1:PASTEL PINK:4:GRAPHIC:SS T-SHIRT</t>
  </si>
  <si>
    <t>SS T-SHIRT CINNAMOROLL PITA TS3CN1:PASTEL PINK:7-8:GRAPHIC:SS T-SHIRT</t>
  </si>
  <si>
    <t>SS T-SHIRT CINNAMOROLL PITA TS3CN1:PASTEL PINK:6:GRAPHIC:SS T-SHIRT</t>
  </si>
  <si>
    <t>SWH3CN</t>
  </si>
  <si>
    <t>SWEATSHIRT HOODIE CINNAMOROLL SWH3CN:PASTEL GREY:7-8:GRAPHIC:SWEATSHIRT</t>
  </si>
  <si>
    <t>SWEATSHIRT HOODIE CINNAMOROLL SWH3CN:PASTEL GREY:9-10:GRAPHIC:SWEATSHIRT</t>
  </si>
  <si>
    <t>SWEATSHIRT HOODIE CINNAMOROLL SWH3CN:PASTEL GREY:13-14:GRAPHIC:SWEATSHIRT</t>
  </si>
  <si>
    <t>SWEATSHIRT HOODIE CINNAMOROLL SWH3CN:PASTEL GREY:11-12:GRAPHIC:SWEATSHIRT</t>
  </si>
  <si>
    <t>DS3CN</t>
  </si>
  <si>
    <t>SS MIDI DRESS CINNAMOROLL DS3CN:PASTEL PINK:7-8:GRAPHIC:SS MIDI DRESS</t>
  </si>
  <si>
    <t>SS MIDI DRESS CINNAMOROLL DS3CN:PASTEL PINK:4:GRAPHIC:SS MIDI DRESS</t>
  </si>
  <si>
    <t>SS MIDI DRESS CINNAMOROLL DS3CN:PASTEL PINK:6:GRAPHIC:SS MIDI DRESS</t>
  </si>
  <si>
    <t>SS MIDI DRESS CINNAMOROLL DS3CN:PASTEL PINK:5:GRAPHIC:SS MIDI DRESS</t>
  </si>
  <si>
    <t>TS3MIC</t>
  </si>
  <si>
    <t>SS T-SHIRT DK MICKEY TS3MIC:OFF WHITE:11-12:GRAPHIC:SS T-SHIRT</t>
  </si>
  <si>
    <t>SS T-SHIRT DK MICKEY TS3MIC:OFF WHITE:9-10:GRAPHIC:SS T-SHIRT</t>
  </si>
  <si>
    <t>TS3MIN</t>
  </si>
  <si>
    <t>SS T-SHIRT MINNIE BE BOLD TS3MIN:NAVY BLUE:11-12:GRAPHIC:SS T-SHIRT</t>
  </si>
  <si>
    <t>SS T-SHIRT MINNIE BE BOLD TS3MIN:NAVY BLUE:7-8:GRAPHIC:SS T-SHIRT</t>
  </si>
  <si>
    <t>SS T-SHIRT DK MICKEY TS3MIC:OFF WHITE:13-14:GRAPHIC:SS T-SHIRT</t>
  </si>
  <si>
    <t>SS T-SHIRT MINNIE BE BOLD TS3MIN:NAVY BLUE:13-14:GRAPHIC:SS T-SHIRT</t>
  </si>
  <si>
    <t>SS T-SHIRT DK MICKEY TS3MIC:OFF WHITE:7-8:GRAPHIC:SS T-SHIRT</t>
  </si>
  <si>
    <t>SS T-SHIRT MINNIE BE BOLD TS3MIN:NAVY BLUE:9-10:GRAPHIC:SS T-SHIRT</t>
  </si>
  <si>
    <t>LP3TRMIN</t>
  </si>
  <si>
    <t>LONG PANTS MINNIE LP3TRMIN:KHAKI:11-12:GRAPHIC:LONG PANTS</t>
  </si>
  <si>
    <t>LONG PANTS MINNIE LP3TRMIN:KHAKI:13-14:GRAPHIC:LONG PANTS</t>
  </si>
  <si>
    <t>LONG PANTS MINNIE LP3TRMIN:KHAKI:9-10:GRAPHIC:LONG PANTS</t>
  </si>
  <si>
    <t>LONG PANTS MINNIE LP3TRMIN:KHAKI:7-8:GRAPHIC:LONG PANTS</t>
  </si>
  <si>
    <t>OVSCN</t>
  </si>
  <si>
    <t>SHORT JUMPSUIT OVERALL SS CINNAMOROLL OVSCN:VANILLA:12-18:PRINT:SHORT JUMPSUIT</t>
  </si>
  <si>
    <t>SSJMCN1</t>
  </si>
  <si>
    <t>SS T-SHIRT TOP CINNAMOROLL SSJMCN1:PASTEL PINK:24-36:PRINT:SS T-SHIRT</t>
  </si>
  <si>
    <t>SS T-SHIRT TOP CINNAMOROLL SSJMCN1:PASTEL PINK:12-18:PRINT:SS T-SHIRT</t>
  </si>
  <si>
    <t>SHORT JUMPSUIT OVERALL SS CINNAMOROLL OVSCN:VANILLA:18-24:PRINT:SHORT JUMPSUIT</t>
  </si>
  <si>
    <t>SSJMCN2</t>
  </si>
  <si>
    <t>SS T-SHIRT TOP CINNAMOROLL SSJMCN2:VANILLA:24-36:PRINT:SS T-SHIRT</t>
  </si>
  <si>
    <t>SS T-SHIRT TOP CINNAMOROLL SSJMCN1:PASTEL PINK:18-24:PRINT:SS T-SHIRT</t>
  </si>
  <si>
    <t>SS T-SHIRT TOP CINNAMOROLL SSJMCN2:VANILLA:18-24:PRINT:SS T-SHIRT</t>
  </si>
  <si>
    <t>SS T-SHIRT TOP CINNAMOROLL SSJMCN1:PASTEL PINK:6-12:PRINT:SS T-SHIRT</t>
  </si>
  <si>
    <t>SS T-SHIRT TOP CINNAMOROLL SSJMCN2:VANILLA:12-18:PRINT:SS T-SHIRT</t>
  </si>
  <si>
    <t>SS T-SHIRT TOP CINNAMOROLL SSJMCN2:VANILLA:6-12:PRINT:SS T-SHIRT</t>
  </si>
  <si>
    <t>SHORT JUMPSUIT OVERALL SS CINNAMOROLL OVSCN:VANILLA:24-36:PRINT:SHORT JUMPSUIT</t>
  </si>
  <si>
    <t>SHORT JUMPSUIT OVERALL SS CINNAMOROLL OVSCN:VANILLA:6-12:PRINT:SHORT JUMPSUIT</t>
  </si>
  <si>
    <t>DSOCN</t>
  </si>
  <si>
    <t>SS MIDI DRESS OVERALL CINNAMOROLL DSOCN:PASTEL BLUE:24-36:PRINT:SS MIDI DRESS</t>
  </si>
  <si>
    <t>SS MIDI DRESS OVERALL CINNAMOROLL DSOCN:PASTEL BLUE:12-18:PRINT:SS MIDI DRESS</t>
  </si>
  <si>
    <t>SS MIDI DRESS OVERALL CINNAMOROLL DSOCN:PASTEL BLUE:6-12:PRINT:SS MIDI DRESS</t>
  </si>
  <si>
    <t>SS MIDI DRESS OVERALL CINNAMOROLL DSOCN:PASTEL BLUE:18-24:PRINT:SS MIDI DRESS</t>
  </si>
  <si>
    <t>MP3MSPD</t>
  </si>
  <si>
    <t>BRIEF CD PACK OF 3 SPIDERMAN MP3MSPD:ASSORTIVE COLOR:XL:PRINT:BRIEF</t>
  </si>
  <si>
    <t>BRIEF CD PACK OF 3 SPIDERMAN MP3MSPD:ASSORTIVE COLOR:M:PRINT:BRIEF</t>
  </si>
  <si>
    <t>BRIEF CD PACK OF 3 SPIDERMAN MP3MSPD:ASSORTIVE COLOR:S:PRINT:BRIEF</t>
  </si>
  <si>
    <t>BRIEF CD PACK OF 3 SPIDERMAN MP3MSPD:ASSORTIVE COLOR:L:PRINT:BRIEF</t>
  </si>
  <si>
    <t>SWKUHD</t>
  </si>
  <si>
    <t>TOP - BOTTOM SET LSLP KUROMI SWKUHD:MISTY LIGHT GREY:10:PRINT:TOP - BOTTOM SET</t>
  </si>
  <si>
    <t>TOP - BOTTOM SET LSLP KUROMI SWKUHD:MISTY LIGHT GREY:14:PRINT:TOP - BOTTOM SET</t>
  </si>
  <si>
    <t>TOP - BOTTOM SET LSLP KUROMI SWKUHD:MISTY LIGHT GREY:12:PRINT:TOP - BOTTOM SET</t>
  </si>
  <si>
    <t>TOP - BOTTOM SET LSLP KUROMI SWKUHD:MISTY LIGHT GREY:4:PRINT:TOP - BOTTOM SET</t>
  </si>
  <si>
    <t>TOP - BOTTOM SET LSLP KUROMI SWKUHD:MISTY LIGHT GREY:5:PRINT:TOP - BOTTOM SET</t>
  </si>
  <si>
    <t>TOP - BOTTOM SET LSLP KUROMI SWKUHD:MISTY LIGHT GREY:8:PRINT:TOP - BOTTOM SET</t>
  </si>
  <si>
    <t>TOP - BOTTOM SET LSLP KUROMI SWKUHD:MISTY LIGHT GREY:7:PRINT:TOP - BOTTOM SET</t>
  </si>
  <si>
    <t>TOP - BOTTOM SET LSLP KUROMI SWKUHD:MISTY LIGHT GREY:6:PRINT:TOP - BOTTOM SET</t>
  </si>
  <si>
    <t>KKMVIRN</t>
  </si>
  <si>
    <t>SOCKS KKB MARVEL IRON MAN KKMVIRN:OFF WHITE:20-22:PRINT:SOCKS</t>
  </si>
  <si>
    <t>SOCKS KKB MARVEL IRON MAN KKMVIRN:OFF WHITE:14-16:PRINT:SOCKS</t>
  </si>
  <si>
    <t>KKMVCAP</t>
  </si>
  <si>
    <t>SOCKS KKB MARVEL LOGO CAPTAIN AMERICA KKMVCAP:BLACK:20-22:PRINT:SOCKS</t>
  </si>
  <si>
    <t>KKMVSPD</t>
  </si>
  <si>
    <t>SOCKS KKB MARVEL SPIDERMAN KKMVSPD:PASTEL GREY:18-20:PRINT:SOCKS</t>
  </si>
  <si>
    <t>SOCKS KKB MARVEL SPIDERMAN KKMVSPD:PASTEL GREY:20-22:PRINT:SOCKS</t>
  </si>
  <si>
    <t>SOCKS KKB MARVEL LOGO CAPTAIN AMERICA KKMVCAP:BLACK:18-20:PRINT:SOCKS</t>
  </si>
  <si>
    <t>SOCKS KKB MARVEL IRON MAN KKMVIRN:OFF WHITE:18-20:PRINT:SOCKS</t>
  </si>
  <si>
    <t>SOCKS KKB MARVEL SPIDERMAN KKMVSPD:PASTEL GREY:14-16:PRINT:SOCKS</t>
  </si>
  <si>
    <t>SOCKS KKB MARVEL LOGO CAPTAIN AMERICA KKMVCAP:BLACK:14-16:PRINT:SOCKS</t>
  </si>
  <si>
    <t>MP3UMIN</t>
  </si>
  <si>
    <t>BRIEF PACK OF 3 UW MINNIE MP3UMIN:ASSORTIVE COLOR:XL:PRINT:BRIEF</t>
  </si>
  <si>
    <t>BRIEF PACK OF 3 UW MINNIE MP3UMIN:ASSORTIVE COLOR:M:PRINT:BRIEF</t>
  </si>
  <si>
    <t>BRIEF PACK OF 3 UW MINNIE MP3UMIN:ASSORTIVE COLOR:S:PRINT:BRIEF</t>
  </si>
  <si>
    <t>BRIEF PACK OF 3 UW MINNIE MP3UMIN:ASSORTIVE COLOR:L:PRINT:BRIEF</t>
  </si>
  <si>
    <t>SWMSPD</t>
  </si>
  <si>
    <t>TOP - BOTTOM SET LSLP MVL SPIDERMAN SWMSPD:NAVY BLUE:8:GRAPHIC:TOP - BOTTOM SET</t>
  </si>
  <si>
    <t>TOP - BOTTOM SET LSLP MVL SPIDERMAN SWMSPD:NAVY BLUE:4:GRAPHIC:TOP - BOTTOM SET</t>
  </si>
  <si>
    <t>TOP - BOTTOM SET LSLP MVL SPIDERMAN SWMSPD:NAVY BLUE:7:GRAPHIC:TOP - BOTTOM SET</t>
  </si>
  <si>
    <t>TOP - BOTTOM SET LSLP MVL SPIDERMAN SWMSPD:NAVY BLUE:14:GRAPHIC:TOP - BOTTOM SET</t>
  </si>
  <si>
    <t>TOP - BOTTOM SET LSLP MVL SPIDERMAN SWMSPD:NAVY BLUE:5:GRAPHIC:TOP - BOTTOM SET</t>
  </si>
  <si>
    <t>TOP - BOTTOM SET LSLP MVL SPIDERMAN SWMSPD:NAVY BLUE:12:GRAPHIC:TOP - BOTTOM SET</t>
  </si>
  <si>
    <t>TOP - BOTTOM SET LSLP MVL SPIDERMAN SWMSPD:NAVY BLUE:6:GRAPHIC:TOP - BOTTOM SET</t>
  </si>
  <si>
    <t>TOP - BOTTOM SET LSLP MVL SPIDERMAN SWMSPD:NAVY BLUE:10:GRAPHIC:TOP - BOTTOM SET</t>
  </si>
  <si>
    <t>KKCN4</t>
  </si>
  <si>
    <t>SOCKS KKG CINNAMOROLL KOTAK KKCN4:ASSORTIVE COLOR:18-20:PRINT:SOCKS</t>
  </si>
  <si>
    <t>SOCKS KKG CINNAMOROLL KOTAK KKCN4:ASSORTIVE COLOR:14-16:PRINT:SOCKS</t>
  </si>
  <si>
    <t>SOCKS KKG CINNAMOROLL KOTAK KKCN4:ASSORTIVE COLOR:20-22:PRINT:SOCKS</t>
  </si>
  <si>
    <t>MP3BTNJ</t>
  </si>
  <si>
    <t>BRIEF PACK OF 3 UW TOM N JERRY MP3BTNJ:ASSORTIVE COLOR:M:PRINT:BRIEF</t>
  </si>
  <si>
    <t>BRIEF PACK OF 3 UW TOM N JERRY MP3BTNJ:ASSORTIVE COLOR:XL:PRINT:BRIEF</t>
  </si>
  <si>
    <t>BRIEF PACK OF 3 UW TOM N JERRY MP3BTNJ:ASSORTIVE COLOR:L:PRINT:BRIEF</t>
  </si>
  <si>
    <t>BRIEF PACK OF 3 UW TOM N JERRY MP3BTNJ:ASSORTIVE COLOR:S:PRINT:BRIEF</t>
  </si>
  <si>
    <t>SWH3BAT</t>
  </si>
  <si>
    <t>SWEATSHIRT HOODIE BATMAN SWH3BAT:OFF WHITE:6-12:GRAPHIC:SWEATSHIRT</t>
  </si>
  <si>
    <t>SWEATSHIRT HOODIE BATMAN SWH3BAT:OFF WHITE:12-18:GRAPHIC:SWEATSHIRT</t>
  </si>
  <si>
    <t>SWEATSHIRT HOODIE BATMAN SWH3BAT:OFF WHITE:24-36:GRAPHIC:SWEATSHIRT</t>
  </si>
  <si>
    <t>SWEATSHIRT HOODIE BATMAN SWH3BAT:OFF WHITE:18-24:GRAPHIC:SWEATSHIRT</t>
  </si>
  <si>
    <t>JOG3BAT</t>
  </si>
  <si>
    <t>JOGGER BATMAN JOG3BAT:NAVY BLUE:6-12:GRAPHIC:JOGGER</t>
  </si>
  <si>
    <t>JOGGER BATMAN JOG3BAT:NAVY BLUE:18-24:GRAPHIC:JOGGER</t>
  </si>
  <si>
    <t>JOGGER BATMAN JOG3BAT:NAVY BLUE:12-18:GRAPHIC:JOGGER</t>
  </si>
  <si>
    <t>JOGGER BATMAN JOG3BAT:NAVY BLUE:24-36:GRAPHIC:JOGGER</t>
  </si>
  <si>
    <t>SET3BAT</t>
  </si>
  <si>
    <t>TOP - BOTTOM SET BATMAN SET3BAT:PASTEL BLUE:6-12:GRAPHIC:TOP - BOTTOM SET</t>
  </si>
  <si>
    <t>TOP - BOTTOM SET BATMAN SET3BAT:PASTEL BLUE:12-18:GRAPHIC:TOP - BOTTOM SET</t>
  </si>
  <si>
    <t>TOP - BOTTOM SET BATMAN SET3BAT:PASTEL BLUE:18-24:GRAPHIC:TOP - BOTTOM SET</t>
  </si>
  <si>
    <t>TOP - BOTTOM SET BATMAN SET3BAT:PASTEL BLUE:24-36:GRAPHIC:TOP - BOTTOM SET</t>
  </si>
  <si>
    <t>OV3BAT</t>
  </si>
  <si>
    <t>SHORT JUMPSUIT OVERALL BATMAN OV3BAT:NAVY BLUE:6-12:GRAPHIC:SHORT JUMPSUIT</t>
  </si>
  <si>
    <t>SHORT JUMPSUIT OVERALL BATMAN OV3BAT:NAVY BLUE:18-24:GRAPHIC:SHORT JUMPSUIT</t>
  </si>
  <si>
    <t>SHORT JUMPSUIT OVERALL BATMAN OV3BAT:NAVY BLUE:24-36:GRAPHIC:SHORT JUMPSUIT</t>
  </si>
  <si>
    <t>SHORT JUMPSUIT OVERALL BATMAN OV3BAT:NAVY BLUE:12-18:GRAPHIC:SHORT JUMPSUIT</t>
  </si>
  <si>
    <t>TS3PMIC</t>
  </si>
  <si>
    <t>SS T-SHIRT MICKEY POLO KARET PINGGANG TS3PMIC:MUSTARD:7-8:GRAPHIC:SS T-SHIRT</t>
  </si>
  <si>
    <t>SS T-SHIRT MICKEY POLO KARET PINGGANG TS3PMIC:MUSTARD:9-10:GRAPHIC:SS T-SHIRT</t>
  </si>
  <si>
    <t>SS T-SHIRT MICKEY POLO KARET PINGGANG TS3PMIC:MUSTARD:13-14:GRAPHIC:SS T-SHIRT</t>
  </si>
  <si>
    <t>SS T-SHIRT MICKEY POLO KARET PINGGANG TS3PMIC:MUSTARD:11-12:GRAPHIC:SS T-SHIRT</t>
  </si>
  <si>
    <t>TS3MIN2</t>
  </si>
  <si>
    <t>SS T-SHIRT MINNIE EFFORTLESS TS3MIN2:PASTEL BLUE:11-12:GRAPHIC:SS T-SHIRT</t>
  </si>
  <si>
    <t>SS T-SHIRT MINNIE EFFORTLESS TS3MIN2:PASTEL BLUE:7-8:GRAPHIC:SS T-SHIRT</t>
  </si>
  <si>
    <t>SS T-SHIRT MINNIE EFFORTLESS TS3MIN2:PASTEL BLUE:9-10:GRAPHIC:SS T-SHIRT</t>
  </si>
  <si>
    <t>SS T-SHIRT MINNIE EFFORTLESS TS3MIN2:PASTEL BLUE:13-14:GRAPHIC:SS T-SHIRT</t>
  </si>
  <si>
    <t>SW3MIN</t>
  </si>
  <si>
    <t>SWEATSHIRT MINNIE COLLAR SW3MIN:PASTEL BLUE:7-8:GRAPHIC:SWEATSHIRT</t>
  </si>
  <si>
    <t>SWEATSHIRT MINNIE COLLAR SW3MIN:PASTEL BLUE:9-10:GRAPHIC:SWEATSHIRT</t>
  </si>
  <si>
    <t>SWEATSHIRT MINNIE COLLAR SW3MIN:PASTEL BLUE:13-14:GRAPHIC:SWEATSHIRT</t>
  </si>
  <si>
    <t>SWEATSHIRT MINNIE COLLAR SW3MIN:PASTEL BLUE:11-12:GRAPHIC:SWEATSHIRT</t>
  </si>
  <si>
    <t>TS3CIN2</t>
  </si>
  <si>
    <t>SS T-SHIRT CINDERELLA 2GB TS3CIN2:OFF WHITE:4:GRAPHIC:SS T-SHIRT</t>
  </si>
  <si>
    <t>SS T-SHIRT CINDERELLA 2GB TS3CIN2:OFF WHITE:5:GRAPHIC:SS T-SHIRT</t>
  </si>
  <si>
    <t>SS T-SHIRT CINDERELLA 2GB TS3CIN2:OFF WHITE:6:GRAPHIC:SS T-SHIRT</t>
  </si>
  <si>
    <t>SS T-SHIRT CINDERELLA 2GB TS3CIN2:OFF WHITE:7-8:GRAPHIC:SS T-SHIRT</t>
  </si>
  <si>
    <t>JK3CIN</t>
  </si>
  <si>
    <t>JACKET CINDERELLA JK3CIN:PASTEL BLUE:5:GRAPHIC:JACKET</t>
  </si>
  <si>
    <t>JACKET CINDERELLA JK3CIN:PASTEL BLUE:6:GRAPHIC:JACKET</t>
  </si>
  <si>
    <t>JACKET CINDERELLA JK3CIN:PASTEL BLUE:7-8:GRAPHIC:JACKET</t>
  </si>
  <si>
    <t>JACKET CINDERELLA JK3CIN:PASTEL BLUE:9-10:GRAPHIC:JACKET</t>
  </si>
  <si>
    <t>JACKET CINDERELLA JK3CIN:PASTEL BLUE:4:GRAPHIC:JACKET</t>
  </si>
  <si>
    <t>JACKET CINDERELLA JK3CIN:PASTEL BLUE:11-12:GRAPHIC:JACKET</t>
  </si>
  <si>
    <t>DS3CIN</t>
  </si>
  <si>
    <t>SS MIDI DRESS CINDERELLA COLLAR RIBBED DS3CIN:PASTEL BLUE:5:GRAPHIC:SS MIDI DRESS</t>
  </si>
  <si>
    <t>SS MIDI DRESS CINDERELLA COLLAR RIBBED DS3CIN:PASTEL BLUE:7-8:GRAPHIC:SS MIDI DRESS</t>
  </si>
  <si>
    <t>SS MIDI DRESS CINDERELLA COLLAR RIBBED DS3CIN:PASTEL BLUE:6:GRAPHIC:SS MIDI DRESS</t>
  </si>
  <si>
    <t>SS MIDI DRESS CINDERELLA COLLAR RIBBED DS3CIN:PASTEL BLUE:4:GRAPHIC:SS MIDI DRESS</t>
  </si>
  <si>
    <t>TS3CIN1</t>
  </si>
  <si>
    <t>SS T-SHIRT CINDERELLA V-NECK RIB TS3CIN1:PASTEL BLUE:5:GRAPHIC:SS T-SHIRT</t>
  </si>
  <si>
    <t>SS T-SHIRT CINDERELLA V-NECK RIB TS3CIN1:PASTEL BLUE:4:GRAPHIC:SS T-SHIRT</t>
  </si>
  <si>
    <t>SS T-SHIRT CINDERELLA V-NECK RIB TS3CIN1:PASTEL BLUE:6:GRAPHIC:SS T-SHIRT</t>
  </si>
  <si>
    <t>SS T-SHIRT CINDERELLA V-NECK RIB TS3CIN1:PASTEL BLUE:9-10:GRAPHIC:SS T-SHIRT</t>
  </si>
  <si>
    <t>SS T-SHIRT CINDERELLA V-NECK RIB TS3CIN1:PASTEL BLUE:11-12:GRAPHIC:SS T-SHIRT</t>
  </si>
  <si>
    <t>SS T-SHIRT CINDERELLA V-NECK RIB TS3CIN1:PASTEL BLUE:7-8:GRAPHIC:SS T-SHIRT</t>
  </si>
  <si>
    <t>TS3FPMIN</t>
  </si>
  <si>
    <t>SS T-SHIRT FP MINNIE RIBBON TS3FPMIN:PASTEL PINK:5:PRINT:SS T-SHIRT</t>
  </si>
  <si>
    <t>SS T-SHIRT FP MINNIE RIBBON TS3FPMIN:PASTEL PINK:7-8:PRINT:SS T-SHIRT</t>
  </si>
  <si>
    <t>SS T-SHIRT FP MINNIE RIBBON TS3FPMIN:PASTEL PINK:4:PRINT:SS T-SHIRT</t>
  </si>
  <si>
    <t>SS T-SHIRT FP MINNIE RIBBON TS3FPMIN:PASTEL PINK:6:PRINT:SS T-SHIRT</t>
  </si>
  <si>
    <t>TS3MIN3</t>
  </si>
  <si>
    <t>SS T-SHIRT MINNIE TS3MIN3:OFF WHITE:6:GRAPHIC:SS T-SHIRT</t>
  </si>
  <si>
    <t>SS T-SHIRT MINNIE TS3MIN3:OFF WHITE:7-8:GRAPHIC:SS T-SHIRT</t>
  </si>
  <si>
    <t>SK3CIN</t>
  </si>
  <si>
    <t>SKORT CINDERELLA SK3CIN:MEDIUM DENIM:11-12:EMBRO:SKORT</t>
  </si>
  <si>
    <t>SKORT CINDERELLA SK3CIN:MEDIUM DENIM:5:EMBRO:SKORT</t>
  </si>
  <si>
    <t>SKORT CINDERELLA SK3CIN:MEDIUM DENIM:6:EMBRO:SKORT</t>
  </si>
  <si>
    <t>SKORT CINDERELLA SK3CIN:MEDIUM DENIM:13-14:EMBRO:SKORT</t>
  </si>
  <si>
    <t>SKORT CINDERELLA SK3CIN:MEDIUM DENIM:7-8:EMBRO:SKORT</t>
  </si>
  <si>
    <t>SKORT CINDERELLA SK3CIN:MEDIUM DENIM:4:EMBRO:SKORT</t>
  </si>
  <si>
    <t>SKORT CINDERELLA SK3CIN:MEDIUM DENIM:9-10:EMBRO:SKORT</t>
  </si>
  <si>
    <t>DS3MARG</t>
  </si>
  <si>
    <t>SS MIDI DRESS MINNIE RAGLAN DS3MARG:PASTEL PINK:5:GRAPHIC:SS MIDI DRESS</t>
  </si>
  <si>
    <t>SS MIDI DRESS MINNIE RAGLAN DS3MARG:PASTEL PINK:7-8:GRAPHIC:SS MIDI DRESS</t>
  </si>
  <si>
    <t>SS MIDI DRESS MINNIE RAGLAN DS3MARG:PASTEL PINK:4:GRAPHIC:SS MIDI DRESS</t>
  </si>
  <si>
    <t>SS MIDI DRESS MINNIE RAGLAN DS3MARG:PASTEL PINK:6:GRAPHIC:SS MIDI DRESS</t>
  </si>
  <si>
    <t>TS3UCN2</t>
  </si>
  <si>
    <t>SS T-SHIRT 2 CINNAMOROLL LMB TS3UCN2:PASTEL BLUE:5:GRAPHIC:SS T-SHIRT</t>
  </si>
  <si>
    <t>SS T-SHIRT 2 CINNAMOROLL LMB TS3UCN2:PASTEL BLUE:6:GRAPHIC:SS T-SHIRT</t>
  </si>
  <si>
    <t>SS T-SHIRT 2 CINNAMOROLL LMB TS3UCN2:PASTEL BLUE:4:GRAPHIC:SS T-SHIRT</t>
  </si>
  <si>
    <t>SS T-SHIRT 2 CINNAMOROLL LMB TS3UCN2:PASTEL BLUE:7-8:GRAPHIC:SS T-SHIRT</t>
  </si>
  <si>
    <t>JKH3CN</t>
  </si>
  <si>
    <t>JACKET HOODIE CINNAMOROLL JKH3CN:PASTEL BLUE:5:GRAPHIC:JACKET</t>
  </si>
  <si>
    <t>JACKET HOODIE CINNAMOROLL JKH3CN:PASTEL BLUE:4:GRAPHIC:JACKET</t>
  </si>
  <si>
    <t>JACKET HOODIE CINNAMOROLL JKH3CN:PASTEL BLUE:6:GRAPHIC:JACKET</t>
  </si>
  <si>
    <t>JACKET HOODIE CINNAMOROLL JKH3CN:PASTEL BLUE:7-8:GRAPHIC:JACKET</t>
  </si>
  <si>
    <t>LP3CN</t>
  </si>
  <si>
    <t>LONG PANTS CINNAMOROLL LP3CN:NAVY BLUE:11-12:GRAPHIC:LONG PANTS</t>
  </si>
  <si>
    <t>LONG PANTS CINNAMOROLL LP3CN:NAVY BLUE:7-8:GRAPHIC:LONG PANTS</t>
  </si>
  <si>
    <t>LONG PANTS CINNAMOROLL LP3CN:NAVY BLUE:9-10:GRAPHIC:LONG PANTS</t>
  </si>
  <si>
    <t>LONG PANTS CINNAMOROLL LP3CN:NAVY BLUE:13-14:GRAPHIC:LONG PANTS</t>
  </si>
  <si>
    <t>DSO3CN</t>
  </si>
  <si>
    <t>SS MIDI DRESS OVL CINNAMOROLL DSO3CN:PASTEL BLUE:6:GRAPHIC:SS MIDI DRESS</t>
  </si>
  <si>
    <t>SS MIDI DRESS OVL CINNAMOROLL DSO3CN:PASTEL BLUE:7-8:GRAPHIC:SS MIDI DRESS</t>
  </si>
  <si>
    <t>SS MIDI DRESS OVL CINNAMOROLL DSO3CN:PASTEL BLUE:4:GRAPHIC:SS MIDI DRESS</t>
  </si>
  <si>
    <t>SS MIDI DRESS OVL CINNAMOROLL DSO3CN:PASTEL BLUE:5:GRAPHIC:SS MIDI DRESS</t>
  </si>
  <si>
    <t>TS3CN4</t>
  </si>
  <si>
    <t>SS T-SHIRT CINNAMOROLL SAILOR COLLAR TS3CN4:OFF WHITE:7-8:GRAPHIC:SS T-SHIRT</t>
  </si>
  <si>
    <t>SS T-SHIRT CINNAMOROLL SAILOR COLLAR TS3CN4:OFF WHITE:6:GRAPHIC:SS T-SHIRT</t>
  </si>
  <si>
    <t>SS T-SHIRT CINNAMOROLL SAILOR COLLAR TS3CN4:OFF WHITE:4:GRAPHIC:SS T-SHIRT</t>
  </si>
  <si>
    <t>SS T-SHIRT CINNAMOROLL SAILOR COLLAR TS3CN4:OFF WHITE:5:GRAPHIC:SS T-SHIRT</t>
  </si>
  <si>
    <t>TSMNID4</t>
  </si>
  <si>
    <t>SS T-SHIRT MINION TSMNID4:OFF WHITE:4:GRAPHIC:SS T-SHIRT</t>
  </si>
  <si>
    <t>SS T-SHIRT MINION TSMNID4:OFF WHITE:6:GRAPHIC:SS T-SHIRT</t>
  </si>
  <si>
    <t>SS T-SHIRT MINION TSMNID4:OFF WHITE:5:GRAPHIC:SS T-SHIRT</t>
  </si>
  <si>
    <t>SS T-SHIRT MINION TSMNID4:OFF WHITE:11-12:GRAPHIC:SS T-SHIRT</t>
  </si>
  <si>
    <t>SS T-SHIRT MINION TSMNID4:OFF WHITE:9-10:GRAPHIC:SS T-SHIRT</t>
  </si>
  <si>
    <t>SS T-SHIRT MINION TSMNID4:OFF WHITE:7-8:GRAPHIC:SS T-SHIRT</t>
  </si>
  <si>
    <t>TSMNID5</t>
  </si>
  <si>
    <t>SS T-SHIRT MINION TSMNID5:PASTEL YELLOW:5:GRAPHIC:SS T-SHIRT</t>
  </si>
  <si>
    <t>SS T-SHIRT MINION TSMNID5:PASTEL YELLOW:6:GRAPHIC:SS T-SHIRT</t>
  </si>
  <si>
    <t>SS T-SHIRT MINION TSMNID5:PASTEL YELLOW:9-10:GRAPHIC:SS T-SHIRT</t>
  </si>
  <si>
    <t>SS T-SHIRT MINION TSMNID5:PASTEL YELLOW:7-8:GRAPHIC:SS T-SHIRT</t>
  </si>
  <si>
    <t>SS T-SHIRT MINION TSMNID5:PASTEL YELLOW:4:GRAPHIC:SS T-SHIRT</t>
  </si>
  <si>
    <t>SS T-SHIRT MINION TSMNID5:PASTEL YELLOW:11-12:GRAPHIC:SS T-SHIRT</t>
  </si>
  <si>
    <t>TSMNID1</t>
  </si>
  <si>
    <t>SS T-SHIRT MINION PITA TSMNID1:PASTEL BLUE:7-8:GRAPHIC:SS T-SHIRT</t>
  </si>
  <si>
    <t>SS T-SHIRT MINION PITA TSMNID1:PASTEL BLUE:11-12:GRAPHIC:SS T-SHIRT</t>
  </si>
  <si>
    <t>SS T-SHIRT MINION PITA TSMNID1:PASTEL BLUE:9-10:GRAPHIC:SS T-SHIRT</t>
  </si>
  <si>
    <t>SS T-SHIRT MINION PITA TSMNID1:PASTEL BLUE:5:GRAPHIC:SS T-SHIRT</t>
  </si>
  <si>
    <t>SS T-SHIRT MINION PITA TSMNID1:PASTEL BLUE:4:GRAPHIC:SS T-SHIRT</t>
  </si>
  <si>
    <t>SS T-SHIRT MINION PITA TSMNID1:PASTEL BLUE:6:GRAPHIC:SS T-SHIRT</t>
  </si>
  <si>
    <t>TS3UCN1</t>
  </si>
  <si>
    <t>SS T-SHIRT CINNAMOROLL AWAN TS3UCN1:OFF WHITE:4:GRAPHIC:SS T-SHIRT</t>
  </si>
  <si>
    <t>SS T-SHIRT CINNAMOROLL AWAN TS3UCN1:OFF WHITE:6:GRAPHIC:SS T-SHIRT</t>
  </si>
  <si>
    <t>SS T-SHIRT CINNAMOROLL AWAN TS3UCN1:OFF WHITE:7-8:GRAPHIC:SS T-SHIRT</t>
  </si>
  <si>
    <t>SS T-SHIRT CINNAMOROLL AWAN TS3UCN1:OFF WHITE:5:GRAPHIC:SS T-SHIRT</t>
  </si>
  <si>
    <t>TS3HK3</t>
  </si>
  <si>
    <t>SS T-SHIRT HELLO KITTY KTG TS3HK3:MISTY LIGHT GREY:5:GRAPHIC:SS T-SHIRT</t>
  </si>
  <si>
    <t>SS T-SHIRT HELLO KITTY KTG TS3HK3:MISTY LIGHT GREY:9-10:GRAPHIC:SS T-SHIRT</t>
  </si>
  <si>
    <t>SS T-SHIRT HELLO KITTY KTG TS3HK3:MISTY LIGHT GREY:6:GRAPHIC:SS T-SHIRT</t>
  </si>
  <si>
    <t>SS T-SHIRT HELLO KITTY KTG TS3HK3:MISTY LIGHT GREY:7-8:GRAPHIC:SS T-SHIRT</t>
  </si>
  <si>
    <t>SS T-SHIRT HELLO KITTY KTG TS3HK3:MISTY LIGHT GREY:11-12:GRAPHIC:SS T-SHIRT</t>
  </si>
  <si>
    <t>SS T-SHIRT HELLO KITTY KTG TS3HK3:MISTY LIGHT GREY:4:GRAPHIC:SS T-SHIRT</t>
  </si>
  <si>
    <t>TS3KU5</t>
  </si>
  <si>
    <t>SS T-SHIRT KUROMI TS3KU5:MISTY MEDIUM GREY:9-10:GRAPHIC:SS T-SHIRT</t>
  </si>
  <si>
    <t>SS T-SHIRT KUROMI TS3KU5:MISTY MEDIUM GREY:7-8:GRAPHIC:SS T-SHIRT</t>
  </si>
  <si>
    <t>SS T-SHIRT KUROMI TS3KU5:MISTY MEDIUM GREY:13-14:GRAPHIC:SS T-SHIRT</t>
  </si>
  <si>
    <t>SS T-SHIRT KUROMI TS3KU5:MISTY MEDIUM GREY:11-12:GRAPHIC:SS T-SHIRT</t>
  </si>
  <si>
    <t>TS3KU4</t>
  </si>
  <si>
    <t>SS T-SHIRT KUROMI TS3KU4:CHARCOAL:5:GRAPHIC:SS T-SHIRT</t>
  </si>
  <si>
    <t>SS T-SHIRT KUROMI TS3KU4:CHARCOAL:4:GRAPHIC:SS T-SHIRT</t>
  </si>
  <si>
    <t>SS T-SHIRT KUROMI TS3KU4:CHARCOAL:7-8:GRAPHIC:SS T-SHIRT</t>
  </si>
  <si>
    <t>SS T-SHIRT KUROMI TS3KU4:CHARCOAL:9-10:GRAPHIC:SS T-SHIRT</t>
  </si>
  <si>
    <t>SS T-SHIRT KUROMI TS3KU4:CHARCOAL:11-12:GRAPHIC:SS T-SHIRT</t>
  </si>
  <si>
    <t>SS T-SHIRT KUROMI TS3KU4:CHARCOAL:6:GRAPHIC:SS T-SHIRT</t>
  </si>
  <si>
    <t>TS3MM2</t>
  </si>
  <si>
    <t>SS T-SHIRT MY MELODY PITA TS3MM2:PASTEL PINK:6:GRAPHIC:SS T-SHIRT</t>
  </si>
  <si>
    <t>SS T-SHIRT MY MELODY PITA TS3MM2:PASTEL PINK:5:GRAPHIC:SS T-SHIRT</t>
  </si>
  <si>
    <t>SS T-SHIRT MY MELODY PITA TS3MM2:PASTEL PINK:4:GRAPHIC:SS T-SHIRT</t>
  </si>
  <si>
    <t>SS T-SHIRT MY MELODY PITA TS3MM2:PASTEL PINK:7-8:GRAPHIC:SS T-SHIRT</t>
  </si>
  <si>
    <t>TS3CN7</t>
  </si>
  <si>
    <t>SS T-SHIRT CINNAMOROLL RIB RJT TS3CN7:OFF WHITE:9-10:GRAPHIC:SS T-SHIRT</t>
  </si>
  <si>
    <t>SS T-SHIRT CINNAMOROLL RIB RJT TS3CN7:OFF WHITE:11-12:GRAPHIC:SS T-SHIRT</t>
  </si>
  <si>
    <t>SS T-SHIRT CINNAMOROLL RIB RJT TS3CN7:OFF WHITE:7-8:GRAPHIC:SS T-SHIRT</t>
  </si>
  <si>
    <t>SS T-SHIRT CINNAMOROLL RIB RJT TS3CN7:OFF WHITE:13-14:GRAPHIC:SS T-SHIRT</t>
  </si>
  <si>
    <t>TS3MM1</t>
  </si>
  <si>
    <t>SS T-SHIRT MY MELODY TS3MM1:MAROON:5:GRAPHIC:SS T-SHIRT</t>
  </si>
  <si>
    <t>SS T-SHIRT MY MELODY TS3MM1:MAROON:6:GRAPHIC:SS T-SHIRT</t>
  </si>
  <si>
    <t>SS T-SHIRT MY MELODY TS3MM1:MAROON:4:GRAPHIC:SS T-SHIRT</t>
  </si>
  <si>
    <t>SS T-SHIRT MY MELODY TS3MM1:MAROON:7-8:GRAPHIC:SS T-SHIRT</t>
  </si>
  <si>
    <t>TS3KU6</t>
  </si>
  <si>
    <t>SS T-SHIRT KUROMI SERUT 2 SAMPING TS3KU6:OFF WHITE:11-12:GRAPHIC:SS T-SHIRT</t>
  </si>
  <si>
    <t>SS T-SHIRT KUROMI SERUT 2 SAMPING TS3KU6:OFF WHITE:7-8:GRAPHIC:SS T-SHIRT</t>
  </si>
  <si>
    <t>SS T-SHIRT KUROMI SERUT 2 SAMPING TS3KU6:OFF WHITE:9-10:GRAPHIC:SS T-SHIRT</t>
  </si>
  <si>
    <t>SS T-SHIRT KUROMI SERUT 2 SAMPING TS3KU6:OFF WHITE:13-14:GRAPHIC:SS T-SHIRT</t>
  </si>
  <si>
    <t>TS3KU3</t>
  </si>
  <si>
    <t>SS T-SHIRT KUROMI 2 PRINT TS3KU3:OFF WHITE:5:GRAPHIC:SS T-SHIRT</t>
  </si>
  <si>
    <t>SS T-SHIRT KUROMI 2 PRINT TS3KU3:OFF WHITE:6:GRAPHIC:SS T-SHIRT</t>
  </si>
  <si>
    <t>SS T-SHIRT KUROMI 2 PRINT TS3KU3:OFF WHITE:4:GRAPHIC:SS T-SHIRT</t>
  </si>
  <si>
    <t>SS T-SHIRT KUROMI 2 PRINT TS3KU3:OFF WHITE:11-12:GRAPHIC:SS T-SHIRT</t>
  </si>
  <si>
    <t>SS T-SHIRT KUROMI 2 PRINT TS3KU3:OFF WHITE:7-8:GRAPHIC:SS T-SHIRT</t>
  </si>
  <si>
    <t>SS T-SHIRT KUROMI 2 PRINT TS3KU3:OFF WHITE:9-10:GRAPHIC:SS T-SHIRT</t>
  </si>
  <si>
    <t>TSTNJ1</t>
  </si>
  <si>
    <t>SS RAGLAN T-SHIRT TOM N JERRY TSTNJ1:PASTEL BLUE:5:GRAPHIC:SS RAGLAN T-SHIRT</t>
  </si>
  <si>
    <t>SS RAGLAN T-SHIRT TOM N JERRY TSTNJ1:PASTEL BLUE:9-10:GRAPHIC:SS RAGLAN T-SHIRT</t>
  </si>
  <si>
    <t>SS RAGLAN T-SHIRT TOM N JERRY TSTNJ1:PASTEL BLUE:11-12:GRAPHIC:SS RAGLAN T-SHIRT</t>
  </si>
  <si>
    <t>SS RAGLAN T-SHIRT TOM N JERRY TSTNJ1:PASTEL BLUE:7-8:GRAPHIC:SS RAGLAN T-SHIRT</t>
  </si>
  <si>
    <t>SS RAGLAN T-SHIRT TOM N JERRY TSTNJ1:PASTEL BLUE:6:GRAPHIC:SS RAGLAN T-SHIRT</t>
  </si>
  <si>
    <t>SS RAGLAN T-SHIRT TOM N JERRY TSTNJ1:PASTEL BLUE:4:GRAPHIC:SS RAGLAN T-SHIRT</t>
  </si>
  <si>
    <t>MP3GTNJ</t>
  </si>
  <si>
    <t>BRIEF PACK OF 3 UW TOM N JERRY MP3GTNJ:ASSORTIVE COLOR:M:PRINT:BRIEF</t>
  </si>
  <si>
    <t>BRIEF PACK OF 3 UW TOM N JERRY MP3GTNJ:ASSORTIVE COLOR:L:PRINT:BRIEF</t>
  </si>
  <si>
    <t>BRIEF PACK OF 3 UW TOM N JERRY MP3GTNJ:ASSORTIVE COLOR:S:PRINT:BRIEF</t>
  </si>
  <si>
    <t>BRIEF PACK OF 3 UW TOM N JERRY MP3GTNJ:ASSORTIVE COLOR:XL:PRINT:BRIEF</t>
  </si>
  <si>
    <t>KKKU7</t>
  </si>
  <si>
    <t>SOCKS KKG KUROMI KKKU7:PASTEL PINK:18-20:PRINT:SOCKS</t>
  </si>
  <si>
    <t>SOCKS KKG KUROMI KKKU7:PASTEL PINK:20-22:PRINT:SOCKS</t>
  </si>
  <si>
    <t>SOCKS KKG KUROMI KKKU7:PASTEL PINK:14-16:PRINT:SOCKS</t>
  </si>
  <si>
    <t>KKKU6</t>
  </si>
  <si>
    <t>SOCKS KKG KUROMI LOVE KKKU6:PASTEL PURPLE:18-20:PRINT:SOCKS</t>
  </si>
  <si>
    <t>SOCKS KKG KUROMI LOVE KKKU6:PASTEL PURPLE:20-22:PRINT:SOCKS</t>
  </si>
  <si>
    <t>SOCKS KKG KUROMI LOVE KKKU6:PASTEL PURPLE:14-16:PRINT:SOCKS</t>
  </si>
  <si>
    <t>TSPAW2</t>
  </si>
  <si>
    <t>SS T-SHIRT SKYE PAW PATROL TSPAW2:PASTEL PINK:5:GRAPHIC:SS T-SHIRT</t>
  </si>
  <si>
    <t>SS T-SHIRT SKYE PAW PATROL TSPAW2:PASTEL PINK:4:GRAPHIC:SS T-SHIRT</t>
  </si>
  <si>
    <t>SS T-SHIRT SKYE PAW PATROL TSPAW2:PASTEL PINK:6:GRAPHIC:SS T-SHIRT</t>
  </si>
  <si>
    <t>TSPAW1</t>
  </si>
  <si>
    <t>SS T-SHIRT PAWFECT TEAM PAW PATROL TSPAW1:OFF WHITE:7-8:GRAPHIC:SS T-SHIRT</t>
  </si>
  <si>
    <t>SS T-SHIRT PAWFECT TEAM PAW PATROL TSPAW1:OFF WHITE:6:GRAPHIC:SS T-SHIRT</t>
  </si>
  <si>
    <t>SS T-SHIRT PAWFECT TEAM PAW PATROL TSPAW1:OFF WHITE:4:GRAPHIC:SS T-SHIRT</t>
  </si>
  <si>
    <t>SS T-SHIRT PAWFECT TEAM PAW PATROL TSPAW1:OFF WHITE:5:GRAPHIC:SS T-SHIRT</t>
  </si>
  <si>
    <t>TS3HK1</t>
  </si>
  <si>
    <t>SS T-SHIRT HELLO KITTY PIPING TS3HK1:PASTEL PINK:6:GRAPHIC:SS T-SHIRT</t>
  </si>
  <si>
    <t>SS T-SHIRT HELLO KITTY PIPING TS3HK1:PASTEL PINK:11-12:GRAPHIC:SS T-SHIRT</t>
  </si>
  <si>
    <t>SS T-SHIRT HELLO KITTY PIPING TS3HK1:PASTEL PINK:5:GRAPHIC:SS T-SHIRT</t>
  </si>
  <si>
    <t>SS T-SHIRT HELLO KITTY PIPING TS3HK1:PASTEL PINK:9-10:GRAPHIC:SS T-SHIRT</t>
  </si>
  <si>
    <t>SS T-SHIRT HELLO KITTY PIPING TS3HK1:PASTEL PINK:4:GRAPHIC:SS T-SHIRT</t>
  </si>
  <si>
    <t>SS T-SHIRT HELLO KITTY PIPING TS3HK1:PASTEL PINK:7-8:GRAPHIC:SS T-SHIRT</t>
  </si>
  <si>
    <t>TS3HK2</t>
  </si>
  <si>
    <t>SS T-SHIRT HELLO KITTY CS BAHU TS3HK2:OFF WHITE:11-12:GRAPHIC:SS T-SHIRT</t>
  </si>
  <si>
    <t>SS T-SHIRT HELLO KITTY CS BAHU TS3HK2:OFF WHITE:4:GRAPHIC:SS T-SHIRT</t>
  </si>
  <si>
    <t>SS T-SHIRT HELLO KITTY CS BAHU TS3HK2:OFF WHITE:9-10:GRAPHIC:SS T-SHIRT</t>
  </si>
  <si>
    <t>SS T-SHIRT HELLO KITTY CS BAHU TS3HK2:OFF WHITE:5:GRAPHIC:SS T-SHIRT</t>
  </si>
  <si>
    <t>SS T-SHIRT HELLO KITTY CS BAHU TS3HK2:OFF WHITE:6:GRAPHIC:SS T-SHIRT</t>
  </si>
  <si>
    <t>SS T-SHIRT HELLO KITTY CS BAHU TS3HK2:OFF WHITE:7-8:GRAPHIC:SS T-SHIRT</t>
  </si>
  <si>
    <t>OV3MM</t>
  </si>
  <si>
    <t>SS MIDI DRESS OVERALL MY MELODY OV3MM:PASTEL ORANGE:18-24:PRINT:SS MIDI DRESS</t>
  </si>
  <si>
    <t>SS MIDI DRESS OVERALL MY MELODY OV3MM:PASTEL ORANGE:12-18:PRINT:SS MIDI DRESS</t>
  </si>
  <si>
    <t>SS MIDI DRESS OVERALL MY MELODY OV3MM:PASTEL ORANGE:6-12:PRINT:SS MIDI DRESS</t>
  </si>
  <si>
    <t>SS MIDI DRESS OVERALL MY MELODY OV3MM:PASTEL ORANGE:24-36:PRINT:SS MIDI DRESS</t>
  </si>
  <si>
    <t>SET3LKU</t>
  </si>
  <si>
    <t>TOP - BOTTOM SET LP KUROMI SET3LKU:PASTEL PURPLE:6-12:PRINT:TOP - BOTTOM SET</t>
  </si>
  <si>
    <t>TOP - BOTTOM SET LP KUROMI SET3LKU:PASTEL PURPLE:12-18:PRINT:TOP - BOTTOM SET</t>
  </si>
  <si>
    <t>TOP - BOTTOM SET LP KUROMI SET3LKU:PASTEL PURPLE:24-36:PRINT:TOP - BOTTOM SET</t>
  </si>
  <si>
    <t>TOP - BOTTOM SET LP KUROMI SET3LKU:PASTEL PURPLE:18-24:PRINT:TOP - BOTTOM SET</t>
  </si>
  <si>
    <t>SS3MM</t>
  </si>
  <si>
    <t>SS T-SHIRT SS TOP MY MELODY SS3MM:PASTEL ORANGE:12-18:PRINT:SS T-SHIRT</t>
  </si>
  <si>
    <t>SS T-SHIRT SS TOP MY MELODY SS3MM:PASTEL ORANGE:18-24:PRINT:SS T-SHIRT</t>
  </si>
  <si>
    <t>SS T-SHIRT SS TOP MY MELODY SS3MM:PASTEL ORANGE:6-12:PRINT:SS T-SHIRT</t>
  </si>
  <si>
    <t>SS T-SHIRT SS TOP MY MELODY SS3MM:PASTEL ORANGE:24-36:PRINT:SS T-SHIRT</t>
  </si>
  <si>
    <t>DS3KU</t>
  </si>
  <si>
    <t>SS MIDI DRESS OVERALL KUROMI DS3KU:PASTEL PURPLE:6-12:PRINT:SS MIDI DRESS</t>
  </si>
  <si>
    <t>SS MIDI DRESS OVERALL KUROMI DS3KU:PASTEL PURPLE:18-24:PRINT:SS MIDI DRESS</t>
  </si>
  <si>
    <t>SS MIDI DRESS OVERALL KUROMI DS3KU:PASTEL PURPLE:24-36:PRINT:SS MIDI DRESS</t>
  </si>
  <si>
    <t>SS MIDI DRESS OVERALL KUROMI DS3KU:PASTEL PURPLE:12-18:PRINT:SS MIDI DRESS</t>
  </si>
  <si>
    <t>SETGKU3A</t>
  </si>
  <si>
    <t>TOP - BOTTOM SET KUROMI RUFFLE SETGKU3A:OFF WHITE:12-18:PRINT:TOP - BOTTOM SET</t>
  </si>
  <si>
    <t>TOP - BOTTOM SET KUROMI RUFFLE SETGKU3A:OFF WHITE:6-12:PRINT:TOP - BOTTOM SET</t>
  </si>
  <si>
    <t>TOP - BOTTOM SET KUROMI RUFFLE SETGKU3A:OFF WHITE:24-36:PRINT:TOP - BOTTOM SET</t>
  </si>
  <si>
    <t>TOP - BOTTOM SET KUROMI RUFFLE SETGKU3A:OFF WHITE:18-24:PRINT:TOP - BOTTOM SET</t>
  </si>
  <si>
    <t>MP325KU</t>
  </si>
  <si>
    <t>BRIEF PACK OF 3 UW KUROMI MP325KU:ASSORTIVE COLOR:L:PRINT:BRIEF</t>
  </si>
  <si>
    <t>BRIEF PACK OF 3 UW KUROMI MP325KU:ASSORTIVE COLOR:XL:PRINT:BRIEF</t>
  </si>
  <si>
    <t>BRIEF PACK OF 3 UW KUROMI MP325KU:ASSORTIVE COLOR:M:PRINT:BRIEF</t>
  </si>
  <si>
    <t>BRIEF PACK OF 3 UW KUROMI MP325KU:ASSORTIVE COLOR:S:PRINT:BRIEF</t>
  </si>
  <si>
    <t>SWPAW1</t>
  </si>
  <si>
    <t>TOP - BOTTOM SET LSLP PAW PATROL SWPAW1:PASTEL PINK:4:PRINT:TOP - BOTTOM SET</t>
  </si>
  <si>
    <t>TOP - BOTTOM SET LSLP PAW PATROL SWPAW1:PASTEL PINK:10:PRINT:TOP - BOTTOM SET</t>
  </si>
  <si>
    <t>TOP - BOTTOM SET LSLP PAW PATROL SWPAW1:PASTEL PINK:6:PRINT:TOP - BOTTOM SET</t>
  </si>
  <si>
    <t>TOP - BOTTOM SET LSLP PAW PATROL SWPAW1:PASTEL PINK:7:PRINT:TOP - BOTTOM SET</t>
  </si>
  <si>
    <t>TOP - BOTTOM SET LSLP PAW PATROL SWPAW1:PASTEL PINK:5:PRINT:TOP - BOTTOM SET</t>
  </si>
  <si>
    <t>TOP - BOTTOM SET LSLP PAW PATROL SWPAW1:PASTEL PINK:8:PRINT:TOP - BOTTOM SET</t>
  </si>
  <si>
    <t>TOP - BOTTOM SET LSLP PAW PATROL SWPAW1:PASTEL PINK:12:PRINT:TOP - BOTTOM SET</t>
  </si>
  <si>
    <t>TOP - BOTTOM SET LSLP PAW PATROL SWPAW1:PASTEL PINK:14:PRINT:TOP - BOTTOM SET</t>
  </si>
  <si>
    <t>TSTNJ2</t>
  </si>
  <si>
    <t>SS T-SHIRT PRINT KANTONG TOM N JERRY TSTNJ2:OFF WHITE:9-10:GRAPHIC:SS T-SHIRT</t>
  </si>
  <si>
    <t>SS T-SHIRT PRINT KANTONG TOM N JERRY TSTNJ2:OFF WHITE:6:GRAPHIC:SS T-SHIRT</t>
  </si>
  <si>
    <t>SS T-SHIRT PRINT KANTONG TOM N JERRY TSTNJ2:OFF WHITE:7-8:GRAPHIC:SS T-SHIRT</t>
  </si>
  <si>
    <t>SS T-SHIRT PRINT KANTONG TOM N JERRY TSTNJ2:OFF WHITE:11-12:GRAPHIC:SS T-SHIRT</t>
  </si>
  <si>
    <t>SS T-SHIRT PRINT KANTONG TOM N JERRY TSTNJ2:OFF WHITE:4:GRAPHIC:SS T-SHIRT</t>
  </si>
  <si>
    <t>SS T-SHIRT PRINT KANTONG TOM N JERRY TSTNJ2:OFF WHITE:5:GRAPHIC:SS T-SHIRT</t>
  </si>
  <si>
    <t>TSTNJ4</t>
  </si>
  <si>
    <t>SS T-SHIRT TOM N JERRY HIDE N SEEK TSTNJ4:PASTEL ORANGE:5:GRAPHIC:SS T-SHIRT</t>
  </si>
  <si>
    <t>SS T-SHIRT TOM N JERRY HIDE N SEEK TSTNJ4:PASTEL ORANGE:4:GRAPHIC:SS T-SHIRT</t>
  </si>
  <si>
    <t>SS T-SHIRT TOM N JERRY HIDE N SEEK TSTNJ4:PASTEL ORANGE:6:GRAPHIC:SS T-SHIRT</t>
  </si>
  <si>
    <t>SS T-SHIRT TOM N JERRY HIDE N SEEK TSTNJ4:PASTEL ORANGE:9-10:GRAPHIC:SS T-SHIRT</t>
  </si>
  <si>
    <t>SS T-SHIRT TOM N JERRY HIDE N SEEK TSTNJ4:PASTEL ORANGE:7-8:GRAPHIC:SS T-SHIRT</t>
  </si>
  <si>
    <t>SS T-SHIRT TOM N JERRY HIDE N SEEK TSTNJ4:PASTEL ORANGE:11-12:GRAPHIC:SS T-SHIRT</t>
  </si>
  <si>
    <t>TSTNJ3</t>
  </si>
  <si>
    <t>SS T-SHIRT TOM N JERRY TSTNJ3:MAROON:9-10:GRAPHIC:SS T-SHIRT</t>
  </si>
  <si>
    <t>SS T-SHIRT TOM N JERRY TSTNJ3:MAROON:7-8:GRAPHIC:SS T-SHIRT</t>
  </si>
  <si>
    <t>SS T-SHIRT TOM N JERRY TSTNJ3:MAROON:4:GRAPHIC:SS T-SHIRT</t>
  </si>
  <si>
    <t>SS T-SHIRT TOM N JERRY TSTNJ3:MAROON:6:GRAPHIC:SS T-SHIRT</t>
  </si>
  <si>
    <t>SS T-SHIRT TOM N JERRY TSTNJ3:MAROON:11-12:GRAPHIC:SS T-SHIRT</t>
  </si>
  <si>
    <t>SS T-SHIRT TOM N JERRY TSTNJ3:MAROON:5:GRAPHIC:SS T-SHIRT</t>
  </si>
  <si>
    <t>2025 HILITE DISC 80</t>
  </si>
  <si>
    <t>TSZTP2</t>
  </si>
  <si>
    <t>SS T-SHIRT ZOOTOPIA TSZTP2:PASTEL GREEN:9-10:GRAPHIC:SS T-SHIRT</t>
  </si>
  <si>
    <t>SS T-SHIRT ZOOTOPIA TSZTP2:PASTEL GREEN:7-8:GRAPHIC:SS T-SHIRT</t>
  </si>
  <si>
    <t>SS T-SHIRT ZOOTOPIA TSZTP2:PASTEL GREEN:13-14:GRAPHIC:SS T-SHIRT</t>
  </si>
  <si>
    <t>SS T-SHIRT ZOOTOPIA TSZTP2:PASTEL GREEN:11-12:GRAPHIC:SS T-SHIRT</t>
  </si>
  <si>
    <t>TSZTP1</t>
  </si>
  <si>
    <t>SS T-SHIRT ZOOTOPIA TSZTP1:PASTEL GREY:9-10:GRAPHIC:SS T-SHIRT</t>
  </si>
  <si>
    <t>SS T-SHIRT ZOOTOPIA TSZTP1:PASTEL GREY:7-8:GRAPHIC:SS T-SHIRT</t>
  </si>
  <si>
    <t>SS T-SHIRT ZOOTOPIA TSZTP1:PASTEL GREY:13-14:GRAPHIC:SS T-SHIRT</t>
  </si>
  <si>
    <t>SS T-SHIRT ZOOTOPIA TSZTP1:PASTEL GREY:11-12:GRAPHIC:SS T-SHIRT</t>
  </si>
  <si>
    <t>TSTST2</t>
  </si>
  <si>
    <t>SS T-SHIRT TOY STORY IKAT DPN 2 PRINT TSTST2:OFF WHITE:5:GRAPHIC:SS T-SHIRT</t>
  </si>
  <si>
    <t>SS T-SHIRT TOY STORY IKAT DPN 2 PRINT TSTST2:OFF WHITE:4:GRAPHIC:SS T-SHIRT</t>
  </si>
  <si>
    <t>SS T-SHIRT TOY STORY IKAT DPN 2 PRINT TSTST2:OFF WHITE:7-8:GRAPHIC:SS T-SHIRT</t>
  </si>
  <si>
    <t>SS T-SHIRT TOY STORY IKAT DPN 2 PRINT TSTST2:OFF WHITE:6:GRAPHIC:SS T-SHIRT</t>
  </si>
  <si>
    <t>TSTST1</t>
  </si>
  <si>
    <t>SS T-SHIRT STRIPE TOY STORY TSTST1:OFF WHITE:5:GRAPHIC:SS T-SHIRT</t>
  </si>
  <si>
    <t>SS T-SHIRT STRIPE TOY STORY TSTST1:OFF WHITE:6:GRAPHIC:SS T-SHIRT</t>
  </si>
  <si>
    <t>SS T-SHIRT STRIPE TOY STORY TSTST1:OFF WHITE:4:GRAPHIC:SS T-SHIRT</t>
  </si>
  <si>
    <t>SS T-SHIRT STRIPE TOY STORY TSTST1:OFF WHITE:7-8:GRAPHIC:SS T-SHIRT</t>
  </si>
  <si>
    <t>TSTST3</t>
  </si>
  <si>
    <t>SS T-SHIRT TOY STORY BAT WING TSTST3:PASTEL BLUE:13-14:GRAPHIC:SS T-SHIRT</t>
  </si>
  <si>
    <t>SS T-SHIRT TOY STORY BAT WING TSTST3:PASTEL BLUE:11-12:GRAPHIC:SS T-SHIRT</t>
  </si>
  <si>
    <t>SS T-SHIRT TOY STORY BAT WING TSTST3:PASTEL BLUE:7-8:GRAPHIC:SS T-SHIRT</t>
  </si>
  <si>
    <t>SS T-SHIRT TOY STORY BAT WING TSTST3:PASTEL BLUE:9-10:GRAPHIC:SS T-SHIRT</t>
  </si>
  <si>
    <t>TSZTP3</t>
  </si>
  <si>
    <t>SS T-SHIRT ZOOTOPIA TSZTP3:OFF WHITE:9-10:PRINT:SS T-SHIRT</t>
  </si>
  <si>
    <t>SS T-SHIRT ZOOTOPIA TSZTP3:OFF WHITE:7-8:PRINT:SS T-SHIRT</t>
  </si>
  <si>
    <t>SS T-SHIRT ZOOTOPIA TSZTP3:OFF WHITE:13-14:PRINT:SS T-SHIRT</t>
  </si>
  <si>
    <t>SS T-SHIRT ZOOTOPIA TSZTP3:OFF WHITE:11-12:PRINT:SS T-SHIRT</t>
  </si>
  <si>
    <t>MP425TSTG</t>
  </si>
  <si>
    <t>BRIEF PACK OF 3 UW TOY STORY MP425TSTG:ASSORTIVE COLOR:M:GRAPHIC:BRIEF</t>
  </si>
  <si>
    <t>KKSUITS3</t>
  </si>
  <si>
    <t>SOCKS KKB TOY STORY KKSUITS3:PASTEL YELLOW:14-16:PRINT:SOCKS</t>
  </si>
  <si>
    <t>SOCKS KKB TOY STORY KKSUITS3:PASTEL YELLOW:18-20:PRINT:SOCKS</t>
  </si>
  <si>
    <t>KKLGCAP</t>
  </si>
  <si>
    <t>SOCKS KKB LOGO CAPTAIN AMERICA KKLGCAP:BLACK:20-22:GRAPHIC:SOCKS</t>
  </si>
  <si>
    <t>SOCKS KKB LOGO CAPTAIN AMERICA KKLGCAP:BLACK:18-20:GRAPHIC:SOCKS</t>
  </si>
  <si>
    <t>SOCKS KKB LOGO CAPTAIN AMERICA KKLGCAP:BLACK:14-16:GRAPHIC:SOCKS</t>
  </si>
  <si>
    <t>KKSPDW</t>
  </si>
  <si>
    <t>SOCKS KKB SPIDERMAN WEB KKSPDW:BLACK:14-16:GRAPHIC:SOCKS</t>
  </si>
  <si>
    <t>SOCKS KKB SPIDERMAN WEB KKSPDW:BLACK:18-20:GRAPHIC:SOCKS</t>
  </si>
  <si>
    <t>SOCKS KKB SPIDERMAN WEB KKSPDW:BLACK:20-22:GRAPHIC:SOCKS</t>
  </si>
  <si>
    <t>KKKU9</t>
  </si>
  <si>
    <t>SOCKS KKG KUROMI KKKU9:PASTEL GREY:18-20:GRAPHIC:SOCKS</t>
  </si>
  <si>
    <t>SOCKS KKG KUROMI KKKU9:PASTEL GREY:14-16:GRAPHIC:SOCKS</t>
  </si>
  <si>
    <t>SOCKS KKG KUROMI KKKU9:PASTEL GREY:20-22:GRAPHIC:SOCKS</t>
  </si>
  <si>
    <t>KKKU8</t>
  </si>
  <si>
    <t>SOCKS KKG KUROMI KKKU8:PASTEL PINK:14-16:GRAPHIC:SOCKS</t>
  </si>
  <si>
    <t>SOCKS KKG KUROMI KKKU8:PASTEL PINK:20-22:GRAPHIC:SOCKS</t>
  </si>
  <si>
    <t>SOCKS KKG KUROMI KKKU8:PASTEL PINK:18-20:GRAPHIC:SOCKS</t>
  </si>
  <si>
    <t>SWTNJ</t>
  </si>
  <si>
    <t>TOP - BOTTOM SET LSLP TOM AND JERRY SWTNJ:NAVY BLUE:12:PRINT:TOP - BOTTOM SET</t>
  </si>
  <si>
    <t>TOP - BOTTOM SET LSLP TOM AND JERRY SWTNJ:NAVY BLUE:14:PRINT:TOP - BOTTOM SET</t>
  </si>
  <si>
    <t>TOP - BOTTOM SET LSLP TOM AND JERRY SWTNJ:NAVY BLUE:10:PRINT:TOP - BOTTOM SET</t>
  </si>
  <si>
    <t>TOP - BOTTOM SET LSLP TOM AND JERRY SWTNJ:NAVY BLUE:4:PRINT:TOP - BOTTOM SET</t>
  </si>
  <si>
    <t>TOP - BOTTOM SET LSLP TOM AND JERRY SWTNJ:NAVY BLUE:7:PRINT:TOP - BOTTOM SET</t>
  </si>
  <si>
    <t>TOP - BOTTOM SET LSLP TOM AND JERRY SWTNJ:NAVY BLUE:5:PRINT:TOP - BOTTOM SET</t>
  </si>
  <si>
    <t>TOP - BOTTOM SET LSLP TOM AND JERRY SWTNJ:NAVY BLUE:8:PRINT:TOP - BOTTOM SET</t>
  </si>
  <si>
    <t>TOP - BOTTOM SET LSLP TOM AND JERRY SWTNJ:NAVY BLUE:6:PRINT:TOP - BOTTOM SET</t>
  </si>
  <si>
    <t>SWPAW2</t>
  </si>
  <si>
    <t>TOP - BOTTOM SET SSLP PAW PATROL SWPAW2:OFF WHITE:10:PRINT:TOP - BOTTOM SET</t>
  </si>
  <si>
    <t>TOP - BOTTOM SET SSLP PAW PATROL SWPAW2:OFF WHITE:12:PRINT:TOP - BOTTOM SET</t>
  </si>
  <si>
    <t>TOP - BOTTOM SET SSLP PAW PATROL SWPAW2:OFF WHITE:8:PRINT:TOP - BOTTOM SET</t>
  </si>
  <si>
    <t>TOP - BOTTOM SET SSLP PAW PATROL SWPAW2:OFF WHITE:4:PRINT:TOP - BOTTOM SET</t>
  </si>
  <si>
    <t>TOP - BOTTOM SET SSLP PAW PATROL SWPAW2:OFF WHITE:14:PRINT:TOP - BOTTOM SET</t>
  </si>
  <si>
    <t>TOP - BOTTOM SET SSLP PAW PATROL SWPAW2:OFF WHITE:6:PRINT:TOP - BOTTOM SET</t>
  </si>
  <si>
    <t>TOP - BOTTOM SET SSLP PAW PATROL SWPAW2:OFF WHITE:7:PRINT:TOP - BOTTOM SET</t>
  </si>
  <si>
    <t>TOP - BOTTOM SET SSLP PAW PATROL SWPAW2:OFF WHITE:5:PRINT:TOP - BOTTOM SET</t>
  </si>
  <si>
    <t>MP425TSTB</t>
  </si>
  <si>
    <t>BRIEF PACK OF 3 UW TOY STORY MP425TSTB:ASSORTIVE COLOR:L:GRAPHIC:BRIEF</t>
  </si>
  <si>
    <t>SWBTS2</t>
  </si>
  <si>
    <t>TOP - BOTTOM SET LSLP TOYS STORY SWBTS2:PASTEL GREY:10:PRINT:TOP - BOTTOM SET</t>
  </si>
  <si>
    <t>TOP - BOTTOM SET LSLP TOYS STORY SWBTS2:PASTEL GREY:5:PRINT:TOP - BOTTOM SET</t>
  </si>
  <si>
    <t>TOP - BOTTOM SET LSLP TOYS STORY SWBTS2:PASTEL GREY:4:PRINT:TOP - BOTTOM SET</t>
  </si>
  <si>
    <t>TOP - BOTTOM SET LSLP TOYS STORY SWBTS2:PASTEL GREY:14:PRINT:TOP - BOTTOM SET</t>
  </si>
  <si>
    <t>TOP - BOTTOM SET LSLP TOYS STORY SWBTS2:PASTEL GREY:8:PRINT:TOP - BOTTOM SET</t>
  </si>
  <si>
    <t>TOP - BOTTOM SET LSLP TOYS STORY SWBTS2:PASTEL GREY:7:PRINT:TOP - BOTTOM SET</t>
  </si>
  <si>
    <t>TOP - BOTTOM SET LSLP TOYS STORY SWBTS2:PASTEL GREY:12:PRINT:TOP - BOTTOM SET</t>
  </si>
  <si>
    <t>TOP - BOTTOM SET LSLP TOYS STORY SWBTS2:PASTEL GREY:6:PRINT:TOP - BOTTOM SET</t>
  </si>
  <si>
    <t>KKTNJ1</t>
  </si>
  <si>
    <t>SOCKS KKG TOM AND JERRY CHEESEE KKTNJ1:PASTEL PINK:20-22:GRAPHIC:SOCKS</t>
  </si>
  <si>
    <t>SOCKS KKG TOM AND JERRY CHEESEE KKTNJ1:PASTEL PINK:14-16:GRAPHIC:SOCKS</t>
  </si>
  <si>
    <t>SOCKS KKG TOM AND JERRY CHEESEE KKTNJ1:PASTEL PINK:18-20:GRAPHIC:SOCKS</t>
  </si>
  <si>
    <t>KKTNJ2</t>
  </si>
  <si>
    <t>SOCKS KKG TOM AND JERRY CHEESEE KKTNJ2:PASTEL YELLOW:18-20:GRAPHIC:SOCKS</t>
  </si>
  <si>
    <t>SOCKS KKG TOM AND JERRY CHEESEE KKTNJ2:PASTEL YELLOW:14-16:GRAPHIC:SOCKS</t>
  </si>
  <si>
    <t>SOCKS KKG TOM AND JERRY CHEESEE KKTNJ2:PASTEL YELLOW:20-22:GRAPHIC:SOCKS</t>
  </si>
  <si>
    <t>KKTNJ5</t>
  </si>
  <si>
    <t>SOCKS KKB TOM AND JERRY STRIPE KKTNJ5:PASTEL BLUE:14-16:GRAPHIC:SOCKS</t>
  </si>
  <si>
    <t>SOCKS KKB TOM AND JERRY STRIPE KKTNJ5:PASTEL BLUE:20-22:GRAPHIC:SOCKS</t>
  </si>
  <si>
    <t>SOCKS KKB TOM AND JERRY STRIPE KKTNJ5:PASTEL BLUE:18-20:GRAPHIC:SOCKS</t>
  </si>
  <si>
    <t>KKTNJ4</t>
  </si>
  <si>
    <t>SOCKS KKB TOM AND JERRY KKTNJ4:NAVY BLUE:18-20:GRAPHIC:SOCKS</t>
  </si>
  <si>
    <t>SOCKS KKB TOM AND JERRY KKTNJ4:NAVY BLUE:14-16:GRAPHIC:SOCKS</t>
  </si>
  <si>
    <t>SOCKS KKB TOM AND JERRY KKTNJ4:NAVY BLUE:20-22:GRAPHIC:SOCKS</t>
  </si>
  <si>
    <t>KKKU10</t>
  </si>
  <si>
    <t>SOCKS KKG KUROMI LOVE KKKU10:PASTEL GREY:14-16:GRAPHIC:SOCKS</t>
  </si>
  <si>
    <t>SOCKS KKG KUROMI LOVE KKKU10:PASTEL GREY:18-20:GRAPHIC:SOCKS</t>
  </si>
  <si>
    <t>SOCKS KKG KUROMI LOVE KKKU10:PASTEL GREY:20-22:GRAPHIC:SOCKS</t>
  </si>
  <si>
    <t>KKKU11</t>
  </si>
  <si>
    <t>SOCKS KKG KUROMI LOVE KKKU11:PASTEL PURPLE:14-16:GRAPHIC:SOCKS</t>
  </si>
  <si>
    <t>SOCKS KKG KUROMI LOVE KKKU11:PASTEL PURPLE:18-20:GRAPHIC:SOCKS</t>
  </si>
  <si>
    <t>SOCKS KKG KUROMI LOVE KKKU11:PASTEL PURPLE:20-22:GRAPHIC:SOCKS</t>
  </si>
  <si>
    <t>KKKU12</t>
  </si>
  <si>
    <t>SOCKS KKG KUROMI LOVE KKKU12:PASTEL PURPLE:14-16:GRAPHIC:SOCKS</t>
  </si>
  <si>
    <t>SOCKS KKG KUROMI LOVE KKKU12:PASTEL PURPLE:20-22:GRAPHIC:SOCKS</t>
  </si>
  <si>
    <t>SOCKS KKG KUROMI LOVE KKKU12:PASTEL PURPLE:18-20:GRAPHIC:SOCKS</t>
  </si>
  <si>
    <t>BRIEF PACK OF 3 GIRLS UW STITCH MP3GSTT:ASSORTIVE COLOR:S:PRINT:BRIEF</t>
  </si>
  <si>
    <t>BRIEF PACK OF 3 GIRLS UW STITCH MP3GSTT:ASSORTIVE COLOR:M:PRINT:BRIEF</t>
  </si>
  <si>
    <t>BRIEF PACK OF 3 GIRLS UW STITCH MP3GSTT:ASSORTIVE COLOR:XL:PRINT:BRIEF</t>
  </si>
  <si>
    <t>LS PYJAMA PANTS PACK OF 3 BOYS UW SPIDERMAN BEYOND AMAZING MP3BASPD:ASSORTIVE COLOR:M:PRINT:LS PYJAM</t>
  </si>
  <si>
    <t>BRIEF PACK OF 3 UW AVENGERS MP3UMAV:ASSORTIVE COLOR:S:PRINT:BRIEF</t>
  </si>
  <si>
    <t>BRIEF PACK OF 3 UW AVENGERS MP3UMAV:ASSORTIVE COLOR:L:PRINT:BRIEF</t>
  </si>
  <si>
    <t>BRIEF PACK OF 3 UW AVENGERS MP3UMAV:ASSORTIVE COLOR:XL:PRINT:BRIEF</t>
  </si>
  <si>
    <t>BRIEF PACK OF 3 UW CINNAMOROLL MP34CNM:ASSORTIVE COLOR:L:PRINT:BRIEF</t>
  </si>
  <si>
    <t>MP3GSTT</t>
  </si>
  <si>
    <t>MP3BASPD</t>
  </si>
  <si>
    <t>MP3UMAV</t>
  </si>
  <si>
    <t>MP34CNM</t>
  </si>
  <si>
    <t>2025 JUN B1G1</t>
  </si>
  <si>
    <t>SS T-SHIRT CINNAMOROLL COLLAR TS3CN5:PASTEL BLUE:13-14:GRAPHIC:SS T-SHIRT</t>
  </si>
  <si>
    <t>JKH3KT</t>
  </si>
  <si>
    <t>JACKET HOODIE HELLO KITTY JKH3KT:MISTY LIGHT GREY:4:GRAPHIC:JACKET</t>
  </si>
  <si>
    <t>JACKET HOODIE HELLO KITTY JKH3KT:MISTY LIGHT GREY:5:GRAPHIC:JACKET</t>
  </si>
  <si>
    <t>JACKET HOODIE HELLO KITTY JKH3KT:MISTY LIGHT GREY:6:GRAPHIC:JACKET</t>
  </si>
  <si>
    <t>JACKET HOODIE HELLO KITTY JKH3KT:MISTY LIGHT GREY:7-8:GRAPHIC:JACKET</t>
  </si>
  <si>
    <t>JACKET HOODIE HELLO KITTY JKH3KT:MISTY LIGHT GREY:9-10:GRAPHIC:JACKET</t>
  </si>
  <si>
    <t>JACKET HOODIE HELLO KITTY JKH3KT:MISTY LIGHT GREY:11-12:GRAPHIC:JACKET</t>
  </si>
  <si>
    <t>SP3KU</t>
  </si>
  <si>
    <t>SHORT PANTS KUROMI SP3KU:PASTEL GREY:7-8:EMBRO:SHORT PANTS</t>
  </si>
  <si>
    <t>SHORT PANTS KUROMI SP3KU:PASTEL GREY:9-10:EMBRO:SHORT PANTS</t>
  </si>
  <si>
    <t>SHORT PANTS KUROMI SP3KU:PASTEL GREY:11-12:EMBRO:SHORT PANTS</t>
  </si>
  <si>
    <t>SHORT PANTS KUROMI SP3KU:PASTEL GREY:13-14:EMBRO:SHORT PANTS</t>
  </si>
  <si>
    <t>SK3HK</t>
  </si>
  <si>
    <t>SKORT HELLO KITTY SK3HK:MISTY LIGHT GREY:4:GRAPHIC:SKORT</t>
  </si>
  <si>
    <t>SKORT HELLO KITTY SK3HK:MISTY LIGHT GREY:5:GRAPHIC:SKORT</t>
  </si>
  <si>
    <t>SKORT HELLO KITTY SK3HK:MISTY LIGHT GREY:6:GRAPHIC:SKORT</t>
  </si>
  <si>
    <t>SKORT HELLO KITTY SK3HK:MISTY LIGHT GREY:7-8:GRAPHIC:SKORT</t>
  </si>
  <si>
    <t>TS253MM</t>
  </si>
  <si>
    <t>SS T-SHIRT MY MELODY TS253MM:OFF WHITE:3-4:GRAPHIC:SS T-SHIRT</t>
  </si>
  <si>
    <t>SS T-SHIRT MY MELODY TS253MM:OFF WHITE:4-5:GRAPHIC:SS T-SHIRT</t>
  </si>
  <si>
    <t>SS T-SHIRT MY MELODY TS253MM:OFF WHITE:5-6:GRAPHIC:SS T-SHIRT</t>
  </si>
  <si>
    <t>SS T-SHIRT MY MELODY TS253MM:OFF WHITE:7-8:GRAPHIC:SS T-SHIRT</t>
  </si>
  <si>
    <t>TS251MM</t>
  </si>
  <si>
    <t>SS T-SHIRT MY MELODY TS251MM:PASTEL PINK:3-4:GRAPHIC:SS T-SHIRT</t>
  </si>
  <si>
    <t>SS T-SHIRT MY MELODY TS251MM:PASTEL PINK:4-5:GRAPHIC:SS T-SHIRT</t>
  </si>
  <si>
    <t>SS T-SHIRT MY MELODY TS251MM:PASTEL PINK:5-6:GRAPHIC:SS T-SHIRT</t>
  </si>
  <si>
    <t>SS T-SHIRT MY MELODY TS251MM:PASTEL PINK:7-8:GRAPHIC:SS T-SHIRT</t>
  </si>
  <si>
    <t>TS254MM</t>
  </si>
  <si>
    <t>SS T-SHIRT MY MELODY TS254MM:PASTEL PINK:3-4:GRAPHIC:SS T-SHIRT</t>
  </si>
  <si>
    <t>SS T-SHIRT MY MELODY TS254MM:PASTEL PINK:4-5:GRAPHIC:SS T-SHIRT</t>
  </si>
  <si>
    <t>SS T-SHIRT MY MELODY TS254MM:PASTEL PINK:5-6:GRAPHIC:SS T-SHIRT</t>
  </si>
  <si>
    <t>SS T-SHIRT MY MELODY TS254MM:PASTEL PINK:7-8:GRAPHIC:SS T-SHIRT</t>
  </si>
  <si>
    <t>LS PYJAMA PANTS LSLP CINNAMOROLL PYLMCN:PASTEL BLUE:8:PRINT:LS PYJAMA PANTS</t>
  </si>
  <si>
    <t>LS PYJAMA PANTS LSLP CINNAMOROLL PYLMCN:PASTEL BLUE:10:PRINT:LS PYJAMA PANTS</t>
  </si>
  <si>
    <t>LS PYJAMA PANTS LSLP CINNAMOROLL PYLMCN:PASTEL BLUE:12:PRINT:LS PYJAMA PANTS</t>
  </si>
  <si>
    <t>LS PYJAMA PANTS LSLP CINNAMOROLL PYLMCN:PASTEL BLUE:14:PRINT:LS PYJAMA PANTS</t>
  </si>
  <si>
    <t>U325BAT2</t>
  </si>
  <si>
    <t>BRIEF PACK OF 3 UNDERWEAR BATMAN U325BAT2:ASSORTIVE COLOR:S:PRINT:BRIEF</t>
  </si>
  <si>
    <t>BRIEF PACK OF 3 UNDERWEAR BATMAN U325BAT2:ASSORTIVE COLOR:M:PRINT:BRIEF</t>
  </si>
  <si>
    <t>BRIEF PACK OF 3 UNDERWEAR BATMAN U325BAT2:ASSORTIVE COLOR:L:PRINT:BRIEF</t>
  </si>
  <si>
    <t>BRIEF PACK OF 3 UNDERWEAR BATMAN U325BAT2:ASSORTIVE COLOR:XL:PRINT:BRIEF</t>
  </si>
  <si>
    <t>TS3KU2</t>
  </si>
  <si>
    <t>SPPP</t>
  </si>
  <si>
    <t>TS3KU1</t>
  </si>
  <si>
    <t>SS T-SHIRT KUROMI TS3KU2:DUSTY PINK:4:GRAPHIC:SS T-SHIRT</t>
  </si>
  <si>
    <t>SS T-SHIRT KUROMI TS3KU2:DUSTY PINK:6:GRAPHIC:SS T-SHIRT</t>
  </si>
  <si>
    <t>SS T-SHIRT KUROMI TS3KU2:DUSTY PINK:7-8:GRAPHIC:SS T-SHIRT</t>
  </si>
  <si>
    <t>SS T-SHIRT KUROMI TS3KU2:DUSTY PINK:5:GRAPHIC:SS T-SHIRT</t>
  </si>
  <si>
    <t>SHORT PANTS PAW PATROL SPPP:PASTEL GREY:7-8:GRAPHIC:SHORT PANTS</t>
  </si>
  <si>
    <t>SHORT PANTS PAW PATROL SPPP:PASTEL GREY:5:GRAPHIC:SHORT PANTS</t>
  </si>
  <si>
    <t>SHORT PANTS PAW PATROL SPPP:PASTEL GREY:4:GRAPHIC:SHORT PANTS</t>
  </si>
  <si>
    <t>SHORT PANTS PAW PATROL SPPP:PASTEL GREY:6:GRAPHIC:SHORT PANTS</t>
  </si>
  <si>
    <t>SS T-SHIRT KUROMI PITA PRINT TS3KU1:PASTEL PURPLE:5:GRAPHIC:SS T-SHIRT</t>
  </si>
  <si>
    <t>SS T-SHIRT KUROMI PITA PRINT TS3KU1:PASTEL PURPLE:6:GRAPHIC:SS T-SHIRT</t>
  </si>
  <si>
    <t>SS T-SHIRT KUROMI PITA PRINT TS3KU1:PASTEL PURPLE:11-12:GRAPHIC:SS T-SHIRT</t>
  </si>
  <si>
    <t>SS T-SHIRT KUROMI PITA PRINT TS3KU1:PASTEL PURPLE:4:GRAPHIC:SS T-SHIRT</t>
  </si>
  <si>
    <t>SS T-SHIRT KUROMI PITA PRINT TS3KU1:PASTEL PURPLE:7-8:GRAPHIC:SS T-SHIRT</t>
  </si>
  <si>
    <t>SS T-SHIRT KUROMI PITA PRINT TS3KU1:PASTEL PURPLE:9-10:GRAPHIC:SS T-SHIRT</t>
  </si>
  <si>
    <t>SK3KU</t>
  </si>
  <si>
    <t>SKORT KUROMI SK3KU:CHARCOAL:6:GRAPHIC:SKORT</t>
  </si>
  <si>
    <t>SKORT KUROMI SK3KU:CHARCOAL:4:GRAPHIC:SKORT</t>
  </si>
  <si>
    <t>SKORT KUROMI SK3KU:CHARCOAL:7-8:GRAPHIC:SKORT</t>
  </si>
  <si>
    <t>SKORT KUROMI SK3KU:CHARCOAL:5:GRAPHIC:SKORT</t>
  </si>
  <si>
    <t>JG3KU</t>
  </si>
  <si>
    <t>JOGGER KUROMI JG3KU:CHARCOAL:5:EMBRO:JOGGER</t>
  </si>
  <si>
    <t>JOGGER KUROMI JG3KU:CHARCOAL:6:EMBRO:JOGGER</t>
  </si>
  <si>
    <t>JOGGER KUROMI JG3KU:CHARCOAL:7-8:EMBRO:JOGGER</t>
  </si>
  <si>
    <t>JOGGER KUROMI JG3KU:CHARCOAL:11-12:EMBRO:JOGGER</t>
  </si>
  <si>
    <t>JOGGER KUROMI JG3KU:CHARCOAL:4:EMBRO:JOGGER</t>
  </si>
  <si>
    <t>JOGGER KUROMI JG3KU:CHARCOAL:9-10:EMBRO:JOGGER</t>
  </si>
  <si>
    <t>SK3MM</t>
  </si>
  <si>
    <t>SKORT WOVEN MY MELODY SK3MM:VANILLA:5:EMBRO:SKORT</t>
  </si>
  <si>
    <t>SKORT WOVEN MY MELODY SK3MM:VANILLA:4:EMBRO:SKORT</t>
  </si>
  <si>
    <t>SKORT WOVEN MY MELODY SK3MM:VANILLA:6:EMBRO:SKORT</t>
  </si>
  <si>
    <t>SKORT WOVEN MY MELODY SK3MM:VANILLA:7-8:EMBRO:SKORT</t>
  </si>
  <si>
    <t>JK3KU</t>
  </si>
  <si>
    <t>JACKET KUROMI WOVEN TWILL JK3KU:CHARCOAL:7-8:GRAPHIC:JACKET</t>
  </si>
  <si>
    <t>JACKET KUROMI WOVEN TWILL JK3KU:CHARCOAL:9-10:GRAPHIC:JACKET</t>
  </si>
  <si>
    <t>JACKET KUROMI WOVEN TWILL JK3KU:CHARCOAL:4:GRAPHIC:JACKET</t>
  </si>
  <si>
    <t>JACKET KUROMI WOVEN TWILL JK3KU:CHARCOAL:11-12:GRAPHIC:JACKET</t>
  </si>
  <si>
    <t>JACKET KUROMI WOVEN TWILL JK3KU:CHARCOAL:5:GRAPHIC:JACKET</t>
  </si>
  <si>
    <t>JACKET KUROMI WOVEN TWILL JK3KU:CHARCOAL:6:GRAPHIC:JACKET</t>
  </si>
  <si>
    <t>SWHPAW</t>
  </si>
  <si>
    <t>SWEATSHIRT HOODIE PAW PATROL SWHPAW:PASTEL PINK:6:GRAPHIC:SWEATSHIRT</t>
  </si>
  <si>
    <t>SWEATSHIRT HOODIE PAW PATROL SWHPAW:PASTEL PINK:4:GRAPHIC:SWEATSHIRT</t>
  </si>
  <si>
    <t>SWEATSHIRT HOODIE PAW PATROL SWHPAW:PASTEL PINK:7-8:GRAPHIC:SWEATSHIRT</t>
  </si>
  <si>
    <t>SWEATSHIRT HOODIE PAW PATROL SWHPAW:PASTEL PINK:5:GRAPHIC:SWEATSHIRT</t>
  </si>
  <si>
    <t>JKH3KU</t>
  </si>
  <si>
    <t>JACKET HOODIE KUROMI JKH3KU:OFF WHITE:13-14:GRAPHIC:JACKET</t>
  </si>
  <si>
    <t>JACKET HOODIE KUROMI JKH3KU:OFF WHITE:11-12:GRAPHIC:JACKET</t>
  </si>
  <si>
    <t>JACKET HOODIE KUROMI JKH3KU:OFF WHITE:7-8:GRAPHIC:JACKET</t>
  </si>
  <si>
    <t>JACKET HOODIE KUROMI JKH3KU:OFF WHITE:9-10:GRAPHIC:JACKET</t>
  </si>
  <si>
    <t>DS3MM</t>
  </si>
  <si>
    <t>SS MIDI DRESS WOVEN MY MELODY DS3MM:PASTEL PINK:4:GRAPHIC:SS MIDI DRESS</t>
  </si>
  <si>
    <t>SS MIDI DRESS WOVEN MY MELODY DS3MM:PASTEL PINK:7-8:GRAPHIC:SS MIDI DRESS</t>
  </si>
  <si>
    <t>SS MIDI DRESS WOVEN MY MELODY DS3MM:PASTEL PINK:5:GRAPHIC:SS MIDI DRESS</t>
  </si>
  <si>
    <t>SS MIDI DRESS WOVEN MY MELODY DS3MM:PASTEL PINK:6:GRAPHIC:SS MIDI DRESS</t>
  </si>
  <si>
    <t>SET3KU</t>
  </si>
  <si>
    <t>TOP - BOTTOM SET KUROMI SET3KU:PASTEL PURPLE:6:GRAPHIC:TOP - BOTTOM SET</t>
  </si>
  <si>
    <t>TOP - BOTTOM SET KUROMI SET3KU:PASTEL PURPLE:5:GRAPHIC:TOP - BOTTOM SET</t>
  </si>
  <si>
    <t>TOP - BOTTOM SET KUROMI SET3KU:PASTEL PURPLE:4:GRAPHIC:TOP - BOTTOM SET</t>
  </si>
  <si>
    <t>TOP - BOTTOM SET KUROMI SET3KU:PASTEL PURPLE:7-8:GRAPHIC:TOP - BOTTOM SET</t>
  </si>
  <si>
    <t>DS3KU2</t>
  </si>
  <si>
    <t>SS MIDI DRESS COLLAR KUROMI DS3KU2:BLACK:13-14:GRAPHIC:SS MIDI DRESS</t>
  </si>
  <si>
    <t>SS MIDI DRESS COLLAR KUROMI DS3KU2:BLACK:9-10:GRAPHIC:SS MIDI DRESS</t>
  </si>
  <si>
    <t>SS MIDI DRESS COLLAR KUROMI DS3KU2:BLACK:7-8:GRAPHIC:SS MIDI DRESS</t>
  </si>
  <si>
    <t>SS MIDI DRESS COLLAR KUROMI DS3KU2:BLACK:11-12:GRAPHIC:SS MIDI DRESS</t>
  </si>
  <si>
    <t>DS3KU1</t>
  </si>
  <si>
    <t>SS MIDI DRESS KUROMI DS3KU1:PASTEL PURPLE:4:GRAPHIC:SS MIDI DRESS</t>
  </si>
  <si>
    <t>SS MIDI DRESS KUROMI DS3KU1:PASTEL PURPLE:7-8:GRAPHIC:SS MIDI DRESS</t>
  </si>
  <si>
    <t>SS MIDI DRESS KUROMI DS3KU1:PASTEL PURPLE:6:GRAPHIC:SS MIDI DRESS</t>
  </si>
  <si>
    <t>SS MIDI DRESS KUROMI DS3KU1:PASTEL PURPLE:5:GRAPHIC:SS MIDI DRESS</t>
  </si>
  <si>
    <t>DS3HK</t>
  </si>
  <si>
    <t>SS MIDI DRESS HELLO KITTY DS3HK:PASTEL PINK:7-8:GRAPHIC:SS MIDI DRESS</t>
  </si>
  <si>
    <t>SS MIDI DRESS HELLO KITTY DS3HK:PASTEL PINK:5:GRAPHIC:SS MIDI DRESS</t>
  </si>
  <si>
    <t>SS MIDI DRESS HELLO KITTY DS3HK:PASTEL PINK:6:GRAPHIC:SS MIDI DRESS</t>
  </si>
  <si>
    <t>SS MIDI DRESS HELLO KITTY DS3HK:PASTEL PINK:4:GRAPHIC:SS MIDI DRESS</t>
  </si>
  <si>
    <t>LP3MIN</t>
  </si>
  <si>
    <t>DENIM LONG PANTS MINNIE CHBRY LP3MIN:MEDIUM DENIM:5:GRAPHIC:DENIM LONG PANTS</t>
  </si>
  <si>
    <t>DENIM LONG PANTS MINNIE CHBRY LP3MIN:MEDIUM DENIM:7-8:GRAPHIC:DENIM LONG PANTS</t>
  </si>
  <si>
    <t>DENIM LONG PANTS MINNIE CHBRY LP3MIN:MEDIUM DENIM:4:GRAPHIC:DENIM LONG PANTS</t>
  </si>
  <si>
    <t>DENIM LONG PANTS MINNIE CHBRY LP3MIN:MEDIUM DENIM:6:GRAPHIC:DENIM LONG PANTS</t>
  </si>
  <si>
    <t>SS T-SHIRT BARBIE PITA SSBARB1:PASTEL PINK:11-12:GRAPHIC:SS T-SHIRT</t>
  </si>
  <si>
    <t>SWEATSHIRT STRIPE BARBIE SWSTBAR1:PASTEL PINK:9-10:STRIPES:SWEATSHIRT</t>
  </si>
  <si>
    <t>2023 JUN-DEC DISC 90</t>
  </si>
  <si>
    <t>2023 JAN-DEC DISC 90</t>
  </si>
  <si>
    <t>SS T-SHIRT FULL PRINT MARIE OUTLINE TSOTMAR:PASTEL ORANGE:13-14:PRINT:SS T-SHIRT</t>
  </si>
  <si>
    <t>2023 JAN-DEC DISC 90 LICENSE BABY</t>
  </si>
  <si>
    <t>SP3TNJ</t>
  </si>
  <si>
    <t>DENIM SHORT PANTS TOM N JERRY SP3TNJ:MEDIUM DENIM:4:GRAPHIC:DENIM SHORT PANTS</t>
  </si>
  <si>
    <t>DENIM SHORT PANTS TOM N JERRY SP3TNJ:MEDIUM DENIM:5:GRAPHIC:DENIM SHORT PANTS</t>
  </si>
  <si>
    <t>DENIM SHORT PANTS TOM N JERRY SP3TNJ:MEDIUM DENIM:6:GRAPHIC:DENIM SHORT PANTS</t>
  </si>
  <si>
    <t>DENIM SHORT PANTS TOM N JERRY SP3TNJ:MEDIUM DENIM:7-8:GRAPHIC:DENIM SHORT PANTS</t>
  </si>
  <si>
    <t>DENIM SHORT PANTS TOM N JERRY SP3TNJ:MEDIUM DENIM:9-10:GRAPHIC:DENIM SHORT PANTS</t>
  </si>
  <si>
    <t>DENIM SHORT PANTS TOM N JERRY SP3TNJ:MEDIUM DENIM:11-12:GRAPHIC:DENIM SHORT PANTS</t>
  </si>
  <si>
    <t>JKCTNJ</t>
  </si>
  <si>
    <t>JACKET COLLAR TOM N JERRY JKCTNJ:PASTEL BLUE:4:GRAPHIC:JACKET</t>
  </si>
  <si>
    <t>JACKET COLLAR TOM N JERRY JKCTNJ:PASTEL BLUE:5:GRAPHIC:JACKET</t>
  </si>
  <si>
    <t>JACKET COLLAR TOM N JERRY JKCTNJ:PASTEL BLUE:6:GRAPHIC:JACKET</t>
  </si>
  <si>
    <t>JACKET COLLAR TOM N JERRY JKCTNJ:PASTEL BLUE:7-8:GRAPHIC:JACKET</t>
  </si>
  <si>
    <t>JACKET COLLAR TOM N JERRY JKCTNJ:PASTEL BLUE:9-10:GRAPHIC:JACKET</t>
  </si>
  <si>
    <t>JACKET COLLAR TOM N JERRY JKCTNJ:PASTEL BLUE:11-12:GRAPHIC:JACKET</t>
  </si>
  <si>
    <t>DSMGTNJ</t>
  </si>
  <si>
    <t>SS MIDI DRESS TOM N JERRY SERUT PINGGANG DSMGTNJ:PASTEL ORANGE:4:GRAPHIC:SS MIDI DRESS</t>
  </si>
  <si>
    <t>SS MIDI DRESS TOM N JERRY SERUT PINGGANG DSMGTNJ:PASTEL ORANGE:5:GRAPHIC:SS MIDI DRESS</t>
  </si>
  <si>
    <t>SS MIDI DRESS TOM N JERRY SERUT PINGGANG DSMGTNJ:PASTEL ORANGE:6:GRAPHIC:SS MIDI DRESS</t>
  </si>
  <si>
    <t>SS MIDI DRESS TOM N JERRY SERUT PINGGANG DSMGTNJ:PASTEL ORANGE:7-8:GRAPHIC:SS MIDI DRESS</t>
  </si>
  <si>
    <t>SW425FZA</t>
  </si>
  <si>
    <t>KKSUIMIN1</t>
  </si>
  <si>
    <t>KK425IRN</t>
  </si>
  <si>
    <t>KKHULK</t>
  </si>
  <si>
    <t>SW425MIN</t>
  </si>
  <si>
    <t>MP3BSTT</t>
  </si>
  <si>
    <t>KKBPWRB</t>
  </si>
  <si>
    <t>KKBPWCH</t>
  </si>
  <si>
    <t>KKCN6</t>
  </si>
  <si>
    <t>KKCN5</t>
  </si>
  <si>
    <t>SW1PRN</t>
  </si>
  <si>
    <t>TOP - BOTTOM SET LSLP PIYAMA FROZEN SW425FZA:PASTEL BLUE:4:PRINT:TOP - BOTTOM SET</t>
  </si>
  <si>
    <t>TOP - BOTTOM SET LSLP PIYAMA FROZEN SW425FZA:PASTEL BLUE:7:PRINT:TOP - BOTTOM SET</t>
  </si>
  <si>
    <t>TOP - BOTTOM SET LSLP PIYAMA FROZEN SW425FZA:PASTEL BLUE:12:PRINT:TOP - BOTTOM SET</t>
  </si>
  <si>
    <t>SOCKS KKG FP MINIE LOVE KKSUIMIN1:PASTEL PINK:14-16:PRINT:SOCKS</t>
  </si>
  <si>
    <t>SOCKS KKG FP MINIE LOVE KKSUIMIN1:PASTEL PINK:18-20:PRINT:SOCKS</t>
  </si>
  <si>
    <t>SOCKS KKB IRON MNA KK425IRN:MANDARIN ORANGE:14-16:PRINT:SOCKS</t>
  </si>
  <si>
    <t>SOCKS KKB IRON MNA KK425IRN:MANDARIN ORANGE:18-20:PRINT:SOCKS</t>
  </si>
  <si>
    <t>SOCKS KKB IRON MNA KK425IRN:MANDARIN ORANGE:20-22:PRINT:SOCKS</t>
  </si>
  <si>
    <t>SOCKS KKB HULK KKHULK:FOREST GREEN:14-16:PRINT:SOCKS</t>
  </si>
  <si>
    <t>SOCKS KKB HULK KKHULK:FOREST GREEN:18-20:PRINT:SOCKS</t>
  </si>
  <si>
    <t>SOCKS KKB HULK KKHULK:FOREST GREEN:20-22:PRINT:SOCKS</t>
  </si>
  <si>
    <t>TOP - BOTTOM SET LSLP MINNIE SW425MIN:PASTEL PINK:5:PRINT:TOP - BOTTOM SET</t>
  </si>
  <si>
    <t>TOP - BOTTOM SET LSLP MINNIE SW425MIN:PASTEL PINK:6:PRINT:TOP - BOTTOM SET</t>
  </si>
  <si>
    <t>TOP - BOTTOM SET LSLP MINNIE SW425MIN:PASTEL PINK:7:PRINT:TOP - BOTTOM SET</t>
  </si>
  <si>
    <t>TOP - BOTTOM SET LSLP MINNIE SW425MIN:PASTEL PINK:8:PRINT:TOP - BOTTOM SET</t>
  </si>
  <si>
    <t>TOP - BOTTOM SET LSLP MINNIE SW425MIN:PASTEL PINK:10:PRINT:TOP - BOTTOM SET</t>
  </si>
  <si>
    <t>TOP - BOTTOM SET LSLP MINNIE SW425MIN:PASTEL PINK:12:PRINT:TOP - BOTTOM SET</t>
  </si>
  <si>
    <t>TOP - BOTTOM SET LSLP MINNIE SW425MIN:PASTEL PINK:14:PRINT:TOP - BOTTOM SET</t>
  </si>
  <si>
    <t>TRUNK PACK OF 3 BOYS UW STITCH MP3BSTT:LIGHT BLUE:S:PRINT:TRUNK</t>
  </si>
  <si>
    <t>TRUNK PACK OF 3 BOYS UW STITCH MP3BSTT:LIGHT BLUE:M:PRINT:TRUNK</t>
  </si>
  <si>
    <t>TRUNK PACK OF 3 BOYS UW STITCH MP3BSTT:LIGHT BLUE:L:PRINT:TRUNK</t>
  </si>
  <si>
    <t>TRUNK PACK OF 3 BOYS UW STITCH MP3BSTT:LIGHT BLUE:XL:PRINT:TRUNK</t>
  </si>
  <si>
    <t>SOCKS KK PAW PATROL RUBBLE KKBPWRB:CLASSIC YELLOW:14-16:PRINT:SOCKS</t>
  </si>
  <si>
    <t>SOCKS KK PAW PATROL RUBBLE KKBPWRB:CLASSIC YELLOW:18-20:PRINT:SOCKS</t>
  </si>
  <si>
    <t>SOCKS KK PAW PATROL CHASE KKBPWCH:CLASSIC BLUE:14-16:PRINT:SOCKS</t>
  </si>
  <si>
    <t>SOCKS KK PAW PATROL CHASE KKBPWCH:CLASSIC BLUE:18-20:PRINT:SOCKS</t>
  </si>
  <si>
    <t>SOCKS KKG CINNAMOROLL POLKADOT KKCN6:LIGHT BLUE:14-16:PRINT:SOCKS</t>
  </si>
  <si>
    <t>SOCKS KKG CINNAMOROLL POLKADOT KKCN6:LIGHT BLUE:18-20:PRINT:SOCKS</t>
  </si>
  <si>
    <t>SOCKS KKG CINNAMOROLL POLKADOT KKCN6:LIGHT BLUE:20-22:PRINT:SOCKS</t>
  </si>
  <si>
    <t>SOCKS KKG CINNAMOROLL BIG STRIPE KKCN5:LIGHT BLUE:14-16:PRINT:SOCKS</t>
  </si>
  <si>
    <t>SOCKS KKG CINNAMOROLL BIG STRIPE KKCN5:LIGHT BLUE:18-20:PRINT:SOCKS</t>
  </si>
  <si>
    <t>SOCKS KKG CINNAMOROLL BIG STRIPE KKCN5:LIGHT BLUE:20-22:PRINT:SOCKS</t>
  </si>
  <si>
    <t>TOP - BOTTOM SET LSLP SW OBL PRINCESS SW1PRN:PASTEL PINK:4:PRINT:TOP - BOTTOM SET</t>
  </si>
  <si>
    <t>TOP - BOTTOM SET LSLP SW OBL PRINCESS SW1PRN:PASTEL PINK:5:PRINT:TOP - BOTTOM SET</t>
  </si>
  <si>
    <t>TOP - BOTTOM SET LSLP SW OBL PRINCESS SW1PRN:PASTEL PINK:6:PRINT:TOP - BOTTOM SET</t>
  </si>
  <si>
    <t>TOP - BOTTOM SET LSLP SW OBL PRINCESS SW1PRN:PASTEL PINK:7:PRINT:TOP - BOTTOM SET</t>
  </si>
  <si>
    <t>TOP - BOTTOM SET LSLP SW OBL PRINCESS SW1PRN:PASTEL PINK:8:PRINT:TOP - BOTTOM SET</t>
  </si>
  <si>
    <t>TOP - BOTTOM SET LSLP SW OBL PRINCESS SW1PRN:PASTEL PINK:10:PRINT:TOP - BOTTOM SET</t>
  </si>
  <si>
    <t>TOP - BOTTOM SET LSLP SW OBL PRINCESS SW1PRN:PASTEL PINK:12:PRINT:TOP - BOTTOM SET</t>
  </si>
  <si>
    <t>TOP - BOTTOM SET LSLP SW OBL PRINCESS SW1PRN:PASTEL PINK:14:PRINT:TOP - BOTTOM SET</t>
  </si>
  <si>
    <t>SS T-SHIRT SKYE PAW PATROL TSPAW2:PASTEL PINK:7-8:GRAPHIC:SS T-SHIRT</t>
  </si>
  <si>
    <t>JK3MIC</t>
  </si>
  <si>
    <t>JACKET MICKEY CLASSIC JK3MIC:NAVY BLUE:7-8:GRAPHIC:JACKET</t>
  </si>
  <si>
    <t>JACKET MICKEY CLASSIC JK3MIC:NAVY BLUE:9-10:GRAPHIC:JACKET</t>
  </si>
  <si>
    <t>JACKET MICKEY CLASSIC JK3MIC:NAVY BLUE:11-12:GRAPHIC:JACKET</t>
  </si>
  <si>
    <t>JACKET MICKEY CLASSIC JK3MIC:NAVY BLUE:13-14:GRAPHIC:JACKET</t>
  </si>
  <si>
    <t>SET3MM</t>
  </si>
  <si>
    <t>TOP - BOTTOM SET MY MELODY SET3MM:PASTEL PINK:6-12:PRINT:TOP - BOTTOM SET</t>
  </si>
  <si>
    <t>TOP - BOTTOM SET MY MELODY SET3MM:PASTEL PINK:12-18:PRINT:TOP - BOTTOM SET</t>
  </si>
  <si>
    <t>TOP - BOTTOM SET MY MELODY SET3MM:PASTEL PINK:18-24:PRINT:TOP - BOTTOM SET</t>
  </si>
  <si>
    <t>TOP - BOTTOM SET MY MELODY SET3MM:PASTEL PINK:24-36:PRINT:TOP - BOTTOM SET</t>
  </si>
  <si>
    <t>2021 2020 ALL D90 LICENSE ESS</t>
  </si>
  <si>
    <t>2022 ALL D90 LICENSE ESS</t>
  </si>
  <si>
    <t>2021 2020 ALL D90 LICENSE BABY</t>
  </si>
  <si>
    <t>2022 ALL D90 LICENSE BABY</t>
  </si>
  <si>
    <t>2021 2020 ALL D90</t>
  </si>
  <si>
    <t>2022 ALL D90</t>
  </si>
  <si>
    <t>SS T-SHIRT RIB KUROMI TSRBLKU1:BLACK:5-6:GRAPHIC:SS T-SHIRT</t>
  </si>
  <si>
    <t>SS T-SHIRT RIB KUROMI TSRBLKU1:BLACK:7-8:GRAPHIC:SS T-SHIRT</t>
  </si>
  <si>
    <t>SS T-SHIRT RIB KUROMI TSRBLKU1:BLACK:9-10:GRAPHIC:SS T-SHIRT</t>
  </si>
  <si>
    <t>SS T-SHIRT RIB KUROMI TSRBLKU1:BLACK:11-12:GRAPHIC:SS T-SHIRT</t>
  </si>
  <si>
    <t>SS T-SHIRT TIEDYE KUROMI SSHDKURM:PASTEL PURPLE:7-8:STRIPES:SS T-SHIRT</t>
  </si>
  <si>
    <t>TSGGPPG5</t>
  </si>
  <si>
    <t>SS T-SHIRT FP PPG TSGGPPG5:PASTEL PURPLE:7-8:GRAPHIC:SS T-SHIRT</t>
  </si>
  <si>
    <t>SS MIDI DRESS WVN KOTAK MINNIE DSWKTMIN:PASTEL ORANGE:5-6:CHECKS:SS MIDI DRESS</t>
  </si>
  <si>
    <t>SS MIDI DRESS WVN KOTAK MINNIE DSWKTMIN:PASTEL ORANGE:7-8:CHECKS:SS MIDI DRESS</t>
  </si>
  <si>
    <t>SS MIDI DRESS WVN KOTAK MINNIE DSWKTMIN:PASTEL ORANGE:9-10:CHECKS:SS MIDI DRESS</t>
  </si>
  <si>
    <t>SS MIDI DRESS WVN KOTAK MINNIE DSWKTMIN:PASTEL ORANGE:11-12:CHECKS:SS MIDI DRESS</t>
  </si>
  <si>
    <t>LS MIDI DRESS OVR STR WVN MINNIE DLOVWMIN:PASTEL PINK:5-6:GRAPHIC:LS MIDI DRESS</t>
  </si>
  <si>
    <t>LS MIDI DRESS OVR STR WVN MINNIE DLOVWMIN:PASTEL PINK:7-8:GRAPHIC:LS MIDI DRESS</t>
  </si>
  <si>
    <t>LS MIDI DRESS OVR STR WVN MINNIE DLOVWMIN:PASTEL PINK:9-10:GRAPHIC:LS MIDI DRESS</t>
  </si>
  <si>
    <t>LS MIDI DRESS OVR STR WVN MINNIE DLOVWMIN:PASTEL PINK:11-12:GRAPHIC:LS MIDI DRESS</t>
  </si>
  <si>
    <t>LS MIDI DRESS OVR STR WVN FROZEN 66050100FZA DLFRZOVW:PASTEL BLUE:5-6:GRAPHIC:LS MIDI DRESS</t>
  </si>
  <si>
    <t>LS MIDI DRESS OVR STR WVN FROZEN 66050100FZA DLFRZOVW:PASTEL BLUE:7-8:GRAPHIC:LS MIDI DRESS</t>
  </si>
  <si>
    <t>LS MIDI DRESS OVR STR WVN FROZEN 66050100FZA DLFRZOVW:PASTEL BLUE:9-10:GRAPHIC:LS MIDI DRESS</t>
  </si>
  <si>
    <t>LS MIDI DRESS OVR STR WVN FROZEN 66050100FZA DLFRZOVW:PASTEL BLUE:11-12:GRAPHIC:LS MIDI DRESS</t>
  </si>
  <si>
    <t>LS SHIRT BLOUSE WVN FROZEN LSWVFZA:PASTEL BLUE:5-6:GRAPHIC:LS SHIRT</t>
  </si>
  <si>
    <t>LS SHIRT BLOUSE WVN FROZEN LSWVFZA:PASTEL BLUE:7-8:GRAPHIC:LS SHIRT</t>
  </si>
  <si>
    <t>LS SHIRT BLOUSE WVN FROZEN LSWVFZA:PASTEL BLUE:9-10:GRAPHIC:LS SHIRT</t>
  </si>
  <si>
    <t>LS SHIRT BLOUSE WVN FROZEN LSWVFZA:PASTEL BLUE:11-12:GRAPHIC:LS SHIRT</t>
  </si>
  <si>
    <t>LS SHIRT WVN KOTAK MINNIE 66050100MIN LSWKTMIN:PASTEL ORANGE:5-6:CHECKS:LS SHIRT</t>
  </si>
  <si>
    <t>LS SHIRT WVN KOTAK MINNIE 66050100MIN LSWKTMIN:PASTEL ORANGE:7-8:CHECKS:LS SHIRT</t>
  </si>
  <si>
    <t>LS SHIRT WVN KOTAK MINNIE 66050100MIN LSWKTMIN:PASTEL ORANGE:9-10:CHECKS:LS SHIRT</t>
  </si>
  <si>
    <t>LS SHIRT WVN KOTAK MINNIE 66050100MIN LSWKTMIN:PASTEL ORANGE:11-12:CHECKS:LS SHIRT</t>
  </si>
  <si>
    <t>LS SHIRT WVN TEXTURE MINNIE 66050100MIN LS4TXMIN:PASTEL ORANGE:5-6:TEXTURE:LS SHIRT</t>
  </si>
  <si>
    <t>LS SHIRT WVN TEXTURE MINNIE 66050100MIN LS4TXMIN:PASTEL ORANGE:7-8:TEXTURE:LS SHIRT</t>
  </si>
  <si>
    <t>LS SHIRT WVN TEXTURE MINNIE 66050100MIN LS4TXMIN:PASTEL ORANGE:9-10:TEXTURE:LS SHIRT</t>
  </si>
  <si>
    <t>LS SHIRT WVN TEXTURE MINNIE 66050100MIN LS4TXMIN:PASTEL ORANGE:11-12:TEXTURE:LS SHIRT</t>
  </si>
  <si>
    <t>JACKET KNIT DENIM CINNAMOROL JKKDNCN:CLASSIC BLUE:13-14:GRAPHIC:JACKET</t>
  </si>
  <si>
    <t>JKKDNCN</t>
  </si>
  <si>
    <t>JACKET KNIT DENIM CINNAMOROL JKKDNCN:CLASSIC BLUE:11-12:GRAPHIC:JACKET</t>
  </si>
  <si>
    <t>JACKET KNIT DENIM CINNAMOROL JKKDNCN:CLASSIC BLUE:9-10:GRAPHIC:JACKET</t>
  </si>
  <si>
    <t>JACKET KNIT DENIM CINNAMOROL JKKDNCN:CLASSIC BLUE:7-8:GRAPHIC:JACKET</t>
  </si>
  <si>
    <t>JACKET KNIT DENIM CINNAMOROL JKKDNCN:CLASSIC BLUE:6:GRAPHIC:JACKET</t>
  </si>
  <si>
    <t>JACKET KNIT DENIM CINNAMOROL JKKDNCN:CLASSIC BLUE:5:GRAPHIC:JACKET</t>
  </si>
  <si>
    <t>JACKET KNIT DENIM CINNAMOROL JKKDNCN:CLASSIC BLUE:4:GRAPHIC:JACKET</t>
  </si>
  <si>
    <t>SS T-SHIRT TOP WOVEN SALUR CNNAMOROLL SSSLCN:PASTEL BLUE:13-14:STRIPES:SS T-SHIRT</t>
  </si>
  <si>
    <t>SSSLCN</t>
  </si>
  <si>
    <t>SS T-SHIRT TOP WOVEN SALUR CNNAMOROLL SSSLCN:PASTEL BLUE:11-12:STRIPES:SS T-SHIRT</t>
  </si>
  <si>
    <t>SS T-SHIRT TOP WOVEN SALUR CNNAMOROLL SSSLCN:PASTEL BLUE:9-10:STRIPES:SS T-SHIRT</t>
  </si>
  <si>
    <t>SS T-SHIRT TOP WOVEN SALUR CNNAMOROLL SSSLCN:PASTEL BLUE:7-8:STRIPES:SS T-SHIRT</t>
  </si>
  <si>
    <t>SS T-SHIRT TOP WOVEN SALUR CNNAMOROLL SSSLCN:PASTEL BLUE:6:STRIPES:SS T-SHIRT</t>
  </si>
  <si>
    <t>SS T-SHIRT TOP WOVEN SALUR CNNAMOROLL SSSLCN:PASTEL BLUE:5:STRIPES:SS T-SHIRT</t>
  </si>
  <si>
    <t>SS T-SHIRT TOP WOVEN SALUR CNNAMOROLL SSSLCN:PASTEL BLUE:4:STRIPES:SS T-SHIRT</t>
  </si>
  <si>
    <t>SS MIDI DRESS WOVEN DNM COLLAR CINNAMOROLL DSDNCN:CLASSIC BLUE:13-14:GRAPHIC:SS MIDI DRESS</t>
  </si>
  <si>
    <t>DSDNCN</t>
  </si>
  <si>
    <t>SS MIDI DRESS WOVEN DNM COLLAR CINNAMOROLL DSDNCN:CLASSIC BLUE:11-12:GRAPHIC:SS MIDI DRESS</t>
  </si>
  <si>
    <t>SS MIDI DRESS WOVEN DNM COLLAR CINNAMOROLL DSDNCN:CLASSIC BLUE:9-10:GRAPHIC:SS MIDI DRESS</t>
  </si>
  <si>
    <t>SS MIDI DRESS WOVEN DNM COLLAR CINNAMOROLL DSDNCN:CLASSIC BLUE:7-8:GRAPHIC:SS MIDI DRESS</t>
  </si>
  <si>
    <t>SS MIDI DRESS WOVEN DNM COLLAR CINNAMOROLL DSDNCN:CLASSIC BLUE:6:GRAPHIC:SS MIDI DRESS</t>
  </si>
  <si>
    <t>SS MIDI DRESS WOVEN DNM COLLAR CINNAMOROLL DSDNCN:CLASSIC BLUE:5:GRAPHIC:SS MIDI DRESS</t>
  </si>
  <si>
    <t>SS MIDI DRESS WOVEN DNM COLLAR CINNAMOROLL DSDNCN:CLASSIC BLUE:4:GRAPHIC:SS MIDI DRESS</t>
  </si>
  <si>
    <t>SS MIDI DRESS MY MELODY SAILOR COLLAR DS425MM:PASTEL PINK:7-8:EMBRO:SS MIDI DRESS</t>
  </si>
  <si>
    <t>DS425MM</t>
  </si>
  <si>
    <t>SS MIDI DRESS MY MELODY SAILOR COLLAR DS425MM:PASTEL PINK:6:EMBRO:SS MIDI DRESS</t>
  </si>
  <si>
    <t>SS MIDI DRESS MY MELODY SAILOR COLLAR DS425MM:PASTEL PINK:5:EMBRO:SS MIDI DRESS</t>
  </si>
  <si>
    <t>SS MIDI DRESS MY MELODY SAILOR COLLAR DS425MM:PASTEL PINK:4:EMBRO:SS MIDI DRESS</t>
  </si>
  <si>
    <t>JACKET CINNAMOROLL SNACK JKSNCN:LIGHT BLUE:7-8:GRAPHIC:JACKET</t>
  </si>
  <si>
    <t>JKSNCN</t>
  </si>
  <si>
    <t>JACKET CINNAMOROLL SNACK JKSNCN:LIGHT BLUE:6:GRAPHIC:JACKET</t>
  </si>
  <si>
    <t>JACKET CINNAMOROLL SNACK JKSNCN:LIGHT BLUE:5:GRAPHIC:JACKET</t>
  </si>
  <si>
    <t>JACKET CINNAMOROLL SNACK JKSNCN:LIGHT BLUE:4:GRAPHIC:JACKET</t>
  </si>
  <si>
    <t>SS MIDI DRESS SERUT PGG PITA CINNAMOROLL SNACK DSSNCN:INDIGO BLUE:7-8:GRAPHIC:SS MIDI DRESS</t>
  </si>
  <si>
    <t>DSSNCN</t>
  </si>
  <si>
    <t>SS MIDI DRESS SERUT PGG PITA CINNAMOROLL SNACK DSSNCN:INDIGO BLUE:6:GRAPHIC:SS MIDI DRESS</t>
  </si>
  <si>
    <t>SS MIDI DRESS SERUT PGG PITA CINNAMOROLL SNACK DSSNCN:INDIGO BLUE:5:GRAPHIC:SS MIDI DRESS</t>
  </si>
  <si>
    <t>SS MIDI DRESS SERUT PGG PITA CINNAMOROLL SNACK DSSNCN:INDIGO BLUE:4:GRAPHIC:SS MIDI DRESS</t>
  </si>
  <si>
    <t>SS T-SHIRT HELLO KITTY WASHED TS425KT1:MISTY DARK GREY:13-14:GRAPHIC:SS T-SHIRT</t>
  </si>
  <si>
    <t>TS425KT1</t>
  </si>
  <si>
    <t>SS T-SHIRT HELLO KITTY WASHED TS425KT1:MISTY DARK GREY:11-12:GRAPHIC:SS T-SHIRT</t>
  </si>
  <si>
    <t>SS T-SHIRT HELLO KITTY WASHED TS425KT1:MISTY DARK GREY:9-10:GRAPHIC:SS T-SHIRT</t>
  </si>
  <si>
    <t>SS T-SHIRT HELLO KITTY WASHED TS425KT1:MISTY DARK GREY:7-8:GRAPHIC:SS T-SHIRT</t>
  </si>
  <si>
    <t>SHORT JUMPSUIT HOODIE KUROMI JSAGKU:MISTY LIGHT GREY:11-12:GRAPHIC:SHORT JUMPSUIT</t>
  </si>
  <si>
    <t>JSAGKU</t>
  </si>
  <si>
    <t>SHORT JUMPSUIT HOODIE KUROMI JSAGKU:MISTY LIGHT GREY:9-10:GRAPHIC:SHORT JUMPSUIT</t>
  </si>
  <si>
    <t>SHORT JUMPSUIT HOODIE KUROMI JSAGKU:MISTY LIGHT GREY:7-8:GRAPHIC:SHORT JUMPSUIT</t>
  </si>
  <si>
    <t>SHORT JUMPSUIT HOODIE KUROMI JSAGKU:MISTY LIGHT GREY:6:GRAPHIC:SHORT JUMPSUIT</t>
  </si>
  <si>
    <t>SHORT JUMPSUIT HOODIE KUROMI JSAGKU:MISTY LIGHT GREY:5:GRAPHIC:SHORT JUMPSUIT</t>
  </si>
  <si>
    <t>SHORT JUMPSUIT HOODIE KUROMI JSAGKU:MISTY LIGHT GREY:4:GRAPHIC:SHORT JUMPSUIT</t>
  </si>
  <si>
    <t>SS MIDI DRESS POLO HELLO KITTY DSPAGKT:PASTEL PINK:11-12:EMBRO:SS MIDI DRESS</t>
  </si>
  <si>
    <t>DSPAGKT</t>
  </si>
  <si>
    <t>SS MIDI DRESS POLO HELLO KITTY DSPAGKT:PASTEL PINK:9-10:EMBRO:SS MIDI DRESS</t>
  </si>
  <si>
    <t>SS MIDI DRESS POLO HELLO KITTY DSPAGKT:PASTEL PINK:7-8:EMBRO:SS MIDI DRESS</t>
  </si>
  <si>
    <t>SS MIDI DRESS POLO HELLO KITTY DSPAGKT:PASTEL PINK:6:EMBRO:SS MIDI DRESS</t>
  </si>
  <si>
    <t>SS MIDI DRESS POLO HELLO KITTY DSPAGKT:PASTEL PINK:5:EMBRO:SS MIDI DRESS</t>
  </si>
  <si>
    <t>SS MIDI DRESS POLO HELLO KITTY DSPAGKT:PASTEL PINK:4:EMBRO:SS MIDI DRESS</t>
  </si>
  <si>
    <t>CARDIGAN MY MELODY CD425MM:PASTEL PINK:7-8:GRAPHIC:CARDIGAN</t>
  </si>
  <si>
    <t>CD425MM</t>
  </si>
  <si>
    <t>CARDIGAN MY MELODY CD425MM:PASTEL PINK:6:GRAPHIC:CARDIGAN</t>
  </si>
  <si>
    <t>CARDIGAN MY MELODY CD425MM:PASTEL PINK:5:GRAPHIC:CARDIGAN</t>
  </si>
  <si>
    <t>CARDIGAN MY MELODY CD425MM:PASTEL PINK:4:GRAPHIC:CARDIGAN</t>
  </si>
  <si>
    <t>SS T-SHIRT CINNAMOROLL SNACK TSSNCN:LIGHT BLUE:11-12:GRAPHIC:SS T-SHIRT</t>
  </si>
  <si>
    <t>TSSNCN</t>
  </si>
  <si>
    <t>SS T-SHIRT CINNAMOROLL SNACK TSSNCN:LIGHT BLUE:9-10:GRAPHIC:SS T-SHIRT</t>
  </si>
  <si>
    <t>SS T-SHIRT CINNAMOROLL SNACK TSSNCN:LIGHT BLUE:7-8:GRAPHIC:SS T-SHIRT</t>
  </si>
  <si>
    <t>SS T-SHIRT CINNAMOROLL SNACK TSSNCN:LIGHT BLUE:6:GRAPHIC:SS T-SHIRT</t>
  </si>
  <si>
    <t>SS T-SHIRT CINNAMOROLL SNACK TSSNCN:LIGHT BLUE:5:GRAPHIC:SS T-SHIRT</t>
  </si>
  <si>
    <t>SS T-SHIRT CINNAMOROLL SNACK TSSNCN:LIGHT BLUE:4:GRAPHIC:SS T-SHIRT</t>
  </si>
  <si>
    <t>SS MIDI DRESS KUROMI  DSKRKU:BLACK:11-12:GRAPHIC:SS MIDI DRESS</t>
  </si>
  <si>
    <t>DSKRKU</t>
  </si>
  <si>
    <t>SS MIDI DRESS KUROMI  DSKRKU:BLACK:9-10:GRAPHIC:SS MIDI DRESS</t>
  </si>
  <si>
    <t>SS MIDI DRESS KUROMI  DSKRKU:BLACK:7-8:GRAPHIC:SS MIDI DRESS</t>
  </si>
  <si>
    <t>SS MIDI DRESS KUROMI  DSKRKU:BLACK:6:GRAPHIC:SS MIDI DRESS</t>
  </si>
  <si>
    <t>SS MIDI DRESS KUROMI  DSKRKU:BLACK:5:GRAPHIC:SS MIDI DRESS</t>
  </si>
  <si>
    <t>SS MIDI DRESS KUROMI  DSKRKU:BLACK:4:GRAPHIC:SS MIDI DRESS</t>
  </si>
  <si>
    <t>JOGGER HELLO KITTY JG425KT:BLACK:13-14:GRAPHIC:JOGGER</t>
  </si>
  <si>
    <t>JG425KT</t>
  </si>
  <si>
    <t>JOGGER HELLO KITTY JG425KT:BLACK:11-12:GRAPHIC:JOGGER</t>
  </si>
  <si>
    <t>JOGGER HELLO KITTY JG425KT:BLACK:9-10:GRAPHIC:JOGGER</t>
  </si>
  <si>
    <t>JOGGER HELLO KITTY JG425KT:BLACK:7-8:GRAPHIC:JOGGER</t>
  </si>
  <si>
    <t>JOGGER CINNAMOROLL SNACK JGSNCN:LIGHT BLUE:11-12:GRAPHIC:JOGGER</t>
  </si>
  <si>
    <t>JGSNCN</t>
  </si>
  <si>
    <t>JOGGER CINNAMOROLL SNACK JGSNCN:LIGHT BLUE:9-10:GRAPHIC:JOGGER</t>
  </si>
  <si>
    <t>JOGGER CINNAMOROLL SNACK JGSNCN:LIGHT BLUE:7-8:GRAPHIC:JOGGER</t>
  </si>
  <si>
    <t>JOGGER CINNAMOROLL SNACK JGSNCN:LIGHT BLUE:6:GRAPHIC:JOGGER</t>
  </si>
  <si>
    <t>JOGGER CINNAMOROLL SNACK JGSNCN:LIGHT BLUE:5:GRAPHIC:JOGGER</t>
  </si>
  <si>
    <t>JOGGER CINNAMOROLL SNACK JGSNCN:LIGHT BLUE:4:GRAPHIC:JOGGER</t>
  </si>
  <si>
    <t>JACKET FLEECE KUROMI JKFLCKU:BLACK:11-12:GRAPHIC:JACKET</t>
  </si>
  <si>
    <t>JKFLCKU</t>
  </si>
  <si>
    <t>JACKET FLEECE KUROMI JKFLCKU:BLACK:9-10:GRAPHIC:JACKET</t>
  </si>
  <si>
    <t>JACKET FLEECE KUROMI JKFLCKU:BLACK:7-8:GRAPHIC:JACKET</t>
  </si>
  <si>
    <t>JACKET FLEECE KUROMI JKFLCKU:BLACK:6:GRAPHIC:JACKET</t>
  </si>
  <si>
    <t>JACKET FLEECE KUROMI JKFLCKU:BLACK:5:GRAPHIC:JACKET</t>
  </si>
  <si>
    <t>JACKET FLEECE KUROMI JKFLCKU:BLACK:4:GRAPHIC:JACKET</t>
  </si>
  <si>
    <t>SS T-SHIRT HELLO KITTY TS425KT2:OFF WHITE:13-14:GRAPHIC:SS T-SHIRT</t>
  </si>
  <si>
    <t>TS425KT2</t>
  </si>
  <si>
    <t>SS T-SHIRT HELLO KITTY TS425KT2:OFF WHITE:11-12:GRAPHIC:SS T-SHIRT</t>
  </si>
  <si>
    <t>SS T-SHIRT HELLO KITTY TS425KT2:OFF WHITE:9-10:GRAPHIC:SS T-SHIRT</t>
  </si>
  <si>
    <t>SS T-SHIRT HELLO KITTY TS425KT2:OFF WHITE:7-8:GRAPHIC:SS T-SHIRT</t>
  </si>
  <si>
    <t>SS T-SHIRT KUROMI LOVE TSLVKU:OFF WHITE:11-12:GRAPHIC:SS T-SHIRT</t>
  </si>
  <si>
    <t>TSLVKU</t>
  </si>
  <si>
    <t>SS T-SHIRT KUROMI LOVE TSLVKU:OFF WHITE:9-10:GRAPHIC:SS T-SHIRT</t>
  </si>
  <si>
    <t>SS T-SHIRT KUROMI LOVE TSLVKU:OFF WHITE:7-8:GRAPHIC:SS T-SHIRT</t>
  </si>
  <si>
    <t>SS T-SHIRT KUROMI LOVE TSLVKU:OFF WHITE:6:GRAPHIC:SS T-SHIRT</t>
  </si>
  <si>
    <t>SS T-SHIRT KUROMI LOVE TSLVKU:OFF WHITE:5:GRAPHIC:SS T-SHIRT</t>
  </si>
  <si>
    <t>SS T-SHIRT KUROMI LOVE TSLVKU:OFF WHITE:4:GRAPHIC:SS T-SHIRT</t>
  </si>
  <si>
    <t>SS MIDI DRESS OVR PAW PATROL KTG DPN DSOPAW:PASTEL PINK:7-8:GRAPHIC:SS MIDI DRESS</t>
  </si>
  <si>
    <t>DSOPAW</t>
  </si>
  <si>
    <t>SS MIDI DRESS OVR PAW PATROL KTG DPN DSOPAW:PASTEL PINK:6:GRAPHIC:SS MIDI DRESS</t>
  </si>
  <si>
    <t>SS MIDI DRESS OVR PAW PATROL KTG DPN DSOPAW:PASTEL PINK:5:GRAPHIC:SS MIDI DRESS</t>
  </si>
  <si>
    <t>SS MIDI DRESS OVR PAW PATROL KTG DPN DSOPAW:PASTEL PINK:4:GRAPHIC:SS MIDI DRESS</t>
  </si>
  <si>
    <t>SHORT PANTS SPONGE BOB SPSPBOB:PASTEL PINK:11-12:GRAPHIC:SHORT PANTS</t>
  </si>
  <si>
    <t>SPSPBOB</t>
  </si>
  <si>
    <t>SHORT PANTS SPONGE BOB SPSPBOB:PASTEL PINK:9-10:GRAPHIC:SHORT PANTS</t>
  </si>
  <si>
    <t>SHORT PANTS SPONGE BOB SPSPBOB:PASTEL PINK:7-8:GRAPHIC:SHORT PANTS</t>
  </si>
  <si>
    <t>SHORT PANTS SPONGE BOB SPSPBOB:PASTEL PINK:6:GRAPHIC:SHORT PANTS</t>
  </si>
  <si>
    <t>SHORT PANTS SPONGE BOB SPSPBOB:PASTEL PINK:5:GRAPHIC:SHORT PANTS</t>
  </si>
  <si>
    <t>SHORT PANTS SPONGE BOB SPSPBOB:PASTEL PINK:4:GRAPHIC:SHORT PANTS</t>
  </si>
  <si>
    <t>SKORT HARRY POTTER SKHPOT:PASTEL GREY:13-14:GRAPHIC:SKORT</t>
  </si>
  <si>
    <t>SKHPOT</t>
  </si>
  <si>
    <t>SKORT HARRY POTTER SKHPOT:PASTEL GREY:11-12:GRAPHIC:SKORT</t>
  </si>
  <si>
    <t>SKORT HARRY POTTER SKHPOT:PASTEL GREY:9-10:GRAPHIC:SKORT</t>
  </si>
  <si>
    <t>SKORT HARRY POTTER SKHPOT:PASTEL GREY:7-8:GRAPHIC:SKORT</t>
  </si>
  <si>
    <t>JACKET HOODIE SPONGEBOB JKHSPB:PASTEL YELLOW:11-12:GRAPHIC:JACKET</t>
  </si>
  <si>
    <t>JKHSPB</t>
  </si>
  <si>
    <t>JACKET HOODIE SPONGEBOB JKHSPB:PASTEL YELLOW:9-10:GRAPHIC:JACKET</t>
  </si>
  <si>
    <t>JACKET HOODIE SPONGEBOB JKHSPB:PASTEL YELLOW:7-8:GRAPHIC:JACKET</t>
  </si>
  <si>
    <t>JACKET HOODIE SPONGEBOB JKHSPB:PASTEL YELLOW:6:GRAPHIC:JACKET</t>
  </si>
  <si>
    <t>JACKET HOODIE SPONGEBOB JKHSPB:PASTEL YELLOW:5:GRAPHIC:JACKET</t>
  </si>
  <si>
    <t>JACKET HOODIE SPONGEBOB JKHSPB:PASTEL YELLOW:4:GRAPHIC:JACKET</t>
  </si>
  <si>
    <t>JACKET HOODIE HARRY POTTER JKHPOT:MAROON:13-14:GRAPHIC:JACKET</t>
  </si>
  <si>
    <t>JKHPOT</t>
  </si>
  <si>
    <t>JACKET HOODIE HARRY POTTER JKHPOT:MAROON:11-12:GRAPHIC:JACKET</t>
  </si>
  <si>
    <t>JACKET HOODIE HARRY POTTER JKHPOT:MAROON:9-10:GRAPHIC:JACKET</t>
  </si>
  <si>
    <t>JACKET HOODIE HARRY POTTER JKHPOT:MAROON:7-8:GRAPHIC:JACKET</t>
  </si>
  <si>
    <t>SS T-SHIRT SPONGEBOB TSSPBOB2:PASTEL PINK:11-12:GRAPHIC:SS T-SHIRT</t>
  </si>
  <si>
    <t>TSSPBOB2</t>
  </si>
  <si>
    <t>SS T-SHIRT SPONGEBOB TSSPBOB2:PASTEL PINK:9-10:GRAPHIC:SS T-SHIRT</t>
  </si>
  <si>
    <t>SS T-SHIRT SPONGEBOB TSSPBOB2:PASTEL PINK:7-8:GRAPHIC:SS T-SHIRT</t>
  </si>
  <si>
    <t>SS T-SHIRT SPONGEBOB TSSPBOB2:PASTEL PINK:6:GRAPHIC:SS T-SHIRT</t>
  </si>
  <si>
    <t>SS T-SHIRT SPONGEBOB TSSPBOB2:PASTEL PINK:5:GRAPHIC:SS T-SHIRT</t>
  </si>
  <si>
    <t>SS T-SHIRT SPONGEBOB TSSPBOB2:PASTEL PINK:4:GRAPHIC:SS T-SHIRT</t>
  </si>
  <si>
    <t>SS T-SHIRT SPONGEBOB TSSPBOB1:CHARCOAL:11-12:GRAPHIC:SS T-SHIRT</t>
  </si>
  <si>
    <t>TSSPBOB1</t>
  </si>
  <si>
    <t>SS T-SHIRT SPONGEBOB TSSPBOB1:CHARCOAL:9-10:GRAPHIC:SS T-SHIRT</t>
  </si>
  <si>
    <t>SS T-SHIRT SPONGEBOB TSSPBOB1:CHARCOAL:7-8:GRAPHIC:SS T-SHIRT</t>
  </si>
  <si>
    <t>SS T-SHIRT SPONGEBOB TSSPBOB1:CHARCOAL:6:GRAPHIC:SS T-SHIRT</t>
  </si>
  <si>
    <t>SS T-SHIRT SPONGEBOB TSSPBOB1:CHARCOAL:5:GRAPHIC:SS T-SHIRT</t>
  </si>
  <si>
    <t>SS T-SHIRT SPONGEBOB TSSPBOB1:CHARCOAL:4:GRAPHIC:SS T-SHIRT</t>
  </si>
  <si>
    <t>SS T-SHIRT SPONGEBOB TSSPBOB3:PASTEL YELLOW:11-12:GRAPHIC:SS T-SHIRT</t>
  </si>
  <si>
    <t>TSSPBOB3</t>
  </si>
  <si>
    <t>SS T-SHIRT SPONGEBOB TSSPBOB3:PASTEL YELLOW:9-10:GRAPHIC:SS T-SHIRT</t>
  </si>
  <si>
    <t>SS T-SHIRT SPONGEBOB TSSPBOB3:PASTEL YELLOW:7-8:GRAPHIC:SS T-SHIRT</t>
  </si>
  <si>
    <t>SS T-SHIRT SPONGEBOB TSSPBOB3:PASTEL YELLOW:6:GRAPHIC:SS T-SHIRT</t>
  </si>
  <si>
    <t>SS T-SHIRT SPONGEBOB TSSPBOB3:PASTEL YELLOW:5:GRAPHIC:SS T-SHIRT</t>
  </si>
  <si>
    <t>SS T-SHIRT SPONGEBOB TSSPBOB3:PASTEL YELLOW:4:GRAPHIC:SS T-SHIRT</t>
  </si>
  <si>
    <t>SS T-SHIRT SPONGEBOB TSSPBOB4:OFF WHITE:11-12:GRAPHIC:SS T-SHIRT</t>
  </si>
  <si>
    <t>TSSPBOB4</t>
  </si>
  <si>
    <t>SS T-SHIRT SPONGEBOB TSSPBOB4:OFF WHITE:9-10:GRAPHIC:SS T-SHIRT</t>
  </si>
  <si>
    <t>SS T-SHIRT SPONGEBOB TSSPBOB4:OFF WHITE:7-8:GRAPHIC:SS T-SHIRT</t>
  </si>
  <si>
    <t>SS T-SHIRT SPONGEBOB TSSPBOB4:OFF WHITE:6:GRAPHIC:SS T-SHIRT</t>
  </si>
  <si>
    <t>SS T-SHIRT SPONGEBOB TSSPBOB4:OFF WHITE:5:GRAPHIC:SS T-SHIRT</t>
  </si>
  <si>
    <t>SS T-SHIRT SPONGEBOB TSSPBOB4:OFF WHITE:4:GRAPHIC:SS T-SHIRT</t>
  </si>
  <si>
    <t>SS T-SHIRT HARRY POTTER RIB V TSHPOT1:OFF WHITE:13-14:GRAPHIC:SS T-SHIRT</t>
  </si>
  <si>
    <t>SS T-SHIRT HARRY POTTER RIB V TSHPOT1:OFF WHITE:11-12:GRAPHIC:SS T-SHIRT</t>
  </si>
  <si>
    <t>SS T-SHIRT HARRY POTTER RIB V TSHPOT1:OFF WHITE:9-10:GRAPHIC:SS T-SHIRT</t>
  </si>
  <si>
    <t>SS T-SHIRT HARRY POTTER RIB V TSHPOT1:OFF WHITE:7-8:GRAPHIC:SS T-SHIRT</t>
  </si>
  <si>
    <t>SS T-SHIRT HARRY POTTER TSHPOT2:PASTEL GREY:13-14:GRAPHIC:SS T-SHIRT</t>
  </si>
  <si>
    <t>SS T-SHIRT HARRY POTTER TSHPOT2:PASTEL GREY:11-12:GRAPHIC:SS T-SHIRT</t>
  </si>
  <si>
    <t>SS T-SHIRT HARRY POTTER TSHPOT2:PASTEL GREY:9-10:GRAPHIC:SS T-SHIRT</t>
  </si>
  <si>
    <t>SS T-SHIRT HARRY POTTER TSHPOT2:PASTEL GREY:7-8:GRAPHIC:SS T-SHIRT</t>
  </si>
  <si>
    <t>SS T-SHIRT POLO HARRY POTTER TSHPOT3:NAVY BLUE:13-14:GRAPHIC:SS T-SHIRT</t>
  </si>
  <si>
    <t>TSHPOT3</t>
  </si>
  <si>
    <t>SS T-SHIRT POLO HARRY POTTER TSHPOT3:NAVY BLUE:11-12:GRAPHIC:SS T-SHIRT</t>
  </si>
  <si>
    <t>SS T-SHIRT POLO HARRY POTTER TSHPOT3:NAVY BLUE:9-10:GRAPHIC:SS T-SHIRT</t>
  </si>
  <si>
    <t>SS T-SHIRT POLO HARRY POTTER TSHPOT3:NAVY BLUE:7-8:GRAPHIC:SS T-SHIRT</t>
  </si>
  <si>
    <t>SS MIDI DRESS WOVEN PRINCESS DSWVPRN:DUSTY PINK:13-14:GRAPHIC:SS MIDI DRESS</t>
  </si>
  <si>
    <t>DSWVPRN</t>
  </si>
  <si>
    <t>SS MIDI DRESS WOVEN PRINCESS DSWVPRN:DUSTY PINK:11-12:GRAPHIC:SS MIDI DRESS</t>
  </si>
  <si>
    <t>SS MIDI DRESS WOVEN PRINCESS DSWVPRN:DUSTY PINK:9-10:GRAPHIC:SS MIDI DRESS</t>
  </si>
  <si>
    <t>SS MIDI DRESS WOVEN PRINCESS DSWVPRN:DUSTY PINK:7-8:GRAPHIC:SS MIDI DRESS</t>
  </si>
  <si>
    <t>SS MIDI DRESS WOVEN PRINCESS DSWVPRN:DUSTY PINK:6:GRAPHIC:SS MIDI DRESS</t>
  </si>
  <si>
    <t>SS MIDI DRESS WOVEN PRINCESS DSWVPRN:DUSTY PINK:5:GRAPHIC:SS MIDI DRESS</t>
  </si>
  <si>
    <t>SS MIDI DRESS WOVEN PRINCESS DSWVPRN:DUSTY PINK:4:GRAPHIC:SS MIDI DRESS</t>
  </si>
  <si>
    <t>SS MIDI DRESS MINNIE CONSTELLATION DSRTMIN:NAVY BLUE:7-8:EMBRO:SS MIDI DRESS</t>
  </si>
  <si>
    <t>DSRTMIN</t>
  </si>
  <si>
    <t>SS MIDI DRESS MINNIE CONSTELLATION DSRTMIN:NAVY BLUE:6:EMBRO:SS MIDI DRESS</t>
  </si>
  <si>
    <t>SS MIDI DRESS MINNIE CONSTELLATION DSRTMIN:NAVY BLUE:5:EMBRO:SS MIDI DRESS</t>
  </si>
  <si>
    <t>SS MIDI DRESS MINNIE CONSTELLATION DSRTMIN:NAVY BLUE:4:EMBRO:SS MIDI DRESS</t>
  </si>
  <si>
    <t>LONG PANTS WIDE LEG TOY STORY LPCZTP:PASTEL BLUE:13-14:GRAPHIC:LONG PANTS</t>
  </si>
  <si>
    <t>LPCZTP</t>
  </si>
  <si>
    <t>LONG PANTS WIDE LEG TOY STORY LPCZTP:PASTEL BLUE:11-12:GRAPHIC:LONG PANTS</t>
  </si>
  <si>
    <t>LONG PANTS WIDE LEG TOY STORY LPCZTP:PASTEL BLUE:9-10:GRAPHIC:LONG PANTS</t>
  </si>
  <si>
    <t>LONG PANTS WIDE LEG TOY STORY LPCZTP:PASTEL BLUE:7-8:GRAPHIC:LONG PANTS</t>
  </si>
  <si>
    <t>SS MIDI DRESS MINNIE CONSTELLATION DSMCONS:CHARCOAL:13-14:GRAPHIC:SS MIDI DRESS</t>
  </si>
  <si>
    <t>DSMCONS</t>
  </si>
  <si>
    <t>SS MIDI DRESS MINNIE CONSTELLATION DSMCONS:CHARCOAL:11-12:GRAPHIC:SS MIDI DRESS</t>
  </si>
  <si>
    <t>SS MIDI DRESS MINNIE CONSTELLATION DSMCONS:CHARCOAL:9-10:GRAPHIC:SS MIDI DRESS</t>
  </si>
  <si>
    <t>SS MIDI DRESS MINNIE CONSTELLATION DSMCONS:CHARCOAL:7-8:GRAPHIC:SS MIDI DRESS</t>
  </si>
  <si>
    <t>SHORT PANTS PRINCESS MANGA SPMPRN:CHARCOAL:13-14:GRAPHIC:SHORT PANTS</t>
  </si>
  <si>
    <t>SPMPRN</t>
  </si>
  <si>
    <t>SHORT PANTS PRINCESS MANGA SPMPRN:CHARCOAL:11-12:GRAPHIC:SHORT PANTS</t>
  </si>
  <si>
    <t>SHORT PANTS PRINCESS MANGA SPMPRN:CHARCOAL:9-10:GRAPHIC:SHORT PANTS</t>
  </si>
  <si>
    <t>SHORT PANTS PRINCESS MANGA SPMPRN:CHARCOAL:7-8:GRAPHIC:SHORT PANTS</t>
  </si>
  <si>
    <t>CARDIGAN MINNIE CONSTELLATION CARDMCON:PASTEL PURPLE:7-8:EMBRO:CARDIGAN</t>
  </si>
  <si>
    <t>CARDMCON</t>
  </si>
  <si>
    <t>CARDIGAN MINNIE CONSTELLATION CARDMCON:PASTEL PURPLE:6:EMBRO:CARDIGAN</t>
  </si>
  <si>
    <t>CARDIGAN MINNIE CONSTELLATION CARDMCON:PASTEL PURPLE:5:EMBRO:CARDIGAN</t>
  </si>
  <si>
    <t>CARDIGAN MINNIE CONSTELLATION CARDMCON:PASTEL PURPLE:4:EMBRO:CARDIGAN</t>
  </si>
  <si>
    <t>SKORT MINNIE CONSTELLATION SKCONS:BLACK:13-14:GRAPHIC:SKORT</t>
  </si>
  <si>
    <t>SKCONS</t>
  </si>
  <si>
    <t>SKORT MINNIE CONSTELLATION SKCONS:BLACK:11-12:GRAPHIC:SKORT</t>
  </si>
  <si>
    <t>SKORT MINNIE CONSTELLATION SKCONS:BLACK:9-10:GRAPHIC:SKORT</t>
  </si>
  <si>
    <t>SKORT MINNIE CONSTELLATION SKCONS:BLACK:7-8:GRAPHIC:SKORT</t>
  </si>
  <si>
    <t>SS MINI DRESS OVERALL DNM PAW PATROL DSOPAW:LIGHT BLUE:24-36:GRAPHIC:SS MINI DRESS</t>
  </si>
  <si>
    <t>SS MINI DRESS OVERALL DNM PAW PATROL DSOPAW:LIGHT BLUE:18-24:GRAPHIC:SS MINI DRESS</t>
  </si>
  <si>
    <t>SS MINI DRESS OVERALL DNM PAW PATROL DSOPAW:LIGHT BLUE:12-18:GRAPHIC:SS MINI DRESS</t>
  </si>
  <si>
    <t>SS MINI DRESS OVERALL DNM PAW PATROL DSOPAW:LIGHT BLUE:6-12:GRAPHIC:SS MINI DRESS</t>
  </si>
  <si>
    <t>TOP - BOTTOM SET PAW PATROL SETBPAW:NAVY BLUE:24-36:GRAPHIC:TOP - BOTTOM SET</t>
  </si>
  <si>
    <t>SETBPAW</t>
  </si>
  <si>
    <t>TOP - BOTTOM SET PAW PATROL SETBPAW:NAVY BLUE:18-24:GRAPHIC:TOP - BOTTOM SET</t>
  </si>
  <si>
    <t>TOP - BOTTOM SET PAW PATROL SETBPAW:NAVY BLUE:12-18:GRAPHIC:TOP - BOTTOM SET</t>
  </si>
  <si>
    <t>TOP - BOTTOM SET PAW PATROL SETBPAW:NAVY BLUE:6-12:GRAPHIC:TOP - BOTTOM SET</t>
  </si>
  <si>
    <t>SHORT JUMPSUIT OVERALL PAW PATROL OVBPAW:NAVY BLUE:24-36:GRAPHIC:SHORT JUMPSUIT</t>
  </si>
  <si>
    <t>OVBPAW</t>
  </si>
  <si>
    <t>SHORT JUMPSUIT OVERALL PAW PATROL OVBPAW:NAVY BLUE:18-24:GRAPHIC:SHORT JUMPSUIT</t>
  </si>
  <si>
    <t>SHORT JUMPSUIT OVERALL PAW PATROL OVBPAW:NAVY BLUE:12-18:GRAPHIC:SHORT JUMPSUIT</t>
  </si>
  <si>
    <t>SHORT JUMPSUIT OVERALL PAW PATROL OVBPAW:NAVY BLUE:6-12:GRAPHIC:SHORT JUMPSUIT</t>
  </si>
  <si>
    <t>TOP - BOTTOM SET PAW PATROL SETGPAW:PASTEL PINK:24-36:GRAPHIC:TOP - BOTTOM SET</t>
  </si>
  <si>
    <t>SETGPAW</t>
  </si>
  <si>
    <t>TOP - BOTTOM SET PAW PATROL SETGPAW:PASTEL PINK:18-24:GRAPHIC:TOP - BOTTOM SET</t>
  </si>
  <si>
    <t>TOP - BOTTOM SET PAW PATROL SETGPAW:PASTEL PINK:12-18:GRAPHIC:TOP - BOTTOM SET</t>
  </si>
  <si>
    <t>TOP - BOTTOM SET PAW PATROL SETGPAW:PASTEL PINK:6-12:GRAPHIC:TOP - BOTTOM SET</t>
  </si>
  <si>
    <t>JACKET HOODIE MY MELODY JKH3MM:PASTEL PINK:24-36:PRINT:JACKET</t>
  </si>
  <si>
    <t>JKH3MM</t>
  </si>
  <si>
    <t>JACKET HOODIE MY MELODY JKH3MM:PASTEL PINK:18-24:PRINT:JACKET</t>
  </si>
  <si>
    <t>JACKET HOODIE MY MELODY JKH3MM:PASTEL PINK:12-18:PRINT:JACKET</t>
  </si>
  <si>
    <t>JACKET HOODIE MY MELODY JKH3MM:PASTEL PINK:6-12:PRINT:JACKET</t>
  </si>
  <si>
    <t>JACKET HOODIE SPONGEBOB SP JKHSPSB:CLASSIC BLUE:24-36:PRINT:JACKET</t>
  </si>
  <si>
    <t>JKHSPSB</t>
  </si>
  <si>
    <t>JACKET HOODIE SPONGEBOB SP JKHSPSB:CLASSIC BLUE:18-24:PRINT:JACKET</t>
  </si>
  <si>
    <t>JACKET HOODIE SPONGEBOB SP JKHSPSB:CLASSIC BLUE:12-18:PRINT:JACKET</t>
  </si>
  <si>
    <t>JACKET HOODIE SPONGEBOB SP JKHSPSB:CLASSIC BLUE:6-12:PRINT:JACKET</t>
  </si>
  <si>
    <t>JACKET HOODIE SPONGEBOB SP JKHSPSB:CLASSIC BLUE:3-6:PRINT:JACKET</t>
  </si>
  <si>
    <t>TOP - BOTTOM SET SPONGEBOB SP SETSPSB:CLASSIC YELLOW:24-36:PRINT:TOP - BOTTOM SET</t>
  </si>
  <si>
    <t>SETSPSB</t>
  </si>
  <si>
    <t>TOP - BOTTOM SET SPONGEBOB SP SETSPSB:CLASSIC YELLOW:18-24:PRINT:TOP - BOTTOM SET</t>
  </si>
  <si>
    <t>TOP - BOTTOM SET SPONGEBOB SP SETSPSB:CLASSIC YELLOW:12-18:PRINT:TOP - BOTTOM SET</t>
  </si>
  <si>
    <t>TOP - BOTTOM SET SPONGEBOB SP SETSPSB:CLASSIC YELLOW:6-12:PRINT:TOP - BOTTOM SET</t>
  </si>
  <si>
    <t>TOP - BOTTOM SET SPONGEBOB SP SETSPSB:CLASSIC YELLOW:3-6:PRINT:TOP - BOTTOM SET</t>
  </si>
  <si>
    <t>SHORT JUMPSUIT OVERALL SS SPONGEBOB SP OVSSPSB:CLASSIC BLUE:18-24:PRINT:SHORT JUMPSUIT</t>
  </si>
  <si>
    <t>OVSSPSB</t>
  </si>
  <si>
    <t>SHORT JUMPSUIT OVERALL SS SPONGEBOB SP OVSSPSB:CLASSIC BLUE:12-18:PRINT:SHORT JUMPSUIT</t>
  </si>
  <si>
    <t>SHORT JUMPSUIT OVERALL SS SPONGEBOB SP OVSSPSB:CLASSIC BLUE:6-12:PRINT:SHORT JUMPSUIT</t>
  </si>
  <si>
    <t>SHORT JUMPSUIT OVERALL SS SPONGEBOB SP OVSSPSB:CLASSIC BLUE:3-6:PRINT:SHORT JUMPSUIT</t>
  </si>
  <si>
    <t>SHORT JUMPSUIT OVERALL SS SPONGEBOB SP OVSSPSB:CLASSIC BLUE:0-3:PRINT:SHORT JUMPSUIT</t>
  </si>
  <si>
    <t>SOCKS SPIDERMAN KKSPDG1:FROST GREY:20-22:PRINT:SOCKS</t>
  </si>
  <si>
    <t>KKSPDG1</t>
  </si>
  <si>
    <t>SOCKS SPIDERMAN KKSPDG1:FROST GREY:18-20:PRINT:SOCKS</t>
  </si>
  <si>
    <t>SOCKS SPIDERMAN KKSPDG1:FROST GREY:14-16:PRINT:SOCKS</t>
  </si>
  <si>
    <t>SOCKS SPIDERMAN KKSPDB1:BLACK:20-22:PRINT:SOCKS</t>
  </si>
  <si>
    <t>KKSPDB1</t>
  </si>
  <si>
    <t>SOCKS SPIDERMAN KKSPDB1:BLACK:18-20:PRINT:SOCKS</t>
  </si>
  <si>
    <t>SOCKS SPIDERMAN KKSPDB1:BLACK:14-16:PRINT:SOCKS</t>
  </si>
  <si>
    <t>SOCKS KK MICKEY LOGO KK1MIC3:WHITE:20-22:PRINT:SOCKS</t>
  </si>
  <si>
    <t>KK1MIC3</t>
  </si>
  <si>
    <t>SOCKS KK MICKEY LOGO KK1MIC3:WHITE:18-20:PRINT:SOCKS</t>
  </si>
  <si>
    <t>SOCKS KK MICKEY LOGO KK1MIC3:WHITE:14-16:PRINT:SOCKS</t>
  </si>
  <si>
    <t>SOCKS KK MICKEY LOGO KK1MIC4:PASTEL PINK:20-22:PRINT:SOCKS</t>
  </si>
  <si>
    <t>KK1MIC4</t>
  </si>
  <si>
    <t>SOCKS KK MICKEY LOGO KK1MIC4:PASTEL PINK:18-20:PRINT:SOCKS</t>
  </si>
  <si>
    <t>SOCKS KK MICKEY LOGO KK1MIC4:PASTEL PINK:14-16:PRINT:SOCKS</t>
  </si>
  <si>
    <t>SOCKS KK PAW PATROL MARSHALL KKBPWMS:CLASSIC RED:18-20:PRINT:SOCKS</t>
  </si>
  <si>
    <t>KKBPWMS</t>
  </si>
  <si>
    <t>SOCKS KK PAW PATROL MARSHALL KKBPWMS:CLASSIC RED:14-16:PRINT:SOCKS</t>
  </si>
  <si>
    <t>BRIEF PACK OF 3 GIRLS UW HELLO KITTY MP31KT:ASSORTIVE COLOR:XL:PRINT:BRIEF</t>
  </si>
  <si>
    <t>MP31KT</t>
  </si>
  <si>
    <t>BRIEF PACK OF 3 GIRLS UW HELLO KITTY MP31KT:ASSORTIVE COLOR:L:PRINT:BRIEF</t>
  </si>
  <si>
    <t>BRIEF PACK OF 3 GIRLS UW HELLO KITTY MP31KT:ASSORTIVE COLOR:M:PRINT:BRIEF</t>
  </si>
  <si>
    <t>BRIEF PACK OF 3 GIRLS UW HELLO KITTY MP31KT:ASSORTIVE COLOR:S:PRINT:BRIEF</t>
  </si>
  <si>
    <t>BRIEF PACK OF 3 GIRLS UW CINNAMOROLL MP3125CN:ASSORTIVE COLOR:XL:PRINT:BRIEF</t>
  </si>
  <si>
    <t>MP3125CN</t>
  </si>
  <si>
    <t>BRIEF PACK OF 3 GIRLS UW CINNAMOROLL MP3125CN:ASSORTIVE COLOR:L:PRINT:BRIEF</t>
  </si>
  <si>
    <t>BRIEF PACK OF 3 GIRLS UW CINNAMOROLL MP3125CN:ASSORTIVE COLOR:M:PRINT:BRIEF</t>
  </si>
  <si>
    <t>BRIEF PACK OF 3 GIRLS UW CINNAMOROLL MP3125CN:ASSORTIVE COLOR:S:PRINT:BRIEF</t>
  </si>
  <si>
    <t>BRIEF PACK OF 3 UW SUPERMAN MP31SUP:ASSORTIVE COLOR:XL:PRINT:BRIEF</t>
  </si>
  <si>
    <t>MP31SUP</t>
  </si>
  <si>
    <t>BRIEF PACK OF 3 UW SUPERMAN MP31SUP:ASSORTIVE COLOR:L:PRINT:BRIEF</t>
  </si>
  <si>
    <t>BRIEF PACK OF 3 UW SUPERMAN MP31SUP:ASSORTIVE COLOR:M:PRINT:BRIEF</t>
  </si>
  <si>
    <t>BRIEF PACK OF 3 UW SUPERMAN MP31SUP:ASSORTIVE COLOR:S:PRINT:BRIEF</t>
  </si>
  <si>
    <t>BRIEF PACK OF 3 GIRLS UW POOH MP3POOH:ASSORTIVE COLOR:XL:PRINT:BRIEF</t>
  </si>
  <si>
    <t>MP3POOH</t>
  </si>
  <si>
    <t>BRIEF PACK OF 3 GIRLS UW POOH MP3POOH:ASSORTIVE COLOR:L:PRINT:BRIEF</t>
  </si>
  <si>
    <t>BRIEF PACK OF 3 GIRLS UW POOH MP3POOH:ASSORTIVE COLOR:M:PRINT:BRIEF</t>
  </si>
  <si>
    <t>BRIEF PACK OF 3 GIRLS UW POOH MP3POOH:ASSORTIVE COLOR:S:PRINT:BRIEF</t>
  </si>
  <si>
    <t>BRIEF PACK OF 3 GIRLS UW KUROMI MP345KU:ASSORTIVE COLOR:XL:PRINT:BRIEF</t>
  </si>
  <si>
    <t>MP345KU</t>
  </si>
  <si>
    <t>BRIEF PACK OF 3 GIRLS UW KUROMI MP345KU:ASSORTIVE COLOR:L:PRINT:BRIEF</t>
  </si>
  <si>
    <t>BRIEF PACK OF 3 GIRLS UW KUROMI MP345KU:ASSORTIVE COLOR:M:PRINT:BRIEF</t>
  </si>
  <si>
    <t>BRIEF PACK OF 3 GIRLS UW KUROMI MP345KU:ASSORTIVE COLOR:S:PRINT:BRIEF</t>
  </si>
  <si>
    <t>BRIEF PACK OF 3 UW MY MELODY MP3126MM:ASSORTIVE COLOR:XL:PRINT:BRIEF</t>
  </si>
  <si>
    <t>MP3126MM</t>
  </si>
  <si>
    <t>BRIEF PACK OF 3 UW MY MELODY MP3126MM:ASSORTIVE COLOR:L:PRINT:BRIEF</t>
  </si>
  <si>
    <t>BRIEF PACK OF 3 UW MY MELODY MP3126MM:ASSORTIVE COLOR:M:PRINT:BRIEF</t>
  </si>
  <si>
    <t>BRIEF PACK OF 3 UW MY MELODY MP3126MM:ASSORTIVE COLOR:S:PRINT:BRIEF</t>
  </si>
  <si>
    <t>SOCKS KKG KUROMI KKKU13:WHITE:20-22:PRINT:SOCKS</t>
  </si>
  <si>
    <t>KKKU13</t>
  </si>
  <si>
    <t>SOCKS KKG KUROMI KKKU13:WHITE:18-20:PRINT:SOCKS</t>
  </si>
  <si>
    <t>SOCKS KKG KUROMI KKKU13:WHITE:14-16:PRINT:SOCKS</t>
  </si>
  <si>
    <t>SOCKS KKG HELLO KITTY KKHK7:WHITE:20-22:PRINT:SOCKS</t>
  </si>
  <si>
    <t>KKHK7</t>
  </si>
  <si>
    <t>SOCKS KKG HELLO KITTY KKHK7:WHITE:18-20:PRINT:SOCKS</t>
  </si>
  <si>
    <t>SOCKS KKG HELLO KITTY KKHK7:WHITE:14-16:PRINT:SOCKS</t>
  </si>
  <si>
    <t>SOCKS KKG CINNAMOROLL KKCN8:WHITE:20-22:PRINT:SOCKS</t>
  </si>
  <si>
    <t>KKCN8</t>
  </si>
  <si>
    <t>SOCKS KKG CINNAMOROLL KKCN8:WHITE:18-20:PRINT:SOCKS</t>
  </si>
  <si>
    <t>SOCKS KKG CINNAMOROLL KKCN8:WHITE:14-16:PRINT:SOCKS</t>
  </si>
  <si>
    <t>TOP - BOTTOM SET LSLP SW OBL AOP MARVEL SW01MV:FROST GREY:14:PRINT:TOP - BOTTOM SET</t>
  </si>
  <si>
    <t>SW01MV</t>
  </si>
  <si>
    <t>DSSAMM</t>
  </si>
  <si>
    <t>SSIKATKU</t>
  </si>
  <si>
    <t>SSWVKT</t>
  </si>
  <si>
    <t>SS MIDI DRESS WOVEN SA MY MELODY DSSAMM:PASTEL GREEN:4:GRAPHIC:SS MIDI DRESS</t>
  </si>
  <si>
    <t>SS MIDI DRESS WOVEN SA MY MELODY DSSAMM:PASTEL GREEN:5:GRAPHIC:SS MIDI DRESS</t>
  </si>
  <si>
    <t>SS MIDI DRESS WOVEN SA MY MELODY DSSAMM:PASTEL GREEN:6:GRAPHIC:SS MIDI DRESS</t>
  </si>
  <si>
    <t>SS MIDI DRESS WOVEN SA MY MELODY DSSAMM:PASTEL GREEN:7-8:GRAPHIC:SS MIDI DRESS</t>
  </si>
  <si>
    <t>SS MIDI DRESS WOVEN SA MY MELODY DSSAMM:PASTEL GREEN:9-10:GRAPHIC:SS MIDI DRESS</t>
  </si>
  <si>
    <t>SS MIDI DRESS WOVEN SA MY MELODY DSSAMM:PASTEL GREEN:11-12:GRAPHIC:SS MIDI DRESS</t>
  </si>
  <si>
    <t>SS MIDI DRESS WOVEN SA MY MELODY DSSAMM:PASTEL GREEN:13-14:GRAPHIC:SS MIDI DRESS</t>
  </si>
  <si>
    <t>SS SHIRT TOP WOVEN KUROMI KEMEJA IKAT SSIKATKU:KHAKI:4:GRAPHIC:SS SHIRT</t>
  </si>
  <si>
    <t>SS SHIRT TOP WOVEN KUROMI KEMEJA IKAT SSIKATKU:KHAKI:5:GRAPHIC:SS SHIRT</t>
  </si>
  <si>
    <t>SS SHIRT TOP WOVEN KUROMI KEMEJA IKAT SSIKATKU:KHAKI:6:GRAPHIC:SS SHIRT</t>
  </si>
  <si>
    <t>SS SHIRT TOP WOVEN KUROMI KEMEJA IKAT SSIKATKU:KHAKI:7-8:GRAPHIC:SS SHIRT</t>
  </si>
  <si>
    <t>SS SHIRT TOP WOVEN KUROMI KEMEJA IKAT SSIKATKU:KHAKI:9-10:GRAPHIC:SS SHIRT</t>
  </si>
  <si>
    <t>SS SHIRT TOP WOVEN KUROMI KEMEJA IKAT SSIKATKU:KHAKI:11-12:GRAPHIC:SS SHIRT</t>
  </si>
  <si>
    <t>SS SHIRT TOP WOVEN KUROMI KEMEJA IKAT SSIKATKU:KHAKI:13-14:GRAPHIC:SS SHIRT</t>
  </si>
  <si>
    <t>SS SHIRT WOVEN HELLO KITTY SSWVKT:OFF WHITE:4:GRAPHIC:SS SHIRT</t>
  </si>
  <si>
    <t>SS SHIRT WOVEN HELLO KITTY SSWVKT:OFF WHITE:5:GRAPHIC:SS SHIRT</t>
  </si>
  <si>
    <t>SS SHIRT WOVEN HELLO KITTY SSWVKT:OFF WHITE:6:GRAPHIC:SS SHIRT</t>
  </si>
  <si>
    <t>SS SHIRT WOVEN HELLO KITTY SSWVKT:OFF WHITE:7-8:GRAPHIC:SS SHIRT</t>
  </si>
  <si>
    <t>SS SHIRT WOVEN HELLO KITTY SSWVKT:OFF WHITE:9-10:GRAPHIC:SS SHIRT</t>
  </si>
  <si>
    <t>SS SHIRT WOVEN HELLO KITTY SSWVKT:OFF WHITE:11-12:GRAPHIC:SS SHIRT</t>
  </si>
  <si>
    <t>SS SHIRT WOVEN HELLO KITTY SSWVKT:OFF WHITE:13-14:GRAPHIC:SS SHIRT</t>
  </si>
  <si>
    <t>34SRFMM</t>
  </si>
  <si>
    <t>3/4 SHIRT WOMEN RUFFLE MY MELODY 34SRFMM:CLASSIC GREEN:4:GRAPHIC:3/4 SHIRT</t>
  </si>
  <si>
    <t>3/4 SHIRT WOMEN RUFFLE MY MELODY 34SRFMM:CLASSIC GREEN:5:GRAPHIC:3/4 SHIRT</t>
  </si>
  <si>
    <t>3/4 SHIRT WOMEN RUFFLE MY MELODY 34SRFMM:CLASSIC GREEN:6:GRAPHIC:3/4 SHIRT</t>
  </si>
  <si>
    <t>3/4 SHIRT WOMEN RUFFLE MY MELODY 34SRFMM:CLASSIC GREEN:7-8:GRAPHIC:3/4 SHIRT</t>
  </si>
  <si>
    <t>3/4 SHIRT WOMEN RUFFLE MY MELODY 34SRFMM:CLASSIC GREEN:9-10:GRAPHIC:3/4 SHIRT</t>
  </si>
  <si>
    <t>3/4 SHIRT WOMEN RUFFLE MY MELODY 34SRFMM:CLASSIC GREEN:11-12:GRAPHIC:3/4 SHIRT</t>
  </si>
  <si>
    <t>DLSEERKU</t>
  </si>
  <si>
    <t>LS MIDI DRESS WOVEN KIMONO KUROMI DLSEERKU:KHAKI:4:GRAPHIC:LS MIDI DRESS</t>
  </si>
  <si>
    <t>LS MIDI DRESS WOVEN KIMONO KUROMI DLSEERKU:KHAKI:5:GRAPHIC:LS MIDI DRESS</t>
  </si>
  <si>
    <t>LS MIDI DRESS WOVEN KIMONO KUROMI DLSEERKU:KHAKI:6:GRAPHIC:LS MIDI DRESS</t>
  </si>
  <si>
    <t>LS MIDI DRESS WOVEN KIMONO KUROMI DLSEERKU:KHAKI:7-8:GRAPHIC:LS MIDI DRESS</t>
  </si>
  <si>
    <t>LS MIDI DRESS WOVEN KIMONO KUROMI DLSEERKU:KHAKI:9-10:GRAPHIC:LS MIDI DRESS</t>
  </si>
  <si>
    <t>LS MIDI DRESS WOVEN KIMONO KUROMI DLSEERKU:KHAKI:11-12:GRAPHIC:LS MIDI DRESS</t>
  </si>
  <si>
    <t>LS MIDI DRESS WOVEN KIMONO KUROMI DLSEERKU:KHAKI:13-14:GRAPHIC:LS MIDI DRESS</t>
  </si>
  <si>
    <t>LPBARKU</t>
  </si>
  <si>
    <t>LONG PANTS BARREL WOVEN KUROMI LPBARKU:RUSTIC BROWN:4:GRAPHIC:LONG PANTS</t>
  </si>
  <si>
    <t>LONG PANTS BARREL WOVEN KUROMI LPBARKU:RUSTIC BROWN:5:GRAPHIC:LONG PANTS</t>
  </si>
  <si>
    <t>LONG PANTS BARREL WOVEN KUROMI LPBARKU:RUSTIC BROWN:6:GRAPHIC:LONG PANTS</t>
  </si>
  <si>
    <t>LONG PANTS BARREL WOVEN KUROMI LPBARKU:RUSTIC BROWN:7-8:GRAPHIC:LONG PANTS</t>
  </si>
  <si>
    <t>LONG PANTS BARREL WOVEN KUROMI LPBARKU:RUSTIC BROWN:9-10:GRAPHIC:LONG PANTS</t>
  </si>
  <si>
    <t>LONG PANTS BARREL WOVEN KUROMI LPBARKU:RUSTIC BROWN:11-12:GRAPHIC:LONG PANTS</t>
  </si>
  <si>
    <t>LONG PANTS BARREL WOVEN KUROMI LPBARKU:RUSTIC BROWN:13-14:GRAPHIC:LONG PANTS</t>
  </si>
  <si>
    <t>SETMMSS</t>
  </si>
  <si>
    <t>TOP - BOTTOM SET MY MELODY SETMMSS:PASTEL GREEN:4:GRAPHIC:TOP - BOTTOM SET</t>
  </si>
  <si>
    <t>TOP - BOTTOM SET MY MELODY SETMMSS:PASTEL GREEN:5:GRAPHIC:TOP - BOTTOM SET</t>
  </si>
  <si>
    <t>TOP - BOTTOM SET MY MELODY SETMMSS:PASTEL GREEN:6:GRAPHIC:TOP - BOTTOM SET</t>
  </si>
  <si>
    <t>TOP - BOTTOM SET MY MELODY SETMMSS:PASTEL GREEN:7-8:GRAPHIC:TOP - BOTTOM SET</t>
  </si>
  <si>
    <t>TOP - BOTTOM SET MY MELODY SETMMSS:PASTEL GREEN:9-10:GRAPHIC:TOP - BOTTOM SET</t>
  </si>
  <si>
    <t>TOP - BOTTOM SET MY MELODY SETMMSS:PASTEL GREEN:11-12:GRAPHIC:TOP - BOTTOM SET</t>
  </si>
  <si>
    <t>TOP - BOTTOM SET MY MELODY SETMMSS:PASTEL GREEN:13-14:GRAPHIC:TOP - BOTTOM SET</t>
  </si>
  <si>
    <t>LSROMKU</t>
  </si>
  <si>
    <t>LS SHIRT WOVEN ROMPI KUROMI LSROMKU:RUSTIC BROWN:4:GRAPHIC:LS SHIRT</t>
  </si>
  <si>
    <t>LS SHIRT WOVEN ROMPI KUROMI LSROMKU:RUSTIC BROWN:5:GRAPHIC:LS SHIRT</t>
  </si>
  <si>
    <t>LS SHIRT WOVEN ROMPI KUROMI LSROMKU:RUSTIC BROWN:6:GRAPHIC:LS SHIRT</t>
  </si>
  <si>
    <t>LS SHIRT WOVEN ROMPI KUROMI LSROMKU:RUSTIC BROWN:7-8:GRAPHIC:LS SHIRT</t>
  </si>
  <si>
    <t>LS SHIRT WOVEN ROMPI KUROMI LSROMKU:RUSTIC BROWN:9-10:GRAPHIC:LS SHIRT</t>
  </si>
  <si>
    <t>LS SHIRT WOVEN ROMPI KUROMI LSROMKU:RUSTIC BROWN:11-12:GRAPHIC:LS SHIRT</t>
  </si>
  <si>
    <t>LS SHIRT WOVEN ROMPI KUROMI LSROMKU:RUSTIC BROWN:13-14:GRAPHIC:LS SHIRT</t>
  </si>
  <si>
    <t>SSL26PR3</t>
  </si>
  <si>
    <t>SS SHIRT TOP WOVEN PRINCESS SSL26PR3:DUSTY PINK:4:GRAPHIC:SS SHIRT</t>
  </si>
  <si>
    <t>SS SHIRT TOP WOVEN PRINCESS SSL26PR3:DUSTY PINK:5:GRAPHIC:SS SHIRT</t>
  </si>
  <si>
    <t>SS SHIRT TOP WOVEN PRINCESS SSL26PR3:DUSTY PINK:6:GRAPHIC:SS SHIRT</t>
  </si>
  <si>
    <t>SS SHIRT TOP WOVEN PRINCESS SSL26PR3:DUSTY PINK:7-8:GRAPHIC:SS SHIRT</t>
  </si>
  <si>
    <t>SS SHIRT TOP WOVEN PRINCESS SSL26PR3:DUSTY PINK:9-10:GRAPHIC:SS SHIRT</t>
  </si>
  <si>
    <t>SS SHIRT TOP WOVEN PRINCESS SSL26PR3:DUSTY PINK:11-12:GRAPHIC:SS SHIRT</t>
  </si>
  <si>
    <t>SS SHIRT TOP WOVEN PRINCESS SSL26PR3:DUSTY PINK:13-14:GRAPHIC:SS SHIRT</t>
  </si>
  <si>
    <t>LS34PRN</t>
  </si>
  <si>
    <t>3/4 SHIRT PRINCESS WOVEN LS34PRN:KHAKI:4:GRAPHIC:3/4 SHIRT</t>
  </si>
  <si>
    <t>3/4 SHIRT PRINCESS WOVEN LS34PRN:KHAKI:5:GRAPHIC:3/4 SHIRT</t>
  </si>
  <si>
    <t>3/4 SHIRT PRINCESS WOVEN LS34PRN:KHAKI:6:GRAPHIC:3/4 SHIRT</t>
  </si>
  <si>
    <t>3/4 SHIRT PRINCESS WOVEN LS34PRN:KHAKI:7-8:GRAPHIC:3/4 SHIRT</t>
  </si>
  <si>
    <t>3/4 SHIRT PRINCESS WOVEN LS34PRN:KHAKI:9-10:GRAPHIC:3/4 SHIRT</t>
  </si>
  <si>
    <t>3/4 SHIRT PRINCESS WOVEN LS34PRN:KHAKI:11-12:GRAPHIC:3/4 SHIRT</t>
  </si>
  <si>
    <t>3/4 SHIRT PRINCESS WOVEN LS34PRN:KHAKI:13-14:GRAPHIC:3/4 SHIRT</t>
  </si>
  <si>
    <t>LPWPRN</t>
  </si>
  <si>
    <t>LONG PANTS WOVEN PRINCESS LPWPRN:DUSTY PINK:4:GRAPHIC:LONG PANTS</t>
  </si>
  <si>
    <t>LONG PANTS WOVEN PRINCESS LPWPRN:DUSTY PINK:5:GRAPHIC:LONG PANTS</t>
  </si>
  <si>
    <t>LONG PANTS WOVEN PRINCESS LPWPRN:DUSTY PINK:6:GRAPHIC:LONG PANTS</t>
  </si>
  <si>
    <t>LONG PANTS WOVEN PRINCESS LPWPRN:DUSTY PINK:7-8:GRAPHIC:LONG PANTS</t>
  </si>
  <si>
    <t>LONG PANTS WOVEN PRINCESS LPWPRN:DUSTY PINK:9-10:GRAPHIC:LONG PANTS</t>
  </si>
  <si>
    <t>LONG PANTS WOVEN PRINCESS LPWPRN:DUSTY PINK:11-12:GRAPHIC:LONG PANTS</t>
  </si>
  <si>
    <t>LONG PANTS WOVEN PRINCESS LPWPRN:DUSTY PINK:13-14:GRAPHIC:LONG PANTS</t>
  </si>
  <si>
    <t>DLPRN26</t>
  </si>
  <si>
    <t>LS MIDI DRESS PRINCESS WOVEN DLPRN26:PASTEL PINK:4:GRAPHIC:LS MIDI DRESS</t>
  </si>
  <si>
    <t>LS MIDI DRESS PRINCESS WOVEN DLPRN26:PASTEL PINK:5:GRAPHIC:LS MIDI DRESS</t>
  </si>
  <si>
    <t>LS MIDI DRESS PRINCESS WOVEN DLPRN26:PASTEL PINK:6:GRAPHIC:LS MIDI DRESS</t>
  </si>
  <si>
    <t>LS MIDI DRESS PRINCESS WOVEN DLPRN26:PASTEL PINK:7-8:GRAPHIC:LS MIDI DRESS</t>
  </si>
  <si>
    <t>LS MIDI DRESS PRINCESS WOVEN DLPRN26:PASTEL PINK:9-10:GRAPHIC:LS MIDI DRESS</t>
  </si>
  <si>
    <t>LS MIDI DRESS PRINCESS WOVEN DLPRN26:PASTEL PINK:11-12:GRAPHIC:LS MIDI DRESS</t>
  </si>
  <si>
    <t>LS MIDI DRESS PRINCESS WOVEN DLPRN26:PASTEL PINK:13-14:GRAPHIC:LS MIDI DRESS</t>
  </si>
  <si>
    <t>DSSCMIN</t>
  </si>
  <si>
    <t>SS MIDI DRESS MINNIE SNACK CLUB DSSCMIN:PASTEL PINK:4:GRAPHIC:SS MIDI DRESS</t>
  </si>
  <si>
    <t>SS MIDI DRESS MINNIE SNACK CLUB DSSCMIN:PASTEL PINK:5:GRAPHIC:SS MIDI DRESS</t>
  </si>
  <si>
    <t>SS MIDI DRESS MINNIE SNACK CLUB DSSCMIN:PASTEL PINK:6:GRAPHIC:SS MIDI DRESS</t>
  </si>
  <si>
    <t>SS MIDI DRESS MINNIE SNACK CLUB DSSCMIN:PASTEL PINK:7-8:GRAPHIC:SS MIDI DRESS</t>
  </si>
  <si>
    <t>SETSCMIN</t>
  </si>
  <si>
    <t>TOP - BOTTOM SET MINNIE SNACK CLUB SETSCMIN:OFF WHITE:4:GRAPHIC:TOP - BOTTOM SET</t>
  </si>
  <si>
    <t>TOP - BOTTOM SET MINNIE SNACK CLUB SETSCMIN:OFF WHITE:5:GRAPHIC:TOP - BOTTOM SET</t>
  </si>
  <si>
    <t>TOP - BOTTOM SET MINNIE SNACK CLUB SETSCMIN:OFF WHITE:6:GRAPHIC:TOP - BOTTOM SET</t>
  </si>
  <si>
    <t>TOP - BOTTOM SET MINNIE SNACK CLUB SETSCMIN:OFF WHITE:7-8:GRAPHIC:TOP - BOTTOM SET</t>
  </si>
  <si>
    <t>SSSCMIN</t>
  </si>
  <si>
    <t>SS T-SHIRT MINNIE SNACK CLUB SSSCMIN:OFF WHITE:4:GRAPHIC:SS T-SHIRT</t>
  </si>
  <si>
    <t>SS T-SHIRT MINNIE SNACK CLUB SSSCMIN:OFF WHITE:5:GRAPHIC:SS T-SHIRT</t>
  </si>
  <si>
    <t>SS T-SHIRT MINNIE SNACK CLUB SSSCMIN:OFF WHITE:6:GRAPHIC:SS T-SHIRT</t>
  </si>
  <si>
    <t>SS T-SHIRT MINNIE SNACK CLUB SSSCMIN:OFF WHITE:7-8:GRAPHIC:SS T-SHIRT</t>
  </si>
  <si>
    <t>2026 BAMUS DISC 60%</t>
  </si>
  <si>
    <t>TS3HK4</t>
  </si>
  <si>
    <t>SS T-SHIRT HELLO KITTY KERUT PGG TS3HK4:OFF WHITE:4:GRAPHIC:SS T-SHIRT</t>
  </si>
  <si>
    <t>SS T-SHIRT HELLO KITTY KERUT PGG TS3HK4:OFF WHITE:5:GRAPHIC:SS T-SHIRT</t>
  </si>
  <si>
    <t>SS T-SHIRT HELLO KITTY KERUT PGG TS3HK4:OFF WHITE:6:GRAPHIC:SS T-SHIRT</t>
  </si>
  <si>
    <t>SS T-SHIRT HELLO KITTY KERUT PGG TS3HK4:OFF WHITE:7-8:GRAPHIC:SS T-SHIRT</t>
  </si>
  <si>
    <t>SS T-SHIRT HELLO KITTY KERUT PGG TS3HK4:OFF WHITE:9-10:GRAPHIC:SS T-SHIRT</t>
  </si>
  <si>
    <t>SS T-SHIRT HELLO KITTY KERUT PGG TS3HK4:OFF WHITE:11-12:GRAPHIC:SS T-SHIRT</t>
  </si>
  <si>
    <t>SP3CN</t>
  </si>
  <si>
    <t>SKORT WOVEN CINNAMOROLL SP3CN:PASTEL BLUE:4:GRAPHIC:SKORT</t>
  </si>
  <si>
    <t>SKORT WOVEN CINNAMOROLL SP3CN:PASTEL BLUE:5:GRAPHIC:SKORT</t>
  </si>
  <si>
    <t>SKORT WOVEN CINNAMOROLL SP3CN:PASTEL BLUE:6:GRAPHIC:SKORT</t>
  </si>
  <si>
    <t>SKORT WOVEN CINNAMOROLL SP3CN:PASTEL BLUE:7-8:GRAPHIC:SKORT</t>
  </si>
  <si>
    <t>SET3CN</t>
  </si>
  <si>
    <t>TOP - BOTTOM SET CINNAMOROLL SET3CN:PASTEL BLUE:4:GRAPHIC:TOP - BOTTOM SET</t>
  </si>
  <si>
    <t>TOP - BOTTOM SET CINNAMOROLL SET3CN:PASTEL BLUE:5:GRAPHIC:TOP - BOTTOM SET</t>
  </si>
  <si>
    <t>TOP - BOTTOM SET CINNAMOROLL SET3CN:PASTEL BLUE:6:GRAPHIC:TOP - BOTTOM SET</t>
  </si>
  <si>
    <t>TOP - BOTTOM SET CINNAMOROLL SET3CN:PASTEL BLUE:7-8:GRAPHIC:TOP - BOTTOM SET</t>
  </si>
  <si>
    <t>2025 JUL-SEPT B1G1</t>
  </si>
  <si>
    <t xml:space="preserve">2025 DEC DISC 30 </t>
  </si>
  <si>
    <t xml:space="preserve">2026 HILITE DISC 30 </t>
  </si>
  <si>
    <t>2024 JAN-DEC DISC 75</t>
  </si>
  <si>
    <t>TS4PRN1</t>
  </si>
  <si>
    <t>SS T-SHIRT PRINCESS 2 PRINT TS4PRN1:WHITE:4:GRAPHIC:SS T-SHIRT</t>
  </si>
  <si>
    <t>SS T-SHIRT PRINCESS 2 PRINT TS4PRN1:WHITE:5:GRAPHIC:SS T-SHIRT</t>
  </si>
  <si>
    <t>SS T-SHIRT PRINCESS 2 PRINT TS4PRN1:WHITE:6:GRAPHIC:SS T-SHIRT</t>
  </si>
  <si>
    <t>SS T-SHIRT PRINCESS 2 PRINT TS4PRN1:WHITE:7-8:GRAPHIC:SS T-SHIRT</t>
  </si>
  <si>
    <t>TS4PRN3</t>
  </si>
  <si>
    <t>SS T-SHIRT PRINCESS PITA SAMPING TS4PRN3:PASTEL PINK:4:GRAPHIC:SS T-SHIRT</t>
  </si>
  <si>
    <t>SS T-SHIRT PRINCESS PITA SAMPING TS4PRN3:PASTEL PINK:5:GRAPHIC:SS T-SHIRT</t>
  </si>
  <si>
    <t>SS T-SHIRT PRINCESS PITA SAMPING TS4PRN3:PASTEL PINK:6:GRAPHIC:SS T-SHIRT</t>
  </si>
  <si>
    <t>SS T-SHIRT PRINCESS PITA SAMPING TS4PRN3:PASTEL PINK:7-8:GRAPHIC:SS T-SHIRT</t>
  </si>
  <si>
    <t>LP25ZT</t>
  </si>
  <si>
    <t>LONG PANTS ZOOTOPIA LP25ZT:KHAKI:11-12:GRAPHIC:LONG PANTS</t>
  </si>
  <si>
    <t>LONG PANTS ZOOTOPIA LP25ZT:KHAKI:13-14:GRAPHIC:LONG PANTS</t>
  </si>
  <si>
    <t>LPDN25FZ2</t>
  </si>
  <si>
    <t>DENIM LONG PANTS FROZEN LPDN25FZ2:MEDIUM DENIM:6:GRAPHIC:DENIM LONG PANTS</t>
  </si>
  <si>
    <t>DENIM LONG PANTS FROZEN LPDN25FZ2:MEDIUM DENIM:7-8:GRAPHIC:DENIM LONG PANTS</t>
  </si>
  <si>
    <t>DENIM LONG PANTS FROZEN LPDN25FZ2:MEDIUM DENIM:9-10:GRAPHIC:DENIM LONG PANTS</t>
  </si>
  <si>
    <t>DENIM LONG PANTS FROZEN LPDN25FZ2:MEDIUM DENIM:11-12:GRAPHIC:DENIM LONG PANTS</t>
  </si>
  <si>
    <t>DSTSTRY</t>
  </si>
  <si>
    <t>SS MIDI DRESS TOY STORY WOVEN DSTSTRY:PASTEL PINK:4:EMBRO:SS MIDI DRESS</t>
  </si>
  <si>
    <t>SS MIDI DRESS TOY STORY WOVEN DSTSTRY:PASTEL PINK:5:EMBRO:SS MIDI DRESS</t>
  </si>
  <si>
    <t>SS MIDI DRESS TOY STORY WOVEN DSTSTRY:PASTEL PINK:6:EMBRO:SS MIDI DRESS</t>
  </si>
  <si>
    <t>SS MIDI DRESS TOY STORY WOVEN DSTSTRY:PASTEL PINK:7-8:EMBRO:SS MIDI DRESS</t>
  </si>
  <si>
    <t>DSOWTST</t>
  </si>
  <si>
    <t>SS MIDI DRESS OVERALL TOY STORY WOVEN DSOWTST:KHAKI:4:PRINT:SS MIDI DRESS</t>
  </si>
  <si>
    <t>SS MIDI DRESS OVERALL TOY STORY WOVEN DSOWTST:KHAKI:5:PRINT:SS MIDI DRESS</t>
  </si>
  <si>
    <t>SS MIDI DRESS OVERALL TOY STORY WOVEN DSOWTST:KHAKI:6:PRINT:SS MIDI DRESS</t>
  </si>
  <si>
    <t>SS MIDI DRESS OVERALL TOY STORY WOVEN DSOWTST:KHAKI:7-8:PRINT:SS MIDI DRESS</t>
  </si>
  <si>
    <t>TSGJSTT</t>
  </si>
  <si>
    <t>SS T-SHIRT STITCH DBL PRINT TSGJSTT:OFF WHITE:5-6:GRAPHIC:SS T-SHIRT</t>
  </si>
  <si>
    <t>SS T-SHIRT STITCH DBL PRINT TSGJSTT:OFF WHITE:7-8:GRAPHIC:SS T-SHIRT</t>
  </si>
  <si>
    <t>SS T-SHIRT STITCH DBL PRINT TSGJSTT:OFF WHITE:9-10:GRAPHIC:SS T-SHIRT</t>
  </si>
  <si>
    <t>SS T-SHIRT STITCH DBL PRINT TSGJSTT:OFF WHITE:11-12:GRAPHIC:SS T-SHIRT</t>
  </si>
  <si>
    <t>SSTDSTT2</t>
  </si>
  <si>
    <t>SS T-SHIRT STITCH BOXY SSTDSTT2:PASTEL PINK:5-6:PRINT:SS T-SHIRT</t>
  </si>
  <si>
    <t>SS T-SHIRT STITCH BOXY SSTDSTT2:PASTEL PINK:7-8:PRINT:SS T-SHIRT</t>
  </si>
  <si>
    <t>SS T-SHIRT STITCH BOXY SSTDSTT2:PASTEL PINK:9-10:PRINT:SS T-SHIRT</t>
  </si>
  <si>
    <t>SS T-SHIRT STITCH BOXY SSTDSTT2:PASTEL PINK:11-12:PRINT:SS T-SHIRT</t>
  </si>
  <si>
    <t>TSSTT3</t>
  </si>
  <si>
    <t>SS T-SHIRT STRIPES STITCH MAKES SOME WAVES TSSTT3:PASTEL BLUE:5-6:STRIPES:SS T-SHIRT</t>
  </si>
  <si>
    <t>SS T-SHIRT STRIPES STITCH MAKES SOME WAVES TSSTT3:PASTEL BLUE:7-8:STRIPES:SS T-SHIRT</t>
  </si>
  <si>
    <t>SS T-SHIRT STRIPES STITCH MAKES SOME WAVES TSSTT3:PASTEL BLUE:9-10:STRIPES:SS T-SHIRT</t>
  </si>
  <si>
    <t>SS T-SHIRT STRIPES STITCH MAKES SOME WAVES TSSTT3:PASTEL BLUE:11-12:STRIPES:SS T-SHIRT</t>
  </si>
  <si>
    <t>SSTDSTT1</t>
  </si>
  <si>
    <t>SS T-SHIRT STITCH TIE DYE IKAT SSTDSTT1:PASTEL BLUE:5-6:PRINT:SS T-SHIRT</t>
  </si>
  <si>
    <t>SS T-SHIRT STITCH TIE DYE IKAT SSTDSTT1:PASTEL BLUE:7-8:PRINT:SS T-SHIRT</t>
  </si>
  <si>
    <t>SS T-SHIRT STITCH TIE DYE IKAT SSTDSTT1:PASTEL BLUE:9-10:PRINT:SS T-SHIRT</t>
  </si>
  <si>
    <t>SS T-SHIRT STITCH TIE DYE IKAT SSTDSTT1:PASTEL BLUE:11-12:PRINT:SS T-SHIRT</t>
  </si>
  <si>
    <t>JKSTITCH</t>
  </si>
  <si>
    <t>JACKET VARSITY STITCH JKSTITCH:PASTEL BLUE:5-6:GRAPHIC:JACKET</t>
  </si>
  <si>
    <t>JACKET VARSITY STITCH JKSTITCH:PASTEL BLUE:7-8:GRAPHIC:JACKET</t>
  </si>
  <si>
    <t>JACKET VARSITY STITCH JKSTITCH:PASTEL BLUE:9-10:GRAPHIC:JACKET</t>
  </si>
  <si>
    <t>JACKET VARSITY STITCH JKSTITCH:PASTEL BLUE:11-12:GRAPHIC:JACKET</t>
  </si>
  <si>
    <t>SWEATSHIRT STITCH SWSTT:OFF WHITE:5-6:GRAPHIC:SWEATSHIRT</t>
  </si>
  <si>
    <t>SWEATSHIRT STITCH SWSTT:OFF WHITE:7-8:GRAPHIC:SWEATSHIRT</t>
  </si>
  <si>
    <t>SWEATSHIRT STITCH SWSTT:OFF WHITE:9-10:GRAPHIC:SWEATSHIRT</t>
  </si>
  <si>
    <t>SWEATSHIRT STITCH SWSTT:OFF WHITE:11-12:GRAPHIC:SWEATSHIRT</t>
  </si>
  <si>
    <t>SPSTT</t>
  </si>
  <si>
    <t>SHORT PANTS SERUT STITCH SPSTT:PASTEL BLUE:5-6:GRAPHIC:SHORT PANTS</t>
  </si>
  <si>
    <t>SHORT PANTS SERUT STITCH SPSTT:PASTEL BLUE:7-8:GRAPHIC:SHORT PANTS</t>
  </si>
  <si>
    <t>SHORT PANTS SERUT STITCH SPSTT:PASTEL BLUE:9-10:GRAPHIC:SHORT PANTS</t>
  </si>
  <si>
    <t>SHORT PANTS SERUT STITCH SPSTT:PASTEL BLUE:11-12:GRAPHIC:SHORT PANTS</t>
  </si>
  <si>
    <t>DSSTIT2</t>
  </si>
  <si>
    <t>SS MIDI DRESS COLLAR STITCH BBTR DSSTIT2:PASTEL BLUE:5-6:GRAPHIC:SS MIDI DRESS</t>
  </si>
  <si>
    <t>SS MIDI DRESS COLLAR STITCH BBTR DSSTIT2:PASTEL BLUE:7-8:GRAPHIC:SS MIDI DRESS</t>
  </si>
  <si>
    <t>SS MIDI DRESS COLLAR STITCH BBTR DSSTIT2:PASTEL BLUE:9-10:GRAPHIC:SS MIDI DRESS</t>
  </si>
  <si>
    <t>SS MIDI DRESS COLLAR STITCH BBTR DSSTIT2:PASTEL BLUE:11-12:GRAPHIC:SS MIDI DRESS</t>
  </si>
  <si>
    <t>DSSTIT1</t>
  </si>
  <si>
    <t>SS MIDI DRESS STITCH KOMBI WVN DSSTIT1:PASTEL PINK:5-6:GRAPHIC:SS MIDI DRESS</t>
  </si>
  <si>
    <t>SS MIDI DRESS STITCH KOMBI WVN DSSTIT1:PASTEL PINK:7-8:GRAPHIC:SS MIDI DRESS</t>
  </si>
  <si>
    <t>SS MIDI DRESS STITCH KOMBI WVN DSSTIT1:PASTEL PINK:9-10:GRAPHIC:SS MIDI DRESS</t>
  </si>
  <si>
    <t>SS MIDI DRESS STITCH KOMBI WVN DSSTIT1:PASTEL PINK:11-12:GRAPHIC:SS MIDI DRESS</t>
  </si>
  <si>
    <t>SS26PRN</t>
  </si>
  <si>
    <t>SS T-SHIRT TOP WOVEN PRINCESS SS26PRN:PASTEL PINK:4:GRAPHIC:SS T-SHIRT</t>
  </si>
  <si>
    <t>SS T-SHIRT TOP WOVEN PRINCESS SS26PRN:PASTEL PINK:5:GRAPHIC:SS T-SHIRT</t>
  </si>
  <si>
    <t>SS T-SHIRT TOP WOVEN PRINCESS SS26PRN:PASTEL PINK:6:GRAPHIC:SS T-SHIRT</t>
  </si>
  <si>
    <t>SS T-SHIRT TOP WOVEN PRINCESS SS26PRN:PASTEL PINK:7-8:GRAPHIC:SS T-SHIRT</t>
  </si>
  <si>
    <t>SS T-SHIRT TOP WOVEN PRINCESS SS26PRN:PASTEL PINK:9-10:GRAPHIC:SS T-SHIRT</t>
  </si>
  <si>
    <t>SS T-SHIRT TOP WOVEN PRINCESS SS26PRN:PASTEL PINK:11-12:GRAPHIC:SS T-SHIRT</t>
  </si>
  <si>
    <t>SS T-SHIRT TOP WOVEN PRINCESS SS26PRN:PASTEL PINK:13-14:GRAPHIC:SS T-SHIRT</t>
  </si>
  <si>
    <t>DSFPPRN</t>
  </si>
  <si>
    <t>SS MIDI DRESS TULIP FP WOVEN PRINCESS DSFPPRN:DUSTY PINK:4:PRINT:SS MIDI DRESS</t>
  </si>
  <si>
    <t>SS MIDI DRESS TULIP FP WOVEN PRINCESS DSFPPRN:DUSTY PINK:5:PRINT:SS MIDI DRESS</t>
  </si>
  <si>
    <t>SS MIDI DRESS TULIP FP WOVEN PRINCESS DSFPPRN:DUSTY PINK:6:PRINT:SS MIDI DRESS</t>
  </si>
  <si>
    <t>SS MIDI DRESS TULIP FP WOVEN PRINCESS DSFPPRN:DUSTY PINK:7-8:PRINT:SS MIDI DRESS</t>
  </si>
  <si>
    <t>SS MIDI DRESS TULIP FP WOVEN PRINCESS DSFPPRN:DUSTY PINK:9-10:PRINT:SS MIDI DRESS</t>
  </si>
  <si>
    <t>SS MIDI DRESS TULIP FP WOVEN PRINCESS DSFPPRN:DUSTY PINK:11-12:PRINT:SS MIDI DRESS</t>
  </si>
  <si>
    <t>SS MIDI DRESS TULIP FP WOVEN PRINCESS DSFPPRN:DUSTY PINK:13-14:PRINT:SS MIDI DRESS</t>
  </si>
  <si>
    <t>2026 HILITE DISC 30</t>
  </si>
  <si>
    <t>2025 JUNSEPT B1G1</t>
  </si>
  <si>
    <t>2025 DEC DISC 30</t>
  </si>
  <si>
    <t>2025 JAN-MEI DISC 75%</t>
  </si>
  <si>
    <t>SSOVPOO</t>
  </si>
  <si>
    <t>SS SHIRT WOVEN OVERAL POOH SSOVPOO:MUSTARD:4:GRAPHIC:SS SHIRT</t>
  </si>
  <si>
    <t>SS SHIRT WOVEN OVERAL POOH SSOVPOO:MUSTARD:5:GRAPHIC:SS SHIRT</t>
  </si>
  <si>
    <t>SS SHIRT WOVEN OVERAL POOH SSOVPOO:MUSTARD:6:GRAPHIC:SS SHIRT</t>
  </si>
  <si>
    <t>SS SHIRT WOVEN OVERAL POOH SSOVPOO:MUSTARD:7-8:GRAPHIC:SS SHIRT</t>
  </si>
  <si>
    <t>SS SHIRT WOVEN OVERAL POOH SSOVPOO:MUSTARD:9-10:GRAPHIC:SS SHIRT</t>
  </si>
  <si>
    <t>SS SHIRT WOVEN OVERAL POOH SSOVPOO:MUSTARD:11-12:GRAPHIC:SS SHIRT</t>
  </si>
  <si>
    <t>SS SHIRT WOVEN OVERAL POOH SSOVPOO:MUSTARD:13-14:GRAPHIC:SS SHIRT</t>
  </si>
  <si>
    <t>SSPITPOO</t>
  </si>
  <si>
    <t>SS SHIRT WOVEN PITA POOH SSPITPOO:OFF WHITE:4:GRAPHIC:SS SHIRT</t>
  </si>
  <si>
    <t>SS SHIRT WOVEN PITA POOH SSPITPOO:OFF WHITE:5:GRAPHIC:SS SHIRT</t>
  </si>
  <si>
    <t>SS SHIRT WOVEN PITA POOH SSPITPOO:OFF WHITE:6:GRAPHIC:SS SHIRT</t>
  </si>
  <si>
    <t>SS SHIRT WOVEN PITA POOH SSPITPOO:OFF WHITE:7-8:GRAPHIC:SS SHIRT</t>
  </si>
  <si>
    <t>SS SHIRT WOVEN PITA POOH SSPITPOO:OFF WHITE:9-10:GRAPHIC:SS SHIRT</t>
  </si>
  <si>
    <t>SS SHIRT WOVEN PITA POOH SSPITPOO:OFF WHITE:11-12:GRAPHIC:SS SHIRT</t>
  </si>
  <si>
    <t>SS SHIRT WOVEN PITA POOH SSPITPOO:OFF WHITE:13-14:GRAPHIC:SS SHIRT</t>
  </si>
  <si>
    <t>SKPOO</t>
  </si>
  <si>
    <t>SKORT WOVEN POOH CIGRT SKPOO:PASTEL YELLOW:4:GRAPHIC:SKORT</t>
  </si>
  <si>
    <t>SKORT WOVEN POOH CIGRT SKPOO:PASTEL YELLOW:5:GRAPHIC:SKORT</t>
  </si>
  <si>
    <t>SKORT WOVEN POOH CIGRT SKPOO:PASTEL YELLOW:6:GRAPHIC:SKORT</t>
  </si>
  <si>
    <t>SKORT WOVEN POOH CIGRT SKPOO:PASTEL YELLOW:7-8:GRAPHIC:SKORT</t>
  </si>
  <si>
    <t>SKORT WOVEN POOH CIGRT SKPOO:PASTEL YELLOW:9-10:GRAPHIC:SKORT</t>
  </si>
  <si>
    <t>SKORT WOVEN POOH CIGRT SKPOO:PASTEL YELLOW:11-12:GRAPHIC:SKORT</t>
  </si>
  <si>
    <t>SKORT WOVEN POOH CIGRT SKPOO:PASTEL YELLOW:13-14:GRAPHIC:SKORT</t>
  </si>
  <si>
    <t>LPWVPOO</t>
  </si>
  <si>
    <t>LONG PANTS WIDE LEG WOVEN POOH LPWVPOO:KHAKI:4:GRAPHIC:LONG PANTS</t>
  </si>
  <si>
    <t>LONG PANTS WIDE LEG WOVEN POOH LPWVPOO:KHAKI:5:GRAPHIC:LONG PANTS</t>
  </si>
  <si>
    <t>LONG PANTS WIDE LEG WOVEN POOH LPWVPOO:KHAKI:6:GRAPHIC:LONG PANTS</t>
  </si>
  <si>
    <t>LONG PANTS WIDE LEG WOVEN POOH LPWVPOO:KHAKI:7-8:GRAPHIC:LONG PANTS</t>
  </si>
  <si>
    <t>LONG PANTS WIDE LEG WOVEN POOH LPWVPOO:KHAKI:9-10:GRAPHIC:LONG PANTS</t>
  </si>
  <si>
    <t>LONG PANTS WIDE LEG WOVEN POOH LPWVPOO:KHAKI:11-12:GRAPHIC:LONG PANTS</t>
  </si>
  <si>
    <t>LONG PANTS WIDE LEG WOVEN POOH LPWVPOO:KHAKI:13-14:GRAPHIC:LONG PANTS</t>
  </si>
  <si>
    <t>DSWVPOO</t>
  </si>
  <si>
    <t>SS MIDI DRESS WOVEN POOH DSWVPOO:PASTEL PINK:4:GRAPHIC:SS MIDI DRESS</t>
  </si>
  <si>
    <t>SS MIDI DRESS WOVEN POOH DSWVPOO:PASTEL PINK:5:GRAPHIC:SS MIDI DRESS</t>
  </si>
  <si>
    <t>SS MIDI DRESS WOVEN POOH DSWVPOO:PASTEL PINK:6:GRAPHIC:SS MIDI DRESS</t>
  </si>
  <si>
    <t>SS MIDI DRESS WOVEN POOH DSWVPOO:PASTEL PINK:7-8:GRAPHIC:SS MIDI DRESS</t>
  </si>
  <si>
    <t>SS MIDI DRESS WOVEN POOH DSWVPOO:PASTEL PINK:9-10:GRAPHIC:SS MIDI DRESS</t>
  </si>
  <si>
    <t>SS MIDI DRESS WOVEN POOH DSWVPOO:PASTEL PINK:11-12:GRAPHIC:SS MIDI DRESS</t>
  </si>
  <si>
    <t>SS MIDI DRESS WOVEN POOH DSWVPOO:PASTEL PINK:13-14:GRAPHIC:SS MIDI DRESS</t>
  </si>
  <si>
    <t>DSPFZA</t>
  </si>
  <si>
    <t>SS MIDI DRESS FROZEN PRINT SAKURA DSPFZA:PASTEL BLUE:4:PRINT:SS MIDI DRESS</t>
  </si>
  <si>
    <t>SS MIDI DRESS FROZEN PRINT SAKURA DSPFZA:PASTEL BLUE:5:PRINT:SS MIDI DRESS</t>
  </si>
  <si>
    <t>SS MIDI DRESS FROZEN PRINT SAKURA DSPFZA:PASTEL BLUE:6:PRINT:SS MIDI DRESS</t>
  </si>
  <si>
    <t>SS MIDI DRESS FROZEN PRINT SAKURA DSPFZA:PASTEL BLUE:7-8:PRINT:SS MIDI DRESS</t>
  </si>
  <si>
    <t>2025 JAN-JUN DISCOUNT 75%</t>
  </si>
  <si>
    <t>DSWFZA</t>
  </si>
  <si>
    <t>SS MIDI DRESS KOMBI WOVEN FROZEN DSWFZA:PASTEL BLUE:5-6:GRAPHIC:SS MIDI DRESS</t>
  </si>
  <si>
    <t>SS MIDI DRESS KOMBI WOVEN FROZEN DSWFZA:PASTEL BLUE:11-12:GRAPHIC:SS MIDI DRESS</t>
  </si>
  <si>
    <t>SS MIDI DRESS KOMBI WOVEN FROZEN DSWFZA:PASTEL BLUE:9-10:GRAPHIC:SS MIDI DRESS</t>
  </si>
  <si>
    <t>SS MIDI DRESS KOMBI WOVEN FROZEN DSWFZA:PASTEL BLUE:7-8:GRAPHIC:SS MIDI DRESS</t>
  </si>
  <si>
    <t>DLWKTMAR</t>
  </si>
  <si>
    <t>LS MIDI DRESS WOVEN KOTAK ROMPI MARIE DLWKTMAR:PASTEL PINK:7-8:CHECKS:LS MIDI DRESS</t>
  </si>
  <si>
    <t>LS MIDI DRESS WOVEN KOTAK ROMPI MARIE DLWKTMAR:PASTEL PINK:5-6:CHECKS:LS MIDI DRESS</t>
  </si>
  <si>
    <t>LS MIDI DRESS WOVEN KOTAK ROMPI MARIE DLWKTMAR:PASTEL PINK:11-12:CHECKS:LS MIDI DRESS</t>
  </si>
  <si>
    <t>LS MIDI DRESS WOVEN KOTAK ROMPI MARIE DLWKTMAR:PASTEL PINK:9-10:CHECKS:LS MIDI DRESS</t>
  </si>
  <si>
    <t>2024 JAN-DEC DISC 75%</t>
  </si>
  <si>
    <t>2025 JUL-SEPT B1G1 - 3284</t>
  </si>
  <si>
    <t>SETLCN</t>
  </si>
  <si>
    <t>TOP - BOTTOM SET LP CINNAMOROLL SETLCN:PASTEL BLUE:6-12:PRINT:TOP - BOTTOM SET</t>
  </si>
  <si>
    <t>TOP - BOTTOM SET LP CINNAMOROLL SETLCN:PASTEL BLUE:12-18:PRINT:TOP - BOTTOM SET</t>
  </si>
  <si>
    <t>TOP - BOTTOM SET LP CINNAMOROLL SETLCN:PASTEL BLUE:18-24:PRINT:TOP - BOTTOM SET</t>
  </si>
  <si>
    <t>TOP - BOTTOM SET LP CINNAMOROLL SETLCN:PASTEL BLUE:24-36:PRINT:TOP - BOTTOM SET</t>
  </si>
  <si>
    <t>SETSCN</t>
  </si>
  <si>
    <t>TOP - BOTTOM SET SP CINNAMOROLL SETSCN:OFF WHITE:6-12:PRINT:TOP - BOTTOM SET</t>
  </si>
  <si>
    <t>TOP - BOTTOM SET SP CINNAMOROLL SETSCN:OFF WHITE:12-18:PRINT:TOP - BOTTOM SET</t>
  </si>
  <si>
    <t>TOP - BOTTOM SET SP CINNAMOROLL SETSCN:OFF WHITE:18-24:PRINT:TOP - BOTTOM SET</t>
  </si>
  <si>
    <t>TOP - BOTTOM SET SP CINNAMOROLL SETSCN:OFF WHITE:24-36:PRINT:TOP - BOTTOM SET</t>
  </si>
  <si>
    <t>2025 JAN-JUN DISC 75%</t>
  </si>
  <si>
    <t xml:space="preserve"> 2024 JAN-DEC D70 LICENSE BABY</t>
  </si>
  <si>
    <t>2025 DEC DISC 30%</t>
  </si>
  <si>
    <t>2025 JAN-JUN DISC 75% LICENSE ESS</t>
  </si>
  <si>
    <t>2025 JUL-SEPT B1G1 - 3287</t>
  </si>
  <si>
    <t>2024 JAN-DEC DISC 75 LICENSE ESS</t>
  </si>
  <si>
    <t>2025 OCT-NOV DISC 30</t>
  </si>
  <si>
    <t>2025 OCT-NOV DISC 30%</t>
  </si>
  <si>
    <t>2025 NOV DISC 30%</t>
  </si>
  <si>
    <t xml:space="preserve">2025 OCT DISC 30% </t>
  </si>
  <si>
    <t>2026 JAN-APR SHARP PRICE</t>
  </si>
  <si>
    <t>SHARP PRICE</t>
  </si>
  <si>
    <t>CARDPOO</t>
  </si>
  <si>
    <t>CARDIGAN RIB POOH CARDPOO:KHAKI:4:GRAPHIC:CARDIGAN</t>
  </si>
  <si>
    <t>CARDIGAN RIB POOH CARDPOO:KHAKI:5:GRAPHIC:CARDIGAN</t>
  </si>
  <si>
    <t>CARDIGAN RIB POOH CARDPOO:KHAKI:6:GRAPHIC:CARDIGAN</t>
  </si>
  <si>
    <t>CARDIGAN RIB POOH CARDPOO:KHAKI:7-8:GRAPHIC:CARDIGAN</t>
  </si>
  <si>
    <t>CARDIGAN RIB POOH CARDPOO:KHAKI:9-10:GRAPHIC:CARDIGAN</t>
  </si>
  <si>
    <t>CARDIGAN RIB POOH CARDPOO:KHAKI:11-12:GRAPHIC:CARDIGAN</t>
  </si>
  <si>
    <t>CARDIGAN RIB POOH CARDPOO:KHAKI:13-14:GRAPHIC:CARDIGAN</t>
  </si>
  <si>
    <t>DSPLTMIN</t>
  </si>
  <si>
    <t>SS MIDI DRESS COLAR PLEATS MINNIE DSPLTMIN:INDIGO BLUE:7-8:GRAPHIC:SS MIDI DRESS</t>
  </si>
  <si>
    <t>SS MIDI DRESS COLAR PLEATS MINNIE DSPLTMIN:INDIGO BLUE:9-10:GRAPHIC:SS MIDI DRESS</t>
  </si>
  <si>
    <t>SS MIDI DRESS COLAR PLEATS MINNIE DSPLTMIN:INDIGO BLUE:11-12:GRAPHIC:SS MIDI DRESS</t>
  </si>
  <si>
    <t>SS MIDI DRESS COLAR PLEATS MINNIE DSPLTMIN:INDIGO BLUE:13-14:GRAPHIC:SS MIDI DRESS</t>
  </si>
  <si>
    <t>SS MIDI DRESS COLAR PLEATS MINNIE DSPLTMIN:INDIGO BLUE:15-16:GRAPHIC:SS MIDI DRESS</t>
  </si>
  <si>
    <t>SKDNMIN</t>
  </si>
  <si>
    <t>SKORT BBTR MINNE SKDNMIN:INDIGO BLUE:7-8:EMBRO:SKORT</t>
  </si>
  <si>
    <t>SKORT BBTR MINNE SKDNMIN:INDIGO BLUE:9-10:EMBRO:SKORT</t>
  </si>
  <si>
    <t>SKORT BBTR MINNE SKDNMIN:INDIGO BLUE:11-12:EMBRO:SKORT</t>
  </si>
  <si>
    <t>SKORT BBTR MINNE SKDNMIN:INDIGO BLUE:13-14:EMBRO:SKORT</t>
  </si>
  <si>
    <t>SKORT BBTR MINNE SKDNMIN:INDIGO BLUE:15-16:EMBRO:SKORT</t>
  </si>
  <si>
    <t>PLPQMIN</t>
  </si>
  <si>
    <t>SS POLO SHIRT PIQUE MINNIE PLPQMIN:OFF WHITE:7-8:GRAPHIC:SS POLO SHIRT</t>
  </si>
  <si>
    <t>SS POLO SHIRT PIQUE MINNIE PLPQMIN:OFF WHITE:9-10:GRAPHIC:SS POLO SHIRT</t>
  </si>
  <si>
    <t>SS POLO SHIRT PIQUE MINNIE PLPQMIN:OFF WHITE:11-12:GRAPHIC:SS POLO SHIRT</t>
  </si>
  <si>
    <t>SS POLO SHIRT PIQUE MINNIE PLPQMIN:OFF WHITE:13-14:GRAPHIC:SS POLO SHIRT</t>
  </si>
  <si>
    <t>SS POLO SHIRT PIQUE MINNIE PLPQMIN:OFF WHITE:15-16:GRAPHIC:SS POLO SHIRT</t>
  </si>
  <si>
    <t>TS4PRN2</t>
  </si>
  <si>
    <t>SS T-SHIRT PRINCESS PEPLUM TS4PRN2:PASTEL PINK:4:GRAPHIC:SS T-SHIRT</t>
  </si>
  <si>
    <t>SS T-SHIRT PRINCESS PEPLUM TS4PRN2:PASTEL PINK:5:GRAPHIC:SS T-SHIRT</t>
  </si>
  <si>
    <t>SS T-SHIRT PRINCESS PEPLUM TS4PRN2:PASTEL PINK:6:GRAPHIC:SS T-SHIRT</t>
  </si>
  <si>
    <t>SS T-SHIRT PRINCESS PEPLUM TS4PRN2:PASTEL PINK:7-8:GRAPHIC:SS T-SHIRT</t>
  </si>
  <si>
    <t>TS4MLD</t>
  </si>
  <si>
    <t>SS T-SHIRT MY MELODY LENGAN RUFFLE TS4MLD:PASTEL PINK:4:GRAPHIC:SS T-SHIRT</t>
  </si>
  <si>
    <t>SS T-SHIRT MY MELODY LENGAN RUFFLE TS4MLD:PASTEL PINK:5:GRAPHIC:SS T-SHIRT</t>
  </si>
  <si>
    <t>SS T-SHIRT MY MELODY LENGAN RUFFLE TS4MLD:PASTEL PINK:6:GRAPHIC:SS T-SHIRT</t>
  </si>
  <si>
    <t>SS T-SHIRT MY MELODY LENGAN RUFFLE TS4MLD:PASTEL PINK:7-8:GRAPHIC:SS T-SHIRT</t>
  </si>
  <si>
    <t>DSPSMM</t>
  </si>
  <si>
    <t>SS MIDI DRESS MIX WVN BALON MY MELODY PRETTY SAVAGE DSPSMM:DUSTY PINK:4:GRAPHIC:SS MIDI DRESS</t>
  </si>
  <si>
    <t>SS MIDI DRESS MIX WVN BALON MY MELODY PRETTY SAVAGE DSPSMM:DUSTY PINK:5:GRAPHIC:SS MIDI DRESS</t>
  </si>
  <si>
    <t>SS MIDI DRESS MIX WVN BALON MY MELODY PRETTY SAVAGE DSPSMM:DUSTY PINK:6:GRAPHIC:SS MIDI DRESS</t>
  </si>
  <si>
    <t>SS MIDI DRESS MIX WVN BALON MY MELODY PRETTY SAVAGE DSPSMM:DUSTY PINK:7-8:GRAPHIC:SS MIDI DRESS</t>
  </si>
  <si>
    <t>TSSRTKU</t>
  </si>
  <si>
    <t>SS T-SHIRT SERUT STOPPER KUROMI TSSRTKU:PASTEL GREY:4:GRAPHIC:SS T-SHIRT</t>
  </si>
  <si>
    <t>SS T-SHIRT SERUT STOPPER KUROMI TSSRTKU:PASTEL GREY:5:GRAPHIC:SS T-SHIRT</t>
  </si>
  <si>
    <t>SS T-SHIRT SERUT STOPPER KUROMI TSSRTKU:PASTEL GREY:6:GRAPHIC:SS T-SHIRT</t>
  </si>
  <si>
    <t>SS T-SHIRT SERUT STOPPER KUROMI TSSRTKU:PASTEL GREY:7-8:GRAPHIC:SS T-SHIRT</t>
  </si>
  <si>
    <t>SS T-SHIRT SERUT STOPPER KUROMI TSSRTKU:PASTEL GREY:9-10:GRAPHIC:SS T-SHIRT</t>
  </si>
  <si>
    <t>SS T-SHIRT SERUT STOPPER KUROMI TSSRTKU:PASTEL GREY:11-12:GRAPHIC:SS T-SHIRT</t>
  </si>
  <si>
    <t>SS T-SHIRT SERUT STOPPER KUROMI TSSRTKU:PASTEL GREY:13-14:GRAPHIC:SS T-SHIRT</t>
  </si>
  <si>
    <t>JKSRTCN</t>
  </si>
  <si>
    <t>JACKET HOODIE SERUT CINNAMOROLL JKSRTCN:KHAKI:4:GRAPHIC:JACKET</t>
  </si>
  <si>
    <t>JACKET HOODIE SERUT CINNAMOROLL JKSRTCN:KHAKI:5:GRAPHIC:JACKET</t>
  </si>
  <si>
    <t>JACKET HOODIE SERUT CINNAMOROLL JKSRTCN:KHAKI:6:GRAPHIC:JACKET</t>
  </si>
  <si>
    <t>JACKET HOODIE SERUT CINNAMOROLL JKSRTCN:KHAKI:7-8:GRAPHIC:JACKET</t>
  </si>
  <si>
    <t>JACKET HOODIE SERUT CINNAMOROLL JKSRTCN:KHAKI:9-10:GRAPHIC:JACKET</t>
  </si>
  <si>
    <t>JACKET HOODIE SERUT CINNAMOROLL JKSRTCN:KHAKI:11-12:GRAPHIC:JACKET</t>
  </si>
  <si>
    <t>JACKET HOODIE SERUT CINNAMOROLL JKSRTCN:KHAKI:13-14:GRAPHIC:JACKET</t>
  </si>
  <si>
    <t>JGLISCN</t>
  </si>
  <si>
    <t>JOGGER LIS CINNAMOROLL JGLISCN:KHAKI:4:GRAPHIC:JOGGER</t>
  </si>
  <si>
    <t>JOGGER LIS CINNAMOROLL JGLISCN:KHAKI:5:GRAPHIC:JOGGER</t>
  </si>
  <si>
    <t>JOGGER LIS CINNAMOROLL JGLISCN:KHAKI:6:GRAPHIC:JOGGER</t>
  </si>
  <si>
    <t>JOGGER LIS CINNAMOROLL JGLISCN:KHAKI:7-8:GRAPHIC:JOGGER</t>
  </si>
  <si>
    <t>JOGGER LIS CINNAMOROLL JGLISCN:KHAKI:9-10:GRAPHIC:JOGGER</t>
  </si>
  <si>
    <t>JOGGER LIS CINNAMOROLL JGLISCN:KHAKI:11-12:GRAPHIC:JOGGER</t>
  </si>
  <si>
    <t>JOGGER LIS CINNAMOROLL JGLISCN:KHAKI:13-14:GRAPHIC:JOGGER</t>
  </si>
  <si>
    <t>LPPRSKU</t>
  </si>
  <si>
    <t>LONG PANTS CARGO PARASUT KUROMI LPPRSKU:BLACK:4:GRAPHIC:LONG PANTS</t>
  </si>
  <si>
    <t>LONG PANTS CARGO PARASUT KUROMI LPPRSKU:BLACK:5:GRAPHIC:LONG PANTS</t>
  </si>
  <si>
    <t>LONG PANTS CARGO PARASUT KUROMI LPPRSKU:BLACK:6:GRAPHIC:LONG PANTS</t>
  </si>
  <si>
    <t>LONG PANTS CARGO PARASUT KUROMI LPPRSKU:BLACK:7-8:GRAPHIC:LONG PANTS</t>
  </si>
  <si>
    <t>LONG PANTS CARGO PARASUT KUROMI LPPRSKU:BLACK:9-10:GRAPHIC:LONG PANTS</t>
  </si>
  <si>
    <t>LONG PANTS CARGO PARASUT KUROMI LPPRSKU:BLACK:11-12:GRAPHIC:LONG PANTS</t>
  </si>
  <si>
    <t>LONG PANTS CARGO PARASUT KUROMI LPPRSKU:BLACK:13-14:GRAPHIC:LONG PANTS</t>
  </si>
  <si>
    <t>TSSRTCN</t>
  </si>
  <si>
    <t>SS T-SHIRT SERUT LKG CINNAMOROLL TSSRTCN:INDIGO BLUE:4:GRAPHIC:SS T-SHIRT</t>
  </si>
  <si>
    <t>SS T-SHIRT SERUT LKG CINNAMOROLL TSSRTCN:INDIGO BLUE:5:GRAPHIC:SS T-SHIRT</t>
  </si>
  <si>
    <t>SS T-SHIRT SERUT LKG CINNAMOROLL TSSRTCN:INDIGO BLUE:6:GRAPHIC:SS T-SHIRT</t>
  </si>
  <si>
    <t>SS T-SHIRT SERUT LKG CINNAMOROLL TSSRTCN:INDIGO BLUE:7-8:GRAPHIC:SS T-SHIRT</t>
  </si>
  <si>
    <t>SS T-SHIRT SERUT LKG CINNAMOROLL TSSRTCN:INDIGO BLUE:9-10:GRAPHIC:SS T-SHIRT</t>
  </si>
  <si>
    <t>SS T-SHIRT SERUT LKG CINNAMOROLL TSSRTCN:INDIGO BLUE:11-12:GRAPHIC:SS T-SHIRT</t>
  </si>
  <si>
    <t>SS T-SHIRT SERUT LKG CINNAMOROLL TSSRTCN:INDIGO BLUE:13-14:GRAPHIC:SS T-SHIRT</t>
  </si>
  <si>
    <t>JKPRSKU</t>
  </si>
  <si>
    <t>JACKET HOODIE PARASUE KUROMI JKPRSKU:PASTEL GREY:4:GRAPHIC:JACKET</t>
  </si>
  <si>
    <t>JACKET HOODIE PARASUE KUROMI JKPRSKU:PASTEL GREY:5:GRAPHIC:JACKET</t>
  </si>
  <si>
    <t>JACKET HOODIE PARASUE KUROMI JKPRSKU:PASTEL GREY:6:GRAPHIC:JACKET</t>
  </si>
  <si>
    <t>JACKET HOODIE PARASUE KUROMI JKPRSKU:PASTEL GREY:7-8:GRAPHIC:JACKET</t>
  </si>
  <si>
    <t>JACKET HOODIE PARASUE KUROMI JKPRSKU:PASTEL GREY:9-10:GRAPHIC:JACKET</t>
  </si>
  <si>
    <t>JACKET HOODIE PARASUE KUROMI JKPRSKU:PASTEL GREY:11-12:GRAPHIC:JACKET</t>
  </si>
  <si>
    <t>JACKET HOODIE PARASUE KUROMI JKPRSKU:PASTEL GREY:13-14:GRAPHIC:JACKET</t>
  </si>
  <si>
    <t>LPKKT</t>
  </si>
  <si>
    <t>LONG PANTS WIDE LEG 4 KTG HELLO KITTY LPKKT:DUSTY PINK:7-8:GRAPHIC:LONG PANTS</t>
  </si>
  <si>
    <t>LONG PANTS WIDE LEG 4 KTG HELLO KITTY LPKKT:DUSTY PINK:9-10:GRAPHIC:LONG PANTS</t>
  </si>
  <si>
    <t>LONG PANTS WIDE LEG 4 KTG HELLO KITTY LPKKT:DUSTY PINK:11-12:GRAPHIC:LONG PANTS</t>
  </si>
  <si>
    <t>LONG PANTS WIDE LEG 4 KTG HELLO KITTY LPKKT:DUSTY PINK:13-14:GRAPHIC:LONG PANTS</t>
  </si>
  <si>
    <t>LONG PANTS WIDE LEG 4 KTG HELLO KITTY LPKKT:DUSTY PINK:15-16:GRAPHIC:LONG PANTS</t>
  </si>
  <si>
    <t>SSRIBKT</t>
  </si>
  <si>
    <t>SS T-SHIRT EMBRO HELLO KITTY SSRIBKT:OFF WHITE:4:GRAPHIC:SS T-SHIRT</t>
  </si>
  <si>
    <t>SS T-SHIRT EMBRO HELLO KITTY SSRIBKT:OFF WHITE:5:GRAPHIC:SS T-SHIRT</t>
  </si>
  <si>
    <t>SS T-SHIRT EMBRO HELLO KITTY SSRIBKT:OFF WHITE:6:GRAPHIC:SS T-SHIRT</t>
  </si>
  <si>
    <t>SS T-SHIRT EMBRO HELLO KITTY SSRIBKT:OFF WHITE:7-8:GRAPHIC:SS T-SHIRT</t>
  </si>
  <si>
    <t>SS T-SHIRT RIB EMBRO HELLO KITTY SSRIBKT:OFF WHITE:9-10:GRAPHIC:SS T-SHIRT</t>
  </si>
  <si>
    <t>SS T-SHIRT RIB EMBRO HELLO KITTY SSRIBKT:OFF WHITE:11-12:GRAPHIC:SS T-SHIRT</t>
  </si>
  <si>
    <t>SS T-SHIRT RIB EMBRO HELLO KITTY SSRIBKT:OFF WHITE:13-14:GRAPHIC:SS T-SHIRT</t>
  </si>
  <si>
    <t>TSPLCN</t>
  </si>
  <si>
    <t>SS POLO SHIRT CINNAMOROLL TSPLCN:PASTEL PURPLE:4:GRAPHIC:SS POLO SHIRT</t>
  </si>
  <si>
    <t>SS POLO SHIRT CINNAMOROLL TSPLCN:PASTEL PURPLE:5:GRAPHIC:SS POLO SHIRT</t>
  </si>
  <si>
    <t>SS POLO SHIRT CINNAMOROLL TSPLCN:PASTEL PURPLE:6:GRAPHIC:SS POLO SHIRT</t>
  </si>
  <si>
    <t>SS POLO SHIRT CINNAMOROLL TSPLCN:PASTEL PURPLE:7-8:GRAPHIC:SS POLO SHIRT</t>
  </si>
  <si>
    <t>SS POLO SHIRT CINNAMOROLL TSPLCN:PASTEL PURPLE:9-10:GRAPHIC:SS POLO SHIRT</t>
  </si>
  <si>
    <t>SS POLO SHIRT CINNAMOROLL TSPLCN:PASTEL PURPLE:11-12:GRAPHIC:SS POLO SHIRT</t>
  </si>
  <si>
    <t>SS POLO SHIRT CINNAMOROLL TSPLCN:PASTEL PURPLE:13-14:GRAPHIC:SS POLO SHIRT</t>
  </si>
  <si>
    <t>TSPLSTMM</t>
  </si>
  <si>
    <t>SS POLO SHIRT YD STRIPES MY MELODY TSPLSTMM:PASTEL PINK:4:STRIPES:SS POLO SHIRT</t>
  </si>
  <si>
    <t>SS POLO SHIRT YD STRIPES MY MELODY TSPLSTMM:PASTEL PINK:5:STRIPES:SS POLO SHIRT</t>
  </si>
  <si>
    <t>SS POLO SHIRT YD STRIPES MY MELODY TSPLSTMM:PASTEL PINK:6:STRIPES:SS POLO SHIRT</t>
  </si>
  <si>
    <t>SS POLO SHIRT YD STRIPES MY MELODY TSPLSTMM:PASTEL PINK:7-8:STRIPES:SS POLO SHIRT</t>
  </si>
  <si>
    <t>SKPLMM</t>
  </si>
  <si>
    <t>MINI SKIRT BBTR PLEATS MY MELODY SKPLMM:KHAKI:4:GRAPHIC:MINI SKIRT</t>
  </si>
  <si>
    <t>MINI SKIRT BBTR PLEATS MY MELODY SKPLMM:KHAKI:5:GRAPHIC:MINI SKIRT</t>
  </si>
  <si>
    <t>MINI SKIRT BBTR PLEATS MY MELODY SKPLMM:KHAKI:6:GRAPHIC:MINI SKIRT</t>
  </si>
  <si>
    <t>MINI SKIRT BBTR PLEATS MY MELODY SKPLMM:KHAKI:7-8:GRAPHIC:MINI SKIRT</t>
  </si>
  <si>
    <t>TSSRKT</t>
  </si>
  <si>
    <t>SS T-SHIRT SERUT PUNDAK HELLO KITTY TSSRKT:PASTEL PINK:7-8:GRAPHIC:SS T-SHIRT</t>
  </si>
  <si>
    <t>SS T-SHIRT SERUT PUNDAK HELLO KITTY TSSRKT:PASTEL PINK:9-10:GRAPHIC:SS T-SHIRT</t>
  </si>
  <si>
    <t>SS T-SHIRT SERUT PUNDAK HELLO KITTY TSSRKT:PASTEL PINK:11-12:GRAPHIC:SS T-SHIRT</t>
  </si>
  <si>
    <t>SS T-SHIRT SERUT PUNDAK HELLO KITTY TSSRKT:PASTEL PINK:13-14:GRAPHIC:SS T-SHIRT</t>
  </si>
  <si>
    <t>SS T-SHIRT SERUT PUNDAK HELLO KITTY TSSRKT:PASTEL PINK:15-16:GRAPHIC:SS T-SHIRT</t>
  </si>
  <si>
    <t>TSRIBCN</t>
  </si>
  <si>
    <t>SS T-SHIRT RIB CINNAMOROLL TSRIBCN:OFF WHITE:4:GRAPHIC:SS T-SHIRT</t>
  </si>
  <si>
    <t>SS T-SHIRT RIB CINNAMOROLL TSRIBCN:OFF WHITE:5:GRAPHIC:SS T-SHIRT</t>
  </si>
  <si>
    <t>SS T-SHIRT RIB CINNAMOROLL TSRIBCN:OFF WHITE:6:GRAPHIC:SS T-SHIRT</t>
  </si>
  <si>
    <t>SS T-SHIRT RIB CINNAMOROLL TSRIBCN:OFF WHITE:7-8:GRAPHIC:SS T-SHIRT</t>
  </si>
  <si>
    <t>SS T-SHIRT RIB CINNAMOROLL TSRIBCN:OFF WHITE:9-10:GRAPHIC:SS T-SHIRT</t>
  </si>
  <si>
    <t>SS T-SHIRT RIB CINNAMOROLL TSRIBCN:OFF WHITE:11-12:GRAPHIC:SS T-SHIRT</t>
  </si>
  <si>
    <t>SS T-SHIRT RIB CINNAMOROLL TSRIBCN:OFF WHITE:13-14:GRAPHIC:SS T-SHIRT</t>
  </si>
  <si>
    <t>SSZIPKT</t>
  </si>
  <si>
    <t>OUTER RIB ZIPPER COLLAR HELLO KITTY SSZIPKT:KHAKI:7-8:GRAPHIC:SS SHIRT</t>
  </si>
  <si>
    <t>OUTER RIB ZIPPER COLLAR HELLO KITTY SSZIPKT:KHAKI:9-10:GRAPHIC:SS SHIRT</t>
  </si>
  <si>
    <t>OUTER RIB ZIPPER COLLAR HELLO KITTY SSZIPKT:KHAKI:11-12:GRAPHIC:SS SHIRT</t>
  </si>
  <si>
    <t>OUTER RIB ZIPPER COLLAR HELLO KITTY SSZIPKT:KHAKI:13-14:GRAPHIC:SS SHIRT</t>
  </si>
  <si>
    <t>OUTER RIB ZIPPER COLLAR HELLO KITTY SSZIPKT:KHAKI:15-16:GRAPHIC:SS SHIRT</t>
  </si>
  <si>
    <t>SKPRSKU</t>
  </si>
  <si>
    <t>SKORT WOVEN PARASUT KUROMI SKPRSKU:MISTY LIGHT GREY:4:GRAPHIC:SKORT</t>
  </si>
  <si>
    <t>SKORT WOVEN PARASUT KUROMI SKPRSKU:MISTY LIGHT GREY:5:GRAPHIC:SKORT</t>
  </si>
  <si>
    <t>SKORT WOVEN PARASUT KUROMI SKPRSKU:MISTY LIGHT GREY:6:GRAPHIC:SKORT</t>
  </si>
  <si>
    <t>SKORT WOVEN PARASUT KUROMI SKPRSKU:MISTY LIGHT GREY:7-8:GRAPHIC:SKORT</t>
  </si>
  <si>
    <t>SKORT WOVEN PARASUT KUROMI SKPRSKU:MISTY LIGHT GREY:9-10:GRAPHIC:SKORT</t>
  </si>
  <si>
    <t>SKORT WOVEN PARASUT KUROMI SKPRSKU:MISTY LIGHT GREY:11-12:GRAPHIC:SKORT</t>
  </si>
  <si>
    <t>SKORT WOVEN PARASUT KUROMI SKPRSKU:MISTY LIGHT GREY:13-14:GRAPHIC:SKORT</t>
  </si>
  <si>
    <t>TSRETKU</t>
  </si>
  <si>
    <t>SS POLO SHIRT ZIPPER KUROMI TSRETKU:OFF WHITE:4:GRAPHIC:SS POLO SHIRT</t>
  </si>
  <si>
    <t>SS POLO SHIRT ZIPPER KUROMI TSRETKU:OFF WHITE:5:GRAPHIC:SS POLO SHIRT</t>
  </si>
  <si>
    <t>SS POLO SHIRT ZIPPER KUROMI TSRETKU:OFF WHITE:6:GRAPHIC:SS POLO SHIRT</t>
  </si>
  <si>
    <t>SS POLO SHIRT ZIPPER KUROMI TSRETKU:OFF WHITE:7-8:GRAPHIC:SS POLO SHIRT</t>
  </si>
  <si>
    <t>SS POLO SHIRT ZIPPER KUROMI TSRETKU:OFF WHITE:9-10:GRAPHIC:SS POLO SHIRT</t>
  </si>
  <si>
    <t>SS POLO SHIRT ZIPPER KUROMI TSRETKU:OFF WHITE:11-12:GRAPHIC:SS POLO SHIRT</t>
  </si>
  <si>
    <t>SS POLO SHIRT ZIPPER KUROMI TSRETKU:OFF WHITE:13-14:GRAPHIC:SS POLO SHIRT</t>
  </si>
  <si>
    <t>DSWVKCN</t>
  </si>
  <si>
    <t>SS MIDI DRESS WOVEN CUT N SEW DADA CINNAMOROLL DSWVKCN:PASTEL PURPLE:4:GRAPHIC:SS MIDI DRESS</t>
  </si>
  <si>
    <t>SS MIDI DRESS WOVEN CUT N SEW DADA CINNAMOROLL DSWVKCN:PASTEL PURPLE:5:GRAPHIC:SS MIDI DRESS</t>
  </si>
  <si>
    <t>SS MIDI DRESS WOVEN CUT N SEW DADA CINNAMOROLL DSWVKCN:PASTEL PURPLE:6:GRAPHIC:SS MIDI DRESS</t>
  </si>
  <si>
    <t>SS MIDI DRESS WOVEN CUT N SEW DADA CINNAMOROLL DSWVKCN:PASTEL PURPLE:7-8:GRAPHIC:SS MIDI DRESS</t>
  </si>
  <si>
    <t>SS MIDI DRESS WOVEN CUT N SEW DADA CINNAMOROLL DSWVKCN:PASTEL PURPLE:9-10:GRAPHIC:SS MIDI DRESS</t>
  </si>
  <si>
    <t>SS MIDI DRESS WOVEN CUT N SEW DADA CINNAMOROLL DSWVKCN:PASTEL PURPLE:11-12:GRAPHIC:SS MIDI DRESS</t>
  </si>
  <si>
    <t>SS MIDI DRESS WOVEN CUT N SEW DADA CINNAMOROLL DSWVKCN:PASTEL PURPLE:13-14:GRAPHIC:SS MIDI DRESS</t>
  </si>
  <si>
    <t>TSSRDDKT</t>
  </si>
  <si>
    <t>SS T-SHIRT RIB SERUT DD HELLO KITTY TSSRDDKT:OFF WHITE:7-8:GRAPHIC:SS T-SHIRT</t>
  </si>
  <si>
    <t>SS T-SHIRT RIB SERUT DD HELLO KITTY TSSRDDKT:OFF WHITE:9-10:GRAPHIC:SS T-SHIRT</t>
  </si>
  <si>
    <t>SS T-SHIRT RIB SERUT DD HELLO KITTY TSSRDDKT:OFF WHITE:11-12:GRAPHIC:SS T-SHIRT</t>
  </si>
  <si>
    <t>SS T-SHIRT RIB SERUT DD HELLO KITTY TSSRDDKT:OFF WHITE:13-14:GRAPHIC:SS T-SHIRT</t>
  </si>
  <si>
    <t>SS T-SHIRT RIB SERUT DD HELLO KITTY TSSRDDKT:OFF WHITE:15-16:GRAPHIC:SS T-SHIRT</t>
  </si>
  <si>
    <t>AMOUNT</t>
  </si>
  <si>
    <t>SWM4AVG</t>
  </si>
  <si>
    <t>TOP - BOTTOM SET LSLP AVENGERS ASSEMBLE SWM4AVG:MISTY MEDIUM GREY:4:PRINT:TOP - BOTTOM SET</t>
  </si>
  <si>
    <t>TOP - BOTTOM SET LSLP AVENGERS ASSEMBLE SWM4AVG:MISTY MEDIUM GREY:5:PRINT:TOP - BOTTOM SET</t>
  </si>
  <si>
    <t>TOP - BOTTOM SET LSLP AVENGERS ASSEMBLE SWM4AVG:MISTY MEDIUM GREY:6:PRINT:TOP - BOTTOM SET</t>
  </si>
  <si>
    <t>TOP - BOTTOM SET LSLP AVENGERS ASSEMBLE SWM4AVG:MISTY MEDIUM GREY:7:PRINT:TOP - BOTTOM SET</t>
  </si>
  <si>
    <t>TOP - BOTTOM SET LSLP AVENGERS ASSEMBLE SWM4AVG:MISTY MEDIUM GREY:8:PRINT:TOP - BOTTOM SET</t>
  </si>
  <si>
    <t>TOP - BOTTOM SET LSLP AVENGERS ASSEMBLE SWM4AVG:MISTY MEDIUM GREY:10:PRINT:TOP - BOTTOM SET</t>
  </si>
  <si>
    <t>TOP - BOTTOM SET LSLP AVENGERS ASSEMBLE SWM4AVG:MISTY MEDIUM GREY:12:PRINT:TOP - BOTTOM SET</t>
  </si>
  <si>
    <t>TOP - BOTTOM SET LSLP AVENGERS ASSEMBLE SWM4AVG:MISTY MEDIUM GREY:14:PRINT:TOP - BOTTOM SET</t>
  </si>
  <si>
    <t>KKCN7</t>
  </si>
  <si>
    <t>SOCKS KKG CINNAMOROLL BIG STRIPE KKCN7:PASTEL GREEN:14-16:PRINT:SOCKS</t>
  </si>
  <si>
    <t>SOCKS KKG CINNAMOROLL BIG STRIPE KKCN7:PASTEL GREEN:18-20:PRINT:SOCKS</t>
  </si>
  <si>
    <t>SOCKS KKG CINNAMOROLL BIG STRIPE KKCN7:PASTEL GREEN:20-22:PRINT:SOCKS</t>
  </si>
  <si>
    <t>KK1SPD2</t>
  </si>
  <si>
    <t>SOCKS KKB SPIDERMAN FP KK1SPD2:BLACK:14-16:PRINT:SOCKS</t>
  </si>
  <si>
    <t>SOCKS KKB SPIDERMAN FP KK1SPD2:BLACK:18-20:PRINT:SOCKS</t>
  </si>
  <si>
    <t>SOCKS KKB SPIDERMAN FP KK1SPD2:BLACK:20-22:PRINT:SOCKS</t>
  </si>
  <si>
    <t>PYM126CN</t>
  </si>
  <si>
    <t>TOP - BOTTOM SET LSLP CINNAMOROLL PYM126CN:LIGHT BLUE:4:PRINT:TOP - BOTTOM SET</t>
  </si>
  <si>
    <t>TOP - BOTTOM SET LSLP CINNAMOROLL PYM126CN:LIGHT BLUE:5:PRINT:TOP - BOTTOM SET</t>
  </si>
  <si>
    <t>TOP - BOTTOM SET LSLP CINNAMOROLL PYM126CN:LIGHT BLUE:6:PRINT:TOP - BOTTOM SET</t>
  </si>
  <si>
    <t>TOP - BOTTOM SET LSLP CINNAMOROLL PYM126CN:LIGHT BLUE:7:PRINT:TOP - BOTTOM SET</t>
  </si>
  <si>
    <t>TOP - BOTTOM SET LSLP CINNAMOROLL PYM126CN:LIGHT BLUE:8:PRINT:TOP - BOTTOM SET</t>
  </si>
  <si>
    <t>TOP - BOTTOM SET LSLP CINNAMOROLL PYM126CN:LIGHT BLUE:10:PRINT:TOP - BOTTOM SET</t>
  </si>
  <si>
    <t>TOP - BOTTOM SET LSLP CINNAMOROLL PYM126CN:LIGHT BLUE:12:PRINT:TOP - BOTTOM SET</t>
  </si>
  <si>
    <t>TOP - BOTTOM SET LSLP CINNAMOROLL PYM126CN:LIGHT BLUE:14:PRINT:TOP - BOTTOM SET</t>
  </si>
  <si>
    <t>SW126CN</t>
  </si>
  <si>
    <t>TOP - BOTTOM SET LSLP OBL SW GIRLS CINNAMOROLL SW126CN:LIGHT BLUE:4:PRINT:TOP - BOTTOM SET</t>
  </si>
  <si>
    <t>TOP - BOTTOM SET LSLP OBL SW GIRLS CINNAMOROLL SW126CN:LIGHT BLUE:5:PRINT:TOP - BOTTOM SET</t>
  </si>
  <si>
    <t>TOP - BOTTOM SET LSLP OBL SW GIRLS CINNAMOROLL SW126CN:LIGHT BLUE:6:PRINT:TOP - BOTTOM SET</t>
  </si>
  <si>
    <t>TOP - BOTTOM SET LSLP OBL SW GIRLS CINNAMOROLL SW126CN:LIGHT BLUE:7:PRINT:TOP - BOTTOM SET</t>
  </si>
  <si>
    <t>TOP - BOTTOM SET LSLP OBL SW GIRLS CINNAMOROLL SW126CN:LIGHT BLUE:8:PRINT:TOP - BOTTOM SET</t>
  </si>
  <si>
    <t>TOP - BOTTOM SET LSLP OBL SW GIRLS CINNAMOROLL SW126CN:LIGHT BLUE:10:PRINT:TOP - BOTTOM SET</t>
  </si>
  <si>
    <t>TOP - BOTTOM SET LSLP OBL SW GIRLS CINNAMOROLL SW126CN:LIGHT BLUE:12:PRINT:TOP - BOTTOM SET</t>
  </si>
  <si>
    <t>TOP - BOTTOM SET LSLP OBL SW GIRLS CINNAMOROLL SW126CN:LIGHT BLUE:14:PRINT:TOP - BOTTOM SET</t>
  </si>
  <si>
    <t>TOP - BOTTOM SET LSLP SW OBL AOP MARVEL SW01MV:FROST GREY:4:PRINT:TOP - BOTTOM SET</t>
  </si>
  <si>
    <t>TOP - BOTTOM SET LSLP SW OBL AOP MARVEL SW01MV:FROST GREY:5:PRINT:TOP - BOTTOM SET</t>
  </si>
  <si>
    <t>TOP - BOTTOM SET LSLP SW OBL AOP MARVEL SW01MV:FROST GREY:6:PRINT:TOP - BOTTOM SET</t>
  </si>
  <si>
    <t>TOP - BOTTOM SET LSLP SW OBL AOP MARVEL SW01MV:FROST GREY:7:PRINT:TOP - BOTTOM SET</t>
  </si>
  <si>
    <t>TOP - BOTTOM SET LSLP SW OBL AOP MARVEL SW01MV:FROST GREY:8:PRINT:TOP - BOTTOM SET</t>
  </si>
  <si>
    <t>TOP - BOTTOM SET LSLP SW OBL AOP MARVEL SW01MV:FROST GREY:10:PRINT:TOP - BOTTOM SET</t>
  </si>
  <si>
    <t>TOP - BOTTOM SET LSLP SW OBL AOP MARVEL SW01MV:FROST GREY:12:PRINT:TOP - BOTTOM SET</t>
  </si>
  <si>
    <t>SWHDBAT</t>
  </si>
  <si>
    <t>TOP - BOTTOM SET LSLP BATMAN SWHDBAT:FROST GREY:4:PRINT:TOP - BOTTOM SET</t>
  </si>
  <si>
    <t>TOP - BOTTOM SET LSLP BATMAN SWHDBAT:FROST GREY:5:PRINT:TOP - BOTTOM SET</t>
  </si>
  <si>
    <t>TOP - BOTTOM SET LSLP BATMAN SWHDBAT:FROST GREY:6:PRINT:TOP - BOTTOM SET</t>
  </si>
  <si>
    <t>TOP - BOTTOM SET LSLP BATMAN SWHDBAT:FROST GREY:7:PRINT:TOP - BOTTOM SET</t>
  </si>
  <si>
    <t>TOP - BOTTOM SET LSLP BATMAN SWHDBAT:FROST GREY:8:PRINT:TOP - BOTTOM SET</t>
  </si>
  <si>
    <t>TOP - BOTTOM SET LSLP BATMAN SWHDBAT:FROST GREY:10:PRINT:TOP - BOTTOM SET</t>
  </si>
  <si>
    <t>TOP - BOTTOM SET LSLP BATMAN SWHDBAT:FROST GREY:12:PRINT:TOP - BOTTOM SET</t>
  </si>
  <si>
    <t>TOP - BOTTOM SET LSLP BATMAN SWHDBAT:FROST GREY:14:PRINT:TOP - BOTTOM SET</t>
  </si>
  <si>
    <t>SW1SUP</t>
  </si>
  <si>
    <t>TOP - BOTTOM SET LSLP SUPERMAN SW1SUP:CLASSIC BLUE:4:PRINT:TOP - BOTTOM SET</t>
  </si>
  <si>
    <t>TOP - BOTTOM SET LSLP SUPERMAN SW1SUP:CLASSIC BLUE:5:PRINT:TOP - BOTTOM SET</t>
  </si>
  <si>
    <t>TOP - BOTTOM SET LSLP SUPERMAN SW1SUP:CLASSIC BLUE:6:PRINT:TOP - BOTTOM SET</t>
  </si>
  <si>
    <t>TOP - BOTTOM SET LSLP SUPERMAN SW1SUP:CLASSIC BLUE:7:PRINT:TOP - BOTTOM SET</t>
  </si>
  <si>
    <t>TOP - BOTTOM SET LSLP SUPERMAN SW1SUP:CLASSIC BLUE:8:PRINT:TOP - BOTTOM SET</t>
  </si>
  <si>
    <t>TOP - BOTTOM SET LSLP SUPERMAN SW1SUP:CLASSIC BLUE:10:PRINT:TOP - BOTTOM SET</t>
  </si>
  <si>
    <t>TOP - BOTTOM SET LSLP SUPERMAN SW1SUP:CLASSIC BLUE:12:PRINT:TOP - BOTTOM SET</t>
  </si>
  <si>
    <t>TOP - BOTTOM SET LSLP SUPERMAN SW1SUP:CLASSIC BLUE:14:PRINT:TOP - BOTTOM SET</t>
  </si>
  <si>
    <t>SW1BAT2</t>
  </si>
  <si>
    <t>TOP - BOTTOM SET LSLP BATMAN SW1BAT2:NAVY BLUE:4:PRINT:TOP - BOTTOM SET</t>
  </si>
  <si>
    <t>TOP - BOTTOM SET LSLP BATMAN SW1BAT2:NAVY BLUE:5:PRINT:TOP - BOTTOM SET</t>
  </si>
  <si>
    <t>TOP - BOTTOM SET LSLP BATMAN SW1BAT2:NAVY BLUE:6:PRINT:TOP - BOTTOM SET</t>
  </si>
  <si>
    <t>TOP - BOTTOM SET LSLP BATMAN SW1BAT2:NAVY BLUE:7:PRINT:TOP - BOTTOM SET</t>
  </si>
  <si>
    <t>TOP - BOTTOM SET LSLP BATMAN SW1BAT2:NAVY BLUE:8:PRINT:TOP - BOTTOM SET</t>
  </si>
  <si>
    <t>TOP - BOTTOM SET LSLP BATMAN SW1BAT2:NAVY BLUE:10:PRINT:TOP - BOTTOM SET</t>
  </si>
  <si>
    <t>TOP - BOTTOM SET LSLP BATMAN SW1BAT2:NAVY BLUE:12:PRINT:TOP - BOTTOM SET</t>
  </si>
  <si>
    <t>TOP - BOTTOM SET LSLP BATMAN SW1BAT2:NAVY BLUE:14:PRINT:TOP - BOTTOM SET</t>
  </si>
  <si>
    <t>SW01SPD</t>
  </si>
  <si>
    <t>TOP - BOTTOM SET LSLP SW OBL SPIDERMAN SW01SPD:LIGHT BLUE:4:PRINT:TOP - BOTTOM SET</t>
  </si>
  <si>
    <t>TOP - BOTTOM SET LSLP SW OBL SPIDERMAN SW01SPD:LIGHT BLUE:5:PRINT:TOP - BOTTOM SET</t>
  </si>
  <si>
    <t>TOP - BOTTOM SET LSLP SW OBL SPIDERMAN SW01SPD:LIGHT BLUE:6:PRINT:TOP - BOTTOM SET</t>
  </si>
  <si>
    <t>TOP - BOTTOM SET LSLP SW OBL SPIDERMAN SW01SPD:LIGHT BLUE:7:PRINT:TOP - BOTTOM SET</t>
  </si>
  <si>
    <t>TOP - BOTTOM SET LSLP SW OBL SPIDERMAN SW01SPD:LIGHT BLUE:8:PRINT:TOP - BOTTOM SET</t>
  </si>
  <si>
    <t>TOP - BOTTOM SET LSLP SW OBL SPIDERMAN SW01SPD:LIGHT BLUE:10:PRINT:TOP - BOTTOM SET</t>
  </si>
  <si>
    <t>TOP - BOTTOM SET LSLP SW OBL SPIDERMAN SW01SPD:LIGHT BLUE:12:PRINT:TOP - BOTTOM SET</t>
  </si>
  <si>
    <t>TOP - BOTTOM SET LSLP SW OBL SPIDERMAN SW01SPD:LIGHT BLUE:14:PRINT:TOP - BOTTOM SET</t>
  </si>
  <si>
    <t>SW2PRN</t>
  </si>
  <si>
    <t>TOP - BOTTOM SET LSLP SW OBL PRINCESS SW2PRN:PASTEL YELLOW:4:PRINT:TOP - BOTTOM SET</t>
  </si>
  <si>
    <t>TOP - BOTTOM SET LSLP SW OBL PRINCESS SW2PRN:PASTEL YELLOW:5:PRINT:TOP - BOTTOM SET</t>
  </si>
  <si>
    <t>TOP - BOTTOM SET LSLP SW OBL PRINCESS SW2PRN:PASTEL YELLOW:6:PRINT:TOP - BOTTOM SET</t>
  </si>
  <si>
    <t>TOP - BOTTOM SET LSLP SW OBL PRINCESS SW2PRN:PASTEL YELLOW:7:PRINT:TOP - BOTTOM SET</t>
  </si>
  <si>
    <t>TOP - BOTTOM SET LSLP SW OBL PRINCESS SW2PRN:PASTEL YELLOW:8:PRINT:TOP - BOTTOM SET</t>
  </si>
  <si>
    <t>TOP - BOTTOM SET LSLP SW OBL PRINCESS SW2PRN:PASTEL YELLOW:10:PRINT:TOP - BOTTOM SET</t>
  </si>
  <si>
    <t>TOP - BOTTOM SET LSLP SW OBL PRINCESS SW2PRN:PASTEL YELLOW:12:PRINT:TOP - BOTTOM SET</t>
  </si>
  <si>
    <t>TOP - BOTTOM SET LSLP SW OBL PRINCESS SW2PRN:PASTEL YELLOW:14:PRINT:TOP - BOTTOM SET</t>
  </si>
  <si>
    <t>SW126KU</t>
  </si>
  <si>
    <t>TOP - BOTTOM SET LSLP OBL SW GIRLS KUROMI SW126KU:LIGHT BLUE:4:PRINT:TOP - BOTTOM SET</t>
  </si>
  <si>
    <t>TOP - BOTTOM SET LSLP OBL SW GIRLS KUROMI SW126KU:LIGHT BLUE:5:PRINT:TOP - BOTTOM SET</t>
  </si>
  <si>
    <t>TOP - BOTTOM SET LSLP OBL SW GIRLS KUROMI SW126KU:LIGHT BLUE:6:PRINT:TOP - BOTTOM SET</t>
  </si>
  <si>
    <t>TOP - BOTTOM SET LSLP OBL SW GIRLS KUROMI SW126KU:LIGHT BLUE:7:PRINT:TOP - BOTTOM SET</t>
  </si>
  <si>
    <t>TOP - BOTTOM SET LSLP OBL SW GIRLS KUROMI SW126KU:LIGHT BLUE:8:PRINT:TOP - BOTTOM SET</t>
  </si>
  <si>
    <t>TOP - BOTTOM SET LSLP OBL SW GIRLS KUROMI SW126KU:LIGHT BLUE:10:PRINT:TOP - BOTTOM SET</t>
  </si>
  <si>
    <t>TOP - BOTTOM SET LSLP OBL SW GIRLS KUROMI SW126KU:LIGHT BLUE:12:PRINT:TOP - BOTTOM SET</t>
  </si>
  <si>
    <t>TOP - BOTTOM SET LSLP OBL SW GIRLS KUROMI SW126KU:LIGHT BLUE:14:PRINT:TOP - BOTTOM SET</t>
  </si>
  <si>
    <t>SW425KT</t>
  </si>
  <si>
    <t>TOP - BOTTOM SET LSLP HELLO KITTY SW425KT:PASTEL PINK:4:PRINT:TOP - BOTTOM SET</t>
  </si>
  <si>
    <t>TOP - BOTTOM SET LSLP HELLO KITTY SW425KT:PASTEL PINK:5:PRINT:TOP - BOTTOM SET</t>
  </si>
  <si>
    <t>TOP - BOTTOM SET LSLP HELLO KITTY SW425KT:PASTEL PINK:6:PRINT:TOP - BOTTOM SET</t>
  </si>
  <si>
    <t>TOP - BOTTOM SET LSLP HELLO KITTY SW425KT:PASTEL PINK:7:PRINT:TOP - BOTTOM SET</t>
  </si>
  <si>
    <t>TOP - BOTTOM SET LSLP HELLO KITTY SW425KT:PASTEL PINK:8:PRINT:TOP - BOTTOM SET</t>
  </si>
  <si>
    <t>TOP - BOTTOM SET LSLP HELLO KITTY SW425KT:PASTEL PINK:10:PRINT:TOP - BOTTOM SET</t>
  </si>
  <si>
    <t>TOP - BOTTOM SET LSLP HELLO KITTY SW425KT:PASTEL PINK:12:PRINT:TOP - BOTTOM SET</t>
  </si>
  <si>
    <t>TOP - BOTTOM SET LSLP HELLO KITTY SW425KT:PASTEL PINK:14:PRINT:TOP - BOTTOM SET</t>
  </si>
  <si>
    <t>SW126MM</t>
  </si>
  <si>
    <t>TOP - BOTTOM SET LSLP OBL MY MELODY SW126MM:PASTEL PINK:4:PRINT:TOP - BOTTOM SET</t>
  </si>
  <si>
    <t>TOP - BOTTOM SET LSLP OBL MY MELODY SW126MM:PASTEL PINK:5:PRINT:TOP - BOTTOM SET</t>
  </si>
  <si>
    <t>TOP - BOTTOM SET LSLP OBL MY MELODY SW126MM:PASTEL PINK:6:PRINT:TOP - BOTTOM SET</t>
  </si>
  <si>
    <t>TOP - BOTTOM SET LSLP OBL MY MELODY SW126MM:PASTEL PINK:7:PRINT:TOP - BOTTOM SET</t>
  </si>
  <si>
    <t>TOP - BOTTOM SET LSLP OBL MY MELODY SW126MM:PASTEL PINK:8:PRINT:TOP - BOTTOM SET</t>
  </si>
  <si>
    <t>TOP - BOTTOM SET LSLP OBL MY MELODY SW126MM:PASTEL PINK:10:PRINT:TOP - BOTTOM SET</t>
  </si>
  <si>
    <t>TOP - BOTTOM SET LSLP OBL MY MELODY SW126MM:PASTEL PINK:12:PRINT:TOP - BOTTOM SET</t>
  </si>
  <si>
    <t>TOP - BOTTOM SET LSLP OBL MY MELODY SW126MM:PASTEL PINK:14:PRINT:TOP - BOTTOM SET</t>
  </si>
  <si>
    <t>SW1POOH</t>
  </si>
  <si>
    <t>TOP - BOTTOM SET SSLP WINNIE THE POOH SW1POOH:PASTEL YELLOW:4:PRINT:TOP - BOTTOM SET</t>
  </si>
  <si>
    <t>TOP - BOTTOM SET SSLP WINNIE THE POOH SW1POOH:PASTEL YELLOW:5:PRINT:TOP - BOTTOM SET</t>
  </si>
  <si>
    <t>TOP - BOTTOM SET SSLP WINNIE THE POOH SW1POOH:PASTEL YELLOW:6:PRINT:TOP - BOTTOM SET</t>
  </si>
  <si>
    <t>TOP - BOTTOM SET SSLP WINNIE THE POOH SW1POOH:PASTEL YELLOW:7:PRINT:TOP - BOTTOM SET</t>
  </si>
  <si>
    <t>TOP - BOTTOM SET SSLP WINNIE THE POOH SW1POOH:PASTEL YELLOW:8:PRINT:TOP - BOTTOM SET</t>
  </si>
  <si>
    <t>TOP - BOTTOM SET SSLP WINNIE THE POOH SW1POOH:PASTEL YELLOW:10:PRINT:TOP - BOTTOM SET</t>
  </si>
  <si>
    <t>TOP - BOTTOM SET SSLP WINNIE THE POOH SW1POOH:PASTEL YELLOW:12:PRINT:TOP - BOTTOM SET</t>
  </si>
  <si>
    <t>TOP - BOTTOM SET SSLP WINNIE THE POOH SW1POOH:PASTEL YELLOW:14:PRINT:TOP - BOTTOM SET</t>
  </si>
  <si>
    <t>SWS126KU</t>
  </si>
  <si>
    <t>TOP - BOTTOM SET SSLP PIYAMA KUROMI SWS126KU:PASTEL PURPLE:4:PRINT:TOP - BOTTOM SET</t>
  </si>
  <si>
    <t>TOP - BOTTOM SET SSLP PIYAMA KUROMI SWS126KU:PASTEL PURPLE:5:PRINT:TOP - BOTTOM SET</t>
  </si>
  <si>
    <t>TOP - BOTTOM SET SSLP PIYAMA KUROMI SWS126KU:PASTEL PURPLE:6:PRINT:TOP - BOTTOM SET</t>
  </si>
  <si>
    <t>TOP - BOTTOM SET SSLP PIYAMA KUROMI SWS126KU:PASTEL PURPLE:7:PRINT:TOP - BOTTOM SET</t>
  </si>
  <si>
    <t>TOP - BOTTOM SET SSLP PIYAMA KUROMI SWS126KU:PASTEL PURPLE:8:PRINT:TOP - BOTTOM SET</t>
  </si>
  <si>
    <t>TOP - BOTTOM SET SSLP PIYAMA KUROMI SWS126KU:PASTEL PURPLE:10:PRINT:TOP - BOTTOM SET</t>
  </si>
  <si>
    <t>TOP - BOTTOM SET SSLP PIYAMA KUROMI SWS126KU:PASTEL PURPLE:12:PRINT:TOP - BOTTOM SET</t>
  </si>
  <si>
    <t>TOP - BOTTOM SET SSLP PIYAMA KUROMI SWS126KU:PASTEL PURPLE:14:PRINT:TOP - BOTTOM SET</t>
  </si>
  <si>
    <t>MP31MV3</t>
  </si>
  <si>
    <t>BRIEF PACK OF 3 CAOTAIN AMERICA UW MP31MV3:ASSORTIVE COLOR:S:PRINT:BRIEF</t>
  </si>
  <si>
    <t>BRIEF PACK OF 3 CAOTAIN AMERICA UW MP31MV3:ASSORTIVE COLOR:M:PRINT:BRIEF</t>
  </si>
  <si>
    <t>BRIEF PACK OF 3 CAOTAIN AMERICA UW MP31MV3:ASSORTIVE COLOR:L:PRINT:BRIEF</t>
  </si>
  <si>
    <t>BRIEF PACK OF 3 CAOTAIN AMERICA UW MP31MV3:ASSORTIVE COLOR:XL:PRINT:BRIEF</t>
  </si>
  <si>
    <t>MP31MV2</t>
  </si>
  <si>
    <t>BRIEF PACK OF 3 BOYS UW SPIDERMAN MP31MV2:ASSORTIVE COLOR:S:PRINT:BRIEF</t>
  </si>
  <si>
    <t>BRIEF PACK OF 3 BOYS UW SPIDERMAN MP31MV2:ASSORTIVE COLOR:M:PRINT:BRIEF</t>
  </si>
  <si>
    <t>BRIEF PACK OF 3 BOYS UW SPIDERMAN MP31MV2:ASSORTIVE COLOR:L:PRINT:BRIEF</t>
  </si>
  <si>
    <t>BRIEF PACK OF 3 BOYS UW SPIDERMAN MP31MV2:ASSORTIVE COLOR:XL:PRINT:BRIEF</t>
  </si>
  <si>
    <t>KKSPB1</t>
  </si>
  <si>
    <t>SOCKS KK SPONGEBOB SWUARPANTS KKSPB1:CLASSIC YELLOW:14-16:PRINT:SOCKS</t>
  </si>
  <si>
    <t>SOCKS KK SPONGEBOB SWUARPANTS KKSPB1:CLASSIC YELLOW:18-20:PRINT:SOCKS</t>
  </si>
  <si>
    <t>SOCKS KK SPONGEBOB SWUARPANTS KKSPB1:CLASSIC YELLOW:20-22:PRINT:SOCKS</t>
  </si>
  <si>
    <t>KKSPB2</t>
  </si>
  <si>
    <t>SOCKS KK SPONGBOB PATRICK STAR KKSPB2:PASTEL ORANGE:14-16:PRINT:SOCKS</t>
  </si>
  <si>
    <t>SOCKS KK SPONGBOB PATRICK STAR KKSPB2:PASTEL ORANGE:18-20:PRINT:SOCKS</t>
  </si>
  <si>
    <t>SOCKS KK SPONGBOB PATRICK STAR KKSPB2:PASTEL ORANGE:20-22:PRINT:SOCKS</t>
  </si>
  <si>
    <t>KKSPB4</t>
  </si>
  <si>
    <t>SOCKS KK SPONGBOB MR KRABS KKSPB4:CLASSIC RED:14-16:PRINT:SOCKS</t>
  </si>
  <si>
    <t>SOCKS KK SPONGBOB MR KRABS KKSPB4:CLASSIC RED:18-20:PRINT:SOCKS</t>
  </si>
  <si>
    <t>SOCKS KK SPONGBOB MR KRABS KKSPB4:CLASSIC RED:20-22:PRINT:SOCKS</t>
  </si>
  <si>
    <t>MP31CAI</t>
  </si>
  <si>
    <t>BRIEF PACK OF 3 CAPTAIN &amp; IRON MAN UW MP31CAI:ASSORTIVE COLOR:S:PRINT:BRIEF</t>
  </si>
  <si>
    <t>BRIEF PACK OF 3 CAPTAIN &amp; IRON MAN UW MP31CAI:ASSORTIVE COLOR:M:PRINT:BRIEF</t>
  </si>
  <si>
    <t>BRIEF PACK OF 3 CAPTAIN &amp; IRON MAN UW MP31CAI:ASSORTIVE COLOR:L:PRINT:BRIEF</t>
  </si>
  <si>
    <t>BRIEF PACK OF 3 CAPTAIN &amp; IRON MAN UW MP31CAI:ASSORTIVE COLOR:XL:PRINT:BRIEF</t>
  </si>
  <si>
    <t>KKCAPTB</t>
  </si>
  <si>
    <t>SOCKS CAPTAIN AMERICA KKCAPTB:BLACK:14-16:PRINT:SOCKS</t>
  </si>
  <si>
    <t>SOCKS CAPTAIN AMERICA KKCAPTB:BLACK:18-20:PRINT:SOCKS</t>
  </si>
  <si>
    <t>SOCKS CAPTAIN AMERICA KKCAPTB:BLACK:20-22:PRINT:SOCKS</t>
  </si>
  <si>
    <t>KKIRNO1</t>
  </si>
  <si>
    <t>SOCKS IRON MAN KKIRNO1:MANDARIN ORANGE:14-16:PRINT:SOCKS</t>
  </si>
  <si>
    <t>SOCKS IRON MAN KKIRNO1:MANDARIN ORANGE:18-20:PRINT:SOCKS</t>
  </si>
  <si>
    <t>SOCKS IRON MAN KKIRNO1:MANDARIN ORANGE:20-22:PRINT:SOCKS</t>
  </si>
  <si>
    <t>KKSPD26</t>
  </si>
  <si>
    <t>SOCKS SPIDERMAN KKSPD26:BLACK:14-16:PRINT:SOCKS</t>
  </si>
  <si>
    <t>SOCKS SPIDERMAN KKSPD26:BLACK:18-20:PRINT:SOCKS</t>
  </si>
  <si>
    <t>SOCKS SPIDERMAN KKSPD26:BLACK:20-22:PRINT:SOCKS</t>
  </si>
  <si>
    <t>SW126CAP</t>
  </si>
  <si>
    <t>TOP - BOTTOM SET LSLP SW BOYS CAPTAIN AMERICA SW126CAP:CLASSIC BLUE:4:PRINT:TOP - BOTTOM SET</t>
  </si>
  <si>
    <t>TOP - BOTTOM SET LSLP SW BOYS CAPTAIN AMERICA SW126CAP:CLASSIC BLUE:5:PRINT:TOP - BOTTOM SET</t>
  </si>
  <si>
    <t>TOP - BOTTOM SET LSLP SW BOYS CAPTAIN AMERICA SW126CAP:CLASSIC BLUE:6:PRINT:TOP - BOTTOM SET</t>
  </si>
  <si>
    <t>TOP - BOTTOM SET LSLP SW BOYS CAPTAIN AMERICA SW126CAP:CLASSIC BLUE:7:PRINT:TOP - BOTTOM SET</t>
  </si>
  <si>
    <t>TOP - BOTTOM SET LSLP SW BOYS CAPTAIN AMERICA SW126CAP:CLASSIC BLUE:8:PRINT:TOP - BOTTOM SET</t>
  </si>
  <si>
    <t>TOP - BOTTOM SET LSLP SW BOYS CAPTAIN AMERICA SW126CAP:CLASSIC BLUE:10:PRINT:TOP - BOTTOM SET</t>
  </si>
  <si>
    <t>TOP - BOTTOM SET LSLP SW BOYS CAPTAIN AMERICA SW126CAP:CLASSIC BLUE:12:PRINT:TOP - BOTTOM SET</t>
  </si>
  <si>
    <t>TOP - BOTTOM SET LSLP SW BOYS CAPTAIN AMERICA SW126CAP:CLASSIC BLUE:14:PRINT:TOP - BOTTOM SET</t>
  </si>
  <si>
    <t>SW26STT2</t>
  </si>
  <si>
    <t>TOP - BOTTOM SET LSLP PIYAMA STITCH SW26STT2:PASTEL BLUE:4:PRINT:TOP - BOTTOM SET</t>
  </si>
  <si>
    <t>TOP - BOTTOM SET LSLP PIYAMA STITCH SW26STT2:PASTEL BLUE:5:PRINT:TOP - BOTTOM SET</t>
  </si>
  <si>
    <t>TOP - BOTTOM SET LSLP PIYAMA STITCH SW26STT2:PASTEL BLUE:6:PRINT:TOP - BOTTOM SET</t>
  </si>
  <si>
    <t>TOP - BOTTOM SET LSLP PIYAMA STITCH SW26STT2:PASTEL BLUE:7:PRINT:TOP - BOTTOM SET</t>
  </si>
  <si>
    <t>TOP - BOTTOM SET LSLP PIYAMA STITCH SW26STT2:PASTEL BLUE:8:PRINT:TOP - BOTTOM SET</t>
  </si>
  <si>
    <t>TOP - BOTTOM SET LSLP PIYAMA STITCH SW26STT2:PASTEL BLUE:10:PRINT:TOP - BOTTOM SET</t>
  </si>
  <si>
    <t>TOP - BOTTOM SET LSLP PIYAMA STITCH SW26STT2:PASTEL BLUE:12:PRINT:TOP - BOTTOM SET</t>
  </si>
  <si>
    <t>TOP - BOTTOM SET LSLP PIYAMA STITCH SW26STT2:PASTEL BLUE:14:PRINT:TOP - BOTTOM SET</t>
  </si>
  <si>
    <t>KK1MIC1</t>
  </si>
  <si>
    <t>SOCKS KK MICKEY MOUSE KK1MIC1:WHITE:14-16:PRINT:SOCKS</t>
  </si>
  <si>
    <t>SOCKS KK MICKEY MOUSE KK1MIC1:WHITE:18-20:PRINT:SOCKS</t>
  </si>
  <si>
    <t>SOCKS KK MICKEY MOUSE KK1MIC1:WHITE:20-22:PRINT:SOCKS</t>
  </si>
  <si>
    <t>KK16BAT</t>
  </si>
  <si>
    <t>SOCKS KKB BATMAN KK16BAT:FROST GREY:14-16:PRINT:SOCKS</t>
  </si>
  <si>
    <t>SOCKS KKB BATMAN KK16BAT:FROST GREY:18-20:PRINT:SOCKS</t>
  </si>
  <si>
    <t>SOCKS KKB BATMAN KK16BAT:FROST GREY:20-22:PRINT:SOCKS</t>
  </si>
  <si>
    <t>KK1SPD5</t>
  </si>
  <si>
    <t>SOCKS KKB SPIDERMAN JARING KK1SPD5:FROST GREY:14-16:PRINT:SOCKS</t>
  </si>
  <si>
    <t>SOCKS KKB SPIDERMAN JARING KK1SPD5:FROST GREY:18-20:PRINT:SOCKS</t>
  </si>
  <si>
    <t>SOCKS KKB SPIDERMAN JARING KK1SPD5:FROST GREY:20-22:PRINT:SOCKS</t>
  </si>
  <si>
    <t>KKSPIDEY</t>
  </si>
  <si>
    <t>SOCKS KKB SPIDERMAN KKSPIDEY:PASTEL ORANGE:14-16:PRINT:SOCKS</t>
  </si>
  <si>
    <t>SOCKS KKB SPIDERMAN KKSPIDEY:PASTEL ORANGE:18-20:PRINT:SOCKS</t>
  </si>
  <si>
    <t>SSSPOMP</t>
  </si>
  <si>
    <t>TOP - BOTTOM SET SSLP OBL POPMPOMPURIN SSSPOMP:PASTEL YELLOW:4:PRINT:TOP - BOTTOM SET</t>
  </si>
  <si>
    <t>TOP - BOTTOM SET SSLP OBL POPMPOMPURIN SSSPOMP:PASTEL YELLOW:5:PRINT:TOP - BOTTOM SET</t>
  </si>
  <si>
    <t>TOP - BOTTOM SET SSLP OBL POPMPOMPURIN SSSPOMP:PASTEL YELLOW:6:PRINT:TOP - BOTTOM SET</t>
  </si>
  <si>
    <t>TOP - BOTTOM SET SSLP OBL POPMPOMPURIN SSSPOMP:PASTEL YELLOW:7:PRINT:TOP - BOTTOM SET</t>
  </si>
  <si>
    <t>TOP - BOTTOM SET SSLP OBL POPMPOMPURIN SSSPOMP:PASTEL YELLOW:8:PRINT:TOP - BOTTOM SET</t>
  </si>
  <si>
    <t>TOP - BOTTOM SET SSLP OBL POPMPOMPURIN SSSPOMP:PASTEL YELLOW:10:PRINT:TOP - BOTTOM SET</t>
  </si>
  <si>
    <t>TOP - BOTTOM SET SSLP OBL POPMPOMPURIN SSSPOMP:PASTEL YELLOW:12:PRINT:TOP - BOTTOM SET</t>
  </si>
  <si>
    <t>TOP - BOTTOM SET SSLP OBL POPMPOMPURIN SSSPOMP:PASTEL YELLOW:14:PRINT:TOP - BOTTOM SET</t>
  </si>
  <si>
    <t>MP31PRN</t>
  </si>
  <si>
    <t>BRIEF PACK OF 3 PRINCESS UW MP31PRN:ASSORTIVE COLOR:S:PRINT:BRIEF</t>
  </si>
  <si>
    <t>BRIEF PACK OF 3 PRINCESS UW MP31PRN:ASSORTIVE COLOR:M:PRINT:BRIEF</t>
  </si>
  <si>
    <t>BRIEF PACK OF 3 PRINCESS UW MP31PRN:ASSORTIVE COLOR:L:PRINT:BRIEF</t>
  </si>
  <si>
    <t>BRIEF PACK OF 3 PRINCESS UW MP31PRN:ASSORTIVE COLOR:XL:PRINT:BRIEF</t>
  </si>
  <si>
    <t>MP3BSTT2</t>
  </si>
  <si>
    <t>BRIEF PACK OF 3 BOYS UW STITCH MP3BSTT2:ASSORTIVE COLOR:S:PRINT:BRIEF</t>
  </si>
  <si>
    <t>BRIEF PACK OF 3 BOYS UW STITCH MP3BSTT2:ASSORTIVE COLOR:M:PRINT:BRIEF</t>
  </si>
  <si>
    <t>BRIEF PACK OF 3 BOYS UW STITCH MP3BSTT2:ASSORTIVE COLOR:L:PRINT:BRIEF</t>
  </si>
  <si>
    <t>BRIEF PACK OF 3 BOYS UW STITCH MP3BSTT2:ASSORTIVE COLOR:XL:PRINT:BRIEF</t>
  </si>
  <si>
    <t>SETWVCN1</t>
  </si>
  <si>
    <t>TOP - BOTTOM SET WOVEN BALON CINNAMOROLL SETWVCN1:LIGHT BLUE:6-12:GRAPHIC:TOP - BOTTOM SET</t>
  </si>
  <si>
    <t>TOP - BOTTOM SET WOVEN BALON CINNAMOROLL SETWVCN1:LIGHT BLUE:12-18:GRAPHIC:TOP - BOTTOM SET</t>
  </si>
  <si>
    <t>TOP - BOTTOM SET WOVEN BALON CINNAMOROLL SETWVCN1:LIGHT BLUE:18-24:GRAPHIC:TOP - BOTTOM SET</t>
  </si>
  <si>
    <t>TOP - BOTTOM SET WOVEN BALON CINNAMOROLL SETWVCN1:LIGHT BLUE:24-36:GRAPHIC:TOP - BOTTOM SET</t>
  </si>
  <si>
    <t>TNJSSOV</t>
  </si>
  <si>
    <t>SHORT JUMPSUIT OVERALL TOM AND JERRY TNJSSOV:LIGHT BLUE:6-12:GRAPHIC:SHORT JUMPSUIT</t>
  </si>
  <si>
    <t>SHORT JUMPSUIT OVERALL TOM AND JERRY TNJSSOV:LIGHT BLUE:12-18:GRAPHIC:SHORT JUMPSUIT</t>
  </si>
  <si>
    <t>SHORT JUMPSUIT OVERALL TOM AND JERRY TNJSSOV:LIGHT BLUE:18-24:GRAPHIC:SHORT JUMPSUIT</t>
  </si>
  <si>
    <t>SHORT JUMPSUIT OVERALL TOM AND JERRY TNJSSOV:LIGHT BLUE:24-36:GRAPHIC:SHORT JUMPSUIT</t>
  </si>
  <si>
    <t>SETWVCN2</t>
  </si>
  <si>
    <t>TOP - BOTTOM SET LS WOVEN CINNAMOROLL SETWVCN2:NAVY BLUE:6-12:PRINT:TOP - BOTTOM SET</t>
  </si>
  <si>
    <t>TOP - BOTTOM SET LS WOVEN CINNAMOROLL SETWVCN2:NAVY BLUE:12-18:PRINT:TOP - BOTTOM SET</t>
  </si>
  <si>
    <t>TOP - BOTTOM SET LS WOVEN CINNAMOROLL SETWVCN2:NAVY BLUE:18-24:PRINT:TOP - BOTTOM SET</t>
  </si>
  <si>
    <t>TOP - BOTTOM SET LS WOVEN CINNAMOROLL SETWVCN2:NAVY BLUE:24-36:PRINT:TOP - BOTTOM SET</t>
  </si>
  <si>
    <t>JS126MM</t>
  </si>
  <si>
    <t>SHORT JUMPSUIT WOVEN MY MELODY JS126MM:PASTEL PINK:6-12:GRAPHIC:SHORT JUMPSUIT</t>
  </si>
  <si>
    <t>SHORT JUMPSUIT WOVEN MY MELODY JS126MM:PASTEL PINK:12-18:GRAPHIC:SHORT JUMPSUIT</t>
  </si>
  <si>
    <t>SHORT JUMPSUIT WOVEN MY MELODY JS126MM:PASTEL PINK:18-24:GRAPHIC:SHORT JUMPSUIT</t>
  </si>
  <si>
    <t>SHORT JUMPSUIT WOVEN MY MELODY JS126MM:PASTEL PINK:24-36:GRAPHIC:SHORT JUMPSUIT</t>
  </si>
  <si>
    <t>JKHTNJ</t>
  </si>
  <si>
    <t>JACKET HOODIE TOM AND JERRY JKHTNJ:KHAKI:6-12:EMBRO:JACKET</t>
  </si>
  <si>
    <t>JACKET HOODIE TOM AND JERRY JKHTNJ:KHAKI:12-18:EMBRO:JACKET</t>
  </si>
  <si>
    <t>JACKET HOODIE TOM AND JERRY JKHTNJ:KHAKI:18-24:EMBRO:JACKET</t>
  </si>
  <si>
    <t>JACKET HOODIE TOM AND JERRY JKHTNJ:KHAKI:24-36:EMBRO:JACKET</t>
  </si>
  <si>
    <t>SETSSTNJ</t>
  </si>
  <si>
    <t>TOP - BOTTOM SET SS TOM AND JERRY SETSSTNJ:KHAKI:6-12:EMBRO:TOP - BOTTOM SET</t>
  </si>
  <si>
    <t>TOP - BOTTOM SET SS TOM AND JERRY SETSSTNJ:KHAKI:12-18:EMBRO:TOP - BOTTOM SET</t>
  </si>
  <si>
    <t>TOP - BOTTOM SET SS TOM AND JERRY SETSSTNJ:KHAKI:18-24:EMBRO:TOP - BOTTOM SET</t>
  </si>
  <si>
    <t>TOP - BOTTOM SET SS TOM AND JERRY SETSSTNJ:KHAKI:24-36:EMBRO:TOP - BOTTOM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</si>
</sst>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9" fontId="7" fillId="0" borderId="3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2" fillId="2" borderId="1" xfId="13" applyNumberFormat="1" applyFont="1" applyFill="1" applyBorder="1" applyAlignment="1">
      <alignment horizontal="center" vertical="center"/>
    </xf>
    <xf numFmtId="49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38" fontId="0" fillId="0" borderId="1" xfId="0" applyNumberFormat="1" applyBorder="1" applyAlignment="1">
      <alignment horizontal="center"/>
    </xf>
    <xf numFmtId="3" fontId="0" fillId="0" borderId="1" xfId="0" applyNumberFormat="1" applyBorder="1"/>
    <xf numFmtId="0" fontId="0" fillId="0" borderId="0" xfId="0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0" fontId="0" fillId="0" borderId="5" xfId="0" applyBorder="1"/>
    <xf numFmtId="38" fontId="0" fillId="0" borderId="5" xfId="0" applyNumberFormat="1" applyBorder="1"/>
    <xf numFmtId="0" fontId="0" fillId="0" borderId="2" xfId="0" applyBorder="1" applyAlignment="1">
      <alignment horizontal="center"/>
    </xf>
    <xf numFmtId="9" fontId="0" fillId="0" borderId="2" xfId="13" applyFont="1" applyBorder="1" applyAlignment="1">
      <alignment horizontal="center" vertical="center"/>
    </xf>
    <xf numFmtId="38" fontId="0" fillId="0" borderId="1" xfId="0" applyNumberFormat="1" applyBorder="1"/>
    <xf numFmtId="0" fontId="0" fillId="0" borderId="1" xfId="15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9" fontId="2" fillId="2" borderId="1" xfId="13" applyFont="1" applyFill="1" applyBorder="1" applyAlignment="1">
      <alignment horizontal="center" vertical="center"/>
    </xf>
    <xf numFmtId="0" fontId="7" fillId="0" borderId="1" xfId="15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49" fontId="0" fillId="0" borderId="1" xfId="13" applyNumberFormat="1" applyFont="1" applyBorder="1" applyAlignment="1">
      <alignment horizontal="center" vertical="center"/>
    </xf>
    <xf numFmtId="9" fontId="0" fillId="0" borderId="1" xfId="13" applyNumberFormat="1" applyFont="1" applyBorder="1" applyAlignment="1">
      <alignment horizontal="center" vertical="center"/>
    </xf>
    <xf numFmtId="1" fontId="0" fillId="0" borderId="1" xfId="15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7" fontId="0" fillId="0" borderId="1" xfId="15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167" fontId="7" fillId="0" borderId="1" xfId="15" applyNumberFormat="1" applyFont="1" applyBorder="1" applyAlignment="1">
      <alignment horizontal="center" vertical="center"/>
    </xf>
    <xf numFmtId="0" fontId="0" fillId="0" borderId="3" xfId="15" applyNumberFormat="1" applyFont="1" applyFill="1" applyBorder="1" applyAlignment="1">
      <alignment horizontal="center" vertical="center"/>
    </xf>
    <xf numFmtId="9" fontId="7" fillId="0" borderId="11" xfId="13" applyFont="1" applyBorder="1" applyAlignment="1">
      <alignment horizontal="center" vertical="center"/>
    </xf>
    <xf numFmtId="0" fontId="0" fillId="0" borderId="2" xfId="15" applyNumberFormat="1" applyFont="1" applyFill="1" applyBorder="1" applyAlignment="1">
      <alignment horizontal="center" vertical="center"/>
    </xf>
    <xf numFmtId="0" fontId="0" fillId="0" borderId="8" xfId="0" applyBorder="1"/>
    <xf numFmtId="167" fontId="0" fillId="0" borderId="1" xfId="15" applyNumberFormat="1" applyFont="1" applyBorder="1" applyAlignment="1">
      <alignment horizontal="center" vertical="center"/>
    </xf>
    <xf numFmtId="1" fontId="2" fillId="2" borderId="1" xfId="15" applyNumberFormat="1" applyFont="1" applyFill="1" applyBorder="1" applyAlignment="1">
      <alignment horizontal="center" vertical="center"/>
    </xf>
    <xf numFmtId="1" fontId="0" fillId="0" borderId="0" xfId="15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2" borderId="1" xfId="13" applyNumberFormat="1" applyFont="1" applyFill="1" applyBorder="1" applyAlignment="1">
      <alignment horizontal="center" vertical="center"/>
    </xf>
    <xf numFmtId="0" fontId="0" fillId="0" borderId="1" xfId="13" applyNumberFormat="1" applyFont="1" applyBorder="1" applyAlignment="1">
      <alignment horizontal="center" vertical="center"/>
    </xf>
    <xf numFmtId="0" fontId="0" fillId="0" borderId="0" xfId="13" applyNumberFormat="1" applyFont="1" applyAlignment="1">
      <alignment horizontal="center" vertical="center"/>
    </xf>
    <xf numFmtId="0" fontId="0" fillId="0" borderId="2" xfId="13" applyNumberFormat="1" applyFont="1" applyBorder="1" applyAlignment="1">
      <alignment horizontal="center" vertical="center"/>
    </xf>
    <xf numFmtId="1" fontId="0" fillId="0" borderId="2" xfId="15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/>
    <xf numFmtId="3" fontId="0" fillId="0" borderId="12" xfId="0" applyNumberFormat="1" applyBorder="1" applyAlignment="1">
      <alignment horizontal="center"/>
    </xf>
    <xf numFmtId="3" fontId="0" fillId="0" borderId="2" xfId="0" applyNumberFormat="1" applyBorder="1"/>
  </cellXfs>
  <cellStyles count="16">
    <cellStyle name="Comma" xfId="15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4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7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8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12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1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14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15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72D1-469C-4469-917A-D0927F90DBFD}">
  <sheetPr>
    <tabColor rgb="FF92D050"/>
  </sheetPr>
  <dimension ref="A1:P133"/>
  <sheetViews>
    <sheetView tabSelected="1" zoomScale="75" zoomScaleNormal="71" workbookViewId="0">
      <pane ySplit="1" topLeftCell="A2" activePane="bottomLeft" state="frozen"/>
      <selection activeCell="J24" sqref="J24"/>
      <selection pane="bottomLeft" activeCell="E19" sqref="E19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4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0.81640625" style="17" customWidth="1"/>
    <col min="13" max="13" width="16.54296875" style="37" customWidth="1"/>
    <col min="14" max="14" width="12" style="26" customWidth="1"/>
    <col min="15" max="15" width="18.6328125" style="37" customWidth="1"/>
    <col min="16" max="16" width="17.1796875" style="31" customWidth="1"/>
    <col min="17" max="16384" width="8.81640625" style="31"/>
  </cols>
  <sheetData>
    <row r="1" spans="1:16" ht="30.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93" t="s">
        <v>12</v>
      </c>
      <c r="G1" s="29" t="s">
        <v>3</v>
      </c>
      <c r="H1" s="94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customFormat="1" x14ac:dyDescent="0.35">
      <c r="A2" s="23" t="s">
        <v>7168</v>
      </c>
      <c r="B2" s="33">
        <v>46121</v>
      </c>
      <c r="C2" s="33">
        <v>46127</v>
      </c>
      <c r="D2" s="23">
        <v>3321</v>
      </c>
      <c r="E2" s="32">
        <v>337</v>
      </c>
      <c r="F2" s="70">
        <v>4</v>
      </c>
      <c r="G2" s="23">
        <v>3</v>
      </c>
      <c r="H2" s="95">
        <v>81588</v>
      </c>
      <c r="I2" s="32" t="s">
        <v>2689</v>
      </c>
      <c r="J2" s="23">
        <v>66252286</v>
      </c>
      <c r="K2" s="22" t="s">
        <v>6604</v>
      </c>
      <c r="L2" s="22" t="s">
        <v>6607</v>
      </c>
      <c r="M2" s="24">
        <v>199900</v>
      </c>
      <c r="N2" s="88">
        <v>0</v>
      </c>
      <c r="O2" s="66" t="s">
        <v>7169</v>
      </c>
      <c r="P2" s="32" t="s">
        <v>7341</v>
      </c>
    </row>
    <row r="3" spans="1:16" customFormat="1" x14ac:dyDescent="0.35">
      <c r="A3" s="23" t="str">
        <f>A2</f>
        <v>2026 JAN-APR SHARP PRICE</v>
      </c>
      <c r="B3" s="33">
        <f t="shared" ref="B3:C5" si="0">B2</f>
        <v>46121</v>
      </c>
      <c r="C3" s="33">
        <f t="shared" si="0"/>
        <v>46127</v>
      </c>
      <c r="D3" s="23">
        <v>3321</v>
      </c>
      <c r="E3" s="32">
        <v>337</v>
      </c>
      <c r="F3" s="70">
        <v>4</v>
      </c>
      <c r="G3" s="23">
        <v>3</v>
      </c>
      <c r="H3" s="95">
        <v>81588</v>
      </c>
      <c r="I3" s="32" t="s">
        <v>2689</v>
      </c>
      <c r="J3" s="23">
        <v>66252295</v>
      </c>
      <c r="K3" s="22" t="s">
        <v>6604</v>
      </c>
      <c r="L3" s="22" t="s">
        <v>6606</v>
      </c>
      <c r="M3" s="24">
        <v>199900</v>
      </c>
      <c r="N3" s="88">
        <f>N2</f>
        <v>0</v>
      </c>
      <c r="O3" s="66" t="str">
        <f>O2</f>
        <v>SHARP PRICE</v>
      </c>
      <c r="P3" s="86" t="str">
        <f>P2</f>
        <v>AMOUNT</v>
      </c>
    </row>
    <row r="4" spans="1:16" customFormat="1" x14ac:dyDescent="0.35">
      <c r="A4" s="23" t="str">
        <f t="shared" ref="A4:A5" si="1">A3</f>
        <v>2026 JAN-APR SHARP PRICE</v>
      </c>
      <c r="B4" s="33">
        <f t="shared" si="0"/>
        <v>46121</v>
      </c>
      <c r="C4" s="33">
        <f t="shared" si="0"/>
        <v>46127</v>
      </c>
      <c r="D4" s="23">
        <v>3321</v>
      </c>
      <c r="E4" s="32">
        <v>337</v>
      </c>
      <c r="F4" s="70">
        <v>4</v>
      </c>
      <c r="G4" s="23">
        <v>3</v>
      </c>
      <c r="H4" s="95">
        <v>81588</v>
      </c>
      <c r="I4" s="32" t="s">
        <v>2689</v>
      </c>
      <c r="J4" s="23">
        <v>66252302</v>
      </c>
      <c r="K4" s="22" t="s">
        <v>6604</v>
      </c>
      <c r="L4" s="22" t="s">
        <v>6605</v>
      </c>
      <c r="M4" s="24">
        <v>199900</v>
      </c>
      <c r="N4" s="88">
        <f t="shared" ref="N4:N67" si="2">N3</f>
        <v>0</v>
      </c>
      <c r="O4" s="66" t="str">
        <f t="shared" ref="O4:O67" si="3">O3</f>
        <v>SHARP PRICE</v>
      </c>
      <c r="P4" s="86" t="str">
        <f t="shared" ref="P4:P67" si="4">P3</f>
        <v>AMOUNT</v>
      </c>
    </row>
    <row r="5" spans="1:16" customFormat="1" x14ac:dyDescent="0.35">
      <c r="A5" s="23" t="str">
        <f t="shared" si="1"/>
        <v>2026 JAN-APR SHARP PRICE</v>
      </c>
      <c r="B5" s="33">
        <f t="shared" si="0"/>
        <v>46121</v>
      </c>
      <c r="C5" s="33">
        <f t="shared" si="0"/>
        <v>46127</v>
      </c>
      <c r="D5" s="23">
        <v>3321</v>
      </c>
      <c r="E5" s="32">
        <v>337</v>
      </c>
      <c r="F5" s="70">
        <v>4</v>
      </c>
      <c r="G5" s="23">
        <v>3</v>
      </c>
      <c r="H5" s="95">
        <v>81588</v>
      </c>
      <c r="I5" s="32" t="s">
        <v>2689</v>
      </c>
      <c r="J5" s="23">
        <v>66252311</v>
      </c>
      <c r="K5" s="22" t="s">
        <v>6604</v>
      </c>
      <c r="L5" s="22" t="s">
        <v>6603</v>
      </c>
      <c r="M5" s="24">
        <v>199900</v>
      </c>
      <c r="N5" s="88">
        <f t="shared" si="2"/>
        <v>0</v>
      </c>
      <c r="O5" s="66" t="str">
        <f t="shared" si="3"/>
        <v>SHARP PRICE</v>
      </c>
      <c r="P5" s="86" t="str">
        <f t="shared" si="4"/>
        <v>AMOUNT</v>
      </c>
    </row>
    <row r="6" spans="1:16" x14ac:dyDescent="0.35">
      <c r="A6" s="23" t="str">
        <f t="shared" ref="A6:C6" si="5">A5</f>
        <v>2026 JAN-APR SHARP PRICE</v>
      </c>
      <c r="B6" s="33">
        <f t="shared" si="5"/>
        <v>46121</v>
      </c>
      <c r="C6" s="33">
        <f t="shared" si="5"/>
        <v>46127</v>
      </c>
      <c r="D6" s="32">
        <v>3321</v>
      </c>
      <c r="E6" s="32">
        <v>337</v>
      </c>
      <c r="F6" s="70">
        <v>4</v>
      </c>
      <c r="G6" s="23">
        <v>1</v>
      </c>
      <c r="H6" s="95">
        <v>81588</v>
      </c>
      <c r="I6" s="32" t="s">
        <v>2689</v>
      </c>
      <c r="J6" s="23">
        <v>63152032</v>
      </c>
      <c r="K6" s="22" t="s">
        <v>6585</v>
      </c>
      <c r="L6" s="22" t="s">
        <v>6588</v>
      </c>
      <c r="M6" s="24">
        <v>99900</v>
      </c>
      <c r="N6" s="88">
        <f t="shared" si="2"/>
        <v>0</v>
      </c>
      <c r="O6" s="66" t="str">
        <f t="shared" si="3"/>
        <v>SHARP PRICE</v>
      </c>
      <c r="P6" s="86" t="str">
        <f t="shared" si="4"/>
        <v>AMOUNT</v>
      </c>
    </row>
    <row r="7" spans="1:16" x14ac:dyDescent="0.35">
      <c r="A7" s="23" t="str">
        <f t="shared" ref="A7:C7" si="6">A6</f>
        <v>2026 JAN-APR SHARP PRICE</v>
      </c>
      <c r="B7" s="33">
        <f t="shared" si="6"/>
        <v>46121</v>
      </c>
      <c r="C7" s="33">
        <f t="shared" si="6"/>
        <v>46127</v>
      </c>
      <c r="D7" s="32">
        <v>3321</v>
      </c>
      <c r="E7" s="32">
        <v>337</v>
      </c>
      <c r="F7" s="70">
        <v>4</v>
      </c>
      <c r="G7" s="23">
        <v>1</v>
      </c>
      <c r="H7" s="95">
        <v>81588</v>
      </c>
      <c r="I7" s="32" t="s">
        <v>2689</v>
      </c>
      <c r="J7" s="23">
        <v>63152041</v>
      </c>
      <c r="K7" s="22" t="s">
        <v>6585</v>
      </c>
      <c r="L7" s="22" t="s">
        <v>6587</v>
      </c>
      <c r="M7" s="24">
        <v>99900</v>
      </c>
      <c r="N7" s="88">
        <f t="shared" si="2"/>
        <v>0</v>
      </c>
      <c r="O7" s="66" t="str">
        <f t="shared" si="3"/>
        <v>SHARP PRICE</v>
      </c>
      <c r="P7" s="86" t="str">
        <f t="shared" si="4"/>
        <v>AMOUNT</v>
      </c>
    </row>
    <row r="8" spans="1:16" x14ac:dyDescent="0.35">
      <c r="A8" s="23" t="str">
        <f t="shared" ref="A8:C8" si="7">A7</f>
        <v>2026 JAN-APR SHARP PRICE</v>
      </c>
      <c r="B8" s="33">
        <f t="shared" si="7"/>
        <v>46121</v>
      </c>
      <c r="C8" s="33">
        <f t="shared" si="7"/>
        <v>46127</v>
      </c>
      <c r="D8" s="32">
        <v>3321</v>
      </c>
      <c r="E8" s="32">
        <v>337</v>
      </c>
      <c r="F8" s="70">
        <v>4</v>
      </c>
      <c r="G8" s="23">
        <v>1</v>
      </c>
      <c r="H8" s="95">
        <v>81588</v>
      </c>
      <c r="I8" s="32" t="s">
        <v>2689</v>
      </c>
      <c r="J8" s="23">
        <v>63152050</v>
      </c>
      <c r="K8" s="22" t="s">
        <v>6585</v>
      </c>
      <c r="L8" s="22" t="s">
        <v>6586</v>
      </c>
      <c r="M8" s="24">
        <v>99900</v>
      </c>
      <c r="N8" s="88">
        <f t="shared" si="2"/>
        <v>0</v>
      </c>
      <c r="O8" s="66" t="str">
        <f t="shared" si="3"/>
        <v>SHARP PRICE</v>
      </c>
      <c r="P8" s="86" t="str">
        <f t="shared" si="4"/>
        <v>AMOUNT</v>
      </c>
    </row>
    <row r="9" spans="1:16" x14ac:dyDescent="0.35">
      <c r="A9" s="23" t="str">
        <f t="shared" ref="A9:C9" si="8">A8</f>
        <v>2026 JAN-APR SHARP PRICE</v>
      </c>
      <c r="B9" s="33">
        <f t="shared" si="8"/>
        <v>46121</v>
      </c>
      <c r="C9" s="33">
        <f t="shared" si="8"/>
        <v>46127</v>
      </c>
      <c r="D9" s="32">
        <v>3321</v>
      </c>
      <c r="E9" s="32">
        <v>337</v>
      </c>
      <c r="F9" s="70">
        <v>4</v>
      </c>
      <c r="G9" s="23">
        <v>1</v>
      </c>
      <c r="H9" s="95">
        <v>81588</v>
      </c>
      <c r="I9" s="32" t="s">
        <v>2689</v>
      </c>
      <c r="J9" s="23">
        <v>63152069</v>
      </c>
      <c r="K9" s="22" t="s">
        <v>6585</v>
      </c>
      <c r="L9" s="22" t="s">
        <v>6584</v>
      </c>
      <c r="M9" s="24">
        <v>99900</v>
      </c>
      <c r="N9" s="88">
        <f t="shared" si="2"/>
        <v>0</v>
      </c>
      <c r="O9" s="66" t="str">
        <f t="shared" si="3"/>
        <v>SHARP PRICE</v>
      </c>
      <c r="P9" s="86" t="str">
        <f t="shared" si="4"/>
        <v>AMOUNT</v>
      </c>
    </row>
    <row r="10" spans="1:16" x14ac:dyDescent="0.35">
      <c r="A10" s="23" t="str">
        <f t="shared" ref="A10:C10" si="9">A9</f>
        <v>2026 JAN-APR SHARP PRICE</v>
      </c>
      <c r="B10" s="33">
        <f t="shared" si="9"/>
        <v>46121</v>
      </c>
      <c r="C10" s="33">
        <f t="shared" si="9"/>
        <v>46127</v>
      </c>
      <c r="D10" s="32">
        <v>3321</v>
      </c>
      <c r="E10" s="32">
        <v>337</v>
      </c>
      <c r="F10" s="70">
        <v>4</v>
      </c>
      <c r="G10" s="23">
        <v>3</v>
      </c>
      <c r="H10" s="95">
        <v>81588</v>
      </c>
      <c r="I10" s="32" t="s">
        <v>2689</v>
      </c>
      <c r="J10" s="23">
        <v>63151837</v>
      </c>
      <c r="K10" s="22" t="s">
        <v>6575</v>
      </c>
      <c r="L10" s="22" t="s">
        <v>6578</v>
      </c>
      <c r="M10" s="24">
        <v>199900</v>
      </c>
      <c r="N10" s="88">
        <f t="shared" si="2"/>
        <v>0</v>
      </c>
      <c r="O10" s="66" t="str">
        <f t="shared" si="3"/>
        <v>SHARP PRICE</v>
      </c>
      <c r="P10" s="86" t="str">
        <f t="shared" si="4"/>
        <v>AMOUNT</v>
      </c>
    </row>
    <row r="11" spans="1:16" x14ac:dyDescent="0.35">
      <c r="A11" s="23" t="str">
        <f t="shared" ref="A11:C11" si="10">A10</f>
        <v>2026 JAN-APR SHARP PRICE</v>
      </c>
      <c r="B11" s="33">
        <f t="shared" si="10"/>
        <v>46121</v>
      </c>
      <c r="C11" s="33">
        <f t="shared" si="10"/>
        <v>46127</v>
      </c>
      <c r="D11" s="32">
        <v>3321</v>
      </c>
      <c r="E11" s="32">
        <v>337</v>
      </c>
      <c r="F11" s="70">
        <v>4</v>
      </c>
      <c r="G11" s="23">
        <v>3</v>
      </c>
      <c r="H11" s="95">
        <v>81588</v>
      </c>
      <c r="I11" s="32" t="s">
        <v>2689</v>
      </c>
      <c r="J11" s="23">
        <v>63151846</v>
      </c>
      <c r="K11" s="22" t="s">
        <v>6575</v>
      </c>
      <c r="L11" s="22" t="s">
        <v>6577</v>
      </c>
      <c r="M11" s="24">
        <v>199900</v>
      </c>
      <c r="N11" s="88">
        <f t="shared" si="2"/>
        <v>0</v>
      </c>
      <c r="O11" s="66" t="str">
        <f t="shared" si="3"/>
        <v>SHARP PRICE</v>
      </c>
      <c r="P11" s="86" t="str">
        <f t="shared" si="4"/>
        <v>AMOUNT</v>
      </c>
    </row>
    <row r="12" spans="1:16" x14ac:dyDescent="0.35">
      <c r="A12" s="23" t="str">
        <f t="shared" ref="A12:C12" si="11">A11</f>
        <v>2026 JAN-APR SHARP PRICE</v>
      </c>
      <c r="B12" s="33">
        <f t="shared" si="11"/>
        <v>46121</v>
      </c>
      <c r="C12" s="33">
        <f t="shared" si="11"/>
        <v>46127</v>
      </c>
      <c r="D12" s="32">
        <v>3321</v>
      </c>
      <c r="E12" s="32">
        <v>337</v>
      </c>
      <c r="F12" s="70">
        <v>4</v>
      </c>
      <c r="G12" s="23">
        <v>3</v>
      </c>
      <c r="H12" s="95">
        <v>81588</v>
      </c>
      <c r="I12" s="32" t="s">
        <v>2689</v>
      </c>
      <c r="J12" s="23">
        <v>63151855</v>
      </c>
      <c r="K12" s="22" t="s">
        <v>6575</v>
      </c>
      <c r="L12" s="22" t="s">
        <v>6576</v>
      </c>
      <c r="M12" s="24">
        <v>199900</v>
      </c>
      <c r="N12" s="88">
        <f t="shared" si="2"/>
        <v>0</v>
      </c>
      <c r="O12" s="66" t="str">
        <f t="shared" si="3"/>
        <v>SHARP PRICE</v>
      </c>
      <c r="P12" s="86" t="str">
        <f t="shared" si="4"/>
        <v>AMOUNT</v>
      </c>
    </row>
    <row r="13" spans="1:16" x14ac:dyDescent="0.35">
      <c r="A13" s="23" t="str">
        <f t="shared" ref="A13:C13" si="12">A12</f>
        <v>2026 JAN-APR SHARP PRICE</v>
      </c>
      <c r="B13" s="33">
        <f t="shared" si="12"/>
        <v>46121</v>
      </c>
      <c r="C13" s="56">
        <f t="shared" si="12"/>
        <v>46127</v>
      </c>
      <c r="D13" s="18">
        <v>3321</v>
      </c>
      <c r="E13" s="18">
        <v>337</v>
      </c>
      <c r="F13" s="73">
        <v>4</v>
      </c>
      <c r="G13" s="47">
        <v>3</v>
      </c>
      <c r="H13" s="96">
        <v>81588</v>
      </c>
      <c r="I13" s="18" t="s">
        <v>2689</v>
      </c>
      <c r="J13" s="47">
        <v>63151864</v>
      </c>
      <c r="K13" s="97" t="s">
        <v>6575</v>
      </c>
      <c r="L13" s="97" t="s">
        <v>6574</v>
      </c>
      <c r="M13" s="75">
        <v>199900</v>
      </c>
      <c r="N13" s="90">
        <f t="shared" si="2"/>
        <v>0</v>
      </c>
      <c r="O13" s="91" t="str">
        <f t="shared" si="3"/>
        <v>SHARP PRICE</v>
      </c>
      <c r="P13" s="92" t="str">
        <f t="shared" si="4"/>
        <v>AMOUNT</v>
      </c>
    </row>
    <row r="14" spans="1:16" x14ac:dyDescent="0.35">
      <c r="A14" s="23" t="str">
        <f t="shared" ref="A14" si="13">A13</f>
        <v>2026 JAN-APR SHARP PRICE</v>
      </c>
      <c r="B14" s="33">
        <f t="shared" ref="B14:C14" si="14">B13</f>
        <v>46121</v>
      </c>
      <c r="C14" s="56">
        <f t="shared" si="14"/>
        <v>46127</v>
      </c>
      <c r="D14" s="32">
        <v>3321</v>
      </c>
      <c r="E14" s="32">
        <v>337</v>
      </c>
      <c r="F14" s="32">
        <v>4</v>
      </c>
      <c r="G14" s="23">
        <v>1</v>
      </c>
      <c r="H14" s="23">
        <v>81588</v>
      </c>
      <c r="I14" s="32" t="s">
        <v>2689</v>
      </c>
      <c r="J14" s="23">
        <v>68022002</v>
      </c>
      <c r="K14" s="22" t="s">
        <v>7201</v>
      </c>
      <c r="L14" s="22" t="s">
        <v>7202</v>
      </c>
      <c r="M14" s="24">
        <v>99900</v>
      </c>
      <c r="N14" s="90">
        <f t="shared" si="2"/>
        <v>0</v>
      </c>
      <c r="O14" s="91" t="str">
        <f t="shared" si="3"/>
        <v>SHARP PRICE</v>
      </c>
      <c r="P14" s="92" t="str">
        <f t="shared" si="4"/>
        <v>AMOUNT</v>
      </c>
    </row>
    <row r="15" spans="1:16" x14ac:dyDescent="0.35">
      <c r="A15" s="23" t="str">
        <f t="shared" ref="A15" si="15">A14</f>
        <v>2026 JAN-APR SHARP PRICE</v>
      </c>
      <c r="B15" s="33">
        <f t="shared" ref="B15:C15" si="16">B14</f>
        <v>46121</v>
      </c>
      <c r="C15" s="56">
        <f t="shared" si="16"/>
        <v>46127</v>
      </c>
      <c r="D15" s="32">
        <v>3321</v>
      </c>
      <c r="E15" s="32">
        <v>337</v>
      </c>
      <c r="F15" s="32">
        <v>4</v>
      </c>
      <c r="G15" s="23">
        <v>1</v>
      </c>
      <c r="H15" s="23">
        <v>81588</v>
      </c>
      <c r="I15" s="32" t="s">
        <v>2689</v>
      </c>
      <c r="J15" s="23">
        <v>68022011</v>
      </c>
      <c r="K15" s="22" t="s">
        <v>7201</v>
      </c>
      <c r="L15" s="22" t="s">
        <v>7203</v>
      </c>
      <c r="M15" s="24">
        <v>99900</v>
      </c>
      <c r="N15" s="90">
        <f t="shared" si="2"/>
        <v>0</v>
      </c>
      <c r="O15" s="91" t="str">
        <f t="shared" si="3"/>
        <v>SHARP PRICE</v>
      </c>
      <c r="P15" s="92" t="str">
        <f t="shared" si="4"/>
        <v>AMOUNT</v>
      </c>
    </row>
    <row r="16" spans="1:16" x14ac:dyDescent="0.35">
      <c r="A16" s="23" t="str">
        <f t="shared" ref="A16" si="17">A15</f>
        <v>2026 JAN-APR SHARP PRICE</v>
      </c>
      <c r="B16" s="33">
        <f t="shared" ref="B16:C17" si="18">B15</f>
        <v>46121</v>
      </c>
      <c r="C16" s="56">
        <f t="shared" si="18"/>
        <v>46127</v>
      </c>
      <c r="D16" s="32">
        <v>3321</v>
      </c>
      <c r="E16" s="32">
        <v>337</v>
      </c>
      <c r="F16" s="32">
        <v>4</v>
      </c>
      <c r="G16" s="23">
        <v>1</v>
      </c>
      <c r="H16" s="23">
        <v>81588</v>
      </c>
      <c r="I16" s="32" t="s">
        <v>2689</v>
      </c>
      <c r="J16" s="23">
        <v>68022020</v>
      </c>
      <c r="K16" s="22" t="s">
        <v>7201</v>
      </c>
      <c r="L16" s="22" t="s">
        <v>7204</v>
      </c>
      <c r="M16" s="24">
        <v>99900</v>
      </c>
      <c r="N16" s="90">
        <f t="shared" si="2"/>
        <v>0</v>
      </c>
      <c r="O16" s="91" t="str">
        <f t="shared" si="3"/>
        <v>SHARP PRICE</v>
      </c>
      <c r="P16" s="92" t="str">
        <f t="shared" si="4"/>
        <v>AMOUNT</v>
      </c>
    </row>
    <row r="17" spans="1:16" x14ac:dyDescent="0.35">
      <c r="A17" s="23" t="str">
        <f t="shared" ref="A17" si="19">A16</f>
        <v>2026 JAN-APR SHARP PRICE</v>
      </c>
      <c r="B17" s="33">
        <f t="shared" si="18"/>
        <v>46121</v>
      </c>
      <c r="C17" s="56">
        <f t="shared" si="18"/>
        <v>46127</v>
      </c>
      <c r="D17" s="32">
        <v>3321</v>
      </c>
      <c r="E17" s="32">
        <v>337</v>
      </c>
      <c r="F17" s="32">
        <v>4</v>
      </c>
      <c r="G17" s="23">
        <v>1</v>
      </c>
      <c r="H17" s="23">
        <v>81588</v>
      </c>
      <c r="I17" s="32" t="s">
        <v>2689</v>
      </c>
      <c r="J17" s="23">
        <v>68022039</v>
      </c>
      <c r="K17" s="22" t="s">
        <v>7201</v>
      </c>
      <c r="L17" s="22" t="s">
        <v>7205</v>
      </c>
      <c r="M17" s="24">
        <v>99900</v>
      </c>
      <c r="N17" s="90">
        <f t="shared" si="2"/>
        <v>0</v>
      </c>
      <c r="O17" s="91" t="str">
        <f t="shared" si="3"/>
        <v>SHARP PRICE</v>
      </c>
      <c r="P17" s="92" t="str">
        <f t="shared" si="4"/>
        <v>AMOUNT</v>
      </c>
    </row>
    <row r="18" spans="1:16" x14ac:dyDescent="0.35">
      <c r="A18" s="23" t="str">
        <f t="shared" ref="A18" si="20">A17</f>
        <v>2026 JAN-APR SHARP PRICE</v>
      </c>
      <c r="B18" s="33">
        <f t="shared" ref="B18:C18" si="21">B17</f>
        <v>46121</v>
      </c>
      <c r="C18" s="56">
        <f t="shared" si="21"/>
        <v>46127</v>
      </c>
      <c r="D18" s="32">
        <v>3321</v>
      </c>
      <c r="E18" s="32">
        <v>337</v>
      </c>
      <c r="F18" s="32">
        <v>4</v>
      </c>
      <c r="G18" s="23">
        <v>5</v>
      </c>
      <c r="H18" s="23">
        <v>81506</v>
      </c>
      <c r="I18" s="32" t="s">
        <v>2689</v>
      </c>
      <c r="J18" s="23">
        <v>68783940</v>
      </c>
      <c r="K18" s="22" t="s">
        <v>7206</v>
      </c>
      <c r="L18" s="22" t="s">
        <v>7207</v>
      </c>
      <c r="M18" s="24">
        <v>179900</v>
      </c>
      <c r="N18" s="90">
        <f t="shared" si="2"/>
        <v>0</v>
      </c>
      <c r="O18" s="91" t="str">
        <f t="shared" si="3"/>
        <v>SHARP PRICE</v>
      </c>
      <c r="P18" s="92" t="str">
        <f t="shared" si="4"/>
        <v>AMOUNT</v>
      </c>
    </row>
    <row r="19" spans="1:16" x14ac:dyDescent="0.35">
      <c r="A19" s="23" t="str">
        <f t="shared" ref="A19" si="22">A18</f>
        <v>2026 JAN-APR SHARP PRICE</v>
      </c>
      <c r="B19" s="33">
        <f t="shared" ref="B19:C19" si="23">B18</f>
        <v>46121</v>
      </c>
      <c r="C19" s="56">
        <f t="shared" si="23"/>
        <v>46127</v>
      </c>
      <c r="D19" s="32">
        <v>3321</v>
      </c>
      <c r="E19" s="32">
        <v>337</v>
      </c>
      <c r="F19" s="32">
        <v>4</v>
      </c>
      <c r="G19" s="23">
        <v>5</v>
      </c>
      <c r="H19" s="23">
        <v>81506</v>
      </c>
      <c r="I19" s="32" t="s">
        <v>2689</v>
      </c>
      <c r="J19" s="23">
        <v>68783959</v>
      </c>
      <c r="K19" s="22" t="s">
        <v>7206</v>
      </c>
      <c r="L19" s="22" t="s">
        <v>7208</v>
      </c>
      <c r="M19" s="24">
        <v>179900</v>
      </c>
      <c r="N19" s="90">
        <f t="shared" si="2"/>
        <v>0</v>
      </c>
      <c r="O19" s="91" t="str">
        <f t="shared" si="3"/>
        <v>SHARP PRICE</v>
      </c>
      <c r="P19" s="92" t="str">
        <f t="shared" si="4"/>
        <v>AMOUNT</v>
      </c>
    </row>
    <row r="20" spans="1:16" x14ac:dyDescent="0.35">
      <c r="A20" s="23" t="str">
        <f t="shared" ref="A20" si="24">A19</f>
        <v>2026 JAN-APR SHARP PRICE</v>
      </c>
      <c r="B20" s="33">
        <f t="shared" ref="B20:C20" si="25">B19</f>
        <v>46121</v>
      </c>
      <c r="C20" s="56">
        <f t="shared" si="25"/>
        <v>46127</v>
      </c>
      <c r="D20" s="32">
        <v>3321</v>
      </c>
      <c r="E20" s="32">
        <v>337</v>
      </c>
      <c r="F20" s="32">
        <v>4</v>
      </c>
      <c r="G20" s="23">
        <v>5</v>
      </c>
      <c r="H20" s="23">
        <v>81506</v>
      </c>
      <c r="I20" s="32" t="s">
        <v>2689</v>
      </c>
      <c r="J20" s="23">
        <v>68783968</v>
      </c>
      <c r="K20" s="22" t="s">
        <v>7206</v>
      </c>
      <c r="L20" s="22" t="s">
        <v>7209</v>
      </c>
      <c r="M20" s="24">
        <v>179900</v>
      </c>
      <c r="N20" s="90">
        <f t="shared" si="2"/>
        <v>0</v>
      </c>
      <c r="O20" s="91" t="str">
        <f t="shared" si="3"/>
        <v>SHARP PRICE</v>
      </c>
      <c r="P20" s="92" t="str">
        <f t="shared" si="4"/>
        <v>AMOUNT</v>
      </c>
    </row>
    <row r="21" spans="1:16" x14ac:dyDescent="0.35">
      <c r="A21" s="23" t="str">
        <f t="shared" ref="A21:C36" si="26">A20</f>
        <v>2026 JAN-APR SHARP PRICE</v>
      </c>
      <c r="B21" s="33">
        <f t="shared" ref="B21:C21" si="27">B20</f>
        <v>46121</v>
      </c>
      <c r="C21" s="56">
        <f t="shared" si="27"/>
        <v>46127</v>
      </c>
      <c r="D21" s="32">
        <v>3321</v>
      </c>
      <c r="E21" s="32">
        <v>337</v>
      </c>
      <c r="F21" s="32">
        <v>4</v>
      </c>
      <c r="G21" s="23">
        <v>5</v>
      </c>
      <c r="H21" s="23">
        <v>81506</v>
      </c>
      <c r="I21" s="32" t="s">
        <v>2689</v>
      </c>
      <c r="J21" s="23">
        <v>68783977</v>
      </c>
      <c r="K21" s="22" t="s">
        <v>7206</v>
      </c>
      <c r="L21" s="22" t="s">
        <v>7210</v>
      </c>
      <c r="M21" s="24">
        <v>179900</v>
      </c>
      <c r="N21" s="90">
        <f t="shared" si="2"/>
        <v>0</v>
      </c>
      <c r="O21" s="91" t="str">
        <f t="shared" si="3"/>
        <v>SHARP PRICE</v>
      </c>
      <c r="P21" s="92" t="str">
        <f t="shared" si="4"/>
        <v>AMOUNT</v>
      </c>
    </row>
    <row r="22" spans="1:16" x14ac:dyDescent="0.35">
      <c r="A22" s="23" t="str">
        <f t="shared" si="26"/>
        <v>2026 JAN-APR SHARP PRICE</v>
      </c>
      <c r="B22" s="33">
        <f t="shared" si="26"/>
        <v>46121</v>
      </c>
      <c r="C22" s="56">
        <f t="shared" si="26"/>
        <v>46127</v>
      </c>
      <c r="D22" s="32">
        <v>3321</v>
      </c>
      <c r="E22" s="32">
        <v>337</v>
      </c>
      <c r="F22" s="32">
        <v>4</v>
      </c>
      <c r="G22" s="32">
        <v>1</v>
      </c>
      <c r="H22" s="23">
        <v>81588</v>
      </c>
      <c r="I22" s="32" t="s">
        <v>2689</v>
      </c>
      <c r="J22" s="23">
        <v>68783986</v>
      </c>
      <c r="K22" s="22" t="s">
        <v>7211</v>
      </c>
      <c r="L22" s="22" t="s">
        <v>7212</v>
      </c>
      <c r="M22" s="24">
        <v>99900</v>
      </c>
      <c r="N22" s="90">
        <f t="shared" si="2"/>
        <v>0</v>
      </c>
      <c r="O22" s="91" t="str">
        <f t="shared" si="3"/>
        <v>SHARP PRICE</v>
      </c>
      <c r="P22" s="92" t="str">
        <f t="shared" si="4"/>
        <v>AMOUNT</v>
      </c>
    </row>
    <row r="23" spans="1:16" x14ac:dyDescent="0.35">
      <c r="A23" s="23" t="str">
        <f t="shared" si="26"/>
        <v>2026 JAN-APR SHARP PRICE</v>
      </c>
      <c r="B23" s="33">
        <f t="shared" si="26"/>
        <v>46121</v>
      </c>
      <c r="C23" s="56">
        <f t="shared" si="26"/>
        <v>46127</v>
      </c>
      <c r="D23" s="32">
        <v>3321</v>
      </c>
      <c r="E23" s="32">
        <v>337</v>
      </c>
      <c r="F23" s="32">
        <v>4</v>
      </c>
      <c r="G23" s="32">
        <v>1</v>
      </c>
      <c r="H23" s="23">
        <v>81588</v>
      </c>
      <c r="I23" s="32" t="s">
        <v>2689</v>
      </c>
      <c r="J23" s="23">
        <v>68783995</v>
      </c>
      <c r="K23" s="22" t="s">
        <v>7211</v>
      </c>
      <c r="L23" s="22" t="s">
        <v>7213</v>
      </c>
      <c r="M23" s="24">
        <v>99900</v>
      </c>
      <c r="N23" s="90">
        <f t="shared" si="2"/>
        <v>0</v>
      </c>
      <c r="O23" s="91" t="str">
        <f t="shared" si="3"/>
        <v>SHARP PRICE</v>
      </c>
      <c r="P23" s="92" t="str">
        <f t="shared" si="4"/>
        <v>AMOUNT</v>
      </c>
    </row>
    <row r="24" spans="1:16" x14ac:dyDescent="0.35">
      <c r="A24" s="23" t="str">
        <f t="shared" si="26"/>
        <v>2026 JAN-APR SHARP PRICE</v>
      </c>
      <c r="B24" s="33">
        <f t="shared" si="26"/>
        <v>46121</v>
      </c>
      <c r="C24" s="56">
        <f t="shared" si="26"/>
        <v>46127</v>
      </c>
      <c r="D24" s="32">
        <v>3321</v>
      </c>
      <c r="E24" s="32">
        <v>337</v>
      </c>
      <c r="F24" s="32">
        <v>4</v>
      </c>
      <c r="G24" s="32">
        <v>1</v>
      </c>
      <c r="H24" s="23">
        <v>81588</v>
      </c>
      <c r="I24" s="32" t="s">
        <v>2689</v>
      </c>
      <c r="J24" s="23">
        <v>68784001</v>
      </c>
      <c r="K24" s="22" t="s">
        <v>7211</v>
      </c>
      <c r="L24" s="22" t="s">
        <v>7214</v>
      </c>
      <c r="M24" s="24">
        <v>99900</v>
      </c>
      <c r="N24" s="90">
        <f t="shared" si="2"/>
        <v>0</v>
      </c>
      <c r="O24" s="91" t="str">
        <f t="shared" si="3"/>
        <v>SHARP PRICE</v>
      </c>
      <c r="P24" s="92" t="str">
        <f t="shared" si="4"/>
        <v>AMOUNT</v>
      </c>
    </row>
    <row r="25" spans="1:16" x14ac:dyDescent="0.35">
      <c r="A25" s="23" t="str">
        <f t="shared" si="26"/>
        <v>2026 JAN-APR SHARP PRICE</v>
      </c>
      <c r="B25" s="33">
        <f t="shared" si="26"/>
        <v>46121</v>
      </c>
      <c r="C25" s="56">
        <f t="shared" si="26"/>
        <v>46127</v>
      </c>
      <c r="D25" s="32">
        <v>3321</v>
      </c>
      <c r="E25" s="32">
        <v>337</v>
      </c>
      <c r="F25" s="32">
        <v>4</v>
      </c>
      <c r="G25" s="32">
        <v>1</v>
      </c>
      <c r="H25" s="23">
        <v>81588</v>
      </c>
      <c r="I25" s="32" t="s">
        <v>2689</v>
      </c>
      <c r="J25" s="23">
        <v>68784010</v>
      </c>
      <c r="K25" s="22" t="s">
        <v>7211</v>
      </c>
      <c r="L25" s="22" t="s">
        <v>7215</v>
      </c>
      <c r="M25" s="24">
        <v>99900</v>
      </c>
      <c r="N25" s="90">
        <f t="shared" si="2"/>
        <v>0</v>
      </c>
      <c r="O25" s="91" t="str">
        <f t="shared" si="3"/>
        <v>SHARP PRICE</v>
      </c>
      <c r="P25" s="92" t="str">
        <f t="shared" si="4"/>
        <v>AMOUNT</v>
      </c>
    </row>
    <row r="26" spans="1:16" x14ac:dyDescent="0.35">
      <c r="A26" s="23" t="str">
        <f t="shared" si="26"/>
        <v>2026 JAN-APR SHARP PRICE</v>
      </c>
      <c r="B26" s="33">
        <f t="shared" si="26"/>
        <v>46121</v>
      </c>
      <c r="C26" s="56">
        <f t="shared" si="26"/>
        <v>46127</v>
      </c>
      <c r="D26" s="32">
        <v>3321</v>
      </c>
      <c r="E26" s="32">
        <v>337</v>
      </c>
      <c r="F26" s="32">
        <v>4</v>
      </c>
      <c r="G26" s="32">
        <v>1</v>
      </c>
      <c r="H26" s="23">
        <v>81588</v>
      </c>
      <c r="I26" s="32" t="s">
        <v>2689</v>
      </c>
      <c r="J26" s="23">
        <v>68784029</v>
      </c>
      <c r="K26" s="22" t="s">
        <v>7211</v>
      </c>
      <c r="L26" s="22" t="s">
        <v>7216</v>
      </c>
      <c r="M26" s="24">
        <v>99900</v>
      </c>
      <c r="N26" s="90">
        <f t="shared" si="2"/>
        <v>0</v>
      </c>
      <c r="O26" s="91" t="str">
        <f t="shared" si="3"/>
        <v>SHARP PRICE</v>
      </c>
      <c r="P26" s="92" t="str">
        <f t="shared" si="4"/>
        <v>AMOUNT</v>
      </c>
    </row>
    <row r="27" spans="1:16" x14ac:dyDescent="0.35">
      <c r="A27" s="23" t="str">
        <f t="shared" si="26"/>
        <v>2026 JAN-APR SHARP PRICE</v>
      </c>
      <c r="B27" s="33">
        <f t="shared" si="26"/>
        <v>46121</v>
      </c>
      <c r="C27" s="56">
        <f t="shared" si="26"/>
        <v>46127</v>
      </c>
      <c r="D27" s="32">
        <v>3321</v>
      </c>
      <c r="E27" s="32">
        <v>337</v>
      </c>
      <c r="F27" s="32">
        <v>4</v>
      </c>
      <c r="G27" s="32">
        <v>1</v>
      </c>
      <c r="H27" s="23">
        <v>81588</v>
      </c>
      <c r="I27" s="32" t="s">
        <v>2689</v>
      </c>
      <c r="J27" s="23">
        <v>68784038</v>
      </c>
      <c r="K27" s="22" t="s">
        <v>7211</v>
      </c>
      <c r="L27" s="22" t="s">
        <v>7217</v>
      </c>
      <c r="M27" s="24">
        <v>99900</v>
      </c>
      <c r="N27" s="90">
        <f t="shared" si="2"/>
        <v>0</v>
      </c>
      <c r="O27" s="91" t="str">
        <f t="shared" si="3"/>
        <v>SHARP PRICE</v>
      </c>
      <c r="P27" s="92" t="str">
        <f t="shared" si="4"/>
        <v>AMOUNT</v>
      </c>
    </row>
    <row r="28" spans="1:16" x14ac:dyDescent="0.35">
      <c r="A28" s="23" t="str">
        <f t="shared" si="26"/>
        <v>2026 JAN-APR SHARP PRICE</v>
      </c>
      <c r="B28" s="33">
        <f t="shared" si="26"/>
        <v>46121</v>
      </c>
      <c r="C28" s="56">
        <f t="shared" si="26"/>
        <v>46127</v>
      </c>
      <c r="D28" s="32">
        <v>3321</v>
      </c>
      <c r="E28" s="32">
        <v>337</v>
      </c>
      <c r="F28" s="32">
        <v>4</v>
      </c>
      <c r="G28" s="32">
        <v>1</v>
      </c>
      <c r="H28" s="23">
        <v>81588</v>
      </c>
      <c r="I28" s="32" t="s">
        <v>2689</v>
      </c>
      <c r="J28" s="23">
        <v>68784047</v>
      </c>
      <c r="K28" s="22" t="s">
        <v>7211</v>
      </c>
      <c r="L28" s="22" t="s">
        <v>7218</v>
      </c>
      <c r="M28" s="24">
        <v>99900</v>
      </c>
      <c r="N28" s="90">
        <f t="shared" si="2"/>
        <v>0</v>
      </c>
      <c r="O28" s="91" t="str">
        <f t="shared" si="3"/>
        <v>SHARP PRICE</v>
      </c>
      <c r="P28" s="92" t="str">
        <f t="shared" si="4"/>
        <v>AMOUNT</v>
      </c>
    </row>
    <row r="29" spans="1:16" x14ac:dyDescent="0.35">
      <c r="A29" s="23" t="str">
        <f t="shared" si="26"/>
        <v>2026 JAN-APR SHARP PRICE</v>
      </c>
      <c r="B29" s="33">
        <f t="shared" si="26"/>
        <v>46121</v>
      </c>
      <c r="C29" s="56">
        <f t="shared" si="26"/>
        <v>46127</v>
      </c>
      <c r="D29" s="32">
        <v>3321</v>
      </c>
      <c r="E29" s="32">
        <v>337</v>
      </c>
      <c r="F29" s="32">
        <v>4</v>
      </c>
      <c r="G29" s="32">
        <v>3</v>
      </c>
      <c r="H29" s="23">
        <v>81588</v>
      </c>
      <c r="I29" s="32" t="s">
        <v>2689</v>
      </c>
      <c r="J29" s="23">
        <v>68783235</v>
      </c>
      <c r="K29" s="22" t="s">
        <v>7219</v>
      </c>
      <c r="L29" s="22" t="s">
        <v>7220</v>
      </c>
      <c r="M29" s="24">
        <v>199900</v>
      </c>
      <c r="N29" s="90">
        <f t="shared" si="2"/>
        <v>0</v>
      </c>
      <c r="O29" s="91" t="str">
        <f t="shared" si="3"/>
        <v>SHARP PRICE</v>
      </c>
      <c r="P29" s="92" t="str">
        <f t="shared" si="4"/>
        <v>AMOUNT</v>
      </c>
    </row>
    <row r="30" spans="1:16" x14ac:dyDescent="0.35">
      <c r="A30" s="23" t="str">
        <f t="shared" si="26"/>
        <v>2026 JAN-APR SHARP PRICE</v>
      </c>
      <c r="B30" s="33">
        <f t="shared" si="26"/>
        <v>46121</v>
      </c>
      <c r="C30" s="56">
        <f t="shared" si="26"/>
        <v>46127</v>
      </c>
      <c r="D30" s="32">
        <v>3321</v>
      </c>
      <c r="E30" s="32">
        <v>337</v>
      </c>
      <c r="F30" s="32">
        <v>4</v>
      </c>
      <c r="G30" s="32">
        <v>3</v>
      </c>
      <c r="H30" s="23">
        <v>81588</v>
      </c>
      <c r="I30" s="32" t="s">
        <v>2689</v>
      </c>
      <c r="J30" s="23">
        <v>68783244</v>
      </c>
      <c r="K30" s="22" t="s">
        <v>7219</v>
      </c>
      <c r="L30" s="22" t="s">
        <v>7221</v>
      </c>
      <c r="M30" s="24">
        <v>199900</v>
      </c>
      <c r="N30" s="90">
        <f t="shared" si="2"/>
        <v>0</v>
      </c>
      <c r="O30" s="91" t="str">
        <f t="shared" si="3"/>
        <v>SHARP PRICE</v>
      </c>
      <c r="P30" s="92" t="str">
        <f t="shared" si="4"/>
        <v>AMOUNT</v>
      </c>
    </row>
    <row r="31" spans="1:16" x14ac:dyDescent="0.35">
      <c r="A31" s="23" t="str">
        <f t="shared" si="26"/>
        <v>2026 JAN-APR SHARP PRICE</v>
      </c>
      <c r="B31" s="33">
        <f t="shared" si="26"/>
        <v>46121</v>
      </c>
      <c r="C31" s="56">
        <f t="shared" si="26"/>
        <v>46127</v>
      </c>
      <c r="D31" s="32">
        <v>3321</v>
      </c>
      <c r="E31" s="32">
        <v>337</v>
      </c>
      <c r="F31" s="32">
        <v>4</v>
      </c>
      <c r="G31" s="32">
        <v>3</v>
      </c>
      <c r="H31" s="23">
        <v>81588</v>
      </c>
      <c r="I31" s="32" t="s">
        <v>2689</v>
      </c>
      <c r="J31" s="23">
        <v>68783253</v>
      </c>
      <c r="K31" s="22" t="s">
        <v>7219</v>
      </c>
      <c r="L31" s="22" t="s">
        <v>7222</v>
      </c>
      <c r="M31" s="24">
        <v>199900</v>
      </c>
      <c r="N31" s="90">
        <f t="shared" si="2"/>
        <v>0</v>
      </c>
      <c r="O31" s="91" t="str">
        <f t="shared" si="3"/>
        <v>SHARP PRICE</v>
      </c>
      <c r="P31" s="92" t="str">
        <f t="shared" si="4"/>
        <v>AMOUNT</v>
      </c>
    </row>
    <row r="32" spans="1:16" x14ac:dyDescent="0.35">
      <c r="A32" s="23" t="str">
        <f t="shared" si="26"/>
        <v>2026 JAN-APR SHARP PRICE</v>
      </c>
      <c r="B32" s="33">
        <f t="shared" si="26"/>
        <v>46121</v>
      </c>
      <c r="C32" s="56">
        <f t="shared" si="26"/>
        <v>46127</v>
      </c>
      <c r="D32" s="32">
        <v>3321</v>
      </c>
      <c r="E32" s="32">
        <v>337</v>
      </c>
      <c r="F32" s="32">
        <v>4</v>
      </c>
      <c r="G32" s="32">
        <v>3</v>
      </c>
      <c r="H32" s="23">
        <v>81588</v>
      </c>
      <c r="I32" s="32" t="s">
        <v>2689</v>
      </c>
      <c r="J32" s="23">
        <v>68783262</v>
      </c>
      <c r="K32" s="22" t="s">
        <v>7219</v>
      </c>
      <c r="L32" s="22" t="s">
        <v>7223</v>
      </c>
      <c r="M32" s="24">
        <v>199900</v>
      </c>
      <c r="N32" s="90">
        <f t="shared" si="2"/>
        <v>0</v>
      </c>
      <c r="O32" s="91" t="str">
        <f t="shared" si="3"/>
        <v>SHARP PRICE</v>
      </c>
      <c r="P32" s="92" t="str">
        <f t="shared" si="4"/>
        <v>AMOUNT</v>
      </c>
    </row>
    <row r="33" spans="1:16" x14ac:dyDescent="0.35">
      <c r="A33" s="23" t="str">
        <f t="shared" si="26"/>
        <v>2026 JAN-APR SHARP PRICE</v>
      </c>
      <c r="B33" s="33">
        <f t="shared" si="26"/>
        <v>46121</v>
      </c>
      <c r="C33" s="56">
        <f t="shared" si="26"/>
        <v>46127</v>
      </c>
      <c r="D33" s="32">
        <v>3321</v>
      </c>
      <c r="E33" s="32">
        <v>337</v>
      </c>
      <c r="F33" s="32">
        <v>4</v>
      </c>
      <c r="G33" s="32">
        <v>3</v>
      </c>
      <c r="H33" s="23">
        <v>81588</v>
      </c>
      <c r="I33" s="32" t="s">
        <v>2689</v>
      </c>
      <c r="J33" s="23">
        <v>68783271</v>
      </c>
      <c r="K33" s="22" t="s">
        <v>7219</v>
      </c>
      <c r="L33" s="22" t="s">
        <v>7224</v>
      </c>
      <c r="M33" s="24">
        <v>199900</v>
      </c>
      <c r="N33" s="90">
        <f t="shared" si="2"/>
        <v>0</v>
      </c>
      <c r="O33" s="91" t="str">
        <f t="shared" si="3"/>
        <v>SHARP PRICE</v>
      </c>
      <c r="P33" s="92" t="str">
        <f t="shared" si="4"/>
        <v>AMOUNT</v>
      </c>
    </row>
    <row r="34" spans="1:16" x14ac:dyDescent="0.35">
      <c r="A34" s="23" t="str">
        <f t="shared" si="26"/>
        <v>2026 JAN-APR SHARP PRICE</v>
      </c>
      <c r="B34" s="33">
        <f t="shared" si="26"/>
        <v>46121</v>
      </c>
      <c r="C34" s="56">
        <f t="shared" si="26"/>
        <v>46127</v>
      </c>
      <c r="D34" s="32">
        <v>3321</v>
      </c>
      <c r="E34" s="32">
        <v>337</v>
      </c>
      <c r="F34" s="32">
        <v>4</v>
      </c>
      <c r="G34" s="32">
        <v>3</v>
      </c>
      <c r="H34" s="23">
        <v>81588</v>
      </c>
      <c r="I34" s="32" t="s">
        <v>2689</v>
      </c>
      <c r="J34" s="23">
        <v>68783280</v>
      </c>
      <c r="K34" s="22" t="s">
        <v>7219</v>
      </c>
      <c r="L34" s="22" t="s">
        <v>7225</v>
      </c>
      <c r="M34" s="24">
        <v>199900</v>
      </c>
      <c r="N34" s="90">
        <f t="shared" si="2"/>
        <v>0</v>
      </c>
      <c r="O34" s="91" t="str">
        <f t="shared" si="3"/>
        <v>SHARP PRICE</v>
      </c>
      <c r="P34" s="92" t="str">
        <f t="shared" si="4"/>
        <v>AMOUNT</v>
      </c>
    </row>
    <row r="35" spans="1:16" x14ac:dyDescent="0.35">
      <c r="A35" s="23" t="str">
        <f t="shared" si="26"/>
        <v>2026 JAN-APR SHARP PRICE</v>
      </c>
      <c r="B35" s="33">
        <f t="shared" si="26"/>
        <v>46121</v>
      </c>
      <c r="C35" s="56">
        <f t="shared" si="26"/>
        <v>46127</v>
      </c>
      <c r="D35" s="32">
        <v>3321</v>
      </c>
      <c r="E35" s="32">
        <v>337</v>
      </c>
      <c r="F35" s="32">
        <v>4</v>
      </c>
      <c r="G35" s="32">
        <v>3</v>
      </c>
      <c r="H35" s="23">
        <v>81588</v>
      </c>
      <c r="I35" s="32" t="s">
        <v>2689</v>
      </c>
      <c r="J35" s="23">
        <v>68783299</v>
      </c>
      <c r="K35" s="22" t="s">
        <v>7219</v>
      </c>
      <c r="L35" s="22" t="s">
        <v>7226</v>
      </c>
      <c r="M35" s="24">
        <v>199900</v>
      </c>
      <c r="N35" s="90">
        <f t="shared" si="2"/>
        <v>0</v>
      </c>
      <c r="O35" s="91" t="str">
        <f t="shared" si="3"/>
        <v>SHARP PRICE</v>
      </c>
      <c r="P35" s="92" t="str">
        <f t="shared" si="4"/>
        <v>AMOUNT</v>
      </c>
    </row>
    <row r="36" spans="1:16" x14ac:dyDescent="0.35">
      <c r="A36" s="23" t="str">
        <f t="shared" si="26"/>
        <v>2026 JAN-APR SHARP PRICE</v>
      </c>
      <c r="B36" s="33">
        <f t="shared" si="26"/>
        <v>46121</v>
      </c>
      <c r="C36" s="56">
        <f t="shared" si="26"/>
        <v>46127</v>
      </c>
      <c r="D36" s="32">
        <v>3321</v>
      </c>
      <c r="E36" s="32">
        <v>337</v>
      </c>
      <c r="F36" s="32">
        <v>4</v>
      </c>
      <c r="G36" s="32">
        <v>4</v>
      </c>
      <c r="H36" s="23">
        <v>81588</v>
      </c>
      <c r="I36" s="32" t="s">
        <v>2689</v>
      </c>
      <c r="J36" s="23">
        <v>68783306</v>
      </c>
      <c r="K36" s="22" t="s">
        <v>7227</v>
      </c>
      <c r="L36" s="22" t="s">
        <v>7228</v>
      </c>
      <c r="M36" s="24">
        <v>149900</v>
      </c>
      <c r="N36" s="90">
        <f t="shared" si="2"/>
        <v>0</v>
      </c>
      <c r="O36" s="91" t="str">
        <f t="shared" si="3"/>
        <v>SHARP PRICE</v>
      </c>
      <c r="P36" s="92" t="str">
        <f t="shared" si="4"/>
        <v>AMOUNT</v>
      </c>
    </row>
    <row r="37" spans="1:16" x14ac:dyDescent="0.35">
      <c r="A37" s="23" t="str">
        <f t="shared" ref="A37:C52" si="28">A36</f>
        <v>2026 JAN-APR SHARP PRICE</v>
      </c>
      <c r="B37" s="33">
        <f t="shared" si="28"/>
        <v>46121</v>
      </c>
      <c r="C37" s="56">
        <f t="shared" si="28"/>
        <v>46127</v>
      </c>
      <c r="D37" s="32">
        <v>3321</v>
      </c>
      <c r="E37" s="32">
        <v>337</v>
      </c>
      <c r="F37" s="32">
        <v>4</v>
      </c>
      <c r="G37" s="32">
        <v>4</v>
      </c>
      <c r="H37" s="23">
        <v>81588</v>
      </c>
      <c r="I37" s="32" t="s">
        <v>2689</v>
      </c>
      <c r="J37" s="23">
        <v>68783315</v>
      </c>
      <c r="K37" s="22" t="s">
        <v>7227</v>
      </c>
      <c r="L37" s="22" t="s">
        <v>7229</v>
      </c>
      <c r="M37" s="24">
        <v>149900</v>
      </c>
      <c r="N37" s="90">
        <f t="shared" si="2"/>
        <v>0</v>
      </c>
      <c r="O37" s="91" t="str">
        <f t="shared" si="3"/>
        <v>SHARP PRICE</v>
      </c>
      <c r="P37" s="92" t="str">
        <f t="shared" si="4"/>
        <v>AMOUNT</v>
      </c>
    </row>
    <row r="38" spans="1:16" x14ac:dyDescent="0.35">
      <c r="A38" s="23" t="str">
        <f t="shared" si="28"/>
        <v>2026 JAN-APR SHARP PRICE</v>
      </c>
      <c r="B38" s="33">
        <f t="shared" si="28"/>
        <v>46121</v>
      </c>
      <c r="C38" s="56">
        <f t="shared" si="28"/>
        <v>46127</v>
      </c>
      <c r="D38" s="32">
        <v>3321</v>
      </c>
      <c r="E38" s="32">
        <v>337</v>
      </c>
      <c r="F38" s="32">
        <v>4</v>
      </c>
      <c r="G38" s="32">
        <v>4</v>
      </c>
      <c r="H38" s="23">
        <v>81588</v>
      </c>
      <c r="I38" s="32" t="s">
        <v>2689</v>
      </c>
      <c r="J38" s="23">
        <v>68783324</v>
      </c>
      <c r="K38" s="22" t="s">
        <v>7227</v>
      </c>
      <c r="L38" s="22" t="s">
        <v>7230</v>
      </c>
      <c r="M38" s="24">
        <v>149900</v>
      </c>
      <c r="N38" s="90">
        <f t="shared" si="2"/>
        <v>0</v>
      </c>
      <c r="O38" s="91" t="str">
        <f t="shared" si="3"/>
        <v>SHARP PRICE</v>
      </c>
      <c r="P38" s="92" t="str">
        <f t="shared" si="4"/>
        <v>AMOUNT</v>
      </c>
    </row>
    <row r="39" spans="1:16" x14ac:dyDescent="0.35">
      <c r="A39" s="23" t="str">
        <f t="shared" si="28"/>
        <v>2026 JAN-APR SHARP PRICE</v>
      </c>
      <c r="B39" s="33">
        <f t="shared" si="28"/>
        <v>46121</v>
      </c>
      <c r="C39" s="56">
        <f t="shared" si="28"/>
        <v>46127</v>
      </c>
      <c r="D39" s="32">
        <v>3321</v>
      </c>
      <c r="E39" s="32">
        <v>337</v>
      </c>
      <c r="F39" s="32">
        <v>4</v>
      </c>
      <c r="G39" s="32">
        <v>4</v>
      </c>
      <c r="H39" s="23">
        <v>81588</v>
      </c>
      <c r="I39" s="32" t="s">
        <v>2689</v>
      </c>
      <c r="J39" s="23">
        <v>68783333</v>
      </c>
      <c r="K39" s="22" t="s">
        <v>7227</v>
      </c>
      <c r="L39" s="22" t="s">
        <v>7231</v>
      </c>
      <c r="M39" s="24">
        <v>149900</v>
      </c>
      <c r="N39" s="90">
        <f t="shared" si="2"/>
        <v>0</v>
      </c>
      <c r="O39" s="91" t="str">
        <f t="shared" si="3"/>
        <v>SHARP PRICE</v>
      </c>
      <c r="P39" s="92" t="str">
        <f t="shared" si="4"/>
        <v>AMOUNT</v>
      </c>
    </row>
    <row r="40" spans="1:16" x14ac:dyDescent="0.35">
      <c r="A40" s="23" t="str">
        <f t="shared" si="28"/>
        <v>2026 JAN-APR SHARP PRICE</v>
      </c>
      <c r="B40" s="33">
        <f t="shared" si="28"/>
        <v>46121</v>
      </c>
      <c r="C40" s="56">
        <f t="shared" si="28"/>
        <v>46127</v>
      </c>
      <c r="D40" s="32">
        <v>3321</v>
      </c>
      <c r="E40" s="32">
        <v>337</v>
      </c>
      <c r="F40" s="32">
        <v>4</v>
      </c>
      <c r="G40" s="32">
        <v>4</v>
      </c>
      <c r="H40" s="23">
        <v>81588</v>
      </c>
      <c r="I40" s="32" t="s">
        <v>2689</v>
      </c>
      <c r="J40" s="23">
        <v>68783342</v>
      </c>
      <c r="K40" s="22" t="s">
        <v>7227</v>
      </c>
      <c r="L40" s="22" t="s">
        <v>7232</v>
      </c>
      <c r="M40" s="24">
        <v>149900</v>
      </c>
      <c r="N40" s="90">
        <f t="shared" si="2"/>
        <v>0</v>
      </c>
      <c r="O40" s="91" t="str">
        <f t="shared" si="3"/>
        <v>SHARP PRICE</v>
      </c>
      <c r="P40" s="92" t="str">
        <f t="shared" si="4"/>
        <v>AMOUNT</v>
      </c>
    </row>
    <row r="41" spans="1:16" x14ac:dyDescent="0.35">
      <c r="A41" s="23" t="str">
        <f t="shared" si="28"/>
        <v>2026 JAN-APR SHARP PRICE</v>
      </c>
      <c r="B41" s="33">
        <f t="shared" si="28"/>
        <v>46121</v>
      </c>
      <c r="C41" s="56">
        <f t="shared" si="28"/>
        <v>46127</v>
      </c>
      <c r="D41" s="32">
        <v>3321</v>
      </c>
      <c r="E41" s="32">
        <v>337</v>
      </c>
      <c r="F41" s="32">
        <v>4</v>
      </c>
      <c r="G41" s="32">
        <v>4</v>
      </c>
      <c r="H41" s="23">
        <v>81588</v>
      </c>
      <c r="I41" s="32" t="s">
        <v>2689</v>
      </c>
      <c r="J41" s="23">
        <v>68783351</v>
      </c>
      <c r="K41" s="22" t="s">
        <v>7227</v>
      </c>
      <c r="L41" s="22" t="s">
        <v>7233</v>
      </c>
      <c r="M41" s="24">
        <v>149900</v>
      </c>
      <c r="N41" s="90">
        <f t="shared" si="2"/>
        <v>0</v>
      </c>
      <c r="O41" s="91" t="str">
        <f t="shared" si="3"/>
        <v>SHARP PRICE</v>
      </c>
      <c r="P41" s="92" t="str">
        <f t="shared" si="4"/>
        <v>AMOUNT</v>
      </c>
    </row>
    <row r="42" spans="1:16" x14ac:dyDescent="0.35">
      <c r="A42" s="23" t="str">
        <f t="shared" si="28"/>
        <v>2026 JAN-APR SHARP PRICE</v>
      </c>
      <c r="B42" s="33">
        <f t="shared" si="28"/>
        <v>46121</v>
      </c>
      <c r="C42" s="56">
        <f t="shared" si="28"/>
        <v>46127</v>
      </c>
      <c r="D42" s="32">
        <v>3321</v>
      </c>
      <c r="E42" s="32">
        <v>337</v>
      </c>
      <c r="F42" s="32">
        <v>4</v>
      </c>
      <c r="G42" s="32">
        <v>4</v>
      </c>
      <c r="H42" s="23">
        <v>81588</v>
      </c>
      <c r="I42" s="32" t="s">
        <v>2689</v>
      </c>
      <c r="J42" s="23">
        <v>68783360</v>
      </c>
      <c r="K42" s="22" t="s">
        <v>7227</v>
      </c>
      <c r="L42" s="22" t="s">
        <v>7234</v>
      </c>
      <c r="M42" s="24">
        <v>149900</v>
      </c>
      <c r="N42" s="90">
        <f t="shared" si="2"/>
        <v>0</v>
      </c>
      <c r="O42" s="91" t="str">
        <f t="shared" si="3"/>
        <v>SHARP PRICE</v>
      </c>
      <c r="P42" s="92" t="str">
        <f t="shared" si="4"/>
        <v>AMOUNT</v>
      </c>
    </row>
    <row r="43" spans="1:16" x14ac:dyDescent="0.35">
      <c r="A43" s="23" t="str">
        <f t="shared" si="28"/>
        <v>2026 JAN-APR SHARP PRICE</v>
      </c>
      <c r="B43" s="33">
        <f t="shared" si="28"/>
        <v>46121</v>
      </c>
      <c r="C43" s="56">
        <f t="shared" si="28"/>
        <v>46127</v>
      </c>
      <c r="D43" s="32">
        <v>3321</v>
      </c>
      <c r="E43" s="32">
        <v>337</v>
      </c>
      <c r="F43" s="32">
        <v>4</v>
      </c>
      <c r="G43" s="32">
        <v>4</v>
      </c>
      <c r="H43" s="23">
        <v>81588</v>
      </c>
      <c r="I43" s="32" t="s">
        <v>2689</v>
      </c>
      <c r="J43" s="23">
        <v>68784056</v>
      </c>
      <c r="K43" s="22" t="s">
        <v>7235</v>
      </c>
      <c r="L43" s="22" t="s">
        <v>7236</v>
      </c>
      <c r="M43" s="24">
        <v>179900</v>
      </c>
      <c r="N43" s="90">
        <f t="shared" si="2"/>
        <v>0</v>
      </c>
      <c r="O43" s="91" t="str">
        <f t="shared" si="3"/>
        <v>SHARP PRICE</v>
      </c>
      <c r="P43" s="92" t="str">
        <f t="shared" si="4"/>
        <v>AMOUNT</v>
      </c>
    </row>
    <row r="44" spans="1:16" x14ac:dyDescent="0.35">
      <c r="A44" s="23" t="str">
        <f t="shared" si="28"/>
        <v>2026 JAN-APR SHARP PRICE</v>
      </c>
      <c r="B44" s="33">
        <f t="shared" si="28"/>
        <v>46121</v>
      </c>
      <c r="C44" s="56">
        <f t="shared" si="28"/>
        <v>46127</v>
      </c>
      <c r="D44" s="32">
        <v>3321</v>
      </c>
      <c r="E44" s="32">
        <v>337</v>
      </c>
      <c r="F44" s="32">
        <v>4</v>
      </c>
      <c r="G44" s="32">
        <v>4</v>
      </c>
      <c r="H44" s="23">
        <v>81588</v>
      </c>
      <c r="I44" s="32" t="s">
        <v>2689</v>
      </c>
      <c r="J44" s="23">
        <v>68784065</v>
      </c>
      <c r="K44" s="22" t="s">
        <v>7235</v>
      </c>
      <c r="L44" s="22" t="s">
        <v>7237</v>
      </c>
      <c r="M44" s="24">
        <v>179900</v>
      </c>
      <c r="N44" s="90">
        <f t="shared" si="2"/>
        <v>0</v>
      </c>
      <c r="O44" s="91" t="str">
        <f t="shared" si="3"/>
        <v>SHARP PRICE</v>
      </c>
      <c r="P44" s="92" t="str">
        <f t="shared" si="4"/>
        <v>AMOUNT</v>
      </c>
    </row>
    <row r="45" spans="1:16" x14ac:dyDescent="0.35">
      <c r="A45" s="23" t="str">
        <f t="shared" si="28"/>
        <v>2026 JAN-APR SHARP PRICE</v>
      </c>
      <c r="B45" s="33">
        <f t="shared" si="28"/>
        <v>46121</v>
      </c>
      <c r="C45" s="56">
        <f t="shared" si="28"/>
        <v>46127</v>
      </c>
      <c r="D45" s="32">
        <v>3321</v>
      </c>
      <c r="E45" s="32">
        <v>337</v>
      </c>
      <c r="F45" s="32">
        <v>4</v>
      </c>
      <c r="G45" s="32">
        <v>4</v>
      </c>
      <c r="H45" s="23">
        <v>81588</v>
      </c>
      <c r="I45" s="32" t="s">
        <v>2689</v>
      </c>
      <c r="J45" s="23">
        <v>68784074</v>
      </c>
      <c r="K45" s="22" t="s">
        <v>7235</v>
      </c>
      <c r="L45" s="22" t="s">
        <v>7238</v>
      </c>
      <c r="M45" s="24">
        <v>179900</v>
      </c>
      <c r="N45" s="90">
        <f t="shared" si="2"/>
        <v>0</v>
      </c>
      <c r="O45" s="91" t="str">
        <f t="shared" si="3"/>
        <v>SHARP PRICE</v>
      </c>
      <c r="P45" s="92" t="str">
        <f t="shared" si="4"/>
        <v>AMOUNT</v>
      </c>
    </row>
    <row r="46" spans="1:16" x14ac:dyDescent="0.35">
      <c r="A46" s="23" t="str">
        <f t="shared" si="28"/>
        <v>2026 JAN-APR SHARP PRICE</v>
      </c>
      <c r="B46" s="33">
        <f t="shared" si="28"/>
        <v>46121</v>
      </c>
      <c r="C46" s="56">
        <f t="shared" si="28"/>
        <v>46127</v>
      </c>
      <c r="D46" s="32">
        <v>3321</v>
      </c>
      <c r="E46" s="32">
        <v>337</v>
      </c>
      <c r="F46" s="32">
        <v>4</v>
      </c>
      <c r="G46" s="32">
        <v>4</v>
      </c>
      <c r="H46" s="23">
        <v>81588</v>
      </c>
      <c r="I46" s="32" t="s">
        <v>2689</v>
      </c>
      <c r="J46" s="23">
        <v>68784083</v>
      </c>
      <c r="K46" s="22" t="s">
        <v>7235</v>
      </c>
      <c r="L46" s="22" t="s">
        <v>7239</v>
      </c>
      <c r="M46" s="24">
        <v>179900</v>
      </c>
      <c r="N46" s="90">
        <f t="shared" si="2"/>
        <v>0</v>
      </c>
      <c r="O46" s="91" t="str">
        <f t="shared" si="3"/>
        <v>SHARP PRICE</v>
      </c>
      <c r="P46" s="92" t="str">
        <f t="shared" si="4"/>
        <v>AMOUNT</v>
      </c>
    </row>
    <row r="47" spans="1:16" x14ac:dyDescent="0.35">
      <c r="A47" s="23" t="str">
        <f t="shared" si="28"/>
        <v>2026 JAN-APR SHARP PRICE</v>
      </c>
      <c r="B47" s="33">
        <f t="shared" si="28"/>
        <v>46121</v>
      </c>
      <c r="C47" s="56">
        <f t="shared" si="28"/>
        <v>46127</v>
      </c>
      <c r="D47" s="32">
        <v>3321</v>
      </c>
      <c r="E47" s="32">
        <v>337</v>
      </c>
      <c r="F47" s="32">
        <v>4</v>
      </c>
      <c r="G47" s="32">
        <v>4</v>
      </c>
      <c r="H47" s="23">
        <v>81588</v>
      </c>
      <c r="I47" s="32" t="s">
        <v>2689</v>
      </c>
      <c r="J47" s="23">
        <v>68784092</v>
      </c>
      <c r="K47" s="22" t="s">
        <v>7235</v>
      </c>
      <c r="L47" s="22" t="s">
        <v>7240</v>
      </c>
      <c r="M47" s="24">
        <v>179900</v>
      </c>
      <c r="N47" s="90">
        <f t="shared" si="2"/>
        <v>0</v>
      </c>
      <c r="O47" s="91" t="str">
        <f t="shared" si="3"/>
        <v>SHARP PRICE</v>
      </c>
      <c r="P47" s="92" t="str">
        <f t="shared" si="4"/>
        <v>AMOUNT</v>
      </c>
    </row>
    <row r="48" spans="1:16" x14ac:dyDescent="0.35">
      <c r="A48" s="23" t="str">
        <f t="shared" si="28"/>
        <v>2026 JAN-APR SHARP PRICE</v>
      </c>
      <c r="B48" s="33">
        <f t="shared" si="28"/>
        <v>46121</v>
      </c>
      <c r="C48" s="56">
        <f t="shared" si="28"/>
        <v>46127</v>
      </c>
      <c r="D48" s="32">
        <v>3321</v>
      </c>
      <c r="E48" s="32">
        <v>337</v>
      </c>
      <c r="F48" s="32">
        <v>4</v>
      </c>
      <c r="G48" s="32">
        <v>4</v>
      </c>
      <c r="H48" s="23">
        <v>81588</v>
      </c>
      <c r="I48" s="32" t="s">
        <v>2689</v>
      </c>
      <c r="J48" s="23">
        <v>68784109</v>
      </c>
      <c r="K48" s="22" t="s">
        <v>7235</v>
      </c>
      <c r="L48" s="22" t="s">
        <v>7241</v>
      </c>
      <c r="M48" s="24">
        <v>179900</v>
      </c>
      <c r="N48" s="90">
        <f t="shared" si="2"/>
        <v>0</v>
      </c>
      <c r="O48" s="91" t="str">
        <f t="shared" si="3"/>
        <v>SHARP PRICE</v>
      </c>
      <c r="P48" s="92" t="str">
        <f t="shared" si="4"/>
        <v>AMOUNT</v>
      </c>
    </row>
    <row r="49" spans="1:16" x14ac:dyDescent="0.35">
      <c r="A49" s="23" t="str">
        <f t="shared" si="28"/>
        <v>2026 JAN-APR SHARP PRICE</v>
      </c>
      <c r="B49" s="33">
        <f t="shared" si="28"/>
        <v>46121</v>
      </c>
      <c r="C49" s="56">
        <f t="shared" si="28"/>
        <v>46127</v>
      </c>
      <c r="D49" s="32">
        <v>3321</v>
      </c>
      <c r="E49" s="32">
        <v>337</v>
      </c>
      <c r="F49" s="32">
        <v>4</v>
      </c>
      <c r="G49" s="32">
        <v>4</v>
      </c>
      <c r="H49" s="23">
        <v>81588</v>
      </c>
      <c r="I49" s="32" t="s">
        <v>2689</v>
      </c>
      <c r="J49" s="23">
        <v>68784118</v>
      </c>
      <c r="K49" s="22" t="s">
        <v>7235</v>
      </c>
      <c r="L49" s="22" t="s">
        <v>7242</v>
      </c>
      <c r="M49" s="24">
        <v>179900</v>
      </c>
      <c r="N49" s="90">
        <f t="shared" si="2"/>
        <v>0</v>
      </c>
      <c r="O49" s="91" t="str">
        <f t="shared" si="3"/>
        <v>SHARP PRICE</v>
      </c>
      <c r="P49" s="92" t="str">
        <f t="shared" si="4"/>
        <v>AMOUNT</v>
      </c>
    </row>
    <row r="50" spans="1:16" x14ac:dyDescent="0.35">
      <c r="A50" s="23" t="str">
        <f t="shared" si="28"/>
        <v>2026 JAN-APR SHARP PRICE</v>
      </c>
      <c r="B50" s="33">
        <f t="shared" si="28"/>
        <v>46121</v>
      </c>
      <c r="C50" s="56">
        <f t="shared" si="28"/>
        <v>46127</v>
      </c>
      <c r="D50" s="32">
        <v>3321</v>
      </c>
      <c r="E50" s="32">
        <v>337</v>
      </c>
      <c r="F50" s="32">
        <v>4</v>
      </c>
      <c r="G50" s="32">
        <v>1</v>
      </c>
      <c r="H50" s="23">
        <v>81588</v>
      </c>
      <c r="I50" s="32" t="s">
        <v>2689</v>
      </c>
      <c r="J50" s="23">
        <v>68783164</v>
      </c>
      <c r="K50" s="22" t="s">
        <v>7243</v>
      </c>
      <c r="L50" s="22" t="s">
        <v>7244</v>
      </c>
      <c r="M50" s="24">
        <v>99900</v>
      </c>
      <c r="N50" s="90">
        <f t="shared" si="2"/>
        <v>0</v>
      </c>
      <c r="O50" s="91" t="str">
        <f t="shared" si="3"/>
        <v>SHARP PRICE</v>
      </c>
      <c r="P50" s="92" t="str">
        <f t="shared" si="4"/>
        <v>AMOUNT</v>
      </c>
    </row>
    <row r="51" spans="1:16" x14ac:dyDescent="0.35">
      <c r="A51" s="23" t="str">
        <f t="shared" si="28"/>
        <v>2026 JAN-APR SHARP PRICE</v>
      </c>
      <c r="B51" s="33">
        <f t="shared" si="28"/>
        <v>46121</v>
      </c>
      <c r="C51" s="56">
        <f t="shared" si="28"/>
        <v>46127</v>
      </c>
      <c r="D51" s="32">
        <v>3321</v>
      </c>
      <c r="E51" s="32">
        <v>337</v>
      </c>
      <c r="F51" s="32">
        <v>4</v>
      </c>
      <c r="G51" s="32">
        <v>1</v>
      </c>
      <c r="H51" s="23">
        <v>81588</v>
      </c>
      <c r="I51" s="32" t="s">
        <v>2689</v>
      </c>
      <c r="J51" s="23">
        <v>68783173</v>
      </c>
      <c r="K51" s="22" t="s">
        <v>7243</v>
      </c>
      <c r="L51" s="22" t="s">
        <v>7245</v>
      </c>
      <c r="M51" s="24">
        <v>99900</v>
      </c>
      <c r="N51" s="90">
        <f t="shared" si="2"/>
        <v>0</v>
      </c>
      <c r="O51" s="91" t="str">
        <f t="shared" si="3"/>
        <v>SHARP PRICE</v>
      </c>
      <c r="P51" s="92" t="str">
        <f t="shared" si="4"/>
        <v>AMOUNT</v>
      </c>
    </row>
    <row r="52" spans="1:16" x14ac:dyDescent="0.35">
      <c r="A52" s="23" t="str">
        <f t="shared" si="28"/>
        <v>2026 JAN-APR SHARP PRICE</v>
      </c>
      <c r="B52" s="33">
        <f t="shared" si="28"/>
        <v>46121</v>
      </c>
      <c r="C52" s="56">
        <f t="shared" si="28"/>
        <v>46127</v>
      </c>
      <c r="D52" s="32">
        <v>3321</v>
      </c>
      <c r="E52" s="32">
        <v>337</v>
      </c>
      <c r="F52" s="32">
        <v>4</v>
      </c>
      <c r="G52" s="32">
        <v>1</v>
      </c>
      <c r="H52" s="23">
        <v>81588</v>
      </c>
      <c r="I52" s="32" t="s">
        <v>2689</v>
      </c>
      <c r="J52" s="23">
        <v>68783182</v>
      </c>
      <c r="K52" s="22" t="s">
        <v>7243</v>
      </c>
      <c r="L52" s="22" t="s">
        <v>7246</v>
      </c>
      <c r="M52" s="24">
        <v>99900</v>
      </c>
      <c r="N52" s="90">
        <f t="shared" si="2"/>
        <v>0</v>
      </c>
      <c r="O52" s="91" t="str">
        <f t="shared" si="3"/>
        <v>SHARP PRICE</v>
      </c>
      <c r="P52" s="92" t="str">
        <f t="shared" si="4"/>
        <v>AMOUNT</v>
      </c>
    </row>
    <row r="53" spans="1:16" x14ac:dyDescent="0.35">
      <c r="A53" s="23" t="str">
        <f t="shared" ref="A53:C68" si="29">A52</f>
        <v>2026 JAN-APR SHARP PRICE</v>
      </c>
      <c r="B53" s="33">
        <f t="shared" si="29"/>
        <v>46121</v>
      </c>
      <c r="C53" s="56">
        <f t="shared" si="29"/>
        <v>46127</v>
      </c>
      <c r="D53" s="32">
        <v>3321</v>
      </c>
      <c r="E53" s="32">
        <v>337</v>
      </c>
      <c r="F53" s="32">
        <v>4</v>
      </c>
      <c r="G53" s="32">
        <v>1</v>
      </c>
      <c r="H53" s="23">
        <v>81588</v>
      </c>
      <c r="I53" s="32" t="s">
        <v>2689</v>
      </c>
      <c r="J53" s="23">
        <v>68783191</v>
      </c>
      <c r="K53" s="22" t="s">
        <v>7243</v>
      </c>
      <c r="L53" s="22" t="s">
        <v>7247</v>
      </c>
      <c r="M53" s="24">
        <v>99900</v>
      </c>
      <c r="N53" s="90">
        <f t="shared" si="2"/>
        <v>0</v>
      </c>
      <c r="O53" s="91" t="str">
        <f t="shared" si="3"/>
        <v>SHARP PRICE</v>
      </c>
      <c r="P53" s="92" t="str">
        <f t="shared" si="4"/>
        <v>AMOUNT</v>
      </c>
    </row>
    <row r="54" spans="1:16" x14ac:dyDescent="0.35">
      <c r="A54" s="23" t="str">
        <f t="shared" si="29"/>
        <v>2026 JAN-APR SHARP PRICE</v>
      </c>
      <c r="B54" s="33">
        <f t="shared" si="29"/>
        <v>46121</v>
      </c>
      <c r="C54" s="56">
        <f t="shared" si="29"/>
        <v>46127</v>
      </c>
      <c r="D54" s="32">
        <v>3321</v>
      </c>
      <c r="E54" s="32">
        <v>337</v>
      </c>
      <c r="F54" s="32">
        <v>4</v>
      </c>
      <c r="G54" s="32">
        <v>1</v>
      </c>
      <c r="H54" s="23">
        <v>81588</v>
      </c>
      <c r="I54" s="32" t="s">
        <v>2689</v>
      </c>
      <c r="J54" s="23">
        <v>68783208</v>
      </c>
      <c r="K54" s="22" t="s">
        <v>7243</v>
      </c>
      <c r="L54" s="22" t="s">
        <v>7248</v>
      </c>
      <c r="M54" s="24">
        <v>99900</v>
      </c>
      <c r="N54" s="90">
        <f t="shared" si="2"/>
        <v>0</v>
      </c>
      <c r="O54" s="91" t="str">
        <f t="shared" si="3"/>
        <v>SHARP PRICE</v>
      </c>
      <c r="P54" s="92" t="str">
        <f t="shared" si="4"/>
        <v>AMOUNT</v>
      </c>
    </row>
    <row r="55" spans="1:16" x14ac:dyDescent="0.35">
      <c r="A55" s="23" t="str">
        <f t="shared" si="29"/>
        <v>2026 JAN-APR SHARP PRICE</v>
      </c>
      <c r="B55" s="33">
        <f t="shared" si="29"/>
        <v>46121</v>
      </c>
      <c r="C55" s="56">
        <f t="shared" si="29"/>
        <v>46127</v>
      </c>
      <c r="D55" s="32">
        <v>3321</v>
      </c>
      <c r="E55" s="32">
        <v>337</v>
      </c>
      <c r="F55" s="32">
        <v>4</v>
      </c>
      <c r="G55" s="32">
        <v>1</v>
      </c>
      <c r="H55" s="23">
        <v>81588</v>
      </c>
      <c r="I55" s="32" t="s">
        <v>2689</v>
      </c>
      <c r="J55" s="23">
        <v>68783217</v>
      </c>
      <c r="K55" s="22" t="s">
        <v>7243</v>
      </c>
      <c r="L55" s="22" t="s">
        <v>7249</v>
      </c>
      <c r="M55" s="24">
        <v>99900</v>
      </c>
      <c r="N55" s="90">
        <f t="shared" si="2"/>
        <v>0</v>
      </c>
      <c r="O55" s="91" t="str">
        <f t="shared" si="3"/>
        <v>SHARP PRICE</v>
      </c>
      <c r="P55" s="92" t="str">
        <f t="shared" si="4"/>
        <v>AMOUNT</v>
      </c>
    </row>
    <row r="56" spans="1:16" x14ac:dyDescent="0.35">
      <c r="A56" s="23" t="str">
        <f t="shared" si="29"/>
        <v>2026 JAN-APR SHARP PRICE</v>
      </c>
      <c r="B56" s="33">
        <f t="shared" si="29"/>
        <v>46121</v>
      </c>
      <c r="C56" s="56">
        <f t="shared" si="29"/>
        <v>46127</v>
      </c>
      <c r="D56" s="32">
        <v>3321</v>
      </c>
      <c r="E56" s="32">
        <v>337</v>
      </c>
      <c r="F56" s="32">
        <v>4</v>
      </c>
      <c r="G56" s="32">
        <v>1</v>
      </c>
      <c r="H56" s="23">
        <v>81588</v>
      </c>
      <c r="I56" s="32" t="s">
        <v>2689</v>
      </c>
      <c r="J56" s="23">
        <v>68783226</v>
      </c>
      <c r="K56" s="22" t="s">
        <v>7243</v>
      </c>
      <c r="L56" s="22" t="s">
        <v>7250</v>
      </c>
      <c r="M56" s="24">
        <v>99900</v>
      </c>
      <c r="N56" s="90">
        <f t="shared" si="2"/>
        <v>0</v>
      </c>
      <c r="O56" s="91" t="str">
        <f t="shared" si="3"/>
        <v>SHARP PRICE</v>
      </c>
      <c r="P56" s="92" t="str">
        <f t="shared" si="4"/>
        <v>AMOUNT</v>
      </c>
    </row>
    <row r="57" spans="1:16" x14ac:dyDescent="0.35">
      <c r="A57" s="23" t="str">
        <f t="shared" si="29"/>
        <v>2026 JAN-APR SHARP PRICE</v>
      </c>
      <c r="B57" s="33">
        <f t="shared" si="29"/>
        <v>46121</v>
      </c>
      <c r="C57" s="56">
        <f t="shared" si="29"/>
        <v>46127</v>
      </c>
      <c r="D57" s="32">
        <v>3321</v>
      </c>
      <c r="E57" s="32">
        <v>337</v>
      </c>
      <c r="F57" s="32">
        <v>4</v>
      </c>
      <c r="G57" s="23">
        <v>3</v>
      </c>
      <c r="H57" s="23">
        <v>81574</v>
      </c>
      <c r="I57" s="32" t="s">
        <v>2689</v>
      </c>
      <c r="J57" s="23">
        <v>68783879</v>
      </c>
      <c r="K57" s="22" t="s">
        <v>7251</v>
      </c>
      <c r="L57" s="22" t="s">
        <v>7252</v>
      </c>
      <c r="M57" s="24">
        <v>199900</v>
      </c>
      <c r="N57" s="90">
        <f t="shared" si="2"/>
        <v>0</v>
      </c>
      <c r="O57" s="91" t="str">
        <f t="shared" si="3"/>
        <v>SHARP PRICE</v>
      </c>
      <c r="P57" s="92" t="str">
        <f t="shared" si="4"/>
        <v>AMOUNT</v>
      </c>
    </row>
    <row r="58" spans="1:16" x14ac:dyDescent="0.35">
      <c r="A58" s="23" t="str">
        <f t="shared" si="29"/>
        <v>2026 JAN-APR SHARP PRICE</v>
      </c>
      <c r="B58" s="33">
        <f t="shared" si="29"/>
        <v>46121</v>
      </c>
      <c r="C58" s="56">
        <f t="shared" si="29"/>
        <v>46127</v>
      </c>
      <c r="D58" s="32">
        <v>3321</v>
      </c>
      <c r="E58" s="32">
        <v>337</v>
      </c>
      <c r="F58" s="32">
        <v>4</v>
      </c>
      <c r="G58" s="23">
        <v>3</v>
      </c>
      <c r="H58" s="23">
        <v>81574</v>
      </c>
      <c r="I58" s="32" t="s">
        <v>2689</v>
      </c>
      <c r="J58" s="23">
        <v>68783888</v>
      </c>
      <c r="K58" s="22" t="s">
        <v>7251</v>
      </c>
      <c r="L58" s="22" t="s">
        <v>7253</v>
      </c>
      <c r="M58" s="24">
        <v>199900</v>
      </c>
      <c r="N58" s="90">
        <f t="shared" si="2"/>
        <v>0</v>
      </c>
      <c r="O58" s="91" t="str">
        <f t="shared" si="3"/>
        <v>SHARP PRICE</v>
      </c>
      <c r="P58" s="92" t="str">
        <f t="shared" si="4"/>
        <v>AMOUNT</v>
      </c>
    </row>
    <row r="59" spans="1:16" x14ac:dyDescent="0.35">
      <c r="A59" s="23" t="str">
        <f t="shared" si="29"/>
        <v>2026 JAN-APR SHARP PRICE</v>
      </c>
      <c r="B59" s="33">
        <f t="shared" si="29"/>
        <v>46121</v>
      </c>
      <c r="C59" s="56">
        <f t="shared" si="29"/>
        <v>46127</v>
      </c>
      <c r="D59" s="32">
        <v>3321</v>
      </c>
      <c r="E59" s="32">
        <v>337</v>
      </c>
      <c r="F59" s="32">
        <v>4</v>
      </c>
      <c r="G59" s="23">
        <v>3</v>
      </c>
      <c r="H59" s="23">
        <v>81574</v>
      </c>
      <c r="I59" s="32" t="s">
        <v>2689</v>
      </c>
      <c r="J59" s="23">
        <v>68783897</v>
      </c>
      <c r="K59" s="22" t="s">
        <v>7251</v>
      </c>
      <c r="L59" s="22" t="s">
        <v>7254</v>
      </c>
      <c r="M59" s="24">
        <v>199900</v>
      </c>
      <c r="N59" s="90">
        <f t="shared" si="2"/>
        <v>0</v>
      </c>
      <c r="O59" s="91" t="str">
        <f t="shared" si="3"/>
        <v>SHARP PRICE</v>
      </c>
      <c r="P59" s="92" t="str">
        <f t="shared" si="4"/>
        <v>AMOUNT</v>
      </c>
    </row>
    <row r="60" spans="1:16" x14ac:dyDescent="0.35">
      <c r="A60" s="23" t="str">
        <f t="shared" si="29"/>
        <v>2026 JAN-APR SHARP PRICE</v>
      </c>
      <c r="B60" s="33">
        <f t="shared" si="29"/>
        <v>46121</v>
      </c>
      <c r="C60" s="56">
        <f t="shared" si="29"/>
        <v>46127</v>
      </c>
      <c r="D60" s="32">
        <v>3321</v>
      </c>
      <c r="E60" s="32">
        <v>337</v>
      </c>
      <c r="F60" s="32">
        <v>4</v>
      </c>
      <c r="G60" s="23">
        <v>3</v>
      </c>
      <c r="H60" s="23">
        <v>81574</v>
      </c>
      <c r="I60" s="32" t="s">
        <v>2689</v>
      </c>
      <c r="J60" s="23">
        <v>68783904</v>
      </c>
      <c r="K60" s="22" t="s">
        <v>7251</v>
      </c>
      <c r="L60" s="22" t="s">
        <v>7255</v>
      </c>
      <c r="M60" s="24">
        <v>199900</v>
      </c>
      <c r="N60" s="90">
        <f t="shared" si="2"/>
        <v>0</v>
      </c>
      <c r="O60" s="91" t="str">
        <f t="shared" si="3"/>
        <v>SHARP PRICE</v>
      </c>
      <c r="P60" s="92" t="str">
        <f t="shared" si="4"/>
        <v>AMOUNT</v>
      </c>
    </row>
    <row r="61" spans="1:16" x14ac:dyDescent="0.35">
      <c r="A61" s="23" t="str">
        <f t="shared" si="29"/>
        <v>2026 JAN-APR SHARP PRICE</v>
      </c>
      <c r="B61" s="33">
        <f t="shared" si="29"/>
        <v>46121</v>
      </c>
      <c r="C61" s="56">
        <f t="shared" si="29"/>
        <v>46127</v>
      </c>
      <c r="D61" s="32">
        <v>3321</v>
      </c>
      <c r="E61" s="32">
        <v>337</v>
      </c>
      <c r="F61" s="32">
        <v>4</v>
      </c>
      <c r="G61" s="23">
        <v>3</v>
      </c>
      <c r="H61" s="23">
        <v>81574</v>
      </c>
      <c r="I61" s="32" t="s">
        <v>2689</v>
      </c>
      <c r="J61" s="23">
        <v>68783913</v>
      </c>
      <c r="K61" s="22" t="s">
        <v>7251</v>
      </c>
      <c r="L61" s="22" t="s">
        <v>7256</v>
      </c>
      <c r="M61" s="24">
        <v>199900</v>
      </c>
      <c r="N61" s="90">
        <f t="shared" si="2"/>
        <v>0</v>
      </c>
      <c r="O61" s="91" t="str">
        <f t="shared" si="3"/>
        <v>SHARP PRICE</v>
      </c>
      <c r="P61" s="92" t="str">
        <f t="shared" si="4"/>
        <v>AMOUNT</v>
      </c>
    </row>
    <row r="62" spans="1:16" x14ac:dyDescent="0.35">
      <c r="A62" s="23" t="str">
        <f t="shared" si="29"/>
        <v>2026 JAN-APR SHARP PRICE</v>
      </c>
      <c r="B62" s="33">
        <f t="shared" si="29"/>
        <v>46121</v>
      </c>
      <c r="C62" s="56">
        <f t="shared" si="29"/>
        <v>46127</v>
      </c>
      <c r="D62" s="32">
        <v>3321</v>
      </c>
      <c r="E62" s="32">
        <v>337</v>
      </c>
      <c r="F62" s="32">
        <v>4</v>
      </c>
      <c r="G62" s="23">
        <v>3</v>
      </c>
      <c r="H62" s="23">
        <v>81574</v>
      </c>
      <c r="I62" s="32" t="s">
        <v>2689</v>
      </c>
      <c r="J62" s="23">
        <v>68783922</v>
      </c>
      <c r="K62" s="22" t="s">
        <v>7251</v>
      </c>
      <c r="L62" s="22" t="s">
        <v>7257</v>
      </c>
      <c r="M62" s="24">
        <v>199900</v>
      </c>
      <c r="N62" s="90">
        <f t="shared" si="2"/>
        <v>0</v>
      </c>
      <c r="O62" s="91" t="str">
        <f t="shared" si="3"/>
        <v>SHARP PRICE</v>
      </c>
      <c r="P62" s="92" t="str">
        <f t="shared" si="4"/>
        <v>AMOUNT</v>
      </c>
    </row>
    <row r="63" spans="1:16" x14ac:dyDescent="0.35">
      <c r="A63" s="23" t="str">
        <f t="shared" si="29"/>
        <v>2026 JAN-APR SHARP PRICE</v>
      </c>
      <c r="B63" s="33">
        <f t="shared" si="29"/>
        <v>46121</v>
      </c>
      <c r="C63" s="56">
        <f t="shared" si="29"/>
        <v>46127</v>
      </c>
      <c r="D63" s="32">
        <v>3321</v>
      </c>
      <c r="E63" s="32">
        <v>337</v>
      </c>
      <c r="F63" s="32">
        <v>4</v>
      </c>
      <c r="G63" s="23">
        <v>3</v>
      </c>
      <c r="H63" s="23">
        <v>81574</v>
      </c>
      <c r="I63" s="32" t="s">
        <v>2689</v>
      </c>
      <c r="J63" s="23">
        <v>68783931</v>
      </c>
      <c r="K63" s="22" t="s">
        <v>7251</v>
      </c>
      <c r="L63" s="22" t="s">
        <v>7258</v>
      </c>
      <c r="M63" s="24">
        <v>199900</v>
      </c>
      <c r="N63" s="90">
        <f t="shared" si="2"/>
        <v>0</v>
      </c>
      <c r="O63" s="91" t="str">
        <f t="shared" si="3"/>
        <v>SHARP PRICE</v>
      </c>
      <c r="P63" s="92" t="str">
        <f t="shared" si="4"/>
        <v>AMOUNT</v>
      </c>
    </row>
    <row r="64" spans="1:16" x14ac:dyDescent="0.35">
      <c r="A64" s="23" t="str">
        <f t="shared" si="29"/>
        <v>2026 JAN-APR SHARP PRICE</v>
      </c>
      <c r="B64" s="33">
        <f t="shared" si="29"/>
        <v>46121</v>
      </c>
      <c r="C64" s="56">
        <f t="shared" si="29"/>
        <v>46127</v>
      </c>
      <c r="D64" s="32">
        <v>3321</v>
      </c>
      <c r="E64" s="32">
        <v>337</v>
      </c>
      <c r="F64" s="32">
        <v>4</v>
      </c>
      <c r="G64" s="23">
        <v>4</v>
      </c>
      <c r="H64" s="23">
        <v>81588</v>
      </c>
      <c r="I64" s="32" t="s">
        <v>2689</v>
      </c>
      <c r="J64" s="23">
        <v>68783422</v>
      </c>
      <c r="K64" s="22" t="s">
        <v>7259</v>
      </c>
      <c r="L64" s="22" t="s">
        <v>7260</v>
      </c>
      <c r="M64" s="24">
        <v>149900</v>
      </c>
      <c r="N64" s="90">
        <f t="shared" si="2"/>
        <v>0</v>
      </c>
      <c r="O64" s="91" t="str">
        <f t="shared" si="3"/>
        <v>SHARP PRICE</v>
      </c>
      <c r="P64" s="92" t="str">
        <f t="shared" si="4"/>
        <v>AMOUNT</v>
      </c>
    </row>
    <row r="65" spans="1:16" x14ac:dyDescent="0.35">
      <c r="A65" s="23" t="str">
        <f t="shared" si="29"/>
        <v>2026 JAN-APR SHARP PRICE</v>
      </c>
      <c r="B65" s="33">
        <f t="shared" si="29"/>
        <v>46121</v>
      </c>
      <c r="C65" s="56">
        <f t="shared" si="29"/>
        <v>46127</v>
      </c>
      <c r="D65" s="32">
        <v>3321</v>
      </c>
      <c r="E65" s="32">
        <v>337</v>
      </c>
      <c r="F65" s="32">
        <v>4</v>
      </c>
      <c r="G65" s="23">
        <v>4</v>
      </c>
      <c r="H65" s="23">
        <v>81588</v>
      </c>
      <c r="I65" s="32" t="s">
        <v>2689</v>
      </c>
      <c r="J65" s="23">
        <v>68783431</v>
      </c>
      <c r="K65" s="22" t="s">
        <v>7259</v>
      </c>
      <c r="L65" s="22" t="s">
        <v>7261</v>
      </c>
      <c r="M65" s="24">
        <v>149900</v>
      </c>
      <c r="N65" s="90">
        <f t="shared" si="2"/>
        <v>0</v>
      </c>
      <c r="O65" s="91" t="str">
        <f t="shared" si="3"/>
        <v>SHARP PRICE</v>
      </c>
      <c r="P65" s="92" t="str">
        <f t="shared" si="4"/>
        <v>AMOUNT</v>
      </c>
    </row>
    <row r="66" spans="1:16" x14ac:dyDescent="0.35">
      <c r="A66" s="23" t="str">
        <f t="shared" si="29"/>
        <v>2026 JAN-APR SHARP PRICE</v>
      </c>
      <c r="B66" s="33">
        <f t="shared" si="29"/>
        <v>46121</v>
      </c>
      <c r="C66" s="56">
        <f t="shared" si="29"/>
        <v>46127</v>
      </c>
      <c r="D66" s="32">
        <v>3321</v>
      </c>
      <c r="E66" s="32">
        <v>337</v>
      </c>
      <c r="F66" s="32">
        <v>4</v>
      </c>
      <c r="G66" s="23">
        <v>4</v>
      </c>
      <c r="H66" s="23">
        <v>81588</v>
      </c>
      <c r="I66" s="32" t="s">
        <v>2689</v>
      </c>
      <c r="J66" s="23">
        <v>68783440</v>
      </c>
      <c r="K66" s="22" t="s">
        <v>7259</v>
      </c>
      <c r="L66" s="22" t="s">
        <v>7262</v>
      </c>
      <c r="M66" s="24">
        <v>149900</v>
      </c>
      <c r="N66" s="90">
        <f t="shared" si="2"/>
        <v>0</v>
      </c>
      <c r="O66" s="91" t="str">
        <f t="shared" si="3"/>
        <v>SHARP PRICE</v>
      </c>
      <c r="P66" s="92" t="str">
        <f t="shared" si="4"/>
        <v>AMOUNT</v>
      </c>
    </row>
    <row r="67" spans="1:16" x14ac:dyDescent="0.35">
      <c r="A67" s="23" t="str">
        <f t="shared" si="29"/>
        <v>2026 JAN-APR SHARP PRICE</v>
      </c>
      <c r="B67" s="33">
        <f t="shared" si="29"/>
        <v>46121</v>
      </c>
      <c r="C67" s="56">
        <f t="shared" si="29"/>
        <v>46127</v>
      </c>
      <c r="D67" s="32">
        <v>3321</v>
      </c>
      <c r="E67" s="32">
        <v>337</v>
      </c>
      <c r="F67" s="32">
        <v>4</v>
      </c>
      <c r="G67" s="23">
        <v>4</v>
      </c>
      <c r="H67" s="23">
        <v>81588</v>
      </c>
      <c r="I67" s="32" t="s">
        <v>2689</v>
      </c>
      <c r="J67" s="23">
        <v>68783459</v>
      </c>
      <c r="K67" s="22" t="s">
        <v>7259</v>
      </c>
      <c r="L67" s="22" t="s">
        <v>7263</v>
      </c>
      <c r="M67" s="24">
        <v>149900</v>
      </c>
      <c r="N67" s="90">
        <f t="shared" si="2"/>
        <v>0</v>
      </c>
      <c r="O67" s="91" t="str">
        <f t="shared" si="3"/>
        <v>SHARP PRICE</v>
      </c>
      <c r="P67" s="92" t="str">
        <f t="shared" si="4"/>
        <v>AMOUNT</v>
      </c>
    </row>
    <row r="68" spans="1:16" x14ac:dyDescent="0.35">
      <c r="A68" s="23" t="str">
        <f t="shared" si="29"/>
        <v>2026 JAN-APR SHARP PRICE</v>
      </c>
      <c r="B68" s="33">
        <f t="shared" si="29"/>
        <v>46121</v>
      </c>
      <c r="C68" s="56">
        <f t="shared" si="29"/>
        <v>46127</v>
      </c>
      <c r="D68" s="32">
        <v>3321</v>
      </c>
      <c r="E68" s="32">
        <v>337</v>
      </c>
      <c r="F68" s="32">
        <v>4</v>
      </c>
      <c r="G68" s="23">
        <v>4</v>
      </c>
      <c r="H68" s="23">
        <v>81588</v>
      </c>
      <c r="I68" s="32" t="s">
        <v>2689</v>
      </c>
      <c r="J68" s="23">
        <v>68783468</v>
      </c>
      <c r="K68" s="22" t="s">
        <v>7259</v>
      </c>
      <c r="L68" s="22" t="s">
        <v>7264</v>
      </c>
      <c r="M68" s="24">
        <v>149900</v>
      </c>
      <c r="N68" s="90">
        <f t="shared" ref="N68:P83" si="30">N67</f>
        <v>0</v>
      </c>
      <c r="O68" s="91" t="str">
        <f t="shared" si="30"/>
        <v>SHARP PRICE</v>
      </c>
      <c r="P68" s="92" t="str">
        <f t="shared" si="30"/>
        <v>AMOUNT</v>
      </c>
    </row>
    <row r="69" spans="1:16" x14ac:dyDescent="0.35">
      <c r="A69" s="23" t="str">
        <f t="shared" ref="A69:C84" si="31">A68</f>
        <v>2026 JAN-APR SHARP PRICE</v>
      </c>
      <c r="B69" s="33">
        <f t="shared" si="31"/>
        <v>46121</v>
      </c>
      <c r="C69" s="56">
        <f t="shared" si="31"/>
        <v>46127</v>
      </c>
      <c r="D69" s="32">
        <v>3321</v>
      </c>
      <c r="E69" s="32">
        <v>337</v>
      </c>
      <c r="F69" s="32">
        <v>4</v>
      </c>
      <c r="G69" s="23">
        <v>1</v>
      </c>
      <c r="H69" s="23">
        <v>81005</v>
      </c>
      <c r="I69" s="32" t="s">
        <v>2689</v>
      </c>
      <c r="J69" s="23">
        <v>68783806</v>
      </c>
      <c r="K69" s="22" t="s">
        <v>7265</v>
      </c>
      <c r="L69" s="22" t="s">
        <v>7266</v>
      </c>
      <c r="M69" s="24">
        <v>129900</v>
      </c>
      <c r="N69" s="90">
        <f t="shared" si="30"/>
        <v>0</v>
      </c>
      <c r="O69" s="91" t="str">
        <f t="shared" si="30"/>
        <v>SHARP PRICE</v>
      </c>
      <c r="P69" s="92" t="str">
        <f t="shared" si="30"/>
        <v>AMOUNT</v>
      </c>
    </row>
    <row r="70" spans="1:16" x14ac:dyDescent="0.35">
      <c r="A70" s="23" t="str">
        <f t="shared" si="31"/>
        <v>2026 JAN-APR SHARP PRICE</v>
      </c>
      <c r="B70" s="33">
        <f t="shared" si="31"/>
        <v>46121</v>
      </c>
      <c r="C70" s="56">
        <f t="shared" si="31"/>
        <v>46127</v>
      </c>
      <c r="D70" s="32">
        <v>3321</v>
      </c>
      <c r="E70" s="32">
        <v>337</v>
      </c>
      <c r="F70" s="32">
        <v>4</v>
      </c>
      <c r="G70" s="23">
        <v>1</v>
      </c>
      <c r="H70" s="23">
        <v>81005</v>
      </c>
      <c r="I70" s="32" t="s">
        <v>2689</v>
      </c>
      <c r="J70" s="23">
        <v>68783815</v>
      </c>
      <c r="K70" s="22" t="s">
        <v>7265</v>
      </c>
      <c r="L70" s="22" t="s">
        <v>7267</v>
      </c>
      <c r="M70" s="24">
        <v>129900</v>
      </c>
      <c r="N70" s="90">
        <f t="shared" si="30"/>
        <v>0</v>
      </c>
      <c r="O70" s="91" t="str">
        <f t="shared" si="30"/>
        <v>SHARP PRICE</v>
      </c>
      <c r="P70" s="92" t="str">
        <f t="shared" si="30"/>
        <v>AMOUNT</v>
      </c>
    </row>
    <row r="71" spans="1:16" x14ac:dyDescent="0.35">
      <c r="A71" s="23" t="str">
        <f t="shared" si="31"/>
        <v>2026 JAN-APR SHARP PRICE</v>
      </c>
      <c r="B71" s="33">
        <f t="shared" si="31"/>
        <v>46121</v>
      </c>
      <c r="C71" s="56">
        <f t="shared" si="31"/>
        <v>46127</v>
      </c>
      <c r="D71" s="32">
        <v>3321</v>
      </c>
      <c r="E71" s="32">
        <v>337</v>
      </c>
      <c r="F71" s="32">
        <v>4</v>
      </c>
      <c r="G71" s="23">
        <v>1</v>
      </c>
      <c r="H71" s="23">
        <v>81005</v>
      </c>
      <c r="I71" s="32" t="s">
        <v>2689</v>
      </c>
      <c r="J71" s="23">
        <v>68783824</v>
      </c>
      <c r="K71" s="22" t="s">
        <v>7265</v>
      </c>
      <c r="L71" s="22" t="s">
        <v>7268</v>
      </c>
      <c r="M71" s="24">
        <v>129900</v>
      </c>
      <c r="N71" s="90">
        <f t="shared" si="30"/>
        <v>0</v>
      </c>
      <c r="O71" s="91" t="str">
        <f t="shared" si="30"/>
        <v>SHARP PRICE</v>
      </c>
      <c r="P71" s="92" t="str">
        <f t="shared" si="30"/>
        <v>AMOUNT</v>
      </c>
    </row>
    <row r="72" spans="1:16" x14ac:dyDescent="0.35">
      <c r="A72" s="23" t="str">
        <f t="shared" si="31"/>
        <v>2026 JAN-APR SHARP PRICE</v>
      </c>
      <c r="B72" s="33">
        <f t="shared" si="31"/>
        <v>46121</v>
      </c>
      <c r="C72" s="56">
        <f t="shared" si="31"/>
        <v>46127</v>
      </c>
      <c r="D72" s="32">
        <v>3321</v>
      </c>
      <c r="E72" s="32">
        <v>337</v>
      </c>
      <c r="F72" s="32">
        <v>4</v>
      </c>
      <c r="G72" s="23">
        <v>1</v>
      </c>
      <c r="H72" s="23">
        <v>81005</v>
      </c>
      <c r="I72" s="32" t="s">
        <v>2689</v>
      </c>
      <c r="J72" s="23">
        <v>68783833</v>
      </c>
      <c r="K72" s="22" t="s">
        <v>7265</v>
      </c>
      <c r="L72" s="22" t="s">
        <v>7269</v>
      </c>
      <c r="M72" s="24">
        <v>129900</v>
      </c>
      <c r="N72" s="90">
        <f t="shared" si="30"/>
        <v>0</v>
      </c>
      <c r="O72" s="91" t="str">
        <f t="shared" si="30"/>
        <v>SHARP PRICE</v>
      </c>
      <c r="P72" s="92" t="str">
        <f t="shared" si="30"/>
        <v>AMOUNT</v>
      </c>
    </row>
    <row r="73" spans="1:16" x14ac:dyDescent="0.35">
      <c r="A73" s="23" t="str">
        <f t="shared" si="31"/>
        <v>2026 JAN-APR SHARP PRICE</v>
      </c>
      <c r="B73" s="33">
        <f t="shared" si="31"/>
        <v>46121</v>
      </c>
      <c r="C73" s="56">
        <f t="shared" si="31"/>
        <v>46127</v>
      </c>
      <c r="D73" s="32">
        <v>3321</v>
      </c>
      <c r="E73" s="32">
        <v>337</v>
      </c>
      <c r="F73" s="32">
        <v>4</v>
      </c>
      <c r="G73" s="23">
        <v>1</v>
      </c>
      <c r="H73" s="23">
        <v>81005</v>
      </c>
      <c r="I73" s="32" t="s">
        <v>2689</v>
      </c>
      <c r="J73" s="23">
        <v>68783842</v>
      </c>
      <c r="K73" s="22" t="s">
        <v>7265</v>
      </c>
      <c r="L73" s="22" t="s">
        <v>7270</v>
      </c>
      <c r="M73" s="24">
        <v>129900</v>
      </c>
      <c r="N73" s="90">
        <f t="shared" si="30"/>
        <v>0</v>
      </c>
      <c r="O73" s="91" t="str">
        <f t="shared" si="30"/>
        <v>SHARP PRICE</v>
      </c>
      <c r="P73" s="92" t="str">
        <f t="shared" si="30"/>
        <v>AMOUNT</v>
      </c>
    </row>
    <row r="74" spans="1:16" x14ac:dyDescent="0.35">
      <c r="A74" s="23" t="str">
        <f t="shared" si="31"/>
        <v>2026 JAN-APR SHARP PRICE</v>
      </c>
      <c r="B74" s="33">
        <f t="shared" si="31"/>
        <v>46121</v>
      </c>
      <c r="C74" s="56">
        <f t="shared" si="31"/>
        <v>46127</v>
      </c>
      <c r="D74" s="32">
        <v>3321</v>
      </c>
      <c r="E74" s="32">
        <v>337</v>
      </c>
      <c r="F74" s="32">
        <v>4</v>
      </c>
      <c r="G74" s="23">
        <v>1</v>
      </c>
      <c r="H74" s="23">
        <v>81005</v>
      </c>
      <c r="I74" s="32" t="s">
        <v>2689</v>
      </c>
      <c r="J74" s="23">
        <v>68783851</v>
      </c>
      <c r="K74" s="22" t="s">
        <v>7265</v>
      </c>
      <c r="L74" s="22" t="s">
        <v>7271</v>
      </c>
      <c r="M74" s="24">
        <v>129900</v>
      </c>
      <c r="N74" s="90">
        <f t="shared" si="30"/>
        <v>0</v>
      </c>
      <c r="O74" s="91" t="str">
        <f t="shared" si="30"/>
        <v>SHARP PRICE</v>
      </c>
      <c r="P74" s="92" t="str">
        <f t="shared" si="30"/>
        <v>AMOUNT</v>
      </c>
    </row>
    <row r="75" spans="1:16" x14ac:dyDescent="0.35">
      <c r="A75" s="23" t="str">
        <f t="shared" si="31"/>
        <v>2026 JAN-APR SHARP PRICE</v>
      </c>
      <c r="B75" s="33">
        <f t="shared" si="31"/>
        <v>46121</v>
      </c>
      <c r="C75" s="56">
        <f t="shared" si="31"/>
        <v>46127</v>
      </c>
      <c r="D75" s="32">
        <v>3321</v>
      </c>
      <c r="E75" s="32">
        <v>337</v>
      </c>
      <c r="F75" s="32">
        <v>4</v>
      </c>
      <c r="G75" s="23">
        <v>1</v>
      </c>
      <c r="H75" s="23">
        <v>81005</v>
      </c>
      <c r="I75" s="32" t="s">
        <v>2689</v>
      </c>
      <c r="J75" s="23">
        <v>68783860</v>
      </c>
      <c r="K75" s="22" t="s">
        <v>7265</v>
      </c>
      <c r="L75" s="22" t="s">
        <v>7272</v>
      </c>
      <c r="M75" s="24">
        <v>129900</v>
      </c>
      <c r="N75" s="90">
        <f t="shared" si="30"/>
        <v>0</v>
      </c>
      <c r="O75" s="91" t="str">
        <f t="shared" si="30"/>
        <v>SHARP PRICE</v>
      </c>
      <c r="P75" s="92" t="str">
        <f t="shared" si="30"/>
        <v>AMOUNT</v>
      </c>
    </row>
    <row r="76" spans="1:16" x14ac:dyDescent="0.35">
      <c r="A76" s="23" t="str">
        <f t="shared" si="31"/>
        <v>2026 JAN-APR SHARP PRICE</v>
      </c>
      <c r="B76" s="33">
        <f t="shared" si="31"/>
        <v>46121</v>
      </c>
      <c r="C76" s="56">
        <f t="shared" si="31"/>
        <v>46127</v>
      </c>
      <c r="D76" s="32">
        <v>3321</v>
      </c>
      <c r="E76" s="32">
        <v>337</v>
      </c>
      <c r="F76" s="32">
        <v>4</v>
      </c>
      <c r="G76" s="23">
        <v>1</v>
      </c>
      <c r="H76" s="23">
        <v>81005</v>
      </c>
      <c r="I76" s="32" t="s">
        <v>2689</v>
      </c>
      <c r="J76" s="23">
        <v>68783477</v>
      </c>
      <c r="K76" s="22" t="s">
        <v>7273</v>
      </c>
      <c r="L76" s="22" t="s">
        <v>7274</v>
      </c>
      <c r="M76" s="24">
        <v>129900</v>
      </c>
      <c r="N76" s="90">
        <f t="shared" si="30"/>
        <v>0</v>
      </c>
      <c r="O76" s="91" t="str">
        <f t="shared" si="30"/>
        <v>SHARP PRICE</v>
      </c>
      <c r="P76" s="92" t="str">
        <f t="shared" si="30"/>
        <v>AMOUNT</v>
      </c>
    </row>
    <row r="77" spans="1:16" x14ac:dyDescent="0.35">
      <c r="A77" s="23" t="str">
        <f t="shared" si="31"/>
        <v>2026 JAN-APR SHARP PRICE</v>
      </c>
      <c r="B77" s="33">
        <f t="shared" si="31"/>
        <v>46121</v>
      </c>
      <c r="C77" s="56">
        <f t="shared" si="31"/>
        <v>46127</v>
      </c>
      <c r="D77" s="32">
        <v>3321</v>
      </c>
      <c r="E77" s="32">
        <v>337</v>
      </c>
      <c r="F77" s="32">
        <v>4</v>
      </c>
      <c r="G77" s="23">
        <v>1</v>
      </c>
      <c r="H77" s="23">
        <v>81005</v>
      </c>
      <c r="I77" s="32" t="s">
        <v>2689</v>
      </c>
      <c r="J77" s="23">
        <v>68783486</v>
      </c>
      <c r="K77" s="22" t="s">
        <v>7273</v>
      </c>
      <c r="L77" s="22" t="s">
        <v>7275</v>
      </c>
      <c r="M77" s="24">
        <v>129900</v>
      </c>
      <c r="N77" s="90">
        <f t="shared" si="30"/>
        <v>0</v>
      </c>
      <c r="O77" s="91" t="str">
        <f t="shared" si="30"/>
        <v>SHARP PRICE</v>
      </c>
      <c r="P77" s="92" t="str">
        <f t="shared" si="30"/>
        <v>AMOUNT</v>
      </c>
    </row>
    <row r="78" spans="1:16" x14ac:dyDescent="0.35">
      <c r="A78" s="23" t="str">
        <f t="shared" si="31"/>
        <v>2026 JAN-APR SHARP PRICE</v>
      </c>
      <c r="B78" s="33">
        <f t="shared" si="31"/>
        <v>46121</v>
      </c>
      <c r="C78" s="56">
        <f t="shared" si="31"/>
        <v>46127</v>
      </c>
      <c r="D78" s="32">
        <v>3321</v>
      </c>
      <c r="E78" s="32">
        <v>337</v>
      </c>
      <c r="F78" s="32">
        <v>4</v>
      </c>
      <c r="G78" s="23">
        <v>1</v>
      </c>
      <c r="H78" s="23">
        <v>81005</v>
      </c>
      <c r="I78" s="32" t="s">
        <v>2689</v>
      </c>
      <c r="J78" s="23">
        <v>68783495</v>
      </c>
      <c r="K78" s="22" t="s">
        <v>7273</v>
      </c>
      <c r="L78" s="22" t="s">
        <v>7276</v>
      </c>
      <c r="M78" s="24">
        <v>129900</v>
      </c>
      <c r="N78" s="90">
        <f t="shared" si="30"/>
        <v>0</v>
      </c>
      <c r="O78" s="91" t="str">
        <f t="shared" si="30"/>
        <v>SHARP PRICE</v>
      </c>
      <c r="P78" s="92" t="str">
        <f t="shared" si="30"/>
        <v>AMOUNT</v>
      </c>
    </row>
    <row r="79" spans="1:16" x14ac:dyDescent="0.35">
      <c r="A79" s="23" t="str">
        <f t="shared" si="31"/>
        <v>2026 JAN-APR SHARP PRICE</v>
      </c>
      <c r="B79" s="33">
        <f t="shared" si="31"/>
        <v>46121</v>
      </c>
      <c r="C79" s="56">
        <f t="shared" si="31"/>
        <v>46127</v>
      </c>
      <c r="D79" s="32">
        <v>3321</v>
      </c>
      <c r="E79" s="32">
        <v>337</v>
      </c>
      <c r="F79" s="32">
        <v>4</v>
      </c>
      <c r="G79" s="23">
        <v>1</v>
      </c>
      <c r="H79" s="23">
        <v>81005</v>
      </c>
      <c r="I79" s="32" t="s">
        <v>2689</v>
      </c>
      <c r="J79" s="23">
        <v>68783502</v>
      </c>
      <c r="K79" s="22" t="s">
        <v>7273</v>
      </c>
      <c r="L79" s="22" t="s">
        <v>7277</v>
      </c>
      <c r="M79" s="24">
        <v>129900</v>
      </c>
      <c r="N79" s="90">
        <f t="shared" si="30"/>
        <v>0</v>
      </c>
      <c r="O79" s="91" t="str">
        <f t="shared" si="30"/>
        <v>SHARP PRICE</v>
      </c>
      <c r="P79" s="92" t="str">
        <f t="shared" si="30"/>
        <v>AMOUNT</v>
      </c>
    </row>
    <row r="80" spans="1:16" x14ac:dyDescent="0.35">
      <c r="A80" s="23" t="str">
        <f t="shared" si="31"/>
        <v>2026 JAN-APR SHARP PRICE</v>
      </c>
      <c r="B80" s="33">
        <f t="shared" si="31"/>
        <v>46121</v>
      </c>
      <c r="C80" s="56">
        <f t="shared" si="31"/>
        <v>46127</v>
      </c>
      <c r="D80" s="32">
        <v>3321</v>
      </c>
      <c r="E80" s="32">
        <v>337</v>
      </c>
      <c r="F80" s="32">
        <v>4</v>
      </c>
      <c r="G80" s="23">
        <v>1</v>
      </c>
      <c r="H80" s="23">
        <v>81005</v>
      </c>
      <c r="I80" s="32" t="s">
        <v>2689</v>
      </c>
      <c r="J80" s="23">
        <v>68783511</v>
      </c>
      <c r="K80" s="22" t="s">
        <v>7273</v>
      </c>
      <c r="L80" s="22" t="s">
        <v>7278</v>
      </c>
      <c r="M80" s="24">
        <v>129900</v>
      </c>
      <c r="N80" s="90">
        <f t="shared" si="30"/>
        <v>0</v>
      </c>
      <c r="O80" s="91" t="str">
        <f t="shared" si="30"/>
        <v>SHARP PRICE</v>
      </c>
      <c r="P80" s="92" t="str">
        <f t="shared" si="30"/>
        <v>AMOUNT</v>
      </c>
    </row>
    <row r="81" spans="1:16" x14ac:dyDescent="0.35">
      <c r="A81" s="23" t="str">
        <f t="shared" si="31"/>
        <v>2026 JAN-APR SHARP PRICE</v>
      </c>
      <c r="B81" s="33">
        <f t="shared" si="31"/>
        <v>46121</v>
      </c>
      <c r="C81" s="56">
        <f t="shared" si="31"/>
        <v>46127</v>
      </c>
      <c r="D81" s="32">
        <v>3321</v>
      </c>
      <c r="E81" s="32">
        <v>337</v>
      </c>
      <c r="F81" s="32">
        <v>4</v>
      </c>
      <c r="G81" s="23">
        <v>1</v>
      </c>
      <c r="H81" s="23">
        <v>81005</v>
      </c>
      <c r="I81" s="32" t="s">
        <v>2689</v>
      </c>
      <c r="J81" s="23">
        <v>68783520</v>
      </c>
      <c r="K81" s="22" t="s">
        <v>7273</v>
      </c>
      <c r="L81" s="22" t="s">
        <v>7279</v>
      </c>
      <c r="M81" s="24">
        <v>129900</v>
      </c>
      <c r="N81" s="90">
        <f t="shared" si="30"/>
        <v>0</v>
      </c>
      <c r="O81" s="91" t="str">
        <f t="shared" si="30"/>
        <v>SHARP PRICE</v>
      </c>
      <c r="P81" s="92" t="str">
        <f t="shared" si="30"/>
        <v>AMOUNT</v>
      </c>
    </row>
    <row r="82" spans="1:16" x14ac:dyDescent="0.35">
      <c r="A82" s="23" t="str">
        <f t="shared" si="31"/>
        <v>2026 JAN-APR SHARP PRICE</v>
      </c>
      <c r="B82" s="33">
        <f t="shared" si="31"/>
        <v>46121</v>
      </c>
      <c r="C82" s="56">
        <f t="shared" si="31"/>
        <v>46127</v>
      </c>
      <c r="D82" s="32">
        <v>3321</v>
      </c>
      <c r="E82" s="32">
        <v>337</v>
      </c>
      <c r="F82" s="32">
        <v>4</v>
      </c>
      <c r="G82" s="23">
        <v>1</v>
      </c>
      <c r="H82" s="23">
        <v>81005</v>
      </c>
      <c r="I82" s="32" t="s">
        <v>2689</v>
      </c>
      <c r="J82" s="23">
        <v>68783539</v>
      </c>
      <c r="K82" s="22" t="s">
        <v>7273</v>
      </c>
      <c r="L82" s="22" t="s">
        <v>7280</v>
      </c>
      <c r="M82" s="24">
        <v>129900</v>
      </c>
      <c r="N82" s="90">
        <f t="shared" si="30"/>
        <v>0</v>
      </c>
      <c r="O82" s="91" t="str">
        <f t="shared" si="30"/>
        <v>SHARP PRICE</v>
      </c>
      <c r="P82" s="92" t="str">
        <f t="shared" si="30"/>
        <v>AMOUNT</v>
      </c>
    </row>
    <row r="83" spans="1:16" x14ac:dyDescent="0.35">
      <c r="A83" s="23" t="str">
        <f t="shared" si="31"/>
        <v>2026 JAN-APR SHARP PRICE</v>
      </c>
      <c r="B83" s="33">
        <f t="shared" si="31"/>
        <v>46121</v>
      </c>
      <c r="C83" s="56">
        <f t="shared" si="31"/>
        <v>46127</v>
      </c>
      <c r="D83" s="32">
        <v>3321</v>
      </c>
      <c r="E83" s="32">
        <v>337</v>
      </c>
      <c r="F83" s="32">
        <v>4</v>
      </c>
      <c r="G83" s="23">
        <v>1</v>
      </c>
      <c r="H83" s="23">
        <v>81005</v>
      </c>
      <c r="I83" s="32" t="s">
        <v>2689</v>
      </c>
      <c r="J83" s="23">
        <v>68784127</v>
      </c>
      <c r="K83" s="22" t="s">
        <v>7281</v>
      </c>
      <c r="L83" s="22" t="s">
        <v>7282</v>
      </c>
      <c r="M83" s="24">
        <v>129900</v>
      </c>
      <c r="N83" s="90">
        <f t="shared" si="30"/>
        <v>0</v>
      </c>
      <c r="O83" s="91" t="str">
        <f t="shared" si="30"/>
        <v>SHARP PRICE</v>
      </c>
      <c r="P83" s="92" t="str">
        <f t="shared" si="30"/>
        <v>AMOUNT</v>
      </c>
    </row>
    <row r="84" spans="1:16" x14ac:dyDescent="0.35">
      <c r="A84" s="23" t="str">
        <f t="shared" si="31"/>
        <v>2026 JAN-APR SHARP PRICE</v>
      </c>
      <c r="B84" s="33">
        <f t="shared" si="31"/>
        <v>46121</v>
      </c>
      <c r="C84" s="56">
        <f t="shared" si="31"/>
        <v>46127</v>
      </c>
      <c r="D84" s="32">
        <v>3321</v>
      </c>
      <c r="E84" s="32">
        <v>337</v>
      </c>
      <c r="F84" s="32">
        <v>4</v>
      </c>
      <c r="G84" s="23">
        <v>1</v>
      </c>
      <c r="H84" s="23">
        <v>81005</v>
      </c>
      <c r="I84" s="32" t="s">
        <v>2689</v>
      </c>
      <c r="J84" s="23">
        <v>68784136</v>
      </c>
      <c r="K84" s="22" t="s">
        <v>7281</v>
      </c>
      <c r="L84" s="22" t="s">
        <v>7283</v>
      </c>
      <c r="M84" s="24">
        <v>129900</v>
      </c>
      <c r="N84" s="90">
        <f t="shared" ref="N84:P99" si="32">N83</f>
        <v>0</v>
      </c>
      <c r="O84" s="91" t="str">
        <f t="shared" si="32"/>
        <v>SHARP PRICE</v>
      </c>
      <c r="P84" s="92" t="str">
        <f t="shared" si="32"/>
        <v>AMOUNT</v>
      </c>
    </row>
    <row r="85" spans="1:16" x14ac:dyDescent="0.35">
      <c r="A85" s="23" t="str">
        <f t="shared" ref="A85:C100" si="33">A84</f>
        <v>2026 JAN-APR SHARP PRICE</v>
      </c>
      <c r="B85" s="33">
        <f t="shared" si="33"/>
        <v>46121</v>
      </c>
      <c r="C85" s="56">
        <f t="shared" si="33"/>
        <v>46127</v>
      </c>
      <c r="D85" s="32">
        <v>3321</v>
      </c>
      <c r="E85" s="32">
        <v>337</v>
      </c>
      <c r="F85" s="32">
        <v>4</v>
      </c>
      <c r="G85" s="23">
        <v>1</v>
      </c>
      <c r="H85" s="23">
        <v>81005</v>
      </c>
      <c r="I85" s="32" t="s">
        <v>2689</v>
      </c>
      <c r="J85" s="23">
        <v>68784145</v>
      </c>
      <c r="K85" s="22" t="s">
        <v>7281</v>
      </c>
      <c r="L85" s="22" t="s">
        <v>7284</v>
      </c>
      <c r="M85" s="24">
        <v>129900</v>
      </c>
      <c r="N85" s="90">
        <f t="shared" si="32"/>
        <v>0</v>
      </c>
      <c r="O85" s="91" t="str">
        <f t="shared" si="32"/>
        <v>SHARP PRICE</v>
      </c>
      <c r="P85" s="92" t="str">
        <f t="shared" si="32"/>
        <v>AMOUNT</v>
      </c>
    </row>
    <row r="86" spans="1:16" x14ac:dyDescent="0.35">
      <c r="A86" s="23" t="str">
        <f t="shared" si="33"/>
        <v>2026 JAN-APR SHARP PRICE</v>
      </c>
      <c r="B86" s="33">
        <f t="shared" si="33"/>
        <v>46121</v>
      </c>
      <c r="C86" s="56">
        <f t="shared" si="33"/>
        <v>46127</v>
      </c>
      <c r="D86" s="32">
        <v>3321</v>
      </c>
      <c r="E86" s="32">
        <v>337</v>
      </c>
      <c r="F86" s="32">
        <v>4</v>
      </c>
      <c r="G86" s="23">
        <v>1</v>
      </c>
      <c r="H86" s="23">
        <v>81005</v>
      </c>
      <c r="I86" s="32" t="s">
        <v>2689</v>
      </c>
      <c r="J86" s="23">
        <v>68784154</v>
      </c>
      <c r="K86" s="22" t="s">
        <v>7281</v>
      </c>
      <c r="L86" s="22" t="s">
        <v>7285</v>
      </c>
      <c r="M86" s="24">
        <v>129900</v>
      </c>
      <c r="N86" s="90">
        <f t="shared" si="32"/>
        <v>0</v>
      </c>
      <c r="O86" s="91" t="str">
        <f t="shared" si="32"/>
        <v>SHARP PRICE</v>
      </c>
      <c r="P86" s="92" t="str">
        <f t="shared" si="32"/>
        <v>AMOUNT</v>
      </c>
    </row>
    <row r="87" spans="1:16" x14ac:dyDescent="0.35">
      <c r="A87" s="23" t="str">
        <f t="shared" si="33"/>
        <v>2026 JAN-APR SHARP PRICE</v>
      </c>
      <c r="B87" s="33">
        <f t="shared" si="33"/>
        <v>46121</v>
      </c>
      <c r="C87" s="56">
        <f t="shared" si="33"/>
        <v>46127</v>
      </c>
      <c r="D87" s="32">
        <v>3321</v>
      </c>
      <c r="E87" s="32">
        <v>337</v>
      </c>
      <c r="F87" s="32">
        <v>4</v>
      </c>
      <c r="G87" s="23">
        <v>4</v>
      </c>
      <c r="H87" s="23">
        <v>81847</v>
      </c>
      <c r="I87" s="32" t="s">
        <v>2689</v>
      </c>
      <c r="J87" s="23">
        <v>69949279</v>
      </c>
      <c r="K87" s="22" t="s">
        <v>7286</v>
      </c>
      <c r="L87" s="22" t="s">
        <v>7287</v>
      </c>
      <c r="M87" s="24">
        <v>129900</v>
      </c>
      <c r="N87" s="90">
        <f t="shared" si="32"/>
        <v>0</v>
      </c>
      <c r="O87" s="91" t="str">
        <f t="shared" si="32"/>
        <v>SHARP PRICE</v>
      </c>
      <c r="P87" s="92" t="str">
        <f t="shared" si="32"/>
        <v>AMOUNT</v>
      </c>
    </row>
    <row r="88" spans="1:16" x14ac:dyDescent="0.35">
      <c r="A88" s="23" t="str">
        <f t="shared" si="33"/>
        <v>2026 JAN-APR SHARP PRICE</v>
      </c>
      <c r="B88" s="33">
        <f t="shared" si="33"/>
        <v>46121</v>
      </c>
      <c r="C88" s="56">
        <f t="shared" si="33"/>
        <v>46127</v>
      </c>
      <c r="D88" s="32">
        <v>3321</v>
      </c>
      <c r="E88" s="32">
        <v>337</v>
      </c>
      <c r="F88" s="32">
        <v>4</v>
      </c>
      <c r="G88" s="23">
        <v>4</v>
      </c>
      <c r="H88" s="23">
        <v>81847</v>
      </c>
      <c r="I88" s="32" t="s">
        <v>2689</v>
      </c>
      <c r="J88" s="23">
        <v>69949288</v>
      </c>
      <c r="K88" s="22" t="s">
        <v>7286</v>
      </c>
      <c r="L88" s="22" t="s">
        <v>7288</v>
      </c>
      <c r="M88" s="24">
        <v>129900</v>
      </c>
      <c r="N88" s="90">
        <f t="shared" si="32"/>
        <v>0</v>
      </c>
      <c r="O88" s="91" t="str">
        <f t="shared" si="32"/>
        <v>SHARP PRICE</v>
      </c>
      <c r="P88" s="92" t="str">
        <f t="shared" si="32"/>
        <v>AMOUNT</v>
      </c>
    </row>
    <row r="89" spans="1:16" x14ac:dyDescent="0.35">
      <c r="A89" s="23" t="str">
        <f t="shared" si="33"/>
        <v>2026 JAN-APR SHARP PRICE</v>
      </c>
      <c r="B89" s="33">
        <f t="shared" si="33"/>
        <v>46121</v>
      </c>
      <c r="C89" s="56">
        <f t="shared" si="33"/>
        <v>46127</v>
      </c>
      <c r="D89" s="32">
        <v>3321</v>
      </c>
      <c r="E89" s="32">
        <v>337</v>
      </c>
      <c r="F89" s="32">
        <v>4</v>
      </c>
      <c r="G89" s="23">
        <v>4</v>
      </c>
      <c r="H89" s="23">
        <v>81847</v>
      </c>
      <c r="I89" s="32" t="s">
        <v>2689</v>
      </c>
      <c r="J89" s="23">
        <v>69949297</v>
      </c>
      <c r="K89" s="22" t="s">
        <v>7286</v>
      </c>
      <c r="L89" s="22" t="s">
        <v>7289</v>
      </c>
      <c r="M89" s="24">
        <v>129900</v>
      </c>
      <c r="N89" s="90">
        <f t="shared" si="32"/>
        <v>0</v>
      </c>
      <c r="O89" s="91" t="str">
        <f t="shared" si="32"/>
        <v>SHARP PRICE</v>
      </c>
      <c r="P89" s="92" t="str">
        <f t="shared" si="32"/>
        <v>AMOUNT</v>
      </c>
    </row>
    <row r="90" spans="1:16" x14ac:dyDescent="0.35">
      <c r="A90" s="23" t="str">
        <f t="shared" si="33"/>
        <v>2026 JAN-APR SHARP PRICE</v>
      </c>
      <c r="B90" s="33">
        <f t="shared" si="33"/>
        <v>46121</v>
      </c>
      <c r="C90" s="56">
        <f t="shared" si="33"/>
        <v>46127</v>
      </c>
      <c r="D90" s="32">
        <v>3321</v>
      </c>
      <c r="E90" s="32">
        <v>337</v>
      </c>
      <c r="F90" s="32">
        <v>4</v>
      </c>
      <c r="G90" s="23">
        <v>4</v>
      </c>
      <c r="H90" s="23">
        <v>81847</v>
      </c>
      <c r="I90" s="32" t="s">
        <v>2689</v>
      </c>
      <c r="J90" s="23">
        <v>69949304</v>
      </c>
      <c r="K90" s="22" t="s">
        <v>7286</v>
      </c>
      <c r="L90" s="22" t="s">
        <v>7290</v>
      </c>
      <c r="M90" s="24">
        <v>129900</v>
      </c>
      <c r="N90" s="90">
        <f t="shared" si="32"/>
        <v>0</v>
      </c>
      <c r="O90" s="91" t="str">
        <f t="shared" si="32"/>
        <v>SHARP PRICE</v>
      </c>
      <c r="P90" s="92" t="str">
        <f t="shared" si="32"/>
        <v>AMOUNT</v>
      </c>
    </row>
    <row r="91" spans="1:16" x14ac:dyDescent="0.35">
      <c r="A91" s="23" t="str">
        <f t="shared" si="33"/>
        <v>2026 JAN-APR SHARP PRICE</v>
      </c>
      <c r="B91" s="33">
        <f t="shared" si="33"/>
        <v>46121</v>
      </c>
      <c r="C91" s="56">
        <f t="shared" si="33"/>
        <v>46127</v>
      </c>
      <c r="D91" s="32">
        <v>3321</v>
      </c>
      <c r="E91" s="32">
        <v>337</v>
      </c>
      <c r="F91" s="32">
        <v>4</v>
      </c>
      <c r="G91" s="23">
        <v>1</v>
      </c>
      <c r="H91" s="23">
        <v>81588</v>
      </c>
      <c r="I91" s="32" t="s">
        <v>2689</v>
      </c>
      <c r="J91" s="23">
        <v>68784163</v>
      </c>
      <c r="K91" s="22" t="s">
        <v>7291</v>
      </c>
      <c r="L91" s="22" t="s">
        <v>7292</v>
      </c>
      <c r="M91" s="24">
        <v>99900</v>
      </c>
      <c r="N91" s="90">
        <f t="shared" si="32"/>
        <v>0</v>
      </c>
      <c r="O91" s="91" t="str">
        <f t="shared" si="32"/>
        <v>SHARP PRICE</v>
      </c>
      <c r="P91" s="92" t="str">
        <f t="shared" si="32"/>
        <v>AMOUNT</v>
      </c>
    </row>
    <row r="92" spans="1:16" x14ac:dyDescent="0.35">
      <c r="A92" s="23" t="str">
        <f t="shared" si="33"/>
        <v>2026 JAN-APR SHARP PRICE</v>
      </c>
      <c r="B92" s="33">
        <f t="shared" si="33"/>
        <v>46121</v>
      </c>
      <c r="C92" s="56">
        <f t="shared" si="33"/>
        <v>46127</v>
      </c>
      <c r="D92" s="32">
        <v>3321</v>
      </c>
      <c r="E92" s="32">
        <v>337</v>
      </c>
      <c r="F92" s="32">
        <v>4</v>
      </c>
      <c r="G92" s="23">
        <v>1</v>
      </c>
      <c r="H92" s="23">
        <v>81588</v>
      </c>
      <c r="I92" s="32" t="s">
        <v>2689</v>
      </c>
      <c r="J92" s="23">
        <v>68784172</v>
      </c>
      <c r="K92" s="22" t="s">
        <v>7291</v>
      </c>
      <c r="L92" s="22" t="s">
        <v>7293</v>
      </c>
      <c r="M92" s="24">
        <v>99900</v>
      </c>
      <c r="N92" s="90">
        <f t="shared" si="32"/>
        <v>0</v>
      </c>
      <c r="O92" s="91" t="str">
        <f t="shared" si="32"/>
        <v>SHARP PRICE</v>
      </c>
      <c r="P92" s="92" t="str">
        <f t="shared" si="32"/>
        <v>AMOUNT</v>
      </c>
    </row>
    <row r="93" spans="1:16" x14ac:dyDescent="0.35">
      <c r="A93" s="23" t="str">
        <f t="shared" si="33"/>
        <v>2026 JAN-APR SHARP PRICE</v>
      </c>
      <c r="B93" s="33">
        <f t="shared" si="33"/>
        <v>46121</v>
      </c>
      <c r="C93" s="56">
        <f t="shared" si="33"/>
        <v>46127</v>
      </c>
      <c r="D93" s="32">
        <v>3321</v>
      </c>
      <c r="E93" s="32">
        <v>337</v>
      </c>
      <c r="F93" s="32">
        <v>4</v>
      </c>
      <c r="G93" s="23">
        <v>1</v>
      </c>
      <c r="H93" s="23">
        <v>81588</v>
      </c>
      <c r="I93" s="32" t="s">
        <v>2689</v>
      </c>
      <c r="J93" s="23">
        <v>68784181</v>
      </c>
      <c r="K93" s="22" t="s">
        <v>7291</v>
      </c>
      <c r="L93" s="22" t="s">
        <v>7294</v>
      </c>
      <c r="M93" s="24">
        <v>99900</v>
      </c>
      <c r="N93" s="90">
        <f t="shared" si="32"/>
        <v>0</v>
      </c>
      <c r="O93" s="91" t="str">
        <f t="shared" si="32"/>
        <v>SHARP PRICE</v>
      </c>
      <c r="P93" s="92" t="str">
        <f t="shared" si="32"/>
        <v>AMOUNT</v>
      </c>
    </row>
    <row r="94" spans="1:16" x14ac:dyDescent="0.35">
      <c r="A94" s="23" t="str">
        <f t="shared" si="33"/>
        <v>2026 JAN-APR SHARP PRICE</v>
      </c>
      <c r="B94" s="33">
        <f t="shared" si="33"/>
        <v>46121</v>
      </c>
      <c r="C94" s="56">
        <f t="shared" si="33"/>
        <v>46127</v>
      </c>
      <c r="D94" s="32">
        <v>3321</v>
      </c>
      <c r="E94" s="32">
        <v>337</v>
      </c>
      <c r="F94" s="32">
        <v>4</v>
      </c>
      <c r="G94" s="23">
        <v>1</v>
      </c>
      <c r="H94" s="23">
        <v>81588</v>
      </c>
      <c r="I94" s="32" t="s">
        <v>2689</v>
      </c>
      <c r="J94" s="23">
        <v>68784190</v>
      </c>
      <c r="K94" s="22" t="s">
        <v>7291</v>
      </c>
      <c r="L94" s="22" t="s">
        <v>7295</v>
      </c>
      <c r="M94" s="24">
        <v>99900</v>
      </c>
      <c r="N94" s="90">
        <f t="shared" si="32"/>
        <v>0</v>
      </c>
      <c r="O94" s="91" t="str">
        <f t="shared" si="32"/>
        <v>SHARP PRICE</v>
      </c>
      <c r="P94" s="92" t="str">
        <f t="shared" si="32"/>
        <v>AMOUNT</v>
      </c>
    </row>
    <row r="95" spans="1:16" x14ac:dyDescent="0.35">
      <c r="A95" s="23" t="str">
        <f t="shared" si="33"/>
        <v>2026 JAN-APR SHARP PRICE</v>
      </c>
      <c r="B95" s="33">
        <f t="shared" si="33"/>
        <v>46121</v>
      </c>
      <c r="C95" s="56">
        <f t="shared" si="33"/>
        <v>46127</v>
      </c>
      <c r="D95" s="32">
        <v>3321</v>
      </c>
      <c r="E95" s="32">
        <v>337</v>
      </c>
      <c r="F95" s="32">
        <v>4</v>
      </c>
      <c r="G95" s="23">
        <v>1</v>
      </c>
      <c r="H95" s="23">
        <v>81588</v>
      </c>
      <c r="I95" s="32" t="s">
        <v>2689</v>
      </c>
      <c r="J95" s="23">
        <v>68784207</v>
      </c>
      <c r="K95" s="22" t="s">
        <v>7291</v>
      </c>
      <c r="L95" s="22" t="s">
        <v>7296</v>
      </c>
      <c r="M95" s="24">
        <v>99900</v>
      </c>
      <c r="N95" s="90">
        <f t="shared" si="32"/>
        <v>0</v>
      </c>
      <c r="O95" s="91" t="str">
        <f t="shared" si="32"/>
        <v>SHARP PRICE</v>
      </c>
      <c r="P95" s="92" t="str">
        <f t="shared" si="32"/>
        <v>AMOUNT</v>
      </c>
    </row>
    <row r="96" spans="1:16" x14ac:dyDescent="0.35">
      <c r="A96" s="23" t="str">
        <f t="shared" si="33"/>
        <v>2026 JAN-APR SHARP PRICE</v>
      </c>
      <c r="B96" s="33">
        <f t="shared" si="33"/>
        <v>46121</v>
      </c>
      <c r="C96" s="56">
        <f t="shared" si="33"/>
        <v>46127</v>
      </c>
      <c r="D96" s="32">
        <v>3321</v>
      </c>
      <c r="E96" s="32">
        <v>337</v>
      </c>
      <c r="F96" s="32">
        <v>4</v>
      </c>
      <c r="G96" s="23">
        <v>1</v>
      </c>
      <c r="H96" s="23">
        <v>81588</v>
      </c>
      <c r="I96" s="32" t="s">
        <v>2689</v>
      </c>
      <c r="J96" s="23">
        <v>68979195</v>
      </c>
      <c r="K96" s="22" t="s">
        <v>7297</v>
      </c>
      <c r="L96" s="22" t="s">
        <v>7298</v>
      </c>
      <c r="M96" s="24">
        <v>129900</v>
      </c>
      <c r="N96" s="90">
        <f t="shared" si="32"/>
        <v>0</v>
      </c>
      <c r="O96" s="91" t="str">
        <f t="shared" si="32"/>
        <v>SHARP PRICE</v>
      </c>
      <c r="P96" s="92" t="str">
        <f t="shared" si="32"/>
        <v>AMOUNT</v>
      </c>
    </row>
    <row r="97" spans="1:16" x14ac:dyDescent="0.35">
      <c r="A97" s="23" t="str">
        <f t="shared" si="33"/>
        <v>2026 JAN-APR SHARP PRICE</v>
      </c>
      <c r="B97" s="33">
        <f t="shared" si="33"/>
        <v>46121</v>
      </c>
      <c r="C97" s="56">
        <f t="shared" si="33"/>
        <v>46127</v>
      </c>
      <c r="D97" s="32">
        <v>3321</v>
      </c>
      <c r="E97" s="32">
        <v>337</v>
      </c>
      <c r="F97" s="32">
        <v>4</v>
      </c>
      <c r="G97" s="23">
        <v>1</v>
      </c>
      <c r="H97" s="23">
        <v>81588</v>
      </c>
      <c r="I97" s="32" t="s">
        <v>2689</v>
      </c>
      <c r="J97" s="23">
        <v>68979202</v>
      </c>
      <c r="K97" s="22" t="s">
        <v>7297</v>
      </c>
      <c r="L97" s="22" t="s">
        <v>7299</v>
      </c>
      <c r="M97" s="24">
        <v>129900</v>
      </c>
      <c r="N97" s="90">
        <f t="shared" si="32"/>
        <v>0</v>
      </c>
      <c r="O97" s="91" t="str">
        <f t="shared" si="32"/>
        <v>SHARP PRICE</v>
      </c>
      <c r="P97" s="92" t="str">
        <f t="shared" si="32"/>
        <v>AMOUNT</v>
      </c>
    </row>
    <row r="98" spans="1:16" x14ac:dyDescent="0.35">
      <c r="A98" s="23" t="str">
        <f t="shared" si="33"/>
        <v>2026 JAN-APR SHARP PRICE</v>
      </c>
      <c r="B98" s="33">
        <f t="shared" si="33"/>
        <v>46121</v>
      </c>
      <c r="C98" s="56">
        <f t="shared" si="33"/>
        <v>46127</v>
      </c>
      <c r="D98" s="32">
        <v>3321</v>
      </c>
      <c r="E98" s="32">
        <v>337</v>
      </c>
      <c r="F98" s="32">
        <v>4</v>
      </c>
      <c r="G98" s="23">
        <v>1</v>
      </c>
      <c r="H98" s="23">
        <v>81588</v>
      </c>
      <c r="I98" s="32" t="s">
        <v>2689</v>
      </c>
      <c r="J98" s="23">
        <v>68979211</v>
      </c>
      <c r="K98" s="22" t="s">
        <v>7297</v>
      </c>
      <c r="L98" s="22" t="s">
        <v>7300</v>
      </c>
      <c r="M98" s="24">
        <v>129900</v>
      </c>
      <c r="N98" s="90">
        <f t="shared" si="32"/>
        <v>0</v>
      </c>
      <c r="O98" s="91" t="str">
        <f t="shared" si="32"/>
        <v>SHARP PRICE</v>
      </c>
      <c r="P98" s="92" t="str">
        <f t="shared" si="32"/>
        <v>AMOUNT</v>
      </c>
    </row>
    <row r="99" spans="1:16" x14ac:dyDescent="0.35">
      <c r="A99" s="23" t="str">
        <f t="shared" si="33"/>
        <v>2026 JAN-APR SHARP PRICE</v>
      </c>
      <c r="B99" s="33">
        <f t="shared" si="33"/>
        <v>46121</v>
      </c>
      <c r="C99" s="56">
        <f t="shared" si="33"/>
        <v>46127</v>
      </c>
      <c r="D99" s="32">
        <v>3321</v>
      </c>
      <c r="E99" s="32">
        <v>337</v>
      </c>
      <c r="F99" s="32">
        <v>4</v>
      </c>
      <c r="G99" s="23">
        <v>1</v>
      </c>
      <c r="H99" s="23">
        <v>81588</v>
      </c>
      <c r="I99" s="32" t="s">
        <v>2689</v>
      </c>
      <c r="J99" s="23">
        <v>68979220</v>
      </c>
      <c r="K99" s="22" t="s">
        <v>7297</v>
      </c>
      <c r="L99" s="22" t="s">
        <v>7301</v>
      </c>
      <c r="M99" s="24">
        <v>129900</v>
      </c>
      <c r="N99" s="90">
        <f t="shared" si="32"/>
        <v>0</v>
      </c>
      <c r="O99" s="91" t="str">
        <f t="shared" si="32"/>
        <v>SHARP PRICE</v>
      </c>
      <c r="P99" s="92" t="str">
        <f t="shared" si="32"/>
        <v>AMOUNT</v>
      </c>
    </row>
    <row r="100" spans="1:16" x14ac:dyDescent="0.35">
      <c r="A100" s="23" t="str">
        <f t="shared" si="33"/>
        <v>2026 JAN-APR SHARP PRICE</v>
      </c>
      <c r="B100" s="33">
        <f t="shared" si="33"/>
        <v>46121</v>
      </c>
      <c r="C100" s="56">
        <f t="shared" si="33"/>
        <v>46127</v>
      </c>
      <c r="D100" s="32">
        <v>3321</v>
      </c>
      <c r="E100" s="32">
        <v>337</v>
      </c>
      <c r="F100" s="32">
        <v>4</v>
      </c>
      <c r="G100" s="23">
        <v>1</v>
      </c>
      <c r="H100" s="23">
        <v>81588</v>
      </c>
      <c r="I100" s="32" t="s">
        <v>2689</v>
      </c>
      <c r="J100" s="23">
        <v>68979239</v>
      </c>
      <c r="K100" s="22" t="s">
        <v>7297</v>
      </c>
      <c r="L100" s="22" t="s">
        <v>7302</v>
      </c>
      <c r="M100" s="24">
        <v>129900</v>
      </c>
      <c r="N100" s="90">
        <f t="shared" ref="N100:P115" si="34">N99</f>
        <v>0</v>
      </c>
      <c r="O100" s="91" t="str">
        <f t="shared" si="34"/>
        <v>SHARP PRICE</v>
      </c>
      <c r="P100" s="92" t="str">
        <f t="shared" si="34"/>
        <v>AMOUNT</v>
      </c>
    </row>
    <row r="101" spans="1:16" x14ac:dyDescent="0.35">
      <c r="A101" s="23" t="str">
        <f t="shared" ref="A101:C116" si="35">A100</f>
        <v>2026 JAN-APR SHARP PRICE</v>
      </c>
      <c r="B101" s="33">
        <f t="shared" si="35"/>
        <v>46121</v>
      </c>
      <c r="C101" s="56">
        <f t="shared" si="35"/>
        <v>46127</v>
      </c>
      <c r="D101" s="32">
        <v>3321</v>
      </c>
      <c r="E101" s="32">
        <v>337</v>
      </c>
      <c r="F101" s="32">
        <v>4</v>
      </c>
      <c r="G101" s="23">
        <v>1</v>
      </c>
      <c r="H101" s="23">
        <v>81588</v>
      </c>
      <c r="I101" s="32" t="s">
        <v>2689</v>
      </c>
      <c r="J101" s="23">
        <v>68979248</v>
      </c>
      <c r="K101" s="22" t="s">
        <v>7297</v>
      </c>
      <c r="L101" s="22" t="s">
        <v>7303</v>
      </c>
      <c r="M101" s="24">
        <v>129900</v>
      </c>
      <c r="N101" s="90">
        <f t="shared" si="34"/>
        <v>0</v>
      </c>
      <c r="O101" s="91" t="str">
        <f t="shared" si="34"/>
        <v>SHARP PRICE</v>
      </c>
      <c r="P101" s="92" t="str">
        <f t="shared" si="34"/>
        <v>AMOUNT</v>
      </c>
    </row>
    <row r="102" spans="1:16" x14ac:dyDescent="0.35">
      <c r="A102" s="23" t="str">
        <f t="shared" si="35"/>
        <v>2026 JAN-APR SHARP PRICE</v>
      </c>
      <c r="B102" s="33">
        <f t="shared" si="35"/>
        <v>46121</v>
      </c>
      <c r="C102" s="56">
        <f t="shared" si="35"/>
        <v>46127</v>
      </c>
      <c r="D102" s="32">
        <v>3321</v>
      </c>
      <c r="E102" s="32">
        <v>337</v>
      </c>
      <c r="F102" s="32">
        <v>4</v>
      </c>
      <c r="G102" s="23">
        <v>1</v>
      </c>
      <c r="H102" s="23">
        <v>81588</v>
      </c>
      <c r="I102" s="32" t="s">
        <v>2689</v>
      </c>
      <c r="J102" s="23">
        <v>68979257</v>
      </c>
      <c r="K102" s="22" t="s">
        <v>7297</v>
      </c>
      <c r="L102" s="22" t="s">
        <v>7304</v>
      </c>
      <c r="M102" s="24">
        <v>129900</v>
      </c>
      <c r="N102" s="90">
        <f t="shared" si="34"/>
        <v>0</v>
      </c>
      <c r="O102" s="91" t="str">
        <f t="shared" si="34"/>
        <v>SHARP PRICE</v>
      </c>
      <c r="P102" s="92" t="str">
        <f t="shared" si="34"/>
        <v>AMOUNT</v>
      </c>
    </row>
    <row r="103" spans="1:16" x14ac:dyDescent="0.35">
      <c r="A103" s="23" t="str">
        <f t="shared" si="35"/>
        <v>2026 JAN-APR SHARP PRICE</v>
      </c>
      <c r="B103" s="33">
        <f t="shared" si="35"/>
        <v>46121</v>
      </c>
      <c r="C103" s="56">
        <f t="shared" si="35"/>
        <v>46127</v>
      </c>
      <c r="D103" s="32">
        <v>3321</v>
      </c>
      <c r="E103" s="32">
        <v>337</v>
      </c>
      <c r="F103" s="32">
        <v>4</v>
      </c>
      <c r="G103" s="23">
        <v>3</v>
      </c>
      <c r="H103" s="23">
        <v>81588</v>
      </c>
      <c r="I103" s="32" t="s">
        <v>2689</v>
      </c>
      <c r="J103" s="23">
        <v>68783379</v>
      </c>
      <c r="K103" s="22" t="s">
        <v>7305</v>
      </c>
      <c r="L103" s="22" t="s">
        <v>7306</v>
      </c>
      <c r="M103" s="24">
        <v>179900</v>
      </c>
      <c r="N103" s="90">
        <f t="shared" si="34"/>
        <v>0</v>
      </c>
      <c r="O103" s="91" t="str">
        <f t="shared" si="34"/>
        <v>SHARP PRICE</v>
      </c>
      <c r="P103" s="92" t="str">
        <f t="shared" si="34"/>
        <v>AMOUNT</v>
      </c>
    </row>
    <row r="104" spans="1:16" x14ac:dyDescent="0.35">
      <c r="A104" s="23" t="str">
        <f t="shared" si="35"/>
        <v>2026 JAN-APR SHARP PRICE</v>
      </c>
      <c r="B104" s="33">
        <f t="shared" si="35"/>
        <v>46121</v>
      </c>
      <c r="C104" s="56">
        <f t="shared" si="35"/>
        <v>46127</v>
      </c>
      <c r="D104" s="32">
        <v>3321</v>
      </c>
      <c r="E104" s="32">
        <v>337</v>
      </c>
      <c r="F104" s="32">
        <v>4</v>
      </c>
      <c r="G104" s="23">
        <v>3</v>
      </c>
      <c r="H104" s="23">
        <v>81588</v>
      </c>
      <c r="I104" s="32" t="s">
        <v>2689</v>
      </c>
      <c r="J104" s="23">
        <v>68783388</v>
      </c>
      <c r="K104" s="22" t="s">
        <v>7305</v>
      </c>
      <c r="L104" s="22" t="s">
        <v>7307</v>
      </c>
      <c r="M104" s="24">
        <v>179900</v>
      </c>
      <c r="N104" s="90">
        <f t="shared" si="34"/>
        <v>0</v>
      </c>
      <c r="O104" s="91" t="str">
        <f t="shared" si="34"/>
        <v>SHARP PRICE</v>
      </c>
      <c r="P104" s="92" t="str">
        <f t="shared" si="34"/>
        <v>AMOUNT</v>
      </c>
    </row>
    <row r="105" spans="1:16" x14ac:dyDescent="0.35">
      <c r="A105" s="23" t="str">
        <f t="shared" si="35"/>
        <v>2026 JAN-APR SHARP PRICE</v>
      </c>
      <c r="B105" s="33">
        <f t="shared" si="35"/>
        <v>46121</v>
      </c>
      <c r="C105" s="56">
        <f t="shared" si="35"/>
        <v>46127</v>
      </c>
      <c r="D105" s="32">
        <v>3321</v>
      </c>
      <c r="E105" s="32">
        <v>337</v>
      </c>
      <c r="F105" s="32">
        <v>4</v>
      </c>
      <c r="G105" s="23">
        <v>3</v>
      </c>
      <c r="H105" s="23">
        <v>81588</v>
      </c>
      <c r="I105" s="32" t="s">
        <v>2689</v>
      </c>
      <c r="J105" s="23">
        <v>68783397</v>
      </c>
      <c r="K105" s="22" t="s">
        <v>7305</v>
      </c>
      <c r="L105" s="22" t="s">
        <v>7308</v>
      </c>
      <c r="M105" s="24">
        <v>179900</v>
      </c>
      <c r="N105" s="90">
        <f t="shared" si="34"/>
        <v>0</v>
      </c>
      <c r="O105" s="91" t="str">
        <f t="shared" si="34"/>
        <v>SHARP PRICE</v>
      </c>
      <c r="P105" s="92" t="str">
        <f t="shared" si="34"/>
        <v>AMOUNT</v>
      </c>
    </row>
    <row r="106" spans="1:16" x14ac:dyDescent="0.35">
      <c r="A106" s="23" t="str">
        <f t="shared" si="35"/>
        <v>2026 JAN-APR SHARP PRICE</v>
      </c>
      <c r="B106" s="33">
        <f t="shared" si="35"/>
        <v>46121</v>
      </c>
      <c r="C106" s="56">
        <f t="shared" si="35"/>
        <v>46127</v>
      </c>
      <c r="D106" s="32">
        <v>3321</v>
      </c>
      <c r="E106" s="32">
        <v>337</v>
      </c>
      <c r="F106" s="32">
        <v>4</v>
      </c>
      <c r="G106" s="23">
        <v>3</v>
      </c>
      <c r="H106" s="23">
        <v>81588</v>
      </c>
      <c r="I106" s="32" t="s">
        <v>2689</v>
      </c>
      <c r="J106" s="23">
        <v>68783404</v>
      </c>
      <c r="K106" s="22" t="s">
        <v>7305</v>
      </c>
      <c r="L106" s="22" t="s">
        <v>7309</v>
      </c>
      <c r="M106" s="24">
        <v>179900</v>
      </c>
      <c r="N106" s="90">
        <f t="shared" si="34"/>
        <v>0</v>
      </c>
      <c r="O106" s="91" t="str">
        <f t="shared" si="34"/>
        <v>SHARP PRICE</v>
      </c>
      <c r="P106" s="92" t="str">
        <f t="shared" si="34"/>
        <v>AMOUNT</v>
      </c>
    </row>
    <row r="107" spans="1:16" x14ac:dyDescent="0.35">
      <c r="A107" s="23" t="str">
        <f t="shared" si="35"/>
        <v>2026 JAN-APR SHARP PRICE</v>
      </c>
      <c r="B107" s="33">
        <f t="shared" si="35"/>
        <v>46121</v>
      </c>
      <c r="C107" s="56">
        <f t="shared" si="35"/>
        <v>46127</v>
      </c>
      <c r="D107" s="32">
        <v>3321</v>
      </c>
      <c r="E107" s="32">
        <v>337</v>
      </c>
      <c r="F107" s="32">
        <v>4</v>
      </c>
      <c r="G107" s="23">
        <v>3</v>
      </c>
      <c r="H107" s="23">
        <v>81588</v>
      </c>
      <c r="I107" s="32" t="s">
        <v>2689</v>
      </c>
      <c r="J107" s="23">
        <v>68783413</v>
      </c>
      <c r="K107" s="22" t="s">
        <v>7305</v>
      </c>
      <c r="L107" s="22" t="s">
        <v>7310</v>
      </c>
      <c r="M107" s="24">
        <v>179900</v>
      </c>
      <c r="N107" s="90">
        <f t="shared" si="34"/>
        <v>0</v>
      </c>
      <c r="O107" s="91" t="str">
        <f t="shared" si="34"/>
        <v>SHARP PRICE</v>
      </c>
      <c r="P107" s="92" t="str">
        <f t="shared" si="34"/>
        <v>AMOUNT</v>
      </c>
    </row>
    <row r="108" spans="1:16" x14ac:dyDescent="0.35">
      <c r="A108" s="23" t="str">
        <f t="shared" si="35"/>
        <v>2026 JAN-APR SHARP PRICE</v>
      </c>
      <c r="B108" s="33">
        <f t="shared" si="35"/>
        <v>46121</v>
      </c>
      <c r="C108" s="56">
        <f t="shared" si="35"/>
        <v>46127</v>
      </c>
      <c r="D108" s="32">
        <v>3321</v>
      </c>
      <c r="E108" s="32">
        <v>337</v>
      </c>
      <c r="F108" s="32">
        <v>4</v>
      </c>
      <c r="G108" s="23">
        <v>4</v>
      </c>
      <c r="H108" s="23">
        <v>81588</v>
      </c>
      <c r="I108" s="32" t="s">
        <v>2689</v>
      </c>
      <c r="J108" s="23">
        <v>68783682</v>
      </c>
      <c r="K108" s="22" t="s">
        <v>7311</v>
      </c>
      <c r="L108" s="22" t="s">
        <v>7312</v>
      </c>
      <c r="M108" s="24">
        <v>149900</v>
      </c>
      <c r="N108" s="90">
        <f t="shared" si="34"/>
        <v>0</v>
      </c>
      <c r="O108" s="91" t="str">
        <f t="shared" si="34"/>
        <v>SHARP PRICE</v>
      </c>
      <c r="P108" s="92" t="str">
        <f t="shared" si="34"/>
        <v>AMOUNT</v>
      </c>
    </row>
    <row r="109" spans="1:16" x14ac:dyDescent="0.35">
      <c r="A109" s="23" t="str">
        <f t="shared" si="35"/>
        <v>2026 JAN-APR SHARP PRICE</v>
      </c>
      <c r="B109" s="33">
        <f t="shared" si="35"/>
        <v>46121</v>
      </c>
      <c r="C109" s="56">
        <f t="shared" si="35"/>
        <v>46127</v>
      </c>
      <c r="D109" s="32">
        <v>3321</v>
      </c>
      <c r="E109" s="32">
        <v>337</v>
      </c>
      <c r="F109" s="32">
        <v>4</v>
      </c>
      <c r="G109" s="23">
        <v>4</v>
      </c>
      <c r="H109" s="23">
        <v>81588</v>
      </c>
      <c r="I109" s="32" t="s">
        <v>2689</v>
      </c>
      <c r="J109" s="23">
        <v>68783691</v>
      </c>
      <c r="K109" s="22" t="s">
        <v>7311</v>
      </c>
      <c r="L109" s="22" t="s">
        <v>7313</v>
      </c>
      <c r="M109" s="24">
        <v>149900</v>
      </c>
      <c r="N109" s="90">
        <f t="shared" si="34"/>
        <v>0</v>
      </c>
      <c r="O109" s="91" t="str">
        <f t="shared" si="34"/>
        <v>SHARP PRICE</v>
      </c>
      <c r="P109" s="92" t="str">
        <f t="shared" si="34"/>
        <v>AMOUNT</v>
      </c>
    </row>
    <row r="110" spans="1:16" x14ac:dyDescent="0.35">
      <c r="A110" s="23" t="str">
        <f t="shared" si="35"/>
        <v>2026 JAN-APR SHARP PRICE</v>
      </c>
      <c r="B110" s="33">
        <f t="shared" si="35"/>
        <v>46121</v>
      </c>
      <c r="C110" s="56">
        <f t="shared" si="35"/>
        <v>46127</v>
      </c>
      <c r="D110" s="32">
        <v>3321</v>
      </c>
      <c r="E110" s="32">
        <v>337</v>
      </c>
      <c r="F110" s="32">
        <v>4</v>
      </c>
      <c r="G110" s="23">
        <v>4</v>
      </c>
      <c r="H110" s="23">
        <v>81588</v>
      </c>
      <c r="I110" s="32" t="s">
        <v>2689</v>
      </c>
      <c r="J110" s="23">
        <v>68783708</v>
      </c>
      <c r="K110" s="22" t="s">
        <v>7311</v>
      </c>
      <c r="L110" s="22" t="s">
        <v>7314</v>
      </c>
      <c r="M110" s="24">
        <v>149900</v>
      </c>
      <c r="N110" s="90">
        <f t="shared" si="34"/>
        <v>0</v>
      </c>
      <c r="O110" s="91" t="str">
        <f t="shared" si="34"/>
        <v>SHARP PRICE</v>
      </c>
      <c r="P110" s="92" t="str">
        <f t="shared" si="34"/>
        <v>AMOUNT</v>
      </c>
    </row>
    <row r="111" spans="1:16" x14ac:dyDescent="0.35">
      <c r="A111" s="23" t="str">
        <f t="shared" si="35"/>
        <v>2026 JAN-APR SHARP PRICE</v>
      </c>
      <c r="B111" s="33">
        <f t="shared" si="35"/>
        <v>46121</v>
      </c>
      <c r="C111" s="56">
        <f t="shared" si="35"/>
        <v>46127</v>
      </c>
      <c r="D111" s="32">
        <v>3321</v>
      </c>
      <c r="E111" s="32">
        <v>337</v>
      </c>
      <c r="F111" s="32">
        <v>4</v>
      </c>
      <c r="G111" s="23">
        <v>4</v>
      </c>
      <c r="H111" s="23">
        <v>81588</v>
      </c>
      <c r="I111" s="32" t="s">
        <v>2689</v>
      </c>
      <c r="J111" s="23">
        <v>68783717</v>
      </c>
      <c r="K111" s="22" t="s">
        <v>7311</v>
      </c>
      <c r="L111" s="22" t="s">
        <v>7315</v>
      </c>
      <c r="M111" s="24">
        <v>149900</v>
      </c>
      <c r="N111" s="90">
        <f t="shared" si="34"/>
        <v>0</v>
      </c>
      <c r="O111" s="91" t="str">
        <f t="shared" si="34"/>
        <v>SHARP PRICE</v>
      </c>
      <c r="P111" s="92" t="str">
        <f t="shared" si="34"/>
        <v>AMOUNT</v>
      </c>
    </row>
    <row r="112" spans="1:16" x14ac:dyDescent="0.35">
      <c r="A112" s="23" t="str">
        <f t="shared" si="35"/>
        <v>2026 JAN-APR SHARP PRICE</v>
      </c>
      <c r="B112" s="33">
        <f t="shared" si="35"/>
        <v>46121</v>
      </c>
      <c r="C112" s="56">
        <f t="shared" si="35"/>
        <v>46127</v>
      </c>
      <c r="D112" s="32">
        <v>3321</v>
      </c>
      <c r="E112" s="32">
        <v>337</v>
      </c>
      <c r="F112" s="32">
        <v>4</v>
      </c>
      <c r="G112" s="23">
        <v>4</v>
      </c>
      <c r="H112" s="23">
        <v>81588</v>
      </c>
      <c r="I112" s="32" t="s">
        <v>2689</v>
      </c>
      <c r="J112" s="23">
        <v>68783726</v>
      </c>
      <c r="K112" s="22" t="s">
        <v>7311</v>
      </c>
      <c r="L112" s="22" t="s">
        <v>7316</v>
      </c>
      <c r="M112" s="24">
        <v>149900</v>
      </c>
      <c r="N112" s="90">
        <f t="shared" si="34"/>
        <v>0</v>
      </c>
      <c r="O112" s="91" t="str">
        <f t="shared" si="34"/>
        <v>SHARP PRICE</v>
      </c>
      <c r="P112" s="92" t="str">
        <f t="shared" si="34"/>
        <v>AMOUNT</v>
      </c>
    </row>
    <row r="113" spans="1:16" x14ac:dyDescent="0.35">
      <c r="A113" s="23" t="str">
        <f t="shared" si="35"/>
        <v>2026 JAN-APR SHARP PRICE</v>
      </c>
      <c r="B113" s="33">
        <f t="shared" si="35"/>
        <v>46121</v>
      </c>
      <c r="C113" s="56">
        <f t="shared" si="35"/>
        <v>46127</v>
      </c>
      <c r="D113" s="32">
        <v>3321</v>
      </c>
      <c r="E113" s="32">
        <v>337</v>
      </c>
      <c r="F113" s="32">
        <v>4</v>
      </c>
      <c r="G113" s="23">
        <v>4</v>
      </c>
      <c r="H113" s="23">
        <v>81588</v>
      </c>
      <c r="I113" s="32" t="s">
        <v>2689</v>
      </c>
      <c r="J113" s="23">
        <v>68783735</v>
      </c>
      <c r="K113" s="22" t="s">
        <v>7311</v>
      </c>
      <c r="L113" s="22" t="s">
        <v>7317</v>
      </c>
      <c r="M113" s="24">
        <v>149900</v>
      </c>
      <c r="N113" s="90">
        <f t="shared" si="34"/>
        <v>0</v>
      </c>
      <c r="O113" s="91" t="str">
        <f t="shared" si="34"/>
        <v>SHARP PRICE</v>
      </c>
      <c r="P113" s="92" t="str">
        <f t="shared" si="34"/>
        <v>AMOUNT</v>
      </c>
    </row>
    <row r="114" spans="1:16" x14ac:dyDescent="0.35">
      <c r="A114" s="23" t="str">
        <f t="shared" si="35"/>
        <v>2026 JAN-APR SHARP PRICE</v>
      </c>
      <c r="B114" s="33">
        <f t="shared" si="35"/>
        <v>46121</v>
      </c>
      <c r="C114" s="56">
        <f t="shared" si="35"/>
        <v>46127</v>
      </c>
      <c r="D114" s="32">
        <v>3321</v>
      </c>
      <c r="E114" s="32">
        <v>337</v>
      </c>
      <c r="F114" s="32">
        <v>4</v>
      </c>
      <c r="G114" s="23">
        <v>4</v>
      </c>
      <c r="H114" s="23">
        <v>81588</v>
      </c>
      <c r="I114" s="32" t="s">
        <v>2689</v>
      </c>
      <c r="J114" s="23">
        <v>68783744</v>
      </c>
      <c r="K114" s="22" t="s">
        <v>7311</v>
      </c>
      <c r="L114" s="22" t="s">
        <v>7318</v>
      </c>
      <c r="M114" s="24">
        <v>149900</v>
      </c>
      <c r="N114" s="90">
        <f t="shared" si="34"/>
        <v>0</v>
      </c>
      <c r="O114" s="91" t="str">
        <f t="shared" si="34"/>
        <v>SHARP PRICE</v>
      </c>
      <c r="P114" s="92" t="str">
        <f t="shared" si="34"/>
        <v>AMOUNT</v>
      </c>
    </row>
    <row r="115" spans="1:16" x14ac:dyDescent="0.35">
      <c r="A115" s="23" t="str">
        <f t="shared" si="35"/>
        <v>2026 JAN-APR SHARP PRICE</v>
      </c>
      <c r="B115" s="33">
        <f t="shared" si="35"/>
        <v>46121</v>
      </c>
      <c r="C115" s="56">
        <f t="shared" si="35"/>
        <v>46127</v>
      </c>
      <c r="D115" s="32">
        <v>3321</v>
      </c>
      <c r="E115" s="32">
        <v>337</v>
      </c>
      <c r="F115" s="32">
        <v>4</v>
      </c>
      <c r="G115" s="23">
        <v>2</v>
      </c>
      <c r="H115" s="23">
        <v>81588</v>
      </c>
      <c r="I115" s="32" t="s">
        <v>2689</v>
      </c>
      <c r="J115" s="23">
        <v>68783619</v>
      </c>
      <c r="K115" s="22" t="s">
        <v>7319</v>
      </c>
      <c r="L115" s="22" t="s">
        <v>7320</v>
      </c>
      <c r="M115" s="24">
        <v>129900</v>
      </c>
      <c r="N115" s="90">
        <f t="shared" si="34"/>
        <v>0</v>
      </c>
      <c r="O115" s="91" t="str">
        <f t="shared" si="34"/>
        <v>SHARP PRICE</v>
      </c>
      <c r="P115" s="92" t="str">
        <f t="shared" si="34"/>
        <v>AMOUNT</v>
      </c>
    </row>
    <row r="116" spans="1:16" x14ac:dyDescent="0.35">
      <c r="A116" s="23" t="str">
        <f t="shared" si="35"/>
        <v>2026 JAN-APR SHARP PRICE</v>
      </c>
      <c r="B116" s="33">
        <f t="shared" si="35"/>
        <v>46121</v>
      </c>
      <c r="C116" s="56">
        <f t="shared" si="35"/>
        <v>46127</v>
      </c>
      <c r="D116" s="32">
        <v>3321</v>
      </c>
      <c r="E116" s="32">
        <v>337</v>
      </c>
      <c r="F116" s="32">
        <v>4</v>
      </c>
      <c r="G116" s="23">
        <v>2</v>
      </c>
      <c r="H116" s="23">
        <v>81588</v>
      </c>
      <c r="I116" s="32" t="s">
        <v>2689</v>
      </c>
      <c r="J116" s="23">
        <v>68783628</v>
      </c>
      <c r="K116" s="22" t="s">
        <v>7319</v>
      </c>
      <c r="L116" s="22" t="s">
        <v>7321</v>
      </c>
      <c r="M116" s="24">
        <v>129900</v>
      </c>
      <c r="N116" s="90">
        <f t="shared" ref="N116:P131" si="36">N115</f>
        <v>0</v>
      </c>
      <c r="O116" s="91" t="str">
        <f t="shared" si="36"/>
        <v>SHARP PRICE</v>
      </c>
      <c r="P116" s="92" t="str">
        <f t="shared" si="36"/>
        <v>AMOUNT</v>
      </c>
    </row>
    <row r="117" spans="1:16" x14ac:dyDescent="0.35">
      <c r="A117" s="23" t="str">
        <f t="shared" ref="A117:C132" si="37">A116</f>
        <v>2026 JAN-APR SHARP PRICE</v>
      </c>
      <c r="B117" s="33">
        <f t="shared" si="37"/>
        <v>46121</v>
      </c>
      <c r="C117" s="56">
        <f t="shared" si="37"/>
        <v>46127</v>
      </c>
      <c r="D117" s="32">
        <v>3321</v>
      </c>
      <c r="E117" s="32">
        <v>337</v>
      </c>
      <c r="F117" s="32">
        <v>4</v>
      </c>
      <c r="G117" s="23">
        <v>2</v>
      </c>
      <c r="H117" s="23">
        <v>81588</v>
      </c>
      <c r="I117" s="32" t="s">
        <v>2689</v>
      </c>
      <c r="J117" s="23">
        <v>68783637</v>
      </c>
      <c r="K117" s="22" t="s">
        <v>7319</v>
      </c>
      <c r="L117" s="22" t="s">
        <v>7322</v>
      </c>
      <c r="M117" s="24">
        <v>129900</v>
      </c>
      <c r="N117" s="90">
        <f t="shared" si="36"/>
        <v>0</v>
      </c>
      <c r="O117" s="91" t="str">
        <f t="shared" si="36"/>
        <v>SHARP PRICE</v>
      </c>
      <c r="P117" s="92" t="str">
        <f t="shared" si="36"/>
        <v>AMOUNT</v>
      </c>
    </row>
    <row r="118" spans="1:16" x14ac:dyDescent="0.35">
      <c r="A118" s="23" t="str">
        <f t="shared" si="37"/>
        <v>2026 JAN-APR SHARP PRICE</v>
      </c>
      <c r="B118" s="33">
        <f t="shared" si="37"/>
        <v>46121</v>
      </c>
      <c r="C118" s="56">
        <f t="shared" si="37"/>
        <v>46127</v>
      </c>
      <c r="D118" s="32">
        <v>3321</v>
      </c>
      <c r="E118" s="32">
        <v>337</v>
      </c>
      <c r="F118" s="32">
        <v>4</v>
      </c>
      <c r="G118" s="23">
        <v>2</v>
      </c>
      <c r="H118" s="23">
        <v>81588</v>
      </c>
      <c r="I118" s="32" t="s">
        <v>2689</v>
      </c>
      <c r="J118" s="23">
        <v>68783646</v>
      </c>
      <c r="K118" s="22" t="s">
        <v>7319</v>
      </c>
      <c r="L118" s="22" t="s">
        <v>7323</v>
      </c>
      <c r="M118" s="24">
        <v>129900</v>
      </c>
      <c r="N118" s="90">
        <f t="shared" si="36"/>
        <v>0</v>
      </c>
      <c r="O118" s="91" t="str">
        <f t="shared" si="36"/>
        <v>SHARP PRICE</v>
      </c>
      <c r="P118" s="92" t="str">
        <f t="shared" si="36"/>
        <v>AMOUNT</v>
      </c>
    </row>
    <row r="119" spans="1:16" x14ac:dyDescent="0.35">
      <c r="A119" s="23" t="str">
        <f t="shared" si="37"/>
        <v>2026 JAN-APR SHARP PRICE</v>
      </c>
      <c r="B119" s="33">
        <f t="shared" si="37"/>
        <v>46121</v>
      </c>
      <c r="C119" s="56">
        <f t="shared" si="37"/>
        <v>46127</v>
      </c>
      <c r="D119" s="32">
        <v>3321</v>
      </c>
      <c r="E119" s="32">
        <v>337</v>
      </c>
      <c r="F119" s="32">
        <v>4</v>
      </c>
      <c r="G119" s="23">
        <v>2</v>
      </c>
      <c r="H119" s="23">
        <v>81588</v>
      </c>
      <c r="I119" s="32" t="s">
        <v>2689</v>
      </c>
      <c r="J119" s="23">
        <v>68783655</v>
      </c>
      <c r="K119" s="22" t="s">
        <v>7319</v>
      </c>
      <c r="L119" s="22" t="s">
        <v>7324</v>
      </c>
      <c r="M119" s="24">
        <v>129900</v>
      </c>
      <c r="N119" s="90">
        <f t="shared" si="36"/>
        <v>0</v>
      </c>
      <c r="O119" s="91" t="str">
        <f t="shared" si="36"/>
        <v>SHARP PRICE</v>
      </c>
      <c r="P119" s="92" t="str">
        <f t="shared" si="36"/>
        <v>AMOUNT</v>
      </c>
    </row>
    <row r="120" spans="1:16" x14ac:dyDescent="0.35">
      <c r="A120" s="23" t="str">
        <f t="shared" si="37"/>
        <v>2026 JAN-APR SHARP PRICE</v>
      </c>
      <c r="B120" s="33">
        <f t="shared" si="37"/>
        <v>46121</v>
      </c>
      <c r="C120" s="56">
        <f t="shared" si="37"/>
        <v>46127</v>
      </c>
      <c r="D120" s="32">
        <v>3321</v>
      </c>
      <c r="E120" s="32">
        <v>337</v>
      </c>
      <c r="F120" s="32">
        <v>4</v>
      </c>
      <c r="G120" s="23">
        <v>2</v>
      </c>
      <c r="H120" s="23">
        <v>81588</v>
      </c>
      <c r="I120" s="32" t="s">
        <v>2689</v>
      </c>
      <c r="J120" s="23">
        <v>68783664</v>
      </c>
      <c r="K120" s="22" t="s">
        <v>7319</v>
      </c>
      <c r="L120" s="22" t="s">
        <v>7325</v>
      </c>
      <c r="M120" s="24">
        <v>129900</v>
      </c>
      <c r="N120" s="90">
        <f t="shared" si="36"/>
        <v>0</v>
      </c>
      <c r="O120" s="91" t="str">
        <f t="shared" si="36"/>
        <v>SHARP PRICE</v>
      </c>
      <c r="P120" s="92" t="str">
        <f t="shared" si="36"/>
        <v>AMOUNT</v>
      </c>
    </row>
    <row r="121" spans="1:16" x14ac:dyDescent="0.35">
      <c r="A121" s="23" t="str">
        <f t="shared" si="37"/>
        <v>2026 JAN-APR SHARP PRICE</v>
      </c>
      <c r="B121" s="33">
        <f t="shared" si="37"/>
        <v>46121</v>
      </c>
      <c r="C121" s="56">
        <f t="shared" si="37"/>
        <v>46127</v>
      </c>
      <c r="D121" s="32">
        <v>3321</v>
      </c>
      <c r="E121" s="32">
        <v>337</v>
      </c>
      <c r="F121" s="32">
        <v>4</v>
      </c>
      <c r="G121" s="23">
        <v>2</v>
      </c>
      <c r="H121" s="23">
        <v>81588</v>
      </c>
      <c r="I121" s="32" t="s">
        <v>2689</v>
      </c>
      <c r="J121" s="23">
        <v>68783673</v>
      </c>
      <c r="K121" s="22" t="s">
        <v>7319</v>
      </c>
      <c r="L121" s="22" t="s">
        <v>7326</v>
      </c>
      <c r="M121" s="24">
        <v>129900</v>
      </c>
      <c r="N121" s="90">
        <f t="shared" si="36"/>
        <v>0</v>
      </c>
      <c r="O121" s="91" t="str">
        <f t="shared" si="36"/>
        <v>SHARP PRICE</v>
      </c>
      <c r="P121" s="92" t="str">
        <f t="shared" si="36"/>
        <v>AMOUNT</v>
      </c>
    </row>
    <row r="122" spans="1:16" x14ac:dyDescent="0.35">
      <c r="A122" s="23" t="str">
        <f t="shared" si="37"/>
        <v>2026 JAN-APR SHARP PRICE</v>
      </c>
      <c r="B122" s="33">
        <f t="shared" si="37"/>
        <v>46121</v>
      </c>
      <c r="C122" s="56">
        <f t="shared" si="37"/>
        <v>46127</v>
      </c>
      <c r="D122" s="32">
        <v>3321</v>
      </c>
      <c r="E122" s="32">
        <v>337</v>
      </c>
      <c r="F122" s="32">
        <v>4</v>
      </c>
      <c r="G122" s="23">
        <v>5</v>
      </c>
      <c r="H122" s="23">
        <v>81588</v>
      </c>
      <c r="I122" s="32" t="s">
        <v>2689</v>
      </c>
      <c r="J122" s="23">
        <v>68979122</v>
      </c>
      <c r="K122" s="22" t="s">
        <v>7327</v>
      </c>
      <c r="L122" s="22" t="s">
        <v>7328</v>
      </c>
      <c r="M122" s="24">
        <v>199900</v>
      </c>
      <c r="N122" s="90">
        <f t="shared" si="36"/>
        <v>0</v>
      </c>
      <c r="O122" s="91" t="str">
        <f t="shared" si="36"/>
        <v>SHARP PRICE</v>
      </c>
      <c r="P122" s="92" t="str">
        <f t="shared" si="36"/>
        <v>AMOUNT</v>
      </c>
    </row>
    <row r="123" spans="1:16" x14ac:dyDescent="0.35">
      <c r="A123" s="23" t="str">
        <f t="shared" si="37"/>
        <v>2026 JAN-APR SHARP PRICE</v>
      </c>
      <c r="B123" s="33">
        <f t="shared" si="37"/>
        <v>46121</v>
      </c>
      <c r="C123" s="56">
        <f t="shared" si="37"/>
        <v>46127</v>
      </c>
      <c r="D123" s="32">
        <v>3321</v>
      </c>
      <c r="E123" s="32">
        <v>337</v>
      </c>
      <c r="F123" s="32">
        <v>4</v>
      </c>
      <c r="G123" s="23">
        <v>5</v>
      </c>
      <c r="H123" s="23">
        <v>81588</v>
      </c>
      <c r="I123" s="32" t="s">
        <v>2689</v>
      </c>
      <c r="J123" s="23">
        <v>68979131</v>
      </c>
      <c r="K123" s="22" t="s">
        <v>7327</v>
      </c>
      <c r="L123" s="22" t="s">
        <v>7329</v>
      </c>
      <c r="M123" s="24">
        <v>199900</v>
      </c>
      <c r="N123" s="90">
        <f t="shared" si="36"/>
        <v>0</v>
      </c>
      <c r="O123" s="91" t="str">
        <f t="shared" si="36"/>
        <v>SHARP PRICE</v>
      </c>
      <c r="P123" s="92" t="str">
        <f t="shared" si="36"/>
        <v>AMOUNT</v>
      </c>
    </row>
    <row r="124" spans="1:16" x14ac:dyDescent="0.35">
      <c r="A124" s="23" t="str">
        <f t="shared" si="37"/>
        <v>2026 JAN-APR SHARP PRICE</v>
      </c>
      <c r="B124" s="33">
        <f t="shared" si="37"/>
        <v>46121</v>
      </c>
      <c r="C124" s="56">
        <f t="shared" si="37"/>
        <v>46127</v>
      </c>
      <c r="D124" s="32">
        <v>3321</v>
      </c>
      <c r="E124" s="32">
        <v>337</v>
      </c>
      <c r="F124" s="32">
        <v>4</v>
      </c>
      <c r="G124" s="23">
        <v>5</v>
      </c>
      <c r="H124" s="23">
        <v>81588</v>
      </c>
      <c r="I124" s="32" t="s">
        <v>2689</v>
      </c>
      <c r="J124" s="23">
        <v>68979140</v>
      </c>
      <c r="K124" s="22" t="s">
        <v>7327</v>
      </c>
      <c r="L124" s="22" t="s">
        <v>7330</v>
      </c>
      <c r="M124" s="24">
        <v>199900</v>
      </c>
      <c r="N124" s="90">
        <f t="shared" si="36"/>
        <v>0</v>
      </c>
      <c r="O124" s="91" t="str">
        <f t="shared" si="36"/>
        <v>SHARP PRICE</v>
      </c>
      <c r="P124" s="92" t="str">
        <f t="shared" si="36"/>
        <v>AMOUNT</v>
      </c>
    </row>
    <row r="125" spans="1:16" x14ac:dyDescent="0.35">
      <c r="A125" s="23" t="str">
        <f t="shared" si="37"/>
        <v>2026 JAN-APR SHARP PRICE</v>
      </c>
      <c r="B125" s="33">
        <f t="shared" si="37"/>
        <v>46121</v>
      </c>
      <c r="C125" s="56">
        <f t="shared" si="37"/>
        <v>46127</v>
      </c>
      <c r="D125" s="32">
        <v>3321</v>
      </c>
      <c r="E125" s="32">
        <v>337</v>
      </c>
      <c r="F125" s="32">
        <v>4</v>
      </c>
      <c r="G125" s="23">
        <v>5</v>
      </c>
      <c r="H125" s="23">
        <v>81588</v>
      </c>
      <c r="I125" s="32" t="s">
        <v>2689</v>
      </c>
      <c r="J125" s="23">
        <v>68979159</v>
      </c>
      <c r="K125" s="22" t="s">
        <v>7327</v>
      </c>
      <c r="L125" s="22" t="s">
        <v>7331</v>
      </c>
      <c r="M125" s="24">
        <v>199900</v>
      </c>
      <c r="N125" s="90">
        <f t="shared" si="36"/>
        <v>0</v>
      </c>
      <c r="O125" s="91" t="str">
        <f t="shared" si="36"/>
        <v>SHARP PRICE</v>
      </c>
      <c r="P125" s="92" t="str">
        <f t="shared" si="36"/>
        <v>AMOUNT</v>
      </c>
    </row>
    <row r="126" spans="1:16" x14ac:dyDescent="0.35">
      <c r="A126" s="23" t="str">
        <f t="shared" si="37"/>
        <v>2026 JAN-APR SHARP PRICE</v>
      </c>
      <c r="B126" s="33">
        <f t="shared" si="37"/>
        <v>46121</v>
      </c>
      <c r="C126" s="56">
        <f t="shared" si="37"/>
        <v>46127</v>
      </c>
      <c r="D126" s="32">
        <v>3321</v>
      </c>
      <c r="E126" s="32">
        <v>337</v>
      </c>
      <c r="F126" s="32">
        <v>4</v>
      </c>
      <c r="G126" s="23">
        <v>5</v>
      </c>
      <c r="H126" s="23">
        <v>81588</v>
      </c>
      <c r="I126" s="32" t="s">
        <v>2689</v>
      </c>
      <c r="J126" s="23">
        <v>68979168</v>
      </c>
      <c r="K126" s="22" t="s">
        <v>7327</v>
      </c>
      <c r="L126" s="22" t="s">
        <v>7332</v>
      </c>
      <c r="M126" s="24">
        <v>199000</v>
      </c>
      <c r="N126" s="90">
        <f t="shared" si="36"/>
        <v>0</v>
      </c>
      <c r="O126" s="91" t="str">
        <f t="shared" si="36"/>
        <v>SHARP PRICE</v>
      </c>
      <c r="P126" s="92" t="str">
        <f t="shared" si="36"/>
        <v>AMOUNT</v>
      </c>
    </row>
    <row r="127" spans="1:16" x14ac:dyDescent="0.35">
      <c r="A127" s="23" t="str">
        <f t="shared" si="37"/>
        <v>2026 JAN-APR SHARP PRICE</v>
      </c>
      <c r="B127" s="33">
        <f t="shared" si="37"/>
        <v>46121</v>
      </c>
      <c r="C127" s="56">
        <f t="shared" si="37"/>
        <v>46127</v>
      </c>
      <c r="D127" s="98">
        <v>3321</v>
      </c>
      <c r="E127" s="98">
        <v>337</v>
      </c>
      <c r="F127" s="99">
        <v>4</v>
      </c>
      <c r="G127" s="100">
        <v>5</v>
      </c>
      <c r="H127" s="101">
        <v>81588</v>
      </c>
      <c r="I127" s="98" t="s">
        <v>2689</v>
      </c>
      <c r="J127" s="100">
        <v>68979177</v>
      </c>
      <c r="K127" s="102" t="s">
        <v>7327</v>
      </c>
      <c r="L127" s="102" t="s">
        <v>7333</v>
      </c>
      <c r="M127" s="103">
        <v>199000</v>
      </c>
      <c r="N127" s="90">
        <f t="shared" si="36"/>
        <v>0</v>
      </c>
      <c r="O127" s="91" t="str">
        <f t="shared" si="36"/>
        <v>SHARP PRICE</v>
      </c>
      <c r="P127" s="92" t="str">
        <f t="shared" si="36"/>
        <v>AMOUNT</v>
      </c>
    </row>
    <row r="128" spans="1:16" x14ac:dyDescent="0.35">
      <c r="A128" s="23" t="str">
        <f t="shared" si="37"/>
        <v>2026 JAN-APR SHARP PRICE</v>
      </c>
      <c r="B128" s="33">
        <f t="shared" si="37"/>
        <v>46121</v>
      </c>
      <c r="C128" s="56">
        <f t="shared" si="37"/>
        <v>46127</v>
      </c>
      <c r="D128" s="32">
        <v>3321</v>
      </c>
      <c r="E128" s="32">
        <v>337</v>
      </c>
      <c r="F128" s="70">
        <v>4</v>
      </c>
      <c r="G128" s="23">
        <v>5</v>
      </c>
      <c r="H128" s="95">
        <v>81588</v>
      </c>
      <c r="I128" s="32" t="s">
        <v>2689</v>
      </c>
      <c r="J128" s="23">
        <v>68979186</v>
      </c>
      <c r="K128" s="22" t="s">
        <v>7327</v>
      </c>
      <c r="L128" s="22" t="s">
        <v>7334</v>
      </c>
      <c r="M128" s="24">
        <v>199000</v>
      </c>
      <c r="N128" s="90">
        <f t="shared" si="36"/>
        <v>0</v>
      </c>
      <c r="O128" s="91" t="str">
        <f t="shared" si="36"/>
        <v>SHARP PRICE</v>
      </c>
      <c r="P128" s="92" t="str">
        <f t="shared" si="36"/>
        <v>AMOUNT</v>
      </c>
    </row>
    <row r="129" spans="1:16" x14ac:dyDescent="0.35">
      <c r="A129" s="23" t="str">
        <f t="shared" si="37"/>
        <v>2026 JAN-APR SHARP PRICE</v>
      </c>
      <c r="B129" s="33">
        <f t="shared" si="37"/>
        <v>46121</v>
      </c>
      <c r="C129" s="56">
        <f t="shared" si="37"/>
        <v>46127</v>
      </c>
      <c r="D129" s="32">
        <v>3321</v>
      </c>
      <c r="E129" s="32">
        <v>337</v>
      </c>
      <c r="F129" s="70">
        <v>4</v>
      </c>
      <c r="G129" s="23">
        <v>1</v>
      </c>
      <c r="H129" s="95">
        <v>81588</v>
      </c>
      <c r="I129" s="32" t="s">
        <v>2689</v>
      </c>
      <c r="J129" s="23">
        <v>68783753</v>
      </c>
      <c r="K129" s="22" t="s">
        <v>7335</v>
      </c>
      <c r="L129" s="22" t="s">
        <v>7336</v>
      </c>
      <c r="M129" s="24">
        <v>99900</v>
      </c>
      <c r="N129" s="90">
        <f t="shared" si="36"/>
        <v>0</v>
      </c>
      <c r="O129" s="91" t="str">
        <f t="shared" si="36"/>
        <v>SHARP PRICE</v>
      </c>
      <c r="P129" s="92" t="str">
        <f t="shared" si="36"/>
        <v>AMOUNT</v>
      </c>
    </row>
    <row r="130" spans="1:16" x14ac:dyDescent="0.35">
      <c r="A130" s="23" t="str">
        <f t="shared" si="37"/>
        <v>2026 JAN-APR SHARP PRICE</v>
      </c>
      <c r="B130" s="33">
        <f t="shared" si="37"/>
        <v>46121</v>
      </c>
      <c r="C130" s="56">
        <f t="shared" si="37"/>
        <v>46127</v>
      </c>
      <c r="D130" s="32">
        <v>3321</v>
      </c>
      <c r="E130" s="32">
        <v>337</v>
      </c>
      <c r="F130" s="70">
        <v>4</v>
      </c>
      <c r="G130" s="23">
        <v>1</v>
      </c>
      <c r="H130" s="95">
        <v>81588</v>
      </c>
      <c r="I130" s="32" t="s">
        <v>2689</v>
      </c>
      <c r="J130" s="23">
        <v>68783762</v>
      </c>
      <c r="K130" s="22" t="s">
        <v>7335</v>
      </c>
      <c r="L130" s="22" t="s">
        <v>7337</v>
      </c>
      <c r="M130" s="24">
        <v>99900</v>
      </c>
      <c r="N130" s="90">
        <f t="shared" si="36"/>
        <v>0</v>
      </c>
      <c r="O130" s="91" t="str">
        <f t="shared" si="36"/>
        <v>SHARP PRICE</v>
      </c>
      <c r="P130" s="92" t="str">
        <f t="shared" si="36"/>
        <v>AMOUNT</v>
      </c>
    </row>
    <row r="131" spans="1:16" x14ac:dyDescent="0.35">
      <c r="A131" s="23" t="str">
        <f t="shared" si="37"/>
        <v>2026 JAN-APR SHARP PRICE</v>
      </c>
      <c r="B131" s="33">
        <f t="shared" si="37"/>
        <v>46121</v>
      </c>
      <c r="C131" s="56">
        <f t="shared" si="37"/>
        <v>46127</v>
      </c>
      <c r="D131" s="32">
        <v>3321</v>
      </c>
      <c r="E131" s="32">
        <v>337</v>
      </c>
      <c r="F131" s="70">
        <v>4</v>
      </c>
      <c r="G131" s="23">
        <v>1</v>
      </c>
      <c r="H131" s="95">
        <v>81588</v>
      </c>
      <c r="I131" s="32" t="s">
        <v>2689</v>
      </c>
      <c r="J131" s="23">
        <v>68783771</v>
      </c>
      <c r="K131" s="22" t="s">
        <v>7335</v>
      </c>
      <c r="L131" s="22" t="s">
        <v>7338</v>
      </c>
      <c r="M131" s="24">
        <v>99900</v>
      </c>
      <c r="N131" s="90">
        <f t="shared" si="36"/>
        <v>0</v>
      </c>
      <c r="O131" s="91" t="str">
        <f t="shared" si="36"/>
        <v>SHARP PRICE</v>
      </c>
      <c r="P131" s="92" t="str">
        <f t="shared" si="36"/>
        <v>AMOUNT</v>
      </c>
    </row>
    <row r="132" spans="1:16" x14ac:dyDescent="0.35">
      <c r="A132" s="23" t="str">
        <f t="shared" si="37"/>
        <v>2026 JAN-APR SHARP PRICE</v>
      </c>
      <c r="B132" s="33">
        <f t="shared" si="37"/>
        <v>46121</v>
      </c>
      <c r="C132" s="56">
        <f t="shared" si="37"/>
        <v>46127</v>
      </c>
      <c r="D132" s="32">
        <v>3321</v>
      </c>
      <c r="E132" s="32">
        <v>337</v>
      </c>
      <c r="F132" s="70">
        <v>4</v>
      </c>
      <c r="G132" s="23">
        <v>1</v>
      </c>
      <c r="H132" s="95">
        <v>81588</v>
      </c>
      <c r="I132" s="32" t="s">
        <v>2689</v>
      </c>
      <c r="J132" s="23">
        <v>68783780</v>
      </c>
      <c r="K132" s="22" t="s">
        <v>7335</v>
      </c>
      <c r="L132" s="22" t="s">
        <v>7339</v>
      </c>
      <c r="M132" s="24">
        <v>99900</v>
      </c>
      <c r="N132" s="90">
        <f t="shared" ref="N132:P133" si="38">N131</f>
        <v>0</v>
      </c>
      <c r="O132" s="91" t="str">
        <f t="shared" si="38"/>
        <v>SHARP PRICE</v>
      </c>
      <c r="P132" s="92" t="str">
        <f t="shared" si="38"/>
        <v>AMOUNT</v>
      </c>
    </row>
    <row r="133" spans="1:16" x14ac:dyDescent="0.35">
      <c r="A133" s="23" t="str">
        <f t="shared" ref="A133:C133" si="39">A132</f>
        <v>2026 JAN-APR SHARP PRICE</v>
      </c>
      <c r="B133" s="33">
        <f t="shared" si="39"/>
        <v>46121</v>
      </c>
      <c r="C133" s="56">
        <f t="shared" si="39"/>
        <v>46127</v>
      </c>
      <c r="D133" s="32">
        <v>3321</v>
      </c>
      <c r="E133" s="32">
        <v>337</v>
      </c>
      <c r="F133" s="70">
        <v>4</v>
      </c>
      <c r="G133" s="47">
        <v>1</v>
      </c>
      <c r="H133" s="95">
        <v>81588</v>
      </c>
      <c r="I133" s="32" t="s">
        <v>2689</v>
      </c>
      <c r="J133" s="23">
        <v>68783799</v>
      </c>
      <c r="K133" s="22" t="s">
        <v>7335</v>
      </c>
      <c r="L133" s="22" t="s">
        <v>7340</v>
      </c>
      <c r="M133" s="24">
        <v>99900</v>
      </c>
      <c r="N133" s="90">
        <f t="shared" si="38"/>
        <v>0</v>
      </c>
      <c r="O133" s="91" t="str">
        <f t="shared" si="38"/>
        <v>SHARP PRICE</v>
      </c>
      <c r="P133" s="92" t="str">
        <f t="shared" si="38"/>
        <v>AMOUNT</v>
      </c>
    </row>
  </sheetData>
  <autoFilter ref="A1:P1" xr:uid="{A98DA6A5-931F-4C4C-A73C-7E8B7CE9A86D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51EC-A45F-4217-BDC5-B2A7239C2FE3}">
  <dimension ref="A1:P35"/>
  <sheetViews>
    <sheetView topLeftCell="F1" zoomScale="75" zoomScaleNormal="71" workbookViewId="0">
      <pane ySplit="1" topLeftCell="A2" activePane="bottomLeft" state="frozen"/>
      <selection activeCell="J24" sqref="J24"/>
      <selection pane="bottomLeft" activeCell="B20" sqref="B20"/>
    </sheetView>
  </sheetViews>
  <sheetFormatPr defaultColWidth="8.81640625" defaultRowHeight="14.5" x14ac:dyDescent="0.35"/>
  <cols>
    <col min="1" max="1" width="23.8164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0.81640625" style="17" customWidth="1"/>
    <col min="13" max="13" width="16.54296875" style="37" customWidth="1"/>
    <col min="14" max="14" width="12" style="26" customWidth="1"/>
    <col min="15" max="15" width="18.6328125" style="37" customWidth="1"/>
    <col min="16" max="16" width="17.1796875" style="31" customWidth="1"/>
    <col min="17" max="16384" width="8.81640625" style="31"/>
  </cols>
  <sheetData>
    <row r="1" spans="1:16" ht="30.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6976</v>
      </c>
      <c r="B2" s="33">
        <v>46121</v>
      </c>
      <c r="C2" s="33">
        <v>46127</v>
      </c>
      <c r="D2" s="32">
        <v>3321</v>
      </c>
      <c r="E2" s="32">
        <v>337</v>
      </c>
      <c r="F2" s="32">
        <v>4</v>
      </c>
      <c r="G2" s="52">
        <v>2</v>
      </c>
      <c r="H2" s="52">
        <v>81005</v>
      </c>
      <c r="I2" s="32" t="s">
        <v>2689</v>
      </c>
      <c r="J2" s="23">
        <v>68416337</v>
      </c>
      <c r="K2" s="23" t="s">
        <v>6890</v>
      </c>
      <c r="L2" s="53" t="s">
        <v>6891</v>
      </c>
      <c r="M2" s="57">
        <v>199900</v>
      </c>
      <c r="N2" s="35">
        <v>0.6</v>
      </c>
      <c r="O2" s="34">
        <f>M2-((60*M2)/100)</f>
        <v>79960</v>
      </c>
      <c r="P2" s="32" t="s">
        <v>16</v>
      </c>
    </row>
    <row r="3" spans="1:16" x14ac:dyDescent="0.35">
      <c r="A3" s="32" t="str">
        <f t="shared" ref="A3:C18" si="0">A2</f>
        <v>2026 BAMUS DISC 60%</v>
      </c>
      <c r="B3" s="33">
        <f t="shared" si="0"/>
        <v>46121</v>
      </c>
      <c r="C3" s="33">
        <f t="shared" si="0"/>
        <v>46127</v>
      </c>
      <c r="D3" s="32">
        <v>3321</v>
      </c>
      <c r="E3" s="32">
        <v>337</v>
      </c>
      <c r="F3" s="32">
        <v>4</v>
      </c>
      <c r="G3" s="52">
        <v>2</v>
      </c>
      <c r="H3" s="52">
        <v>81005</v>
      </c>
      <c r="I3" s="32" t="s">
        <v>2689</v>
      </c>
      <c r="J3" s="23">
        <v>68416346</v>
      </c>
      <c r="K3" s="23" t="s">
        <v>6890</v>
      </c>
      <c r="L3" s="53" t="s">
        <v>6892</v>
      </c>
      <c r="M3" s="57">
        <v>199900</v>
      </c>
      <c r="N3" s="35">
        <f>N2</f>
        <v>0.6</v>
      </c>
      <c r="O3" s="34">
        <f t="shared" ref="O3:O35" si="1">M3-((60*M3)/100)</f>
        <v>79960</v>
      </c>
      <c r="P3" s="32" t="str">
        <f>P2</f>
        <v>PERCENTAGE</v>
      </c>
    </row>
    <row r="4" spans="1:16" x14ac:dyDescent="0.35">
      <c r="A4" s="32" t="str">
        <f t="shared" si="0"/>
        <v>2026 BAMUS DISC 60%</v>
      </c>
      <c r="B4" s="33">
        <f t="shared" si="0"/>
        <v>46121</v>
      </c>
      <c r="C4" s="33">
        <f t="shared" si="0"/>
        <v>46127</v>
      </c>
      <c r="D4" s="32">
        <v>3321</v>
      </c>
      <c r="E4" s="32">
        <v>337</v>
      </c>
      <c r="F4" s="32">
        <v>4</v>
      </c>
      <c r="G4" s="52">
        <v>2</v>
      </c>
      <c r="H4" s="52">
        <v>81005</v>
      </c>
      <c r="I4" s="32" t="s">
        <v>2689</v>
      </c>
      <c r="J4" s="23">
        <v>68416355</v>
      </c>
      <c r="K4" s="23" t="s">
        <v>6890</v>
      </c>
      <c r="L4" s="53" t="s">
        <v>6893</v>
      </c>
      <c r="M4" s="57">
        <v>199900</v>
      </c>
      <c r="N4" s="35">
        <f>N3</f>
        <v>0.6</v>
      </c>
      <c r="O4" s="34">
        <f t="shared" si="1"/>
        <v>79960</v>
      </c>
      <c r="P4" s="32" t="str">
        <f t="shared" ref="P4:P19" si="2">P3</f>
        <v>PERCENTAGE</v>
      </c>
    </row>
    <row r="5" spans="1:16" x14ac:dyDescent="0.35">
      <c r="A5" s="32" t="str">
        <f t="shared" si="0"/>
        <v>2026 BAMUS DISC 60%</v>
      </c>
      <c r="B5" s="33">
        <f t="shared" si="0"/>
        <v>46121</v>
      </c>
      <c r="C5" s="33">
        <f t="shared" si="0"/>
        <v>46127</v>
      </c>
      <c r="D5" s="32">
        <v>3321</v>
      </c>
      <c r="E5" s="32">
        <v>337</v>
      </c>
      <c r="F5" s="32">
        <v>4</v>
      </c>
      <c r="G5" s="52">
        <v>2</v>
      </c>
      <c r="H5" s="52">
        <v>81005</v>
      </c>
      <c r="I5" s="32" t="s">
        <v>2689</v>
      </c>
      <c r="J5" s="23">
        <v>68416364</v>
      </c>
      <c r="K5" s="23" t="s">
        <v>6890</v>
      </c>
      <c r="L5" s="53" t="s">
        <v>6894</v>
      </c>
      <c r="M5" s="57">
        <v>199900</v>
      </c>
      <c r="N5" s="35">
        <f t="shared" ref="N5:P20" si="3">N4</f>
        <v>0.6</v>
      </c>
      <c r="O5" s="34">
        <f t="shared" si="1"/>
        <v>79960</v>
      </c>
      <c r="P5" s="32" t="str">
        <f t="shared" si="2"/>
        <v>PERCENTAGE</v>
      </c>
    </row>
    <row r="6" spans="1:16" x14ac:dyDescent="0.35">
      <c r="A6" s="32" t="str">
        <f t="shared" si="0"/>
        <v>2026 BAMUS DISC 60%</v>
      </c>
      <c r="B6" s="33">
        <f t="shared" si="0"/>
        <v>46121</v>
      </c>
      <c r="C6" s="33">
        <f t="shared" si="0"/>
        <v>46127</v>
      </c>
      <c r="D6" s="32">
        <v>3321</v>
      </c>
      <c r="E6" s="32">
        <v>337</v>
      </c>
      <c r="F6" s="32">
        <v>4</v>
      </c>
      <c r="G6" s="52">
        <v>2</v>
      </c>
      <c r="H6" s="52">
        <v>81005</v>
      </c>
      <c r="I6" s="32" t="s">
        <v>2689</v>
      </c>
      <c r="J6" s="23">
        <v>68416373</v>
      </c>
      <c r="K6" s="23" t="s">
        <v>6890</v>
      </c>
      <c r="L6" s="53" t="s">
        <v>6895</v>
      </c>
      <c r="M6" s="57">
        <v>199900</v>
      </c>
      <c r="N6" s="35">
        <f t="shared" si="3"/>
        <v>0.6</v>
      </c>
      <c r="O6" s="34">
        <f t="shared" si="1"/>
        <v>79960</v>
      </c>
      <c r="P6" s="32" t="str">
        <f t="shared" si="2"/>
        <v>PERCENTAGE</v>
      </c>
    </row>
    <row r="7" spans="1:16" x14ac:dyDescent="0.35">
      <c r="A7" s="32" t="str">
        <f t="shared" si="0"/>
        <v>2026 BAMUS DISC 60%</v>
      </c>
      <c r="B7" s="33">
        <f t="shared" si="0"/>
        <v>46121</v>
      </c>
      <c r="C7" s="33">
        <f t="shared" si="0"/>
        <v>46127</v>
      </c>
      <c r="D7" s="32">
        <v>3321</v>
      </c>
      <c r="E7" s="32">
        <v>337</v>
      </c>
      <c r="F7" s="32">
        <v>4</v>
      </c>
      <c r="G7" s="52">
        <v>2</v>
      </c>
      <c r="H7" s="52">
        <v>81005</v>
      </c>
      <c r="I7" s="32" t="s">
        <v>2689</v>
      </c>
      <c r="J7" s="23">
        <v>68416382</v>
      </c>
      <c r="K7" s="23" t="s">
        <v>6890</v>
      </c>
      <c r="L7" s="53" t="s">
        <v>6896</v>
      </c>
      <c r="M7" s="57">
        <v>199900</v>
      </c>
      <c r="N7" s="35">
        <f t="shared" si="3"/>
        <v>0.6</v>
      </c>
      <c r="O7" s="34">
        <f t="shared" si="1"/>
        <v>79960</v>
      </c>
      <c r="P7" s="32" t="str">
        <f t="shared" si="2"/>
        <v>PERCENTAGE</v>
      </c>
    </row>
    <row r="8" spans="1:16" x14ac:dyDescent="0.35">
      <c r="A8" s="32" t="str">
        <f t="shared" si="0"/>
        <v>2026 BAMUS DISC 60%</v>
      </c>
      <c r="B8" s="33">
        <f t="shared" si="0"/>
        <v>46121</v>
      </c>
      <c r="C8" s="33">
        <f t="shared" si="0"/>
        <v>46127</v>
      </c>
      <c r="D8" s="32">
        <v>3321</v>
      </c>
      <c r="E8" s="32">
        <v>337</v>
      </c>
      <c r="F8" s="32">
        <v>4</v>
      </c>
      <c r="G8" s="52">
        <v>5</v>
      </c>
      <c r="H8" s="52">
        <v>81698</v>
      </c>
      <c r="I8" s="32" t="s">
        <v>2689</v>
      </c>
      <c r="J8" s="23">
        <v>68416542</v>
      </c>
      <c r="K8" s="23" t="s">
        <v>6897</v>
      </c>
      <c r="L8" s="53" t="s">
        <v>6898</v>
      </c>
      <c r="M8" s="57">
        <v>249900</v>
      </c>
      <c r="N8" s="35">
        <f t="shared" si="3"/>
        <v>0.6</v>
      </c>
      <c r="O8" s="34">
        <f t="shared" si="1"/>
        <v>99960</v>
      </c>
      <c r="P8" s="32" t="str">
        <f t="shared" si="2"/>
        <v>PERCENTAGE</v>
      </c>
    </row>
    <row r="9" spans="1:16" x14ac:dyDescent="0.35">
      <c r="A9" s="32" t="str">
        <f t="shared" si="0"/>
        <v>2026 BAMUS DISC 60%</v>
      </c>
      <c r="B9" s="33">
        <f t="shared" si="0"/>
        <v>46121</v>
      </c>
      <c r="C9" s="33">
        <f t="shared" si="0"/>
        <v>46127</v>
      </c>
      <c r="D9" s="32">
        <v>3321</v>
      </c>
      <c r="E9" s="32">
        <v>337</v>
      </c>
      <c r="F9" s="32">
        <v>4</v>
      </c>
      <c r="G9" s="52">
        <v>5</v>
      </c>
      <c r="H9" s="52">
        <v>81698</v>
      </c>
      <c r="I9" s="32" t="s">
        <v>2689</v>
      </c>
      <c r="J9" s="23">
        <v>68416551</v>
      </c>
      <c r="K9" s="23" t="s">
        <v>6897</v>
      </c>
      <c r="L9" s="53" t="s">
        <v>6899</v>
      </c>
      <c r="M9" s="57">
        <v>249900</v>
      </c>
      <c r="N9" s="35">
        <f t="shared" si="3"/>
        <v>0.6</v>
      </c>
      <c r="O9" s="34">
        <f t="shared" si="1"/>
        <v>99960</v>
      </c>
      <c r="P9" s="32" t="str">
        <f t="shared" si="2"/>
        <v>PERCENTAGE</v>
      </c>
    </row>
    <row r="10" spans="1:16" x14ac:dyDescent="0.35">
      <c r="A10" s="32" t="str">
        <f t="shared" si="0"/>
        <v>2026 BAMUS DISC 60%</v>
      </c>
      <c r="B10" s="33">
        <f t="shared" si="0"/>
        <v>46121</v>
      </c>
      <c r="C10" s="33">
        <f t="shared" si="0"/>
        <v>46127</v>
      </c>
      <c r="D10" s="32">
        <v>3321</v>
      </c>
      <c r="E10" s="32">
        <v>337</v>
      </c>
      <c r="F10" s="32">
        <v>4</v>
      </c>
      <c r="G10" s="52">
        <v>5</v>
      </c>
      <c r="H10" s="52">
        <v>81698</v>
      </c>
      <c r="I10" s="32" t="s">
        <v>2689</v>
      </c>
      <c r="J10" s="23">
        <v>68416560</v>
      </c>
      <c r="K10" s="23" t="s">
        <v>6897</v>
      </c>
      <c r="L10" s="53" t="s">
        <v>6900</v>
      </c>
      <c r="M10" s="57">
        <v>249900</v>
      </c>
      <c r="N10" s="35">
        <f t="shared" si="3"/>
        <v>0.6</v>
      </c>
      <c r="O10" s="34">
        <f t="shared" si="1"/>
        <v>99960</v>
      </c>
      <c r="P10" s="32" t="str">
        <f t="shared" si="2"/>
        <v>PERCENTAGE</v>
      </c>
    </row>
    <row r="11" spans="1:16" x14ac:dyDescent="0.35">
      <c r="A11" s="32" t="str">
        <f t="shared" si="0"/>
        <v>2026 BAMUS DISC 60%</v>
      </c>
      <c r="B11" s="33">
        <f t="shared" si="0"/>
        <v>46121</v>
      </c>
      <c r="C11" s="33">
        <f t="shared" si="0"/>
        <v>46127</v>
      </c>
      <c r="D11" s="32">
        <v>3321</v>
      </c>
      <c r="E11" s="32">
        <v>337</v>
      </c>
      <c r="F11" s="32">
        <v>4</v>
      </c>
      <c r="G11" s="52">
        <v>5</v>
      </c>
      <c r="H11" s="52">
        <v>81698</v>
      </c>
      <c r="I11" s="32" t="s">
        <v>2689</v>
      </c>
      <c r="J11" s="23">
        <v>68416579</v>
      </c>
      <c r="K11" s="23" t="s">
        <v>6897</v>
      </c>
      <c r="L11" s="53" t="s">
        <v>6901</v>
      </c>
      <c r="M11" s="57">
        <v>249900</v>
      </c>
      <c r="N11" s="35">
        <f t="shared" si="3"/>
        <v>0.6</v>
      </c>
      <c r="O11" s="34">
        <f t="shared" si="1"/>
        <v>99960</v>
      </c>
      <c r="P11" s="32" t="str">
        <f t="shared" si="2"/>
        <v>PERCENTAGE</v>
      </c>
    </row>
    <row r="12" spans="1:16" x14ac:dyDescent="0.35">
      <c r="A12" s="32" t="str">
        <f t="shared" si="0"/>
        <v>2026 BAMUS DISC 60%</v>
      </c>
      <c r="B12" s="33">
        <f t="shared" si="0"/>
        <v>46121</v>
      </c>
      <c r="C12" s="33">
        <f t="shared" si="0"/>
        <v>46127</v>
      </c>
      <c r="D12" s="32">
        <v>3321</v>
      </c>
      <c r="E12" s="32">
        <v>337</v>
      </c>
      <c r="F12" s="32">
        <v>4</v>
      </c>
      <c r="G12" s="52">
        <v>5</v>
      </c>
      <c r="H12" s="52">
        <v>81698</v>
      </c>
      <c r="I12" s="32" t="s">
        <v>2689</v>
      </c>
      <c r="J12" s="23">
        <v>68416588</v>
      </c>
      <c r="K12" s="23" t="s">
        <v>6897</v>
      </c>
      <c r="L12" s="53" t="s">
        <v>6902</v>
      </c>
      <c r="M12" s="57">
        <v>249900</v>
      </c>
      <c r="N12" s="35">
        <f t="shared" si="3"/>
        <v>0.6</v>
      </c>
      <c r="O12" s="34">
        <f t="shared" si="1"/>
        <v>99960</v>
      </c>
      <c r="P12" s="32" t="str">
        <f t="shared" si="2"/>
        <v>PERCENTAGE</v>
      </c>
    </row>
    <row r="13" spans="1:16" x14ac:dyDescent="0.35">
      <c r="A13" s="32" t="str">
        <f t="shared" si="0"/>
        <v>2026 BAMUS DISC 60%</v>
      </c>
      <c r="B13" s="33">
        <f t="shared" si="0"/>
        <v>46121</v>
      </c>
      <c r="C13" s="33">
        <f t="shared" si="0"/>
        <v>46127</v>
      </c>
      <c r="D13" s="32">
        <v>3321</v>
      </c>
      <c r="E13" s="32">
        <v>337</v>
      </c>
      <c r="F13" s="32">
        <v>4</v>
      </c>
      <c r="G13" s="52">
        <v>5</v>
      </c>
      <c r="H13" s="52">
        <v>81698</v>
      </c>
      <c r="I13" s="32" t="s">
        <v>2689</v>
      </c>
      <c r="J13" s="23">
        <v>68416597</v>
      </c>
      <c r="K13" s="23" t="s">
        <v>6897</v>
      </c>
      <c r="L13" s="53" t="s">
        <v>6903</v>
      </c>
      <c r="M13" s="57">
        <v>249900</v>
      </c>
      <c r="N13" s="35">
        <f t="shared" si="3"/>
        <v>0.6</v>
      </c>
      <c r="O13" s="34">
        <f t="shared" si="1"/>
        <v>99960</v>
      </c>
      <c r="P13" s="32" t="str">
        <f t="shared" si="2"/>
        <v>PERCENTAGE</v>
      </c>
    </row>
    <row r="14" spans="1:16" x14ac:dyDescent="0.35">
      <c r="A14" s="32" t="str">
        <f t="shared" si="0"/>
        <v>2026 BAMUS DISC 60%</v>
      </c>
      <c r="B14" s="33">
        <f t="shared" si="0"/>
        <v>46121</v>
      </c>
      <c r="C14" s="33">
        <f t="shared" si="0"/>
        <v>46127</v>
      </c>
      <c r="D14" s="32">
        <v>3321</v>
      </c>
      <c r="E14" s="32">
        <v>337</v>
      </c>
      <c r="F14" s="32">
        <v>4</v>
      </c>
      <c r="G14" s="52">
        <v>5</v>
      </c>
      <c r="H14" s="52">
        <v>81698</v>
      </c>
      <c r="I14" s="32" t="s">
        <v>2689</v>
      </c>
      <c r="J14" s="23">
        <v>68416604</v>
      </c>
      <c r="K14" s="23" t="s">
        <v>6897</v>
      </c>
      <c r="L14" s="53" t="s">
        <v>6904</v>
      </c>
      <c r="M14" s="57">
        <v>249900</v>
      </c>
      <c r="N14" s="35">
        <f t="shared" si="3"/>
        <v>0.6</v>
      </c>
      <c r="O14" s="34">
        <f t="shared" si="1"/>
        <v>99960</v>
      </c>
      <c r="P14" s="32" t="str">
        <f t="shared" si="2"/>
        <v>PERCENTAGE</v>
      </c>
    </row>
    <row r="15" spans="1:16" x14ac:dyDescent="0.35">
      <c r="A15" s="32" t="str">
        <f t="shared" si="0"/>
        <v>2026 BAMUS DISC 60%</v>
      </c>
      <c r="B15" s="33">
        <f t="shared" si="0"/>
        <v>46121</v>
      </c>
      <c r="C15" s="33">
        <f t="shared" si="0"/>
        <v>46127</v>
      </c>
      <c r="D15" s="32">
        <v>3321</v>
      </c>
      <c r="E15" s="32">
        <v>337</v>
      </c>
      <c r="F15" s="32">
        <v>4</v>
      </c>
      <c r="G15" s="52">
        <v>4</v>
      </c>
      <c r="H15" s="52">
        <v>81005</v>
      </c>
      <c r="I15" s="32" t="s">
        <v>2689</v>
      </c>
      <c r="J15" s="23">
        <v>68397546</v>
      </c>
      <c r="K15" s="23" t="s">
        <v>6905</v>
      </c>
      <c r="L15" s="53" t="s">
        <v>6906</v>
      </c>
      <c r="M15" s="57">
        <v>179900</v>
      </c>
      <c r="N15" s="35">
        <f t="shared" si="3"/>
        <v>0.6</v>
      </c>
      <c r="O15" s="34">
        <f t="shared" si="1"/>
        <v>71960</v>
      </c>
      <c r="P15" s="32" t="str">
        <f t="shared" si="2"/>
        <v>PERCENTAGE</v>
      </c>
    </row>
    <row r="16" spans="1:16" x14ac:dyDescent="0.35">
      <c r="A16" s="32" t="str">
        <f t="shared" si="0"/>
        <v>2026 BAMUS DISC 60%</v>
      </c>
      <c r="B16" s="33">
        <f t="shared" si="0"/>
        <v>46121</v>
      </c>
      <c r="C16" s="33">
        <f t="shared" si="0"/>
        <v>46127</v>
      </c>
      <c r="D16" s="32">
        <v>3321</v>
      </c>
      <c r="E16" s="32">
        <v>337</v>
      </c>
      <c r="F16" s="32">
        <v>4</v>
      </c>
      <c r="G16" s="52">
        <v>4</v>
      </c>
      <c r="H16" s="52">
        <v>81005</v>
      </c>
      <c r="I16" s="32" t="s">
        <v>2689</v>
      </c>
      <c r="J16" s="23">
        <v>68397555</v>
      </c>
      <c r="K16" s="23" t="s">
        <v>6905</v>
      </c>
      <c r="L16" s="53" t="s">
        <v>6907</v>
      </c>
      <c r="M16" s="57">
        <v>179900</v>
      </c>
      <c r="N16" s="35">
        <f t="shared" si="3"/>
        <v>0.6</v>
      </c>
      <c r="O16" s="34">
        <f t="shared" si="1"/>
        <v>71960</v>
      </c>
      <c r="P16" s="32" t="str">
        <f t="shared" si="2"/>
        <v>PERCENTAGE</v>
      </c>
    </row>
    <row r="17" spans="1:16" x14ac:dyDescent="0.35">
      <c r="A17" s="32" t="str">
        <f t="shared" si="0"/>
        <v>2026 BAMUS DISC 60%</v>
      </c>
      <c r="B17" s="33">
        <f t="shared" si="0"/>
        <v>46121</v>
      </c>
      <c r="C17" s="33">
        <f t="shared" si="0"/>
        <v>46127</v>
      </c>
      <c r="D17" s="32">
        <v>3321</v>
      </c>
      <c r="E17" s="32">
        <v>337</v>
      </c>
      <c r="F17" s="32">
        <v>4</v>
      </c>
      <c r="G17" s="52">
        <v>4</v>
      </c>
      <c r="H17" s="52">
        <v>81005</v>
      </c>
      <c r="I17" s="32" t="s">
        <v>2689</v>
      </c>
      <c r="J17" s="23">
        <v>68397564</v>
      </c>
      <c r="K17" s="23" t="s">
        <v>6905</v>
      </c>
      <c r="L17" s="53" t="s">
        <v>6908</v>
      </c>
      <c r="M17" s="57">
        <v>179900</v>
      </c>
      <c r="N17" s="35">
        <f t="shared" si="3"/>
        <v>0.6</v>
      </c>
      <c r="O17" s="34">
        <f t="shared" si="1"/>
        <v>71960</v>
      </c>
      <c r="P17" s="32" t="str">
        <f t="shared" si="2"/>
        <v>PERCENTAGE</v>
      </c>
    </row>
    <row r="18" spans="1:16" x14ac:dyDescent="0.35">
      <c r="A18" s="32" t="str">
        <f t="shared" si="0"/>
        <v>2026 BAMUS DISC 60%</v>
      </c>
      <c r="B18" s="33">
        <f t="shared" si="0"/>
        <v>46121</v>
      </c>
      <c r="C18" s="33">
        <f t="shared" si="0"/>
        <v>46127</v>
      </c>
      <c r="D18" s="32">
        <v>3321</v>
      </c>
      <c r="E18" s="32">
        <v>337</v>
      </c>
      <c r="F18" s="32">
        <v>4</v>
      </c>
      <c r="G18" s="52">
        <v>4</v>
      </c>
      <c r="H18" s="52">
        <v>81005</v>
      </c>
      <c r="I18" s="32" t="s">
        <v>2689</v>
      </c>
      <c r="J18" s="23">
        <v>68397573</v>
      </c>
      <c r="K18" s="23" t="s">
        <v>6905</v>
      </c>
      <c r="L18" s="53" t="s">
        <v>6909</v>
      </c>
      <c r="M18" s="57">
        <v>179900</v>
      </c>
      <c r="N18" s="35">
        <f t="shared" si="3"/>
        <v>0.6</v>
      </c>
      <c r="O18" s="34">
        <f t="shared" si="1"/>
        <v>71960</v>
      </c>
      <c r="P18" s="32" t="str">
        <f t="shared" si="2"/>
        <v>PERCENTAGE</v>
      </c>
    </row>
    <row r="19" spans="1:16" x14ac:dyDescent="0.35">
      <c r="A19" s="32" t="str">
        <f t="shared" ref="A19:C34" si="4">A18</f>
        <v>2026 BAMUS DISC 60%</v>
      </c>
      <c r="B19" s="33">
        <f t="shared" si="4"/>
        <v>46121</v>
      </c>
      <c r="C19" s="33">
        <f t="shared" si="4"/>
        <v>46127</v>
      </c>
      <c r="D19" s="32">
        <v>3321</v>
      </c>
      <c r="E19" s="32">
        <v>337</v>
      </c>
      <c r="F19" s="32">
        <v>4</v>
      </c>
      <c r="G19" s="52">
        <v>4</v>
      </c>
      <c r="H19" s="52">
        <v>81005</v>
      </c>
      <c r="I19" s="32" t="s">
        <v>2689</v>
      </c>
      <c r="J19" s="23">
        <v>68397582</v>
      </c>
      <c r="K19" s="23" t="s">
        <v>6905</v>
      </c>
      <c r="L19" s="53" t="s">
        <v>6910</v>
      </c>
      <c r="M19" s="57">
        <v>179900</v>
      </c>
      <c r="N19" s="35">
        <f t="shared" si="3"/>
        <v>0.6</v>
      </c>
      <c r="O19" s="34">
        <f t="shared" si="1"/>
        <v>71960</v>
      </c>
      <c r="P19" s="32" t="str">
        <f t="shared" si="2"/>
        <v>PERCENTAGE</v>
      </c>
    </row>
    <row r="20" spans="1:16" x14ac:dyDescent="0.35">
      <c r="A20" s="32" t="str">
        <f t="shared" si="4"/>
        <v>2026 BAMUS DISC 60%</v>
      </c>
      <c r="B20" s="33">
        <f t="shared" si="4"/>
        <v>46121</v>
      </c>
      <c r="C20" s="33">
        <f t="shared" si="4"/>
        <v>46127</v>
      </c>
      <c r="D20" s="32">
        <v>3321</v>
      </c>
      <c r="E20" s="32">
        <v>337</v>
      </c>
      <c r="F20" s="32">
        <v>4</v>
      </c>
      <c r="G20" s="52">
        <v>4</v>
      </c>
      <c r="H20" s="52">
        <v>81005</v>
      </c>
      <c r="I20" s="32" t="s">
        <v>2689</v>
      </c>
      <c r="J20" s="23">
        <v>68397591</v>
      </c>
      <c r="K20" s="23" t="s">
        <v>6905</v>
      </c>
      <c r="L20" s="53" t="s">
        <v>6911</v>
      </c>
      <c r="M20" s="57">
        <v>179900</v>
      </c>
      <c r="N20" s="35">
        <f t="shared" si="3"/>
        <v>0.6</v>
      </c>
      <c r="O20" s="34">
        <f t="shared" si="1"/>
        <v>71960</v>
      </c>
      <c r="P20" s="32" t="str">
        <f t="shared" si="3"/>
        <v>PERCENTAGE</v>
      </c>
    </row>
    <row r="21" spans="1:16" x14ac:dyDescent="0.35">
      <c r="A21" s="32" t="str">
        <f t="shared" si="4"/>
        <v>2026 BAMUS DISC 60%</v>
      </c>
      <c r="B21" s="33">
        <f t="shared" si="4"/>
        <v>46121</v>
      </c>
      <c r="C21" s="33">
        <f t="shared" si="4"/>
        <v>46127</v>
      </c>
      <c r="D21" s="32">
        <v>3321</v>
      </c>
      <c r="E21" s="32">
        <v>337</v>
      </c>
      <c r="F21" s="32">
        <v>4</v>
      </c>
      <c r="G21" s="52">
        <v>4</v>
      </c>
      <c r="H21" s="52">
        <v>81005</v>
      </c>
      <c r="I21" s="32" t="s">
        <v>2689</v>
      </c>
      <c r="J21" s="23">
        <v>68397608</v>
      </c>
      <c r="K21" s="23" t="s">
        <v>6905</v>
      </c>
      <c r="L21" s="53" t="s">
        <v>6912</v>
      </c>
      <c r="M21" s="57">
        <v>179900</v>
      </c>
      <c r="N21" s="35">
        <f t="shared" ref="N21:P35" si="5">N20</f>
        <v>0.6</v>
      </c>
      <c r="O21" s="34">
        <f t="shared" si="1"/>
        <v>71960</v>
      </c>
      <c r="P21" s="32" t="str">
        <f t="shared" si="5"/>
        <v>PERCENTAGE</v>
      </c>
    </row>
    <row r="22" spans="1:16" x14ac:dyDescent="0.35">
      <c r="A22" s="32" t="str">
        <f t="shared" si="4"/>
        <v>2026 BAMUS DISC 60%</v>
      </c>
      <c r="B22" s="33">
        <f t="shared" si="4"/>
        <v>46121</v>
      </c>
      <c r="C22" s="33">
        <f t="shared" si="4"/>
        <v>46127</v>
      </c>
      <c r="D22" s="32">
        <v>3321</v>
      </c>
      <c r="E22" s="32">
        <v>337</v>
      </c>
      <c r="F22" s="32">
        <v>4</v>
      </c>
      <c r="G22" s="52">
        <v>5</v>
      </c>
      <c r="H22" s="52">
        <v>81005</v>
      </c>
      <c r="I22" s="32" t="s">
        <v>2689</v>
      </c>
      <c r="J22" s="23">
        <v>69563524</v>
      </c>
      <c r="K22" s="23" t="s">
        <v>6913</v>
      </c>
      <c r="L22" s="53" t="s">
        <v>6914</v>
      </c>
      <c r="M22" s="57">
        <v>249900</v>
      </c>
      <c r="N22" s="35">
        <f t="shared" si="5"/>
        <v>0.6</v>
      </c>
      <c r="O22" s="34">
        <f t="shared" si="1"/>
        <v>99960</v>
      </c>
      <c r="P22" s="32" t="str">
        <f t="shared" si="5"/>
        <v>PERCENTAGE</v>
      </c>
    </row>
    <row r="23" spans="1:16" x14ac:dyDescent="0.35">
      <c r="A23" s="32" t="str">
        <f t="shared" si="4"/>
        <v>2026 BAMUS DISC 60%</v>
      </c>
      <c r="B23" s="33">
        <f t="shared" si="4"/>
        <v>46121</v>
      </c>
      <c r="C23" s="33">
        <f t="shared" si="4"/>
        <v>46127</v>
      </c>
      <c r="D23" s="32">
        <v>3321</v>
      </c>
      <c r="E23" s="32">
        <v>337</v>
      </c>
      <c r="F23" s="32">
        <v>4</v>
      </c>
      <c r="G23" s="52">
        <v>5</v>
      </c>
      <c r="H23" s="52">
        <v>81005</v>
      </c>
      <c r="I23" s="32" t="s">
        <v>2689</v>
      </c>
      <c r="J23" s="23">
        <v>69563533</v>
      </c>
      <c r="K23" s="23" t="s">
        <v>6913</v>
      </c>
      <c r="L23" s="53" t="s">
        <v>6915</v>
      </c>
      <c r="M23" s="57">
        <v>249900</v>
      </c>
      <c r="N23" s="35">
        <f t="shared" si="5"/>
        <v>0.6</v>
      </c>
      <c r="O23" s="34">
        <f>M23-((60*M23)/100)</f>
        <v>99960</v>
      </c>
      <c r="P23" s="32" t="str">
        <f t="shared" si="5"/>
        <v>PERCENTAGE</v>
      </c>
    </row>
    <row r="24" spans="1:16" x14ac:dyDescent="0.35">
      <c r="A24" s="32" t="str">
        <f t="shared" si="4"/>
        <v>2026 BAMUS DISC 60%</v>
      </c>
      <c r="B24" s="33">
        <f t="shared" si="4"/>
        <v>46121</v>
      </c>
      <c r="C24" s="33">
        <f t="shared" si="4"/>
        <v>46127</v>
      </c>
      <c r="D24" s="32">
        <v>3321</v>
      </c>
      <c r="E24" s="32">
        <v>337</v>
      </c>
      <c r="F24" s="32">
        <v>4</v>
      </c>
      <c r="G24" s="52">
        <v>5</v>
      </c>
      <c r="H24" s="52">
        <v>81005</v>
      </c>
      <c r="I24" s="32" t="s">
        <v>2689</v>
      </c>
      <c r="J24" s="23">
        <v>69563542</v>
      </c>
      <c r="K24" s="23" t="s">
        <v>6913</v>
      </c>
      <c r="L24" s="53" t="s">
        <v>6916</v>
      </c>
      <c r="M24" s="57">
        <v>249900</v>
      </c>
      <c r="N24" s="35">
        <f t="shared" si="5"/>
        <v>0.6</v>
      </c>
      <c r="O24" s="34">
        <f t="shared" si="1"/>
        <v>99960</v>
      </c>
      <c r="P24" s="32" t="str">
        <f t="shared" si="5"/>
        <v>PERCENTAGE</v>
      </c>
    </row>
    <row r="25" spans="1:16" x14ac:dyDescent="0.35">
      <c r="A25" s="32" t="str">
        <f t="shared" si="4"/>
        <v>2026 BAMUS DISC 60%</v>
      </c>
      <c r="B25" s="33">
        <f t="shared" si="4"/>
        <v>46121</v>
      </c>
      <c r="C25" s="33">
        <f t="shared" si="4"/>
        <v>46127</v>
      </c>
      <c r="D25" s="32">
        <v>3321</v>
      </c>
      <c r="E25" s="32">
        <v>337</v>
      </c>
      <c r="F25" s="32">
        <v>4</v>
      </c>
      <c r="G25" s="52">
        <v>5</v>
      </c>
      <c r="H25" s="52">
        <v>81005</v>
      </c>
      <c r="I25" s="32" t="s">
        <v>2689</v>
      </c>
      <c r="J25" s="23">
        <v>69563551</v>
      </c>
      <c r="K25" s="23" t="s">
        <v>6913</v>
      </c>
      <c r="L25" s="53" t="s">
        <v>6917</v>
      </c>
      <c r="M25" s="57">
        <v>249900</v>
      </c>
      <c r="N25" s="35">
        <f t="shared" si="5"/>
        <v>0.6</v>
      </c>
      <c r="O25" s="34">
        <f t="shared" si="1"/>
        <v>99960</v>
      </c>
      <c r="P25" s="32" t="str">
        <f t="shared" si="5"/>
        <v>PERCENTAGE</v>
      </c>
    </row>
    <row r="26" spans="1:16" x14ac:dyDescent="0.35">
      <c r="A26" s="18" t="str">
        <f t="shared" si="4"/>
        <v>2026 BAMUS DISC 60%</v>
      </c>
      <c r="B26" s="56">
        <f t="shared" si="4"/>
        <v>46121</v>
      </c>
      <c r="C26" s="56">
        <f t="shared" si="4"/>
        <v>46127</v>
      </c>
      <c r="D26" s="18">
        <v>3321</v>
      </c>
      <c r="E26" s="18">
        <v>337</v>
      </c>
      <c r="F26" s="18">
        <v>4</v>
      </c>
      <c r="G26" s="52">
        <v>5</v>
      </c>
      <c r="H26" s="52">
        <v>81005</v>
      </c>
      <c r="I26" s="18" t="s">
        <v>2689</v>
      </c>
      <c r="J26" s="23">
        <v>69563560</v>
      </c>
      <c r="K26" s="23" t="s">
        <v>6913</v>
      </c>
      <c r="L26" s="53" t="s">
        <v>6918</v>
      </c>
      <c r="M26" s="57">
        <v>249900</v>
      </c>
      <c r="N26" s="35">
        <f t="shared" si="5"/>
        <v>0.6</v>
      </c>
      <c r="O26" s="34">
        <f t="shared" si="1"/>
        <v>99960</v>
      </c>
      <c r="P26" s="32" t="str">
        <f t="shared" si="5"/>
        <v>PERCENTAGE</v>
      </c>
    </row>
    <row r="27" spans="1:16" x14ac:dyDescent="0.35">
      <c r="A27" s="32" t="str">
        <f t="shared" si="4"/>
        <v>2026 BAMUS DISC 60%</v>
      </c>
      <c r="B27" s="33">
        <f t="shared" si="4"/>
        <v>46121</v>
      </c>
      <c r="C27" s="33">
        <f t="shared" si="4"/>
        <v>46127</v>
      </c>
      <c r="D27" s="32">
        <v>3321</v>
      </c>
      <c r="E27" s="32">
        <v>337</v>
      </c>
      <c r="F27" s="32">
        <v>4</v>
      </c>
      <c r="G27" s="23">
        <v>5</v>
      </c>
      <c r="H27" s="23">
        <v>81005</v>
      </c>
      <c r="I27" s="32" t="s">
        <v>2689</v>
      </c>
      <c r="J27" s="23">
        <v>69563579</v>
      </c>
      <c r="K27" s="23" t="s">
        <v>6913</v>
      </c>
      <c r="L27" s="51" t="s">
        <v>6919</v>
      </c>
      <c r="M27" s="24">
        <v>249900</v>
      </c>
      <c r="N27" s="35">
        <f t="shared" si="5"/>
        <v>0.6</v>
      </c>
      <c r="O27" s="34">
        <f t="shared" si="1"/>
        <v>99960</v>
      </c>
      <c r="P27" s="32" t="str">
        <f t="shared" si="5"/>
        <v>PERCENTAGE</v>
      </c>
    </row>
    <row r="28" spans="1:16" x14ac:dyDescent="0.35">
      <c r="A28" s="32" t="str">
        <f t="shared" si="4"/>
        <v>2026 BAMUS DISC 60%</v>
      </c>
      <c r="B28" s="33">
        <f t="shared" si="4"/>
        <v>46121</v>
      </c>
      <c r="C28" s="33">
        <f t="shared" si="4"/>
        <v>46127</v>
      </c>
      <c r="D28" s="32">
        <v>3321</v>
      </c>
      <c r="E28" s="32">
        <v>337</v>
      </c>
      <c r="F28" s="32">
        <v>4</v>
      </c>
      <c r="G28" s="23">
        <v>5</v>
      </c>
      <c r="H28" s="23">
        <v>81005</v>
      </c>
      <c r="I28" s="32" t="s">
        <v>2689</v>
      </c>
      <c r="J28" s="23">
        <v>69563588</v>
      </c>
      <c r="K28" s="23" t="s">
        <v>6913</v>
      </c>
      <c r="L28" s="51" t="s">
        <v>6920</v>
      </c>
      <c r="M28" s="24">
        <v>249900</v>
      </c>
      <c r="N28" s="35">
        <f t="shared" si="5"/>
        <v>0.6</v>
      </c>
      <c r="O28" s="34">
        <f t="shared" si="1"/>
        <v>99960</v>
      </c>
      <c r="P28" s="32" t="str">
        <f t="shared" si="5"/>
        <v>PERCENTAGE</v>
      </c>
    </row>
    <row r="29" spans="1:16" x14ac:dyDescent="0.35">
      <c r="A29" s="32" t="str">
        <f t="shared" si="4"/>
        <v>2026 BAMUS DISC 60%</v>
      </c>
      <c r="B29" s="33">
        <f t="shared" si="4"/>
        <v>46121</v>
      </c>
      <c r="C29" s="33">
        <f t="shared" si="4"/>
        <v>46127</v>
      </c>
      <c r="D29" s="32">
        <v>3321</v>
      </c>
      <c r="E29" s="32">
        <v>337</v>
      </c>
      <c r="F29" s="32">
        <v>4</v>
      </c>
      <c r="G29" s="23">
        <v>2</v>
      </c>
      <c r="H29" s="23">
        <v>81005</v>
      </c>
      <c r="I29" s="32" t="s">
        <v>2689</v>
      </c>
      <c r="J29" s="23">
        <v>68416471</v>
      </c>
      <c r="K29" s="23" t="s">
        <v>6921</v>
      </c>
      <c r="L29" s="51" t="s">
        <v>6922</v>
      </c>
      <c r="M29" s="24">
        <v>199900</v>
      </c>
      <c r="N29" s="35">
        <f t="shared" si="5"/>
        <v>0.6</v>
      </c>
      <c r="O29" s="34">
        <f t="shared" si="1"/>
        <v>79960</v>
      </c>
      <c r="P29" s="32" t="str">
        <f t="shared" si="5"/>
        <v>PERCENTAGE</v>
      </c>
    </row>
    <row r="30" spans="1:16" x14ac:dyDescent="0.35">
      <c r="A30" s="32" t="str">
        <f t="shared" si="4"/>
        <v>2026 BAMUS DISC 60%</v>
      </c>
      <c r="B30" s="33">
        <f t="shared" si="4"/>
        <v>46121</v>
      </c>
      <c r="C30" s="33">
        <f t="shared" si="4"/>
        <v>46127</v>
      </c>
      <c r="D30" s="32">
        <v>3321</v>
      </c>
      <c r="E30" s="32">
        <v>337</v>
      </c>
      <c r="F30" s="32">
        <v>4</v>
      </c>
      <c r="G30" s="23">
        <v>2</v>
      </c>
      <c r="H30" s="23">
        <v>81005</v>
      </c>
      <c r="I30" s="32" t="s">
        <v>2689</v>
      </c>
      <c r="J30" s="23">
        <v>68416480</v>
      </c>
      <c r="K30" s="23" t="s">
        <v>6921</v>
      </c>
      <c r="L30" s="51" t="s">
        <v>6923</v>
      </c>
      <c r="M30" s="24">
        <v>199900</v>
      </c>
      <c r="N30" s="35">
        <f t="shared" si="5"/>
        <v>0.6</v>
      </c>
      <c r="O30" s="34">
        <f t="shared" si="1"/>
        <v>79960</v>
      </c>
      <c r="P30" s="32" t="str">
        <f t="shared" si="5"/>
        <v>PERCENTAGE</v>
      </c>
    </row>
    <row r="31" spans="1:16" x14ac:dyDescent="0.35">
      <c r="A31" s="32" t="str">
        <f t="shared" si="4"/>
        <v>2026 BAMUS DISC 60%</v>
      </c>
      <c r="B31" s="33">
        <f t="shared" si="4"/>
        <v>46121</v>
      </c>
      <c r="C31" s="33">
        <f t="shared" si="4"/>
        <v>46127</v>
      </c>
      <c r="D31" s="32">
        <v>3321</v>
      </c>
      <c r="E31" s="32">
        <v>337</v>
      </c>
      <c r="F31" s="32">
        <v>4</v>
      </c>
      <c r="G31" s="23">
        <v>2</v>
      </c>
      <c r="H31" s="23">
        <v>81005</v>
      </c>
      <c r="I31" s="32" t="s">
        <v>2689</v>
      </c>
      <c r="J31" s="23">
        <v>68416499</v>
      </c>
      <c r="K31" s="23" t="s">
        <v>6921</v>
      </c>
      <c r="L31" s="51" t="s">
        <v>6924</v>
      </c>
      <c r="M31" s="24">
        <v>199900</v>
      </c>
      <c r="N31" s="35">
        <f t="shared" si="5"/>
        <v>0.6</v>
      </c>
      <c r="O31" s="34">
        <f t="shared" si="1"/>
        <v>79960</v>
      </c>
      <c r="P31" s="32" t="str">
        <f t="shared" si="5"/>
        <v>PERCENTAGE</v>
      </c>
    </row>
    <row r="32" spans="1:16" x14ac:dyDescent="0.35">
      <c r="A32" s="32" t="str">
        <f t="shared" si="4"/>
        <v>2026 BAMUS DISC 60%</v>
      </c>
      <c r="B32" s="33">
        <f t="shared" si="4"/>
        <v>46121</v>
      </c>
      <c r="C32" s="33">
        <f t="shared" si="4"/>
        <v>46127</v>
      </c>
      <c r="D32" s="32">
        <v>3321</v>
      </c>
      <c r="E32" s="32">
        <v>337</v>
      </c>
      <c r="F32" s="32">
        <v>4</v>
      </c>
      <c r="G32" s="23">
        <v>2</v>
      </c>
      <c r="H32" s="23">
        <v>81005</v>
      </c>
      <c r="I32" s="32" t="s">
        <v>2689</v>
      </c>
      <c r="J32" s="55">
        <v>68416506</v>
      </c>
      <c r="K32" s="23" t="s">
        <v>6921</v>
      </c>
      <c r="L32" s="51" t="s">
        <v>6925</v>
      </c>
      <c r="M32" s="24">
        <v>199900</v>
      </c>
      <c r="N32" s="35">
        <f t="shared" si="5"/>
        <v>0.6</v>
      </c>
      <c r="O32" s="34">
        <f t="shared" si="1"/>
        <v>79960</v>
      </c>
      <c r="P32" s="32" t="str">
        <f t="shared" si="5"/>
        <v>PERCENTAGE</v>
      </c>
    </row>
    <row r="33" spans="1:16" x14ac:dyDescent="0.35">
      <c r="A33" s="32" t="str">
        <f t="shared" si="4"/>
        <v>2026 BAMUS DISC 60%</v>
      </c>
      <c r="B33" s="33">
        <f t="shared" si="4"/>
        <v>46121</v>
      </c>
      <c r="C33" s="33">
        <f t="shared" si="4"/>
        <v>46127</v>
      </c>
      <c r="D33" s="32">
        <v>3321</v>
      </c>
      <c r="E33" s="32">
        <v>337</v>
      </c>
      <c r="F33" s="32">
        <v>4</v>
      </c>
      <c r="G33" s="23">
        <v>2</v>
      </c>
      <c r="H33" s="23">
        <v>81005</v>
      </c>
      <c r="I33" s="32" t="s">
        <v>2689</v>
      </c>
      <c r="J33" s="55">
        <v>68416515</v>
      </c>
      <c r="K33" s="23" t="s">
        <v>6921</v>
      </c>
      <c r="L33" s="51" t="s">
        <v>6926</v>
      </c>
      <c r="M33" s="24">
        <v>199900</v>
      </c>
      <c r="N33" s="35">
        <f t="shared" si="5"/>
        <v>0.6</v>
      </c>
      <c r="O33" s="34">
        <f t="shared" si="1"/>
        <v>79960</v>
      </c>
      <c r="P33" s="32" t="str">
        <f t="shared" si="5"/>
        <v>PERCENTAGE</v>
      </c>
    </row>
    <row r="34" spans="1:16" x14ac:dyDescent="0.35">
      <c r="A34" s="32" t="str">
        <f t="shared" si="4"/>
        <v>2026 BAMUS DISC 60%</v>
      </c>
      <c r="B34" s="33">
        <f t="shared" si="4"/>
        <v>46121</v>
      </c>
      <c r="C34" s="33">
        <f t="shared" si="4"/>
        <v>46127</v>
      </c>
      <c r="D34" s="32">
        <v>3321</v>
      </c>
      <c r="E34" s="32">
        <v>337</v>
      </c>
      <c r="F34" s="32">
        <v>4</v>
      </c>
      <c r="G34" s="23">
        <v>2</v>
      </c>
      <c r="H34" s="23">
        <v>81005</v>
      </c>
      <c r="I34" s="32" t="s">
        <v>2689</v>
      </c>
      <c r="J34" s="55">
        <v>68416524</v>
      </c>
      <c r="K34" s="23" t="s">
        <v>6921</v>
      </c>
      <c r="L34" s="51" t="s">
        <v>6927</v>
      </c>
      <c r="M34" s="24">
        <v>199900</v>
      </c>
      <c r="N34" s="35">
        <f t="shared" si="5"/>
        <v>0.6</v>
      </c>
      <c r="O34" s="34">
        <f t="shared" si="1"/>
        <v>79960</v>
      </c>
      <c r="P34" s="32" t="str">
        <f t="shared" si="5"/>
        <v>PERCENTAGE</v>
      </c>
    </row>
    <row r="35" spans="1:16" x14ac:dyDescent="0.35">
      <c r="A35" s="32" t="str">
        <f t="shared" ref="A35:C35" si="6">A34</f>
        <v>2026 BAMUS DISC 60%</v>
      </c>
      <c r="B35" s="33">
        <f t="shared" si="6"/>
        <v>46121</v>
      </c>
      <c r="C35" s="33">
        <f t="shared" si="6"/>
        <v>46127</v>
      </c>
      <c r="D35" s="32">
        <v>3321</v>
      </c>
      <c r="E35" s="32">
        <v>337</v>
      </c>
      <c r="F35" s="32">
        <v>4</v>
      </c>
      <c r="G35" s="23">
        <v>2</v>
      </c>
      <c r="H35" s="23">
        <v>81005</v>
      </c>
      <c r="I35" s="32" t="s">
        <v>2689</v>
      </c>
      <c r="J35" s="55">
        <v>68416533</v>
      </c>
      <c r="K35" s="23" t="s">
        <v>6921</v>
      </c>
      <c r="L35" s="51" t="s">
        <v>6928</v>
      </c>
      <c r="M35" s="24">
        <v>199900</v>
      </c>
      <c r="N35" s="35">
        <f t="shared" si="5"/>
        <v>0.6</v>
      </c>
      <c r="O35" s="34">
        <f t="shared" si="1"/>
        <v>79960</v>
      </c>
      <c r="P35" s="32" t="str">
        <f t="shared" si="5"/>
        <v>PERCENTAGE</v>
      </c>
    </row>
  </sheetData>
  <autoFilter ref="A1:P1" xr:uid="{A98DA6A5-931F-4C4C-A73C-7E8B7CE9A86D}"/>
  <conditionalFormatting sqref="J1">
    <cfRule type="duplicateValues" dxfId="60" priority="2"/>
    <cfRule type="duplicateValues" dxfId="59" priority="3"/>
    <cfRule type="duplicateValues" dxfId="58" priority="4"/>
  </conditionalFormatting>
  <conditionalFormatting sqref="J1:J1048576">
    <cfRule type="duplicateValues" dxfId="57" priority="1"/>
  </conditionalFormatting>
  <pageMargins left="0.7" right="0.7" top="0.75" bottom="0.75" header="0.3" footer="0.3"/>
  <pageSetup paperSize="9" orientation="portrait" horizontalDpi="0" verticalDpi="0"/>
  <ignoredErrors>
    <ignoredError sqref="O3:O35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00AF-8129-4AE9-B6A6-DA69DF46471B}">
  <dimension ref="A1:P43"/>
  <sheetViews>
    <sheetView zoomScale="75" zoomScaleNormal="71" workbookViewId="0">
      <pane ySplit="1" topLeftCell="A2" activePane="bottomLeft" state="frozen"/>
      <selection activeCell="L16" sqref="L16"/>
      <selection pane="bottomLeft" activeCell="B56" sqref="B56"/>
    </sheetView>
  </sheetViews>
  <sheetFormatPr defaultColWidth="8.81640625" defaultRowHeight="14.5" x14ac:dyDescent="0.35"/>
  <cols>
    <col min="1" max="1" width="28.4531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3.81640625" style="17" customWidth="1"/>
    <col min="13" max="13" width="16.54296875" style="37" customWidth="1"/>
    <col min="14" max="14" width="12" style="26" customWidth="1"/>
    <col min="15" max="15" width="18.453125" style="37" customWidth="1"/>
    <col min="16" max="16" width="17.17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6996</v>
      </c>
      <c r="B2" s="33">
        <f>'2025 JUNSEPT B1G1 - 3321'!B6</f>
        <v>46121</v>
      </c>
      <c r="C2" s="33">
        <f>'2025 JUNSEPT B1G1 - 3321'!C6</f>
        <v>46127</v>
      </c>
      <c r="D2" s="32">
        <v>3321</v>
      </c>
      <c r="E2" s="32">
        <v>337</v>
      </c>
      <c r="F2" s="32">
        <v>4</v>
      </c>
      <c r="G2" s="23">
        <v>5</v>
      </c>
      <c r="H2" s="23">
        <v>81698</v>
      </c>
      <c r="I2" s="32" t="s">
        <v>2689</v>
      </c>
      <c r="J2" s="23">
        <v>68397475</v>
      </c>
      <c r="K2" s="23" t="s">
        <v>6866</v>
      </c>
      <c r="L2" s="22" t="s">
        <v>6869</v>
      </c>
      <c r="M2" s="24">
        <v>179900</v>
      </c>
      <c r="N2" s="20">
        <v>0.3</v>
      </c>
      <c r="O2" s="66">
        <f>M2-((30*M2)/100)</f>
        <v>125930</v>
      </c>
      <c r="P2" s="20" t="s">
        <v>16</v>
      </c>
    </row>
    <row r="3" spans="1:16" x14ac:dyDescent="0.35">
      <c r="A3" s="32" t="str">
        <f t="shared" ref="A3:C3" si="0">A2</f>
        <v xml:space="preserve">2026 HILITE DISC 30 </v>
      </c>
      <c r="B3" s="33">
        <f t="shared" si="0"/>
        <v>46121</v>
      </c>
      <c r="C3" s="33">
        <f t="shared" si="0"/>
        <v>46127</v>
      </c>
      <c r="D3" s="32">
        <v>3321</v>
      </c>
      <c r="E3" s="32">
        <v>337</v>
      </c>
      <c r="F3" s="32">
        <v>4</v>
      </c>
      <c r="G3" s="23">
        <v>5</v>
      </c>
      <c r="H3" s="23">
        <v>81698</v>
      </c>
      <c r="I3" s="32" t="s">
        <v>2689</v>
      </c>
      <c r="J3" s="23">
        <v>68397484</v>
      </c>
      <c r="K3" s="23" t="s">
        <v>6866</v>
      </c>
      <c r="L3" s="22" t="s">
        <v>6870</v>
      </c>
      <c r="M3" s="24">
        <v>179900</v>
      </c>
      <c r="N3" s="20">
        <f>N2</f>
        <v>0.3</v>
      </c>
      <c r="O3" s="66">
        <f t="shared" ref="O3:O43" si="1">M3-((30*M3)/100)</f>
        <v>125930</v>
      </c>
      <c r="P3" s="67" t="str">
        <f>P2</f>
        <v>PERCENTAGE</v>
      </c>
    </row>
    <row r="4" spans="1:16" x14ac:dyDescent="0.35">
      <c r="A4" s="32" t="str">
        <f t="shared" ref="A4:C4" si="2">A3</f>
        <v xml:space="preserve">2026 HILITE DISC 30 </v>
      </c>
      <c r="B4" s="33">
        <f t="shared" si="2"/>
        <v>46121</v>
      </c>
      <c r="C4" s="33">
        <f t="shared" si="2"/>
        <v>46127</v>
      </c>
      <c r="D4" s="32">
        <v>3321</v>
      </c>
      <c r="E4" s="32">
        <v>337</v>
      </c>
      <c r="F4" s="32">
        <v>4</v>
      </c>
      <c r="G4" s="23">
        <v>5</v>
      </c>
      <c r="H4" s="23">
        <v>81698</v>
      </c>
      <c r="I4" s="32" t="s">
        <v>2689</v>
      </c>
      <c r="J4" s="23">
        <v>68397493</v>
      </c>
      <c r="K4" s="23" t="s">
        <v>6866</v>
      </c>
      <c r="L4" s="22" t="s">
        <v>6871</v>
      </c>
      <c r="M4" s="24">
        <v>179900</v>
      </c>
      <c r="N4" s="20">
        <f t="shared" ref="N4:P19" si="3">N3</f>
        <v>0.3</v>
      </c>
      <c r="O4" s="66">
        <f t="shared" si="1"/>
        <v>125930</v>
      </c>
      <c r="P4" s="67" t="str">
        <f t="shared" ref="P4:P15" si="4">P3</f>
        <v>PERCENTAGE</v>
      </c>
    </row>
    <row r="5" spans="1:16" x14ac:dyDescent="0.35">
      <c r="A5" s="32" t="str">
        <f t="shared" ref="A5:C5" si="5">A4</f>
        <v xml:space="preserve">2026 HILITE DISC 30 </v>
      </c>
      <c r="B5" s="33">
        <f t="shared" si="5"/>
        <v>46121</v>
      </c>
      <c r="C5" s="33">
        <f t="shared" si="5"/>
        <v>46127</v>
      </c>
      <c r="D5" s="32">
        <v>3321</v>
      </c>
      <c r="E5" s="32">
        <v>337</v>
      </c>
      <c r="F5" s="32">
        <v>4</v>
      </c>
      <c r="G5" s="23">
        <v>5</v>
      </c>
      <c r="H5" s="23">
        <v>81698</v>
      </c>
      <c r="I5" s="32" t="s">
        <v>2689</v>
      </c>
      <c r="J5" s="23">
        <v>68397500</v>
      </c>
      <c r="K5" s="23" t="s">
        <v>6866</v>
      </c>
      <c r="L5" s="22" t="s">
        <v>6872</v>
      </c>
      <c r="M5" s="24">
        <v>179900</v>
      </c>
      <c r="N5" s="20">
        <f t="shared" si="3"/>
        <v>0.3</v>
      </c>
      <c r="O5" s="66">
        <f t="shared" si="1"/>
        <v>125930</v>
      </c>
      <c r="P5" s="67" t="str">
        <f t="shared" si="4"/>
        <v>PERCENTAGE</v>
      </c>
    </row>
    <row r="6" spans="1:16" x14ac:dyDescent="0.35">
      <c r="A6" s="32" t="str">
        <f t="shared" ref="A6:C6" si="6">A5</f>
        <v xml:space="preserve">2026 HILITE DISC 30 </v>
      </c>
      <c r="B6" s="33">
        <f t="shared" si="6"/>
        <v>46121</v>
      </c>
      <c r="C6" s="33">
        <f t="shared" si="6"/>
        <v>46127</v>
      </c>
      <c r="D6" s="32">
        <v>3321</v>
      </c>
      <c r="E6" s="32">
        <v>337</v>
      </c>
      <c r="F6" s="32">
        <v>4</v>
      </c>
      <c r="G6" s="23">
        <v>5</v>
      </c>
      <c r="H6" s="23">
        <v>81698</v>
      </c>
      <c r="I6" s="32" t="s">
        <v>2689</v>
      </c>
      <c r="J6" s="23">
        <v>68397519</v>
      </c>
      <c r="K6" s="23" t="s">
        <v>6866</v>
      </c>
      <c r="L6" s="22" t="s">
        <v>6873</v>
      </c>
      <c r="M6" s="24">
        <v>179900</v>
      </c>
      <c r="N6" s="20">
        <f t="shared" si="3"/>
        <v>0.3</v>
      </c>
      <c r="O6" s="66">
        <f t="shared" si="1"/>
        <v>125930</v>
      </c>
      <c r="P6" s="67" t="str">
        <f t="shared" si="4"/>
        <v>PERCENTAGE</v>
      </c>
    </row>
    <row r="7" spans="1:16" x14ac:dyDescent="0.35">
      <c r="A7" s="32" t="str">
        <f t="shared" ref="A7:C7" si="7">A6</f>
        <v xml:space="preserve">2026 HILITE DISC 30 </v>
      </c>
      <c r="B7" s="33">
        <f t="shared" si="7"/>
        <v>46121</v>
      </c>
      <c r="C7" s="33">
        <f t="shared" si="7"/>
        <v>46127</v>
      </c>
      <c r="D7" s="32">
        <v>3321</v>
      </c>
      <c r="E7" s="32">
        <v>337</v>
      </c>
      <c r="F7" s="32">
        <v>4</v>
      </c>
      <c r="G7" s="23">
        <v>5</v>
      </c>
      <c r="H7" s="23">
        <v>81698</v>
      </c>
      <c r="I7" s="32" t="s">
        <v>2689</v>
      </c>
      <c r="J7" s="23">
        <v>68397528</v>
      </c>
      <c r="K7" s="23" t="s">
        <v>6866</v>
      </c>
      <c r="L7" s="22" t="s">
        <v>6874</v>
      </c>
      <c r="M7" s="24">
        <v>179900</v>
      </c>
      <c r="N7" s="20">
        <f t="shared" si="3"/>
        <v>0.3</v>
      </c>
      <c r="O7" s="66">
        <f t="shared" si="1"/>
        <v>125930</v>
      </c>
      <c r="P7" s="67" t="str">
        <f t="shared" si="4"/>
        <v>PERCENTAGE</v>
      </c>
    </row>
    <row r="8" spans="1:16" x14ac:dyDescent="0.35">
      <c r="A8" s="32" t="str">
        <f t="shared" ref="A8:C8" si="8">A7</f>
        <v xml:space="preserve">2026 HILITE DISC 30 </v>
      </c>
      <c r="B8" s="33">
        <f t="shared" si="8"/>
        <v>46121</v>
      </c>
      <c r="C8" s="33">
        <f t="shared" si="8"/>
        <v>46127</v>
      </c>
      <c r="D8" s="32">
        <v>3321</v>
      </c>
      <c r="E8" s="32">
        <v>337</v>
      </c>
      <c r="F8" s="32">
        <v>4</v>
      </c>
      <c r="G8" s="23">
        <v>5</v>
      </c>
      <c r="H8" s="23">
        <v>81698</v>
      </c>
      <c r="I8" s="32" t="s">
        <v>2689</v>
      </c>
      <c r="J8" s="23">
        <v>68397537</v>
      </c>
      <c r="K8" s="23" t="s">
        <v>6866</v>
      </c>
      <c r="L8" s="22" t="s">
        <v>6875</v>
      </c>
      <c r="M8" s="24">
        <v>179900</v>
      </c>
      <c r="N8" s="20">
        <f t="shared" si="3"/>
        <v>0.3</v>
      </c>
      <c r="O8" s="66">
        <f t="shared" si="1"/>
        <v>125930</v>
      </c>
      <c r="P8" s="67" t="str">
        <f t="shared" si="4"/>
        <v>PERCENTAGE</v>
      </c>
    </row>
    <row r="9" spans="1:16" x14ac:dyDescent="0.35">
      <c r="A9" s="32" t="str">
        <f t="shared" ref="A9:C9" si="9">A8</f>
        <v xml:space="preserve">2026 HILITE DISC 30 </v>
      </c>
      <c r="B9" s="33">
        <f t="shared" si="9"/>
        <v>46121</v>
      </c>
      <c r="C9" s="33">
        <f t="shared" si="9"/>
        <v>46127</v>
      </c>
      <c r="D9" s="32">
        <v>3321</v>
      </c>
      <c r="E9" s="32">
        <v>337</v>
      </c>
      <c r="F9" s="32">
        <v>4</v>
      </c>
      <c r="G9" s="23">
        <v>2</v>
      </c>
      <c r="H9" s="23">
        <v>81005</v>
      </c>
      <c r="I9" s="32" t="s">
        <v>2689</v>
      </c>
      <c r="J9" s="23">
        <v>68397617</v>
      </c>
      <c r="K9" s="23" t="s">
        <v>6867</v>
      </c>
      <c r="L9" s="22" t="s">
        <v>6876</v>
      </c>
      <c r="M9" s="24">
        <v>149900</v>
      </c>
      <c r="N9" s="20">
        <f t="shared" si="3"/>
        <v>0.3</v>
      </c>
      <c r="O9" s="66">
        <f t="shared" si="1"/>
        <v>104930</v>
      </c>
      <c r="P9" s="67" t="str">
        <f t="shared" si="4"/>
        <v>PERCENTAGE</v>
      </c>
    </row>
    <row r="10" spans="1:16" x14ac:dyDescent="0.35">
      <c r="A10" s="32" t="str">
        <f t="shared" ref="A10:C10" si="10">A9</f>
        <v xml:space="preserve">2026 HILITE DISC 30 </v>
      </c>
      <c r="B10" s="33">
        <f t="shared" si="10"/>
        <v>46121</v>
      </c>
      <c r="C10" s="33">
        <f t="shared" si="10"/>
        <v>46127</v>
      </c>
      <c r="D10" s="32">
        <v>3321</v>
      </c>
      <c r="E10" s="32">
        <v>337</v>
      </c>
      <c r="F10" s="32">
        <v>4</v>
      </c>
      <c r="G10" s="23">
        <v>2</v>
      </c>
      <c r="H10" s="23">
        <v>81005</v>
      </c>
      <c r="I10" s="32" t="s">
        <v>2689</v>
      </c>
      <c r="J10" s="23">
        <v>68397626</v>
      </c>
      <c r="K10" s="23" t="s">
        <v>6867</v>
      </c>
      <c r="L10" s="22" t="s">
        <v>6877</v>
      </c>
      <c r="M10" s="24">
        <v>149900</v>
      </c>
      <c r="N10" s="20">
        <f t="shared" si="3"/>
        <v>0.3</v>
      </c>
      <c r="O10" s="66">
        <f t="shared" si="1"/>
        <v>104930</v>
      </c>
      <c r="P10" s="67" t="str">
        <f t="shared" si="4"/>
        <v>PERCENTAGE</v>
      </c>
    </row>
    <row r="11" spans="1:16" x14ac:dyDescent="0.35">
      <c r="A11" s="32" t="str">
        <f t="shared" ref="A11:C11" si="11">A10</f>
        <v xml:space="preserve">2026 HILITE DISC 30 </v>
      </c>
      <c r="B11" s="33">
        <f t="shared" si="11"/>
        <v>46121</v>
      </c>
      <c r="C11" s="33">
        <f t="shared" si="11"/>
        <v>46127</v>
      </c>
      <c r="D11" s="32">
        <v>3321</v>
      </c>
      <c r="E11" s="32">
        <v>337</v>
      </c>
      <c r="F11" s="32">
        <v>4</v>
      </c>
      <c r="G11" s="23">
        <v>2</v>
      </c>
      <c r="H11" s="23">
        <v>81005</v>
      </c>
      <c r="I11" s="32" t="s">
        <v>2689</v>
      </c>
      <c r="J11" s="23">
        <v>68397635</v>
      </c>
      <c r="K11" s="23" t="s">
        <v>6867</v>
      </c>
      <c r="L11" s="22" t="s">
        <v>6878</v>
      </c>
      <c r="M11" s="24">
        <v>149900</v>
      </c>
      <c r="N11" s="20">
        <f t="shared" si="3"/>
        <v>0.3</v>
      </c>
      <c r="O11" s="66">
        <f t="shared" si="1"/>
        <v>104930</v>
      </c>
      <c r="P11" s="67" t="str">
        <f t="shared" si="4"/>
        <v>PERCENTAGE</v>
      </c>
    </row>
    <row r="12" spans="1:16" x14ac:dyDescent="0.35">
      <c r="A12" s="32" t="str">
        <f t="shared" ref="A12:C12" si="12">A11</f>
        <v xml:space="preserve">2026 HILITE DISC 30 </v>
      </c>
      <c r="B12" s="33">
        <f t="shared" si="12"/>
        <v>46121</v>
      </c>
      <c r="C12" s="33">
        <f t="shared" si="12"/>
        <v>46127</v>
      </c>
      <c r="D12" s="32">
        <v>3321</v>
      </c>
      <c r="E12" s="32">
        <v>337</v>
      </c>
      <c r="F12" s="32">
        <v>4</v>
      </c>
      <c r="G12" s="23">
        <v>2</v>
      </c>
      <c r="H12" s="23">
        <v>81005</v>
      </c>
      <c r="I12" s="32" t="s">
        <v>2689</v>
      </c>
      <c r="J12" s="23">
        <v>68397644</v>
      </c>
      <c r="K12" s="23" t="s">
        <v>6867</v>
      </c>
      <c r="L12" s="22" t="s">
        <v>6879</v>
      </c>
      <c r="M12" s="24">
        <v>149900</v>
      </c>
      <c r="N12" s="20">
        <f t="shared" si="3"/>
        <v>0.3</v>
      </c>
      <c r="O12" s="66">
        <f t="shared" si="1"/>
        <v>104930</v>
      </c>
      <c r="P12" s="67" t="str">
        <f t="shared" si="4"/>
        <v>PERCENTAGE</v>
      </c>
    </row>
    <row r="13" spans="1:16" x14ac:dyDescent="0.35">
      <c r="A13" s="32" t="str">
        <f t="shared" ref="A13:C13" si="13">A12</f>
        <v xml:space="preserve">2026 HILITE DISC 30 </v>
      </c>
      <c r="B13" s="33">
        <f t="shared" si="13"/>
        <v>46121</v>
      </c>
      <c r="C13" s="33">
        <f t="shared" si="13"/>
        <v>46127</v>
      </c>
      <c r="D13" s="32">
        <v>3321</v>
      </c>
      <c r="E13" s="32">
        <v>337</v>
      </c>
      <c r="F13" s="32">
        <v>4</v>
      </c>
      <c r="G13" s="23">
        <v>2</v>
      </c>
      <c r="H13" s="23">
        <v>81005</v>
      </c>
      <c r="I13" s="32" t="s">
        <v>2689</v>
      </c>
      <c r="J13" s="23">
        <v>68397653</v>
      </c>
      <c r="K13" s="23" t="s">
        <v>6867</v>
      </c>
      <c r="L13" s="22" t="s">
        <v>6880</v>
      </c>
      <c r="M13" s="24">
        <v>149900</v>
      </c>
      <c r="N13" s="20">
        <f t="shared" si="3"/>
        <v>0.3</v>
      </c>
      <c r="O13" s="66">
        <f t="shared" si="1"/>
        <v>104930</v>
      </c>
      <c r="P13" s="67" t="str">
        <f t="shared" si="4"/>
        <v>PERCENTAGE</v>
      </c>
    </row>
    <row r="14" spans="1:16" x14ac:dyDescent="0.35">
      <c r="A14" s="32" t="str">
        <f t="shared" ref="A14:C14" si="14">A13</f>
        <v xml:space="preserve">2026 HILITE DISC 30 </v>
      </c>
      <c r="B14" s="33">
        <f t="shared" si="14"/>
        <v>46121</v>
      </c>
      <c r="C14" s="33">
        <f t="shared" si="14"/>
        <v>46127</v>
      </c>
      <c r="D14" s="32">
        <v>3321</v>
      </c>
      <c r="E14" s="32">
        <v>337</v>
      </c>
      <c r="F14" s="32">
        <v>4</v>
      </c>
      <c r="G14" s="23">
        <v>2</v>
      </c>
      <c r="H14" s="23">
        <v>81005</v>
      </c>
      <c r="I14" s="32" t="s">
        <v>2689</v>
      </c>
      <c r="J14" s="23">
        <v>68397662</v>
      </c>
      <c r="K14" s="23" t="s">
        <v>6867</v>
      </c>
      <c r="L14" s="22" t="s">
        <v>6881</v>
      </c>
      <c r="M14" s="24">
        <v>149900</v>
      </c>
      <c r="N14" s="20">
        <f t="shared" si="3"/>
        <v>0.3</v>
      </c>
      <c r="O14" s="66">
        <f t="shared" si="1"/>
        <v>104930</v>
      </c>
      <c r="P14" s="67" t="str">
        <f t="shared" si="4"/>
        <v>PERCENTAGE</v>
      </c>
    </row>
    <row r="15" spans="1:16" x14ac:dyDescent="0.35">
      <c r="A15" s="32" t="str">
        <f t="shared" ref="A15:C15" si="15">A14</f>
        <v xml:space="preserve">2026 HILITE DISC 30 </v>
      </c>
      <c r="B15" s="33">
        <f t="shared" si="15"/>
        <v>46121</v>
      </c>
      <c r="C15" s="33">
        <f t="shared" si="15"/>
        <v>46127</v>
      </c>
      <c r="D15" s="32">
        <v>3321</v>
      </c>
      <c r="E15" s="32">
        <v>337</v>
      </c>
      <c r="F15" s="32">
        <v>4</v>
      </c>
      <c r="G15" s="23">
        <v>2</v>
      </c>
      <c r="H15" s="23">
        <v>81005</v>
      </c>
      <c r="I15" s="32" t="s">
        <v>2689</v>
      </c>
      <c r="J15" s="23">
        <v>68397671</v>
      </c>
      <c r="K15" s="23" t="s">
        <v>6867</v>
      </c>
      <c r="L15" s="22" t="s">
        <v>6882</v>
      </c>
      <c r="M15" s="24">
        <v>149900</v>
      </c>
      <c r="N15" s="20">
        <f t="shared" si="3"/>
        <v>0.3</v>
      </c>
      <c r="O15" s="66">
        <f t="shared" si="1"/>
        <v>104930</v>
      </c>
      <c r="P15" s="67" t="str">
        <f t="shared" si="4"/>
        <v>PERCENTAGE</v>
      </c>
    </row>
    <row r="16" spans="1:16" x14ac:dyDescent="0.35">
      <c r="A16" s="32" t="str">
        <f t="shared" ref="A16:C16" si="16">A15</f>
        <v xml:space="preserve">2026 HILITE DISC 30 </v>
      </c>
      <c r="B16" s="33">
        <f t="shared" si="16"/>
        <v>46121</v>
      </c>
      <c r="C16" s="33">
        <f t="shared" si="16"/>
        <v>46127</v>
      </c>
      <c r="D16" s="32">
        <v>3321</v>
      </c>
      <c r="E16" s="32">
        <v>337</v>
      </c>
      <c r="F16" s="32">
        <v>4</v>
      </c>
      <c r="G16" s="23">
        <v>2</v>
      </c>
      <c r="H16" s="23">
        <v>81005</v>
      </c>
      <c r="I16" s="32" t="s">
        <v>2689</v>
      </c>
      <c r="J16" s="23">
        <v>68783548</v>
      </c>
      <c r="K16" s="23" t="s">
        <v>6868</v>
      </c>
      <c r="L16" s="22" t="s">
        <v>6883</v>
      </c>
      <c r="M16" s="24">
        <v>149900</v>
      </c>
      <c r="N16" s="20">
        <f t="shared" si="3"/>
        <v>0.3</v>
      </c>
      <c r="O16" s="66">
        <f t="shared" si="1"/>
        <v>104930</v>
      </c>
      <c r="P16" s="67" t="str">
        <f t="shared" si="3"/>
        <v>PERCENTAGE</v>
      </c>
    </row>
    <row r="17" spans="1:16" x14ac:dyDescent="0.35">
      <c r="A17" s="32" t="str">
        <f t="shared" ref="A17:C17" si="17">A16</f>
        <v xml:space="preserve">2026 HILITE DISC 30 </v>
      </c>
      <c r="B17" s="33">
        <f t="shared" si="17"/>
        <v>46121</v>
      </c>
      <c r="C17" s="33">
        <f t="shared" si="17"/>
        <v>46127</v>
      </c>
      <c r="D17" s="32">
        <v>3321</v>
      </c>
      <c r="E17" s="32">
        <v>337</v>
      </c>
      <c r="F17" s="32">
        <v>4</v>
      </c>
      <c r="G17" s="23">
        <v>2</v>
      </c>
      <c r="H17" s="23">
        <v>81005</v>
      </c>
      <c r="I17" s="32" t="s">
        <v>2689</v>
      </c>
      <c r="J17" s="23">
        <v>68783557</v>
      </c>
      <c r="K17" s="23" t="s">
        <v>6868</v>
      </c>
      <c r="L17" s="22" t="s">
        <v>6884</v>
      </c>
      <c r="M17" s="24">
        <v>149900</v>
      </c>
      <c r="N17" s="20">
        <f t="shared" si="3"/>
        <v>0.3</v>
      </c>
      <c r="O17" s="66">
        <f t="shared" si="1"/>
        <v>104930</v>
      </c>
      <c r="P17" s="67" t="str">
        <f t="shared" si="3"/>
        <v>PERCENTAGE</v>
      </c>
    </row>
    <row r="18" spans="1:16" x14ac:dyDescent="0.35">
      <c r="A18" s="32" t="str">
        <f t="shared" ref="A18:C18" si="18">A17</f>
        <v xml:space="preserve">2026 HILITE DISC 30 </v>
      </c>
      <c r="B18" s="33">
        <f t="shared" si="18"/>
        <v>46121</v>
      </c>
      <c r="C18" s="33">
        <f t="shared" si="18"/>
        <v>46127</v>
      </c>
      <c r="D18" s="32">
        <v>3321</v>
      </c>
      <c r="E18" s="32">
        <v>337</v>
      </c>
      <c r="F18" s="32">
        <v>4</v>
      </c>
      <c r="G18" s="23">
        <v>2</v>
      </c>
      <c r="H18" s="23">
        <v>81005</v>
      </c>
      <c r="I18" s="32" t="s">
        <v>2689</v>
      </c>
      <c r="J18" s="23">
        <v>68783566</v>
      </c>
      <c r="K18" s="23" t="s">
        <v>6868</v>
      </c>
      <c r="L18" s="22" t="s">
        <v>6885</v>
      </c>
      <c r="M18" s="24">
        <v>149900</v>
      </c>
      <c r="N18" s="20">
        <f t="shared" si="3"/>
        <v>0.3</v>
      </c>
      <c r="O18" s="66">
        <f t="shared" si="1"/>
        <v>104930</v>
      </c>
      <c r="P18" s="67" t="str">
        <f t="shared" si="3"/>
        <v>PERCENTAGE</v>
      </c>
    </row>
    <row r="19" spans="1:16" x14ac:dyDescent="0.35">
      <c r="A19" s="32" t="str">
        <f t="shared" ref="A19:C19" si="19">A18</f>
        <v xml:space="preserve">2026 HILITE DISC 30 </v>
      </c>
      <c r="B19" s="33">
        <f t="shared" si="19"/>
        <v>46121</v>
      </c>
      <c r="C19" s="33">
        <f t="shared" si="19"/>
        <v>46127</v>
      </c>
      <c r="D19" s="32">
        <v>3321</v>
      </c>
      <c r="E19" s="32">
        <v>337</v>
      </c>
      <c r="F19" s="32">
        <v>4</v>
      </c>
      <c r="G19" s="23">
        <v>2</v>
      </c>
      <c r="H19" s="23">
        <v>81005</v>
      </c>
      <c r="I19" s="32" t="s">
        <v>2689</v>
      </c>
      <c r="J19" s="23">
        <v>68783575</v>
      </c>
      <c r="K19" s="23" t="s">
        <v>6868</v>
      </c>
      <c r="L19" s="22" t="s">
        <v>6886</v>
      </c>
      <c r="M19" s="24">
        <v>149900</v>
      </c>
      <c r="N19" s="20">
        <f t="shared" si="3"/>
        <v>0.3</v>
      </c>
      <c r="O19" s="66">
        <f t="shared" si="1"/>
        <v>104930</v>
      </c>
      <c r="P19" s="67" t="str">
        <f t="shared" si="3"/>
        <v>PERCENTAGE</v>
      </c>
    </row>
    <row r="20" spans="1:16" x14ac:dyDescent="0.35">
      <c r="A20" s="32" t="str">
        <f t="shared" ref="A20:C20" si="20">A19</f>
        <v xml:space="preserve">2026 HILITE DISC 30 </v>
      </c>
      <c r="B20" s="33">
        <f t="shared" si="20"/>
        <v>46121</v>
      </c>
      <c r="C20" s="33">
        <f t="shared" si="20"/>
        <v>46127</v>
      </c>
      <c r="D20" s="32">
        <v>3321</v>
      </c>
      <c r="E20" s="32">
        <v>337</v>
      </c>
      <c r="F20" s="32">
        <v>4</v>
      </c>
      <c r="G20" s="23">
        <v>2</v>
      </c>
      <c r="H20" s="23">
        <v>81005</v>
      </c>
      <c r="I20" s="32" t="s">
        <v>2689</v>
      </c>
      <c r="J20" s="23">
        <v>68783584</v>
      </c>
      <c r="K20" s="23" t="s">
        <v>6868</v>
      </c>
      <c r="L20" s="22" t="s">
        <v>6887</v>
      </c>
      <c r="M20" s="24">
        <v>149900</v>
      </c>
      <c r="N20" s="20">
        <f t="shared" ref="N20:P35" si="21">N19</f>
        <v>0.3</v>
      </c>
      <c r="O20" s="66">
        <f t="shared" si="1"/>
        <v>104930</v>
      </c>
      <c r="P20" s="67" t="str">
        <f t="shared" si="21"/>
        <v>PERCENTAGE</v>
      </c>
    </row>
    <row r="21" spans="1:16" x14ac:dyDescent="0.35">
      <c r="A21" s="32" t="str">
        <f t="shared" ref="A21:C21" si="22">A20</f>
        <v xml:space="preserve">2026 HILITE DISC 30 </v>
      </c>
      <c r="B21" s="33">
        <f t="shared" si="22"/>
        <v>46121</v>
      </c>
      <c r="C21" s="33">
        <f t="shared" si="22"/>
        <v>46127</v>
      </c>
      <c r="D21" s="32">
        <v>3321</v>
      </c>
      <c r="E21" s="32">
        <v>337</v>
      </c>
      <c r="F21" s="32">
        <v>4</v>
      </c>
      <c r="G21" s="23">
        <v>2</v>
      </c>
      <c r="H21" s="23">
        <v>81005</v>
      </c>
      <c r="I21" s="32" t="s">
        <v>2689</v>
      </c>
      <c r="J21" s="23">
        <v>68783593</v>
      </c>
      <c r="K21" s="23" t="s">
        <v>6868</v>
      </c>
      <c r="L21" s="22" t="s">
        <v>6888</v>
      </c>
      <c r="M21" s="24">
        <v>149900</v>
      </c>
      <c r="N21" s="20">
        <f t="shared" si="21"/>
        <v>0.3</v>
      </c>
      <c r="O21" s="66">
        <f t="shared" si="1"/>
        <v>104930</v>
      </c>
      <c r="P21" s="67" t="str">
        <f t="shared" si="21"/>
        <v>PERCENTAGE</v>
      </c>
    </row>
    <row r="22" spans="1:16" x14ac:dyDescent="0.35">
      <c r="A22" s="32" t="str">
        <f t="shared" ref="A22:C22" si="23">A21</f>
        <v xml:space="preserve">2026 HILITE DISC 30 </v>
      </c>
      <c r="B22" s="33">
        <f t="shared" si="23"/>
        <v>46121</v>
      </c>
      <c r="C22" s="33">
        <f t="shared" si="23"/>
        <v>46127</v>
      </c>
      <c r="D22" s="32">
        <v>3321</v>
      </c>
      <c r="E22" s="32">
        <v>337</v>
      </c>
      <c r="F22" s="32">
        <v>4</v>
      </c>
      <c r="G22" s="23">
        <v>2</v>
      </c>
      <c r="H22" s="23">
        <v>81005</v>
      </c>
      <c r="I22" s="32" t="s">
        <v>2689</v>
      </c>
      <c r="J22" s="23">
        <v>68783600</v>
      </c>
      <c r="K22" s="23" t="s">
        <v>6868</v>
      </c>
      <c r="L22" s="22" t="s">
        <v>6889</v>
      </c>
      <c r="M22" s="24">
        <v>149900</v>
      </c>
      <c r="N22" s="20">
        <f t="shared" si="21"/>
        <v>0.3</v>
      </c>
      <c r="O22" s="66">
        <f t="shared" si="1"/>
        <v>104930</v>
      </c>
      <c r="P22" s="67" t="str">
        <f t="shared" si="21"/>
        <v>PERCENTAGE</v>
      </c>
    </row>
    <row r="23" spans="1:16" x14ac:dyDescent="0.35">
      <c r="A23" s="32" t="str">
        <f t="shared" ref="A23:C23" si="24">A22</f>
        <v xml:space="preserve">2026 HILITE DISC 30 </v>
      </c>
      <c r="B23" s="33">
        <f t="shared" si="24"/>
        <v>46121</v>
      </c>
      <c r="C23" s="33">
        <f t="shared" si="24"/>
        <v>46127</v>
      </c>
      <c r="D23" s="32">
        <v>3321</v>
      </c>
      <c r="E23" s="32">
        <v>337</v>
      </c>
      <c r="F23" s="32">
        <v>4</v>
      </c>
      <c r="G23" s="23">
        <v>2</v>
      </c>
      <c r="H23" s="23">
        <v>81005</v>
      </c>
      <c r="I23" s="32" t="s">
        <v>2689</v>
      </c>
      <c r="J23" s="23">
        <v>68784289</v>
      </c>
      <c r="K23" s="23" t="s">
        <v>6554</v>
      </c>
      <c r="L23" s="43" t="s">
        <v>6560</v>
      </c>
      <c r="M23" s="24">
        <v>149900</v>
      </c>
      <c r="N23" s="20">
        <f t="shared" si="21"/>
        <v>0.3</v>
      </c>
      <c r="O23" s="66">
        <f t="shared" si="1"/>
        <v>104930</v>
      </c>
      <c r="P23" s="67" t="str">
        <f t="shared" si="21"/>
        <v>PERCENTAGE</v>
      </c>
    </row>
    <row r="24" spans="1:16" x14ac:dyDescent="0.35">
      <c r="A24" s="32" t="str">
        <f t="shared" ref="A24:C24" si="25">A23</f>
        <v xml:space="preserve">2026 HILITE DISC 30 </v>
      </c>
      <c r="B24" s="33">
        <f t="shared" si="25"/>
        <v>46121</v>
      </c>
      <c r="C24" s="33">
        <f t="shared" si="25"/>
        <v>46127</v>
      </c>
      <c r="D24" s="32">
        <v>3321</v>
      </c>
      <c r="E24" s="32">
        <v>337</v>
      </c>
      <c r="F24" s="32">
        <v>4</v>
      </c>
      <c r="G24" s="23">
        <v>2</v>
      </c>
      <c r="H24" s="23">
        <v>81005</v>
      </c>
      <c r="I24" s="32" t="s">
        <v>2689</v>
      </c>
      <c r="J24" s="23">
        <v>68784298</v>
      </c>
      <c r="K24" s="23" t="s">
        <v>6554</v>
      </c>
      <c r="L24" s="43" t="s">
        <v>6559</v>
      </c>
      <c r="M24" s="24">
        <v>149900</v>
      </c>
      <c r="N24" s="20">
        <f t="shared" si="21"/>
        <v>0.3</v>
      </c>
      <c r="O24" s="66">
        <f t="shared" si="1"/>
        <v>104930</v>
      </c>
      <c r="P24" s="67" t="str">
        <f t="shared" si="21"/>
        <v>PERCENTAGE</v>
      </c>
    </row>
    <row r="25" spans="1:16" x14ac:dyDescent="0.35">
      <c r="A25" s="32" t="str">
        <f t="shared" ref="A25:C25" si="26">A24</f>
        <v xml:space="preserve">2026 HILITE DISC 30 </v>
      </c>
      <c r="B25" s="33">
        <f t="shared" si="26"/>
        <v>46121</v>
      </c>
      <c r="C25" s="33">
        <f t="shared" si="26"/>
        <v>46127</v>
      </c>
      <c r="D25" s="32">
        <v>3321</v>
      </c>
      <c r="E25" s="32">
        <v>337</v>
      </c>
      <c r="F25" s="32">
        <v>4</v>
      </c>
      <c r="G25" s="23">
        <v>2</v>
      </c>
      <c r="H25" s="23">
        <v>81005</v>
      </c>
      <c r="I25" s="32" t="s">
        <v>2689</v>
      </c>
      <c r="J25" s="23">
        <v>68784305</v>
      </c>
      <c r="K25" s="23" t="s">
        <v>6554</v>
      </c>
      <c r="L25" s="43" t="s">
        <v>6558</v>
      </c>
      <c r="M25" s="24">
        <v>149900</v>
      </c>
      <c r="N25" s="20">
        <f t="shared" si="21"/>
        <v>0.3</v>
      </c>
      <c r="O25" s="66">
        <f t="shared" si="1"/>
        <v>104930</v>
      </c>
      <c r="P25" s="67" t="str">
        <f t="shared" si="21"/>
        <v>PERCENTAGE</v>
      </c>
    </row>
    <row r="26" spans="1:16" x14ac:dyDescent="0.35">
      <c r="A26" s="32" t="str">
        <f t="shared" ref="A26:C26" si="27">A25</f>
        <v xml:space="preserve">2026 HILITE DISC 30 </v>
      </c>
      <c r="B26" s="33">
        <f t="shared" si="27"/>
        <v>46121</v>
      </c>
      <c r="C26" s="33">
        <f t="shared" si="27"/>
        <v>46127</v>
      </c>
      <c r="D26" s="32">
        <v>3321</v>
      </c>
      <c r="E26" s="32">
        <v>337</v>
      </c>
      <c r="F26" s="32">
        <v>4</v>
      </c>
      <c r="G26" s="23">
        <v>2</v>
      </c>
      <c r="H26" s="23">
        <v>81005</v>
      </c>
      <c r="I26" s="32" t="s">
        <v>2689</v>
      </c>
      <c r="J26" s="23">
        <v>68784314</v>
      </c>
      <c r="K26" s="23" t="s">
        <v>6554</v>
      </c>
      <c r="L26" s="43" t="s">
        <v>6557</v>
      </c>
      <c r="M26" s="24">
        <v>149900</v>
      </c>
      <c r="N26" s="20">
        <f t="shared" si="21"/>
        <v>0.3</v>
      </c>
      <c r="O26" s="66">
        <f t="shared" si="1"/>
        <v>104930</v>
      </c>
      <c r="P26" s="67" t="str">
        <f t="shared" si="21"/>
        <v>PERCENTAGE</v>
      </c>
    </row>
    <row r="27" spans="1:16" x14ac:dyDescent="0.35">
      <c r="A27" s="32" t="str">
        <f t="shared" ref="A27:C27" si="28">A26</f>
        <v xml:space="preserve">2026 HILITE DISC 30 </v>
      </c>
      <c r="B27" s="33">
        <f t="shared" si="28"/>
        <v>46121</v>
      </c>
      <c r="C27" s="33">
        <f t="shared" si="28"/>
        <v>46127</v>
      </c>
      <c r="D27" s="32">
        <v>3321</v>
      </c>
      <c r="E27" s="32">
        <v>337</v>
      </c>
      <c r="F27" s="32">
        <v>4</v>
      </c>
      <c r="G27" s="23">
        <v>2</v>
      </c>
      <c r="H27" s="23">
        <v>81005</v>
      </c>
      <c r="I27" s="32" t="s">
        <v>2689</v>
      </c>
      <c r="J27" s="23">
        <v>68784323</v>
      </c>
      <c r="K27" s="23" t="s">
        <v>6554</v>
      </c>
      <c r="L27" s="43" t="s">
        <v>6556</v>
      </c>
      <c r="M27" s="24">
        <v>149900</v>
      </c>
      <c r="N27" s="20">
        <f t="shared" si="21"/>
        <v>0.3</v>
      </c>
      <c r="O27" s="66">
        <f t="shared" si="1"/>
        <v>104930</v>
      </c>
      <c r="P27" s="67" t="str">
        <f t="shared" si="21"/>
        <v>PERCENTAGE</v>
      </c>
    </row>
    <row r="28" spans="1:16" x14ac:dyDescent="0.35">
      <c r="A28" s="32" t="str">
        <f t="shared" ref="A28:C28" si="29">A27</f>
        <v xml:space="preserve">2026 HILITE DISC 30 </v>
      </c>
      <c r="B28" s="33">
        <f t="shared" si="29"/>
        <v>46121</v>
      </c>
      <c r="C28" s="33">
        <f t="shared" si="29"/>
        <v>46127</v>
      </c>
      <c r="D28" s="32">
        <v>3321</v>
      </c>
      <c r="E28" s="32">
        <v>337</v>
      </c>
      <c r="F28" s="32">
        <v>4</v>
      </c>
      <c r="G28" s="23">
        <v>2</v>
      </c>
      <c r="H28" s="23">
        <v>81005</v>
      </c>
      <c r="I28" s="32" t="s">
        <v>2689</v>
      </c>
      <c r="J28" s="23">
        <v>68784332</v>
      </c>
      <c r="K28" s="23" t="s">
        <v>6554</v>
      </c>
      <c r="L28" s="43" t="s">
        <v>6555</v>
      </c>
      <c r="M28" s="24">
        <v>149900</v>
      </c>
      <c r="N28" s="20">
        <f t="shared" si="21"/>
        <v>0.3</v>
      </c>
      <c r="O28" s="66">
        <f t="shared" si="1"/>
        <v>104930</v>
      </c>
      <c r="P28" s="67" t="str">
        <f t="shared" si="21"/>
        <v>PERCENTAGE</v>
      </c>
    </row>
    <row r="29" spans="1:16" x14ac:dyDescent="0.35">
      <c r="A29" s="32" t="str">
        <f t="shared" ref="A29:C29" si="30">A28</f>
        <v xml:space="preserve">2026 HILITE DISC 30 </v>
      </c>
      <c r="B29" s="33">
        <f t="shared" si="30"/>
        <v>46121</v>
      </c>
      <c r="C29" s="33">
        <f t="shared" si="30"/>
        <v>46127</v>
      </c>
      <c r="D29" s="32">
        <v>3321</v>
      </c>
      <c r="E29" s="32">
        <v>337</v>
      </c>
      <c r="F29" s="32">
        <v>4</v>
      </c>
      <c r="G29" s="23">
        <v>3</v>
      </c>
      <c r="H29" s="23">
        <v>81005</v>
      </c>
      <c r="I29" s="32" t="s">
        <v>2689</v>
      </c>
      <c r="J29" s="23">
        <v>68784341</v>
      </c>
      <c r="K29" s="23" t="s">
        <v>6554</v>
      </c>
      <c r="L29" s="43" t="s">
        <v>6553</v>
      </c>
      <c r="M29" s="24">
        <v>229900</v>
      </c>
      <c r="N29" s="20">
        <f t="shared" si="21"/>
        <v>0.3</v>
      </c>
      <c r="O29" s="66">
        <f t="shared" si="1"/>
        <v>160930</v>
      </c>
      <c r="P29" s="67" t="str">
        <f t="shared" si="21"/>
        <v>PERCENTAGE</v>
      </c>
    </row>
    <row r="30" spans="1:16" x14ac:dyDescent="0.35">
      <c r="A30" s="32" t="str">
        <f t="shared" ref="A30:C30" si="31">A29</f>
        <v xml:space="preserve">2026 HILITE DISC 30 </v>
      </c>
      <c r="B30" s="33">
        <f t="shared" si="31"/>
        <v>46121</v>
      </c>
      <c r="C30" s="33">
        <f t="shared" si="31"/>
        <v>46127</v>
      </c>
      <c r="D30" s="32">
        <v>3321</v>
      </c>
      <c r="E30" s="32">
        <v>337</v>
      </c>
      <c r="F30" s="32">
        <v>4</v>
      </c>
      <c r="G30" s="23">
        <v>3</v>
      </c>
      <c r="H30" s="23">
        <v>81005</v>
      </c>
      <c r="I30" s="32" t="s">
        <v>2689</v>
      </c>
      <c r="J30" s="23">
        <v>68784216</v>
      </c>
      <c r="K30" s="23" t="s">
        <v>6546</v>
      </c>
      <c r="L30" s="43" t="s">
        <v>6552</v>
      </c>
      <c r="M30" s="24">
        <v>229900</v>
      </c>
      <c r="N30" s="20">
        <f t="shared" si="21"/>
        <v>0.3</v>
      </c>
      <c r="O30" s="66">
        <f t="shared" si="1"/>
        <v>160930</v>
      </c>
      <c r="P30" s="67" t="str">
        <f t="shared" si="21"/>
        <v>PERCENTAGE</v>
      </c>
    </row>
    <row r="31" spans="1:16" x14ac:dyDescent="0.35">
      <c r="A31" s="32" t="str">
        <f t="shared" ref="A31:C31" si="32">A30</f>
        <v xml:space="preserve">2026 HILITE DISC 30 </v>
      </c>
      <c r="B31" s="33">
        <f t="shared" si="32"/>
        <v>46121</v>
      </c>
      <c r="C31" s="33">
        <f t="shared" si="32"/>
        <v>46127</v>
      </c>
      <c r="D31" s="32">
        <v>3321</v>
      </c>
      <c r="E31" s="32">
        <v>337</v>
      </c>
      <c r="F31" s="32">
        <v>4</v>
      </c>
      <c r="G31" s="23">
        <v>3</v>
      </c>
      <c r="H31" s="23">
        <v>81005</v>
      </c>
      <c r="I31" s="32" t="s">
        <v>2689</v>
      </c>
      <c r="J31" s="23">
        <v>68784225</v>
      </c>
      <c r="K31" s="23" t="s">
        <v>6546</v>
      </c>
      <c r="L31" s="43" t="s">
        <v>6551</v>
      </c>
      <c r="M31" s="24">
        <v>229900</v>
      </c>
      <c r="N31" s="20">
        <f t="shared" si="21"/>
        <v>0.3</v>
      </c>
      <c r="O31" s="66">
        <f t="shared" si="1"/>
        <v>160930</v>
      </c>
      <c r="P31" s="67" t="str">
        <f t="shared" si="21"/>
        <v>PERCENTAGE</v>
      </c>
    </row>
    <row r="32" spans="1:16" x14ac:dyDescent="0.35">
      <c r="A32" s="32" t="str">
        <f t="shared" ref="A32:C32" si="33">A31</f>
        <v xml:space="preserve">2026 HILITE DISC 30 </v>
      </c>
      <c r="B32" s="33">
        <f t="shared" si="33"/>
        <v>46121</v>
      </c>
      <c r="C32" s="33">
        <f t="shared" si="33"/>
        <v>46127</v>
      </c>
      <c r="D32" s="32">
        <v>3321</v>
      </c>
      <c r="E32" s="32">
        <v>337</v>
      </c>
      <c r="F32" s="32">
        <v>4</v>
      </c>
      <c r="G32" s="23">
        <v>3</v>
      </c>
      <c r="H32" s="23">
        <v>81005</v>
      </c>
      <c r="I32" s="32" t="s">
        <v>2689</v>
      </c>
      <c r="J32" s="23">
        <v>68784234</v>
      </c>
      <c r="K32" s="23" t="s">
        <v>6546</v>
      </c>
      <c r="L32" s="43" t="s">
        <v>6550</v>
      </c>
      <c r="M32" s="24">
        <v>229900</v>
      </c>
      <c r="N32" s="20">
        <f t="shared" si="21"/>
        <v>0.3</v>
      </c>
      <c r="O32" s="66">
        <f t="shared" si="1"/>
        <v>160930</v>
      </c>
      <c r="P32" s="67" t="str">
        <f t="shared" si="21"/>
        <v>PERCENTAGE</v>
      </c>
    </row>
    <row r="33" spans="1:16" x14ac:dyDescent="0.35">
      <c r="A33" s="32" t="str">
        <f t="shared" ref="A33:C33" si="34">A32</f>
        <v xml:space="preserve">2026 HILITE DISC 30 </v>
      </c>
      <c r="B33" s="33">
        <f t="shared" si="34"/>
        <v>46121</v>
      </c>
      <c r="C33" s="33">
        <f t="shared" si="34"/>
        <v>46127</v>
      </c>
      <c r="D33" s="32">
        <v>3321</v>
      </c>
      <c r="E33" s="32">
        <v>337</v>
      </c>
      <c r="F33" s="32">
        <v>4</v>
      </c>
      <c r="G33" s="23">
        <v>3</v>
      </c>
      <c r="H33" s="23">
        <v>81005</v>
      </c>
      <c r="I33" s="32" t="s">
        <v>2689</v>
      </c>
      <c r="J33" s="23">
        <v>68784243</v>
      </c>
      <c r="K33" s="23" t="s">
        <v>6546</v>
      </c>
      <c r="L33" s="43" t="s">
        <v>6549</v>
      </c>
      <c r="M33" s="24">
        <v>229900</v>
      </c>
      <c r="N33" s="20">
        <f t="shared" si="21"/>
        <v>0.3</v>
      </c>
      <c r="O33" s="66">
        <f t="shared" si="1"/>
        <v>160930</v>
      </c>
      <c r="P33" s="67" t="str">
        <f t="shared" si="21"/>
        <v>PERCENTAGE</v>
      </c>
    </row>
    <row r="34" spans="1:16" x14ac:dyDescent="0.35">
      <c r="A34" s="32" t="str">
        <f t="shared" ref="A34:C34" si="35">A33</f>
        <v xml:space="preserve">2026 HILITE DISC 30 </v>
      </c>
      <c r="B34" s="33">
        <f t="shared" si="35"/>
        <v>46121</v>
      </c>
      <c r="C34" s="33">
        <f t="shared" si="35"/>
        <v>46127</v>
      </c>
      <c r="D34" s="32">
        <v>3321</v>
      </c>
      <c r="E34" s="32">
        <v>337</v>
      </c>
      <c r="F34" s="32">
        <v>4</v>
      </c>
      <c r="G34" s="23">
        <v>3</v>
      </c>
      <c r="H34" s="23">
        <v>81005</v>
      </c>
      <c r="I34" s="32" t="s">
        <v>2689</v>
      </c>
      <c r="J34" s="23">
        <v>68784252</v>
      </c>
      <c r="K34" s="23" t="s">
        <v>6546</v>
      </c>
      <c r="L34" s="43" t="s">
        <v>6548</v>
      </c>
      <c r="M34" s="24">
        <v>229900</v>
      </c>
      <c r="N34" s="20">
        <f t="shared" si="21"/>
        <v>0.3</v>
      </c>
      <c r="O34" s="66">
        <f t="shared" si="1"/>
        <v>160930</v>
      </c>
      <c r="P34" s="67" t="str">
        <f t="shared" si="21"/>
        <v>PERCENTAGE</v>
      </c>
    </row>
    <row r="35" spans="1:16" x14ac:dyDescent="0.35">
      <c r="A35" s="32" t="str">
        <f t="shared" ref="A35:C35" si="36">A34</f>
        <v xml:space="preserve">2026 HILITE DISC 30 </v>
      </c>
      <c r="B35" s="33">
        <f t="shared" si="36"/>
        <v>46121</v>
      </c>
      <c r="C35" s="33">
        <f t="shared" si="36"/>
        <v>46127</v>
      </c>
      <c r="D35" s="32">
        <v>3321</v>
      </c>
      <c r="E35" s="32">
        <v>337</v>
      </c>
      <c r="F35" s="32">
        <v>4</v>
      </c>
      <c r="G35" s="23">
        <v>3</v>
      </c>
      <c r="H35" s="23">
        <v>81005</v>
      </c>
      <c r="I35" s="32" t="s">
        <v>2689</v>
      </c>
      <c r="J35" s="23">
        <v>68784261</v>
      </c>
      <c r="K35" s="23" t="s">
        <v>6546</v>
      </c>
      <c r="L35" s="43" t="s">
        <v>6547</v>
      </c>
      <c r="M35" s="24">
        <v>229900</v>
      </c>
      <c r="N35" s="20">
        <f t="shared" si="21"/>
        <v>0.3</v>
      </c>
      <c r="O35" s="66">
        <f t="shared" si="1"/>
        <v>160930</v>
      </c>
      <c r="P35" s="67" t="str">
        <f t="shared" si="21"/>
        <v>PERCENTAGE</v>
      </c>
    </row>
    <row r="36" spans="1:16" x14ac:dyDescent="0.35">
      <c r="A36" s="32" t="str">
        <f t="shared" ref="A36:C36" si="37">A35</f>
        <v xml:space="preserve">2026 HILITE DISC 30 </v>
      </c>
      <c r="B36" s="33">
        <f t="shared" si="37"/>
        <v>46121</v>
      </c>
      <c r="C36" s="33">
        <f t="shared" si="37"/>
        <v>46127</v>
      </c>
      <c r="D36" s="32">
        <v>3321</v>
      </c>
      <c r="E36" s="32">
        <v>337</v>
      </c>
      <c r="F36" s="32">
        <v>4</v>
      </c>
      <c r="G36" s="23">
        <v>3</v>
      </c>
      <c r="H36" s="23">
        <v>81005</v>
      </c>
      <c r="I36" s="32" t="s">
        <v>2689</v>
      </c>
      <c r="J36" s="23">
        <v>68784270</v>
      </c>
      <c r="K36" s="23" t="s">
        <v>6546</v>
      </c>
      <c r="L36" s="43" t="s">
        <v>6545</v>
      </c>
      <c r="M36" s="24">
        <v>229900</v>
      </c>
      <c r="N36" s="20">
        <f t="shared" ref="N36:P43" si="38">N35</f>
        <v>0.3</v>
      </c>
      <c r="O36" s="66">
        <f t="shared" si="1"/>
        <v>160930</v>
      </c>
      <c r="P36" s="67" t="str">
        <f t="shared" si="38"/>
        <v>PERCENTAGE</v>
      </c>
    </row>
    <row r="37" spans="1:16" x14ac:dyDescent="0.35">
      <c r="A37" s="32" t="str">
        <f t="shared" ref="A37:C37" si="39">A36</f>
        <v xml:space="preserve">2026 HILITE DISC 30 </v>
      </c>
      <c r="B37" s="33">
        <f t="shared" si="39"/>
        <v>46121</v>
      </c>
      <c r="C37" s="33">
        <f t="shared" si="39"/>
        <v>46127</v>
      </c>
      <c r="D37" s="32">
        <v>3321</v>
      </c>
      <c r="E37" s="32">
        <v>337</v>
      </c>
      <c r="F37" s="32">
        <v>4</v>
      </c>
      <c r="G37" s="23">
        <v>5</v>
      </c>
      <c r="H37" s="23">
        <v>81005</v>
      </c>
      <c r="I37" s="32" t="s">
        <v>2689</v>
      </c>
      <c r="J37" s="23">
        <v>68784350</v>
      </c>
      <c r="K37" s="23" t="s">
        <v>6562</v>
      </c>
      <c r="L37" s="43" t="s">
        <v>6568</v>
      </c>
      <c r="M37" s="24">
        <v>179900</v>
      </c>
      <c r="N37" s="20">
        <f t="shared" si="38"/>
        <v>0.3</v>
      </c>
      <c r="O37" s="66">
        <f t="shared" si="1"/>
        <v>125930</v>
      </c>
      <c r="P37" s="67" t="str">
        <f t="shared" si="38"/>
        <v>PERCENTAGE</v>
      </c>
    </row>
    <row r="38" spans="1:16" x14ac:dyDescent="0.35">
      <c r="A38" s="32" t="str">
        <f t="shared" ref="A38:C38" si="40">A37</f>
        <v xml:space="preserve">2026 HILITE DISC 30 </v>
      </c>
      <c r="B38" s="33">
        <f t="shared" si="40"/>
        <v>46121</v>
      </c>
      <c r="C38" s="33">
        <f t="shared" si="40"/>
        <v>46127</v>
      </c>
      <c r="D38" s="32">
        <v>3321</v>
      </c>
      <c r="E38" s="32">
        <v>337</v>
      </c>
      <c r="F38" s="32">
        <v>4</v>
      </c>
      <c r="G38" s="23">
        <v>5</v>
      </c>
      <c r="H38" s="23">
        <v>81005</v>
      </c>
      <c r="I38" s="32" t="s">
        <v>2689</v>
      </c>
      <c r="J38" s="23">
        <v>68784369</v>
      </c>
      <c r="K38" s="23" t="s">
        <v>6562</v>
      </c>
      <c r="L38" s="43" t="s">
        <v>6567</v>
      </c>
      <c r="M38" s="24">
        <v>179900</v>
      </c>
      <c r="N38" s="20">
        <f t="shared" si="38"/>
        <v>0.3</v>
      </c>
      <c r="O38" s="66">
        <f t="shared" si="1"/>
        <v>125930</v>
      </c>
      <c r="P38" s="67" t="str">
        <f t="shared" si="38"/>
        <v>PERCENTAGE</v>
      </c>
    </row>
    <row r="39" spans="1:16" x14ac:dyDescent="0.35">
      <c r="A39" s="32" t="str">
        <f t="shared" ref="A39:C39" si="41">A38</f>
        <v xml:space="preserve">2026 HILITE DISC 30 </v>
      </c>
      <c r="B39" s="33">
        <f t="shared" si="41"/>
        <v>46121</v>
      </c>
      <c r="C39" s="33">
        <f t="shared" si="41"/>
        <v>46127</v>
      </c>
      <c r="D39" s="32">
        <v>3321</v>
      </c>
      <c r="E39" s="32">
        <v>337</v>
      </c>
      <c r="F39" s="32">
        <v>4</v>
      </c>
      <c r="G39" s="23">
        <v>5</v>
      </c>
      <c r="H39" s="23">
        <v>81005</v>
      </c>
      <c r="I39" s="32" t="s">
        <v>2689</v>
      </c>
      <c r="J39" s="23">
        <v>68784378</v>
      </c>
      <c r="K39" s="23" t="s">
        <v>6562</v>
      </c>
      <c r="L39" s="43" t="s">
        <v>6566</v>
      </c>
      <c r="M39" s="24">
        <v>179900</v>
      </c>
      <c r="N39" s="20">
        <f t="shared" si="38"/>
        <v>0.3</v>
      </c>
      <c r="O39" s="66">
        <f t="shared" si="1"/>
        <v>125930</v>
      </c>
      <c r="P39" s="67" t="str">
        <f t="shared" si="38"/>
        <v>PERCENTAGE</v>
      </c>
    </row>
    <row r="40" spans="1:16" x14ac:dyDescent="0.35">
      <c r="A40" s="32" t="str">
        <f t="shared" ref="A40:C40" si="42">A39</f>
        <v xml:space="preserve">2026 HILITE DISC 30 </v>
      </c>
      <c r="B40" s="33">
        <f t="shared" si="42"/>
        <v>46121</v>
      </c>
      <c r="C40" s="33">
        <f t="shared" si="42"/>
        <v>46127</v>
      </c>
      <c r="D40" s="32">
        <v>3321</v>
      </c>
      <c r="E40" s="32">
        <v>337</v>
      </c>
      <c r="F40" s="32">
        <v>4</v>
      </c>
      <c r="G40" s="23">
        <v>5</v>
      </c>
      <c r="H40" s="23">
        <v>81005</v>
      </c>
      <c r="I40" s="32" t="s">
        <v>2689</v>
      </c>
      <c r="J40" s="23">
        <v>68784387</v>
      </c>
      <c r="K40" s="23" t="s">
        <v>6562</v>
      </c>
      <c r="L40" s="43" t="s">
        <v>6565</v>
      </c>
      <c r="M40" s="24">
        <v>179900</v>
      </c>
      <c r="N40" s="20">
        <f t="shared" si="38"/>
        <v>0.3</v>
      </c>
      <c r="O40" s="66">
        <f t="shared" si="1"/>
        <v>125930</v>
      </c>
      <c r="P40" s="67" t="str">
        <f t="shared" si="38"/>
        <v>PERCENTAGE</v>
      </c>
    </row>
    <row r="41" spans="1:16" x14ac:dyDescent="0.35">
      <c r="A41" s="32" t="str">
        <f t="shared" ref="A41:C41" si="43">A40</f>
        <v xml:space="preserve">2026 HILITE DISC 30 </v>
      </c>
      <c r="B41" s="33">
        <f t="shared" si="43"/>
        <v>46121</v>
      </c>
      <c r="C41" s="33">
        <f t="shared" si="43"/>
        <v>46127</v>
      </c>
      <c r="D41" s="32">
        <v>3321</v>
      </c>
      <c r="E41" s="32">
        <v>337</v>
      </c>
      <c r="F41" s="32">
        <v>4</v>
      </c>
      <c r="G41" s="23">
        <v>5</v>
      </c>
      <c r="H41" s="23">
        <v>81005</v>
      </c>
      <c r="I41" s="32" t="s">
        <v>2689</v>
      </c>
      <c r="J41" s="23">
        <v>68784396</v>
      </c>
      <c r="K41" s="23" t="s">
        <v>6562</v>
      </c>
      <c r="L41" s="43" t="s">
        <v>6564</v>
      </c>
      <c r="M41" s="24">
        <v>179900</v>
      </c>
      <c r="N41" s="20">
        <f t="shared" si="38"/>
        <v>0.3</v>
      </c>
      <c r="O41" s="66">
        <f t="shared" si="1"/>
        <v>125930</v>
      </c>
      <c r="P41" s="67" t="str">
        <f t="shared" si="38"/>
        <v>PERCENTAGE</v>
      </c>
    </row>
    <row r="42" spans="1:16" x14ac:dyDescent="0.35">
      <c r="A42" s="32" t="str">
        <f t="shared" ref="A42:C42" si="44">A41</f>
        <v xml:space="preserve">2026 HILITE DISC 30 </v>
      </c>
      <c r="B42" s="33">
        <f t="shared" si="44"/>
        <v>46121</v>
      </c>
      <c r="C42" s="33">
        <f t="shared" si="44"/>
        <v>46127</v>
      </c>
      <c r="D42" s="32">
        <v>3321</v>
      </c>
      <c r="E42" s="32">
        <v>337</v>
      </c>
      <c r="F42" s="32">
        <v>4</v>
      </c>
      <c r="G42" s="23">
        <v>5</v>
      </c>
      <c r="H42" s="23">
        <v>81005</v>
      </c>
      <c r="I42" s="32" t="s">
        <v>2689</v>
      </c>
      <c r="J42" s="23">
        <v>68784403</v>
      </c>
      <c r="K42" s="23" t="s">
        <v>6562</v>
      </c>
      <c r="L42" s="43" t="s">
        <v>6563</v>
      </c>
      <c r="M42" s="24">
        <v>179900</v>
      </c>
      <c r="N42" s="20">
        <f t="shared" si="38"/>
        <v>0.3</v>
      </c>
      <c r="O42" s="66">
        <f t="shared" si="1"/>
        <v>125930</v>
      </c>
      <c r="P42" s="67" t="str">
        <f t="shared" si="38"/>
        <v>PERCENTAGE</v>
      </c>
    </row>
    <row r="43" spans="1:16" x14ac:dyDescent="0.35">
      <c r="A43" s="32" t="str">
        <f t="shared" ref="A43:C43" si="45">A42</f>
        <v xml:space="preserve">2026 HILITE DISC 30 </v>
      </c>
      <c r="B43" s="33">
        <f t="shared" si="45"/>
        <v>46121</v>
      </c>
      <c r="C43" s="33">
        <f t="shared" si="45"/>
        <v>46127</v>
      </c>
      <c r="D43" s="32">
        <v>3321</v>
      </c>
      <c r="E43" s="32">
        <v>337</v>
      </c>
      <c r="F43" s="32">
        <v>4</v>
      </c>
      <c r="G43" s="23">
        <v>5</v>
      </c>
      <c r="H43" s="23">
        <v>81005</v>
      </c>
      <c r="I43" s="32" t="s">
        <v>2689</v>
      </c>
      <c r="J43" s="23">
        <v>68784412</v>
      </c>
      <c r="K43" s="23" t="s">
        <v>6562</v>
      </c>
      <c r="L43" s="43" t="s">
        <v>6561</v>
      </c>
      <c r="M43" s="24">
        <v>99900</v>
      </c>
      <c r="N43" s="20">
        <f t="shared" si="38"/>
        <v>0.3</v>
      </c>
      <c r="O43" s="66">
        <f t="shared" si="1"/>
        <v>69930</v>
      </c>
      <c r="P43" s="67" t="str">
        <f t="shared" si="38"/>
        <v>PERCENTAGE</v>
      </c>
    </row>
  </sheetData>
  <autoFilter ref="A1:P1" xr:uid="{A98DA6A5-931F-4C4C-A73C-7E8B7CE9A86D}"/>
  <conditionalFormatting sqref="J1">
    <cfRule type="duplicateValues" dxfId="56" priority="7"/>
    <cfRule type="duplicateValues" dxfId="55" priority="8"/>
    <cfRule type="duplicateValues" dxfId="54" priority="9"/>
    <cfRule type="duplicateValues" dxfId="53" priority="10"/>
  </conditionalFormatting>
  <conditionalFormatting sqref="J2:J8">
    <cfRule type="duplicateValues" dxfId="52" priority="6"/>
  </conditionalFormatting>
  <conditionalFormatting sqref="J9:J15">
    <cfRule type="duplicateValues" dxfId="51" priority="5"/>
  </conditionalFormatting>
  <conditionalFormatting sqref="J16:J22">
    <cfRule type="duplicateValues" dxfId="50" priority="4"/>
  </conditionalFormatting>
  <conditionalFormatting sqref="J23:J29">
    <cfRule type="duplicateValues" dxfId="49" priority="3"/>
  </conditionalFormatting>
  <conditionalFormatting sqref="J30:J36">
    <cfRule type="duplicateValues" dxfId="48" priority="2"/>
  </conditionalFormatting>
  <conditionalFormatting sqref="J37:J43">
    <cfRule type="duplicateValues" dxfId="47" priority="1"/>
  </conditionalFormatting>
  <pageMargins left="0.7" right="0.7" top="0.75" bottom="0.75" header="0.3" footer="0.3"/>
  <pageSetup paperSize="9" orientation="portrait" horizontalDpi="0" verticalDpi="0"/>
  <ignoredErrors>
    <ignoredError sqref="O3:O43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A4CD-F5E7-486C-858D-07BBC628CFA1}">
  <dimension ref="A1:P41"/>
  <sheetViews>
    <sheetView zoomScale="75" zoomScaleNormal="71" workbookViewId="0">
      <pane ySplit="1" topLeftCell="A2" activePane="bottomLeft" state="frozen"/>
      <selection activeCell="L16" sqref="L16"/>
      <selection pane="bottomLeft" activeCell="K19" sqref="K19"/>
    </sheetView>
  </sheetViews>
  <sheetFormatPr defaultColWidth="8.81640625" defaultRowHeight="14.5" x14ac:dyDescent="0.35"/>
  <cols>
    <col min="1" max="1" width="28.4531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3.81640625" style="17" customWidth="1"/>
    <col min="13" max="13" width="16.54296875" style="37" customWidth="1"/>
    <col min="14" max="14" width="12" style="26" customWidth="1"/>
    <col min="15" max="15" width="18.6328125" style="37" customWidth="1"/>
    <col min="16" max="16" width="17.17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6995</v>
      </c>
      <c r="B2" s="33">
        <f>'2025 JUNSEPT B1G1 - 3321'!B6</f>
        <v>46121</v>
      </c>
      <c r="C2" s="33">
        <f>'2025 JUNSEPT B1G1 - 3321'!C6</f>
        <v>46127</v>
      </c>
      <c r="D2" s="32">
        <v>3321</v>
      </c>
      <c r="E2" s="32">
        <v>337</v>
      </c>
      <c r="F2" s="32">
        <v>4</v>
      </c>
      <c r="G2" s="23">
        <v>1</v>
      </c>
      <c r="H2" s="23">
        <v>81588</v>
      </c>
      <c r="I2" s="32" t="s">
        <v>2689</v>
      </c>
      <c r="J2" s="22">
        <v>63151873</v>
      </c>
      <c r="K2" s="22" t="s">
        <v>6609</v>
      </c>
      <c r="L2" s="22" t="s">
        <v>6614</v>
      </c>
      <c r="M2" s="40">
        <v>99900</v>
      </c>
      <c r="N2" s="65">
        <v>0.3</v>
      </c>
      <c r="O2" s="34">
        <f t="shared" ref="O2:O41" si="0">M2-((30*M2)/100)</f>
        <v>69930</v>
      </c>
      <c r="P2" s="32" t="s">
        <v>16</v>
      </c>
    </row>
    <row r="3" spans="1:16" x14ac:dyDescent="0.35">
      <c r="A3" s="32" t="str">
        <f t="shared" ref="A3:C3" si="1">A2</f>
        <v xml:space="preserve">2025 DEC DISC 30 </v>
      </c>
      <c r="B3" s="33">
        <f t="shared" si="1"/>
        <v>46121</v>
      </c>
      <c r="C3" s="33">
        <f t="shared" si="1"/>
        <v>46127</v>
      </c>
      <c r="D3" s="32">
        <v>3321</v>
      </c>
      <c r="E3" s="32">
        <v>337</v>
      </c>
      <c r="F3" s="32">
        <v>4</v>
      </c>
      <c r="G3" s="23">
        <v>1</v>
      </c>
      <c r="H3" s="23">
        <v>81588</v>
      </c>
      <c r="I3" s="32" t="s">
        <v>2689</v>
      </c>
      <c r="J3" s="22">
        <v>63151882</v>
      </c>
      <c r="K3" s="22" t="s">
        <v>6609</v>
      </c>
      <c r="L3" s="22" t="s">
        <v>6613</v>
      </c>
      <c r="M3" s="40">
        <v>99900</v>
      </c>
      <c r="N3" s="65">
        <v>0.3</v>
      </c>
      <c r="O3" s="34">
        <f t="shared" si="0"/>
        <v>69930</v>
      </c>
      <c r="P3" s="32" t="s">
        <v>16</v>
      </c>
    </row>
    <row r="4" spans="1:16" x14ac:dyDescent="0.35">
      <c r="A4" s="32" t="str">
        <f t="shared" ref="A4:C4" si="2">A3</f>
        <v xml:space="preserve">2025 DEC DISC 30 </v>
      </c>
      <c r="B4" s="33">
        <f t="shared" si="2"/>
        <v>46121</v>
      </c>
      <c r="C4" s="33">
        <f t="shared" si="2"/>
        <v>46127</v>
      </c>
      <c r="D4" s="32">
        <v>3321</v>
      </c>
      <c r="E4" s="32">
        <v>337</v>
      </c>
      <c r="F4" s="32">
        <v>4</v>
      </c>
      <c r="G4" s="23">
        <v>1</v>
      </c>
      <c r="H4" s="23">
        <v>81588</v>
      </c>
      <c r="I4" s="32" t="s">
        <v>2689</v>
      </c>
      <c r="J4" s="22">
        <v>63151891</v>
      </c>
      <c r="K4" s="22" t="s">
        <v>6609</v>
      </c>
      <c r="L4" s="22" t="s">
        <v>6612</v>
      </c>
      <c r="M4" s="40">
        <v>99900</v>
      </c>
      <c r="N4" s="65">
        <v>0.3</v>
      </c>
      <c r="O4" s="34">
        <f t="shared" si="0"/>
        <v>69930</v>
      </c>
      <c r="P4" s="32" t="s">
        <v>16</v>
      </c>
    </row>
    <row r="5" spans="1:16" x14ac:dyDescent="0.35">
      <c r="A5" s="32" t="str">
        <f t="shared" ref="A5:C5" si="3">A4</f>
        <v xml:space="preserve">2025 DEC DISC 30 </v>
      </c>
      <c r="B5" s="33">
        <f t="shared" si="3"/>
        <v>46121</v>
      </c>
      <c r="C5" s="33">
        <f t="shared" si="3"/>
        <v>46127</v>
      </c>
      <c r="D5" s="32">
        <v>3321</v>
      </c>
      <c r="E5" s="32">
        <v>337</v>
      </c>
      <c r="F5" s="32">
        <v>4</v>
      </c>
      <c r="G5" s="23">
        <v>1</v>
      </c>
      <c r="H5" s="23">
        <v>81588</v>
      </c>
      <c r="I5" s="32" t="s">
        <v>2689</v>
      </c>
      <c r="J5" s="22">
        <v>63151908</v>
      </c>
      <c r="K5" s="22" t="s">
        <v>6609</v>
      </c>
      <c r="L5" s="22" t="s">
        <v>6611</v>
      </c>
      <c r="M5" s="40">
        <v>99900</v>
      </c>
      <c r="N5" s="65">
        <v>0.3</v>
      </c>
      <c r="O5" s="34">
        <f t="shared" si="0"/>
        <v>69930</v>
      </c>
      <c r="P5" s="32" t="s">
        <v>16</v>
      </c>
    </row>
    <row r="6" spans="1:16" x14ac:dyDescent="0.35">
      <c r="A6" s="32" t="str">
        <f t="shared" ref="A6:C6" si="4">A5</f>
        <v xml:space="preserve">2025 DEC DISC 30 </v>
      </c>
      <c r="B6" s="33">
        <f t="shared" si="4"/>
        <v>46121</v>
      </c>
      <c r="C6" s="33">
        <f t="shared" si="4"/>
        <v>46127</v>
      </c>
      <c r="D6" s="32">
        <v>3321</v>
      </c>
      <c r="E6" s="32">
        <v>337</v>
      </c>
      <c r="F6" s="32">
        <v>4</v>
      </c>
      <c r="G6" s="23">
        <v>1</v>
      </c>
      <c r="H6" s="23">
        <v>81588</v>
      </c>
      <c r="I6" s="32" t="s">
        <v>2689</v>
      </c>
      <c r="J6" s="22">
        <v>63151917</v>
      </c>
      <c r="K6" s="22" t="s">
        <v>6609</v>
      </c>
      <c r="L6" s="22" t="s">
        <v>6610</v>
      </c>
      <c r="M6" s="40">
        <v>99900</v>
      </c>
      <c r="N6" s="65">
        <v>0.3</v>
      </c>
      <c r="O6" s="34">
        <f t="shared" si="0"/>
        <v>69930</v>
      </c>
      <c r="P6" s="32" t="s">
        <v>16</v>
      </c>
    </row>
    <row r="7" spans="1:16" x14ac:dyDescent="0.35">
      <c r="A7" s="32" t="str">
        <f t="shared" ref="A7:C7" si="5">A6</f>
        <v xml:space="preserve">2025 DEC DISC 30 </v>
      </c>
      <c r="B7" s="33">
        <f t="shared" si="5"/>
        <v>46121</v>
      </c>
      <c r="C7" s="33">
        <f t="shared" si="5"/>
        <v>46127</v>
      </c>
      <c r="D7" s="32">
        <v>3321</v>
      </c>
      <c r="E7" s="32">
        <v>337</v>
      </c>
      <c r="F7" s="32">
        <v>4</v>
      </c>
      <c r="G7" s="23">
        <v>1</v>
      </c>
      <c r="H7" s="23">
        <v>81588</v>
      </c>
      <c r="I7" s="32" t="s">
        <v>2689</v>
      </c>
      <c r="J7" s="22">
        <v>63151926</v>
      </c>
      <c r="K7" s="22" t="s">
        <v>6609</v>
      </c>
      <c r="L7" s="22" t="s">
        <v>6608</v>
      </c>
      <c r="M7" s="40">
        <v>99900</v>
      </c>
      <c r="N7" s="65">
        <v>0.3</v>
      </c>
      <c r="O7" s="34">
        <f t="shared" si="0"/>
        <v>69930</v>
      </c>
      <c r="P7" s="32" t="s">
        <v>16</v>
      </c>
    </row>
    <row r="8" spans="1:16" x14ac:dyDescent="0.35">
      <c r="A8" s="32" t="str">
        <f t="shared" ref="A8:C8" si="6">A7</f>
        <v xml:space="preserve">2025 DEC DISC 30 </v>
      </c>
      <c r="B8" s="33">
        <f t="shared" si="6"/>
        <v>46121</v>
      </c>
      <c r="C8" s="33">
        <f t="shared" si="6"/>
        <v>46127</v>
      </c>
      <c r="D8" s="32">
        <v>3321</v>
      </c>
      <c r="E8" s="32">
        <v>337</v>
      </c>
      <c r="F8" s="32">
        <v>4</v>
      </c>
      <c r="G8" s="23">
        <v>1</v>
      </c>
      <c r="H8" s="23">
        <v>81588</v>
      </c>
      <c r="I8" s="32" t="s">
        <v>2689</v>
      </c>
      <c r="J8" s="22">
        <v>63152078</v>
      </c>
      <c r="K8" s="22" t="s">
        <v>6642</v>
      </c>
      <c r="L8" s="22" t="s">
        <v>6645</v>
      </c>
      <c r="M8" s="40">
        <v>99900</v>
      </c>
      <c r="N8" s="65">
        <v>0.3</v>
      </c>
      <c r="O8" s="34">
        <f t="shared" si="0"/>
        <v>69930</v>
      </c>
      <c r="P8" s="32" t="s">
        <v>16</v>
      </c>
    </row>
    <row r="9" spans="1:16" x14ac:dyDescent="0.35">
      <c r="A9" s="32" t="str">
        <f t="shared" ref="A9:C9" si="7">A8</f>
        <v xml:space="preserve">2025 DEC DISC 30 </v>
      </c>
      <c r="B9" s="33">
        <f t="shared" si="7"/>
        <v>46121</v>
      </c>
      <c r="C9" s="33">
        <f t="shared" si="7"/>
        <v>46127</v>
      </c>
      <c r="D9" s="32">
        <v>3321</v>
      </c>
      <c r="E9" s="32">
        <v>337</v>
      </c>
      <c r="F9" s="32">
        <v>4</v>
      </c>
      <c r="G9" s="23">
        <v>1</v>
      </c>
      <c r="H9" s="23">
        <v>81588</v>
      </c>
      <c r="I9" s="32" t="s">
        <v>2689</v>
      </c>
      <c r="J9" s="22">
        <v>63152087</v>
      </c>
      <c r="K9" s="22" t="s">
        <v>6642</v>
      </c>
      <c r="L9" s="22" t="s">
        <v>6644</v>
      </c>
      <c r="M9" s="40">
        <v>99900</v>
      </c>
      <c r="N9" s="65">
        <v>0.3</v>
      </c>
      <c r="O9" s="34">
        <f t="shared" si="0"/>
        <v>69930</v>
      </c>
      <c r="P9" s="32" t="s">
        <v>16</v>
      </c>
    </row>
    <row r="10" spans="1:16" x14ac:dyDescent="0.35">
      <c r="A10" s="32" t="str">
        <f t="shared" ref="A10:C10" si="8">A9</f>
        <v xml:space="preserve">2025 DEC DISC 30 </v>
      </c>
      <c r="B10" s="33">
        <f t="shared" si="8"/>
        <v>46121</v>
      </c>
      <c r="C10" s="33">
        <f t="shared" si="8"/>
        <v>46127</v>
      </c>
      <c r="D10" s="32">
        <v>3321</v>
      </c>
      <c r="E10" s="32">
        <v>337</v>
      </c>
      <c r="F10" s="32">
        <v>4</v>
      </c>
      <c r="G10" s="23">
        <v>1</v>
      </c>
      <c r="H10" s="23">
        <v>81588</v>
      </c>
      <c r="I10" s="32" t="s">
        <v>2689</v>
      </c>
      <c r="J10" s="22">
        <v>63152096</v>
      </c>
      <c r="K10" s="22" t="s">
        <v>6642</v>
      </c>
      <c r="L10" s="22" t="s">
        <v>6643</v>
      </c>
      <c r="M10" s="40">
        <v>99900</v>
      </c>
      <c r="N10" s="65">
        <v>0.3</v>
      </c>
      <c r="O10" s="34">
        <f t="shared" si="0"/>
        <v>69930</v>
      </c>
      <c r="P10" s="32" t="s">
        <v>16</v>
      </c>
    </row>
    <row r="11" spans="1:16" x14ac:dyDescent="0.35">
      <c r="A11" s="32" t="str">
        <f t="shared" ref="A11:C11" si="9">A10</f>
        <v xml:space="preserve">2025 DEC DISC 30 </v>
      </c>
      <c r="B11" s="33">
        <f t="shared" si="9"/>
        <v>46121</v>
      </c>
      <c r="C11" s="33">
        <f t="shared" si="9"/>
        <v>46127</v>
      </c>
      <c r="D11" s="32">
        <v>3321</v>
      </c>
      <c r="E11" s="32">
        <v>337</v>
      </c>
      <c r="F11" s="32">
        <v>4</v>
      </c>
      <c r="G11" s="23">
        <v>1</v>
      </c>
      <c r="H11" s="23">
        <v>81588</v>
      </c>
      <c r="I11" s="32" t="s">
        <v>2689</v>
      </c>
      <c r="J11" s="22">
        <v>63152103</v>
      </c>
      <c r="K11" s="22" t="s">
        <v>6642</v>
      </c>
      <c r="L11" s="22" t="s">
        <v>6641</v>
      </c>
      <c r="M11" s="40">
        <v>99900</v>
      </c>
      <c r="N11" s="65">
        <v>0.3</v>
      </c>
      <c r="O11" s="34">
        <f t="shared" si="0"/>
        <v>69930</v>
      </c>
      <c r="P11" s="32" t="s">
        <v>16</v>
      </c>
    </row>
    <row r="12" spans="1:16" x14ac:dyDescent="0.35">
      <c r="A12" s="32" t="str">
        <f t="shared" ref="A12:C12" si="10">A11</f>
        <v xml:space="preserve">2025 DEC DISC 30 </v>
      </c>
      <c r="B12" s="33">
        <f t="shared" si="10"/>
        <v>46121</v>
      </c>
      <c r="C12" s="33">
        <f t="shared" si="10"/>
        <v>46127</v>
      </c>
      <c r="D12" s="32">
        <v>3321</v>
      </c>
      <c r="E12" s="32">
        <v>337</v>
      </c>
      <c r="F12" s="32">
        <v>4</v>
      </c>
      <c r="G12" s="23">
        <v>1</v>
      </c>
      <c r="H12" s="23">
        <v>81588</v>
      </c>
      <c r="I12" s="32" t="s">
        <v>2689</v>
      </c>
      <c r="J12" s="22">
        <v>63152158</v>
      </c>
      <c r="K12" s="22" t="s">
        <v>6647</v>
      </c>
      <c r="L12" s="22" t="s">
        <v>6652</v>
      </c>
      <c r="M12" s="40">
        <v>99900</v>
      </c>
      <c r="N12" s="65">
        <v>0.3</v>
      </c>
      <c r="O12" s="34">
        <f t="shared" si="0"/>
        <v>69930</v>
      </c>
      <c r="P12" s="32" t="s">
        <v>16</v>
      </c>
    </row>
    <row r="13" spans="1:16" x14ac:dyDescent="0.35">
      <c r="A13" s="32" t="str">
        <f t="shared" ref="A13:C13" si="11">A12</f>
        <v xml:space="preserve">2025 DEC DISC 30 </v>
      </c>
      <c r="B13" s="33">
        <f t="shared" si="11"/>
        <v>46121</v>
      </c>
      <c r="C13" s="33">
        <f t="shared" si="11"/>
        <v>46127</v>
      </c>
      <c r="D13" s="32">
        <v>3321</v>
      </c>
      <c r="E13" s="32">
        <v>337</v>
      </c>
      <c r="F13" s="32">
        <v>4</v>
      </c>
      <c r="G13" s="23">
        <v>1</v>
      </c>
      <c r="H13" s="23">
        <v>81588</v>
      </c>
      <c r="I13" s="32" t="s">
        <v>2689</v>
      </c>
      <c r="J13" s="22">
        <v>63152167</v>
      </c>
      <c r="K13" s="22" t="s">
        <v>6647</v>
      </c>
      <c r="L13" s="22" t="s">
        <v>6651</v>
      </c>
      <c r="M13" s="40">
        <v>99900</v>
      </c>
      <c r="N13" s="65">
        <v>0.3</v>
      </c>
      <c r="O13" s="34">
        <f t="shared" si="0"/>
        <v>69930</v>
      </c>
      <c r="P13" s="32" t="s">
        <v>16</v>
      </c>
    </row>
    <row r="14" spans="1:16" x14ac:dyDescent="0.35">
      <c r="A14" s="32" t="str">
        <f t="shared" ref="A14:C14" si="12">A13</f>
        <v xml:space="preserve">2025 DEC DISC 30 </v>
      </c>
      <c r="B14" s="33">
        <f t="shared" si="12"/>
        <v>46121</v>
      </c>
      <c r="C14" s="33">
        <f t="shared" si="12"/>
        <v>46127</v>
      </c>
      <c r="D14" s="32">
        <v>3321</v>
      </c>
      <c r="E14" s="32">
        <v>337</v>
      </c>
      <c r="F14" s="32">
        <v>4</v>
      </c>
      <c r="G14" s="23">
        <v>1</v>
      </c>
      <c r="H14" s="23">
        <v>81588</v>
      </c>
      <c r="I14" s="32" t="s">
        <v>2689</v>
      </c>
      <c r="J14" s="22">
        <v>63152176</v>
      </c>
      <c r="K14" s="22" t="s">
        <v>6647</v>
      </c>
      <c r="L14" s="22" t="s">
        <v>6650</v>
      </c>
      <c r="M14" s="40">
        <v>99900</v>
      </c>
      <c r="N14" s="65">
        <v>0.3</v>
      </c>
      <c r="O14" s="34">
        <f t="shared" si="0"/>
        <v>69930</v>
      </c>
      <c r="P14" s="32" t="s">
        <v>16</v>
      </c>
    </row>
    <row r="15" spans="1:16" x14ac:dyDescent="0.35">
      <c r="A15" s="32" t="str">
        <f t="shared" ref="A15:C15" si="13">A14</f>
        <v xml:space="preserve">2025 DEC DISC 30 </v>
      </c>
      <c r="B15" s="33">
        <f t="shared" si="13"/>
        <v>46121</v>
      </c>
      <c r="C15" s="33">
        <f t="shared" si="13"/>
        <v>46127</v>
      </c>
      <c r="D15" s="32">
        <v>3321</v>
      </c>
      <c r="E15" s="32">
        <v>337</v>
      </c>
      <c r="F15" s="32">
        <v>4</v>
      </c>
      <c r="G15" s="23">
        <v>1</v>
      </c>
      <c r="H15" s="23">
        <v>81588</v>
      </c>
      <c r="I15" s="32" t="s">
        <v>2689</v>
      </c>
      <c r="J15" s="22">
        <v>63152185</v>
      </c>
      <c r="K15" s="22" t="s">
        <v>6647</v>
      </c>
      <c r="L15" s="22" t="s">
        <v>6649</v>
      </c>
      <c r="M15" s="40">
        <v>99900</v>
      </c>
      <c r="N15" s="65">
        <v>0.3</v>
      </c>
      <c r="O15" s="34">
        <f t="shared" si="0"/>
        <v>69930</v>
      </c>
      <c r="P15" s="32" t="s">
        <v>16</v>
      </c>
    </row>
    <row r="16" spans="1:16" x14ac:dyDescent="0.35">
      <c r="A16" s="32" t="str">
        <f t="shared" ref="A16:C16" si="14">A15</f>
        <v xml:space="preserve">2025 DEC DISC 30 </v>
      </c>
      <c r="B16" s="33">
        <f t="shared" si="14"/>
        <v>46121</v>
      </c>
      <c r="C16" s="33">
        <f t="shared" si="14"/>
        <v>46127</v>
      </c>
      <c r="D16" s="32">
        <v>3321</v>
      </c>
      <c r="E16" s="32">
        <v>337</v>
      </c>
      <c r="F16" s="32">
        <v>4</v>
      </c>
      <c r="G16" s="23">
        <v>1</v>
      </c>
      <c r="H16" s="23">
        <v>81588</v>
      </c>
      <c r="I16" s="32" t="s">
        <v>2689</v>
      </c>
      <c r="J16" s="22">
        <v>63152194</v>
      </c>
      <c r="K16" s="22" t="s">
        <v>6647</v>
      </c>
      <c r="L16" s="22" t="s">
        <v>6648</v>
      </c>
      <c r="M16" s="40">
        <v>99900</v>
      </c>
      <c r="N16" s="65">
        <v>0.3</v>
      </c>
      <c r="O16" s="34">
        <f t="shared" si="0"/>
        <v>69930</v>
      </c>
      <c r="P16" s="32" t="s">
        <v>16</v>
      </c>
    </row>
    <row r="17" spans="1:16" x14ac:dyDescent="0.35">
      <c r="A17" s="32" t="str">
        <f t="shared" ref="A17:C17" si="15">A16</f>
        <v xml:space="preserve">2025 DEC DISC 30 </v>
      </c>
      <c r="B17" s="33">
        <f t="shared" si="15"/>
        <v>46121</v>
      </c>
      <c r="C17" s="33">
        <f t="shared" si="15"/>
        <v>46127</v>
      </c>
      <c r="D17" s="32">
        <v>3321</v>
      </c>
      <c r="E17" s="32">
        <v>337</v>
      </c>
      <c r="F17" s="32">
        <v>4</v>
      </c>
      <c r="G17" s="23">
        <v>1</v>
      </c>
      <c r="H17" s="23">
        <v>81588</v>
      </c>
      <c r="I17" s="32" t="s">
        <v>2689</v>
      </c>
      <c r="J17" s="22">
        <v>63152201</v>
      </c>
      <c r="K17" s="22" t="s">
        <v>6647</v>
      </c>
      <c r="L17" s="22" t="s">
        <v>6646</v>
      </c>
      <c r="M17" s="40">
        <v>99900</v>
      </c>
      <c r="N17" s="65">
        <v>0.3</v>
      </c>
      <c r="O17" s="34">
        <f t="shared" si="0"/>
        <v>69930</v>
      </c>
      <c r="P17" s="32" t="s">
        <v>16</v>
      </c>
    </row>
    <row r="18" spans="1:16" x14ac:dyDescent="0.35">
      <c r="A18" s="32" t="str">
        <f t="shared" ref="A18:C18" si="16">A17</f>
        <v xml:space="preserve">2025 DEC DISC 30 </v>
      </c>
      <c r="B18" s="33">
        <f t="shared" si="16"/>
        <v>46121</v>
      </c>
      <c r="C18" s="33">
        <f t="shared" si="16"/>
        <v>46127</v>
      </c>
      <c r="D18" s="32">
        <v>3321</v>
      </c>
      <c r="E18" s="32">
        <v>337</v>
      </c>
      <c r="F18" s="32">
        <v>4</v>
      </c>
      <c r="G18" s="23">
        <v>4</v>
      </c>
      <c r="H18" s="23">
        <v>81588</v>
      </c>
      <c r="I18" s="32" t="s">
        <v>2689</v>
      </c>
      <c r="J18" s="22">
        <v>63151971</v>
      </c>
      <c r="K18" s="22" t="s">
        <v>6628</v>
      </c>
      <c r="L18" s="22" t="s">
        <v>6633</v>
      </c>
      <c r="M18" s="40">
        <v>149900</v>
      </c>
      <c r="N18" s="65">
        <v>0.3</v>
      </c>
      <c r="O18" s="34">
        <f t="shared" si="0"/>
        <v>104930</v>
      </c>
      <c r="P18" s="32" t="s">
        <v>16</v>
      </c>
    </row>
    <row r="19" spans="1:16" x14ac:dyDescent="0.35">
      <c r="A19" s="32" t="str">
        <f t="shared" ref="A19:C19" si="17">A18</f>
        <v xml:space="preserve">2025 DEC DISC 30 </v>
      </c>
      <c r="B19" s="33">
        <f t="shared" si="17"/>
        <v>46121</v>
      </c>
      <c r="C19" s="33">
        <f t="shared" si="17"/>
        <v>46127</v>
      </c>
      <c r="D19" s="32">
        <v>3321</v>
      </c>
      <c r="E19" s="32">
        <v>337</v>
      </c>
      <c r="F19" s="32">
        <v>4</v>
      </c>
      <c r="G19" s="23">
        <v>4</v>
      </c>
      <c r="H19" s="23">
        <v>81588</v>
      </c>
      <c r="I19" s="32" t="s">
        <v>2689</v>
      </c>
      <c r="J19" s="22">
        <v>63151980</v>
      </c>
      <c r="K19" s="22" t="s">
        <v>6628</v>
      </c>
      <c r="L19" s="22" t="s">
        <v>6632</v>
      </c>
      <c r="M19" s="40">
        <v>149900</v>
      </c>
      <c r="N19" s="65">
        <v>0.3</v>
      </c>
      <c r="O19" s="34">
        <f t="shared" si="0"/>
        <v>104930</v>
      </c>
      <c r="P19" s="32" t="s">
        <v>16</v>
      </c>
    </row>
    <row r="20" spans="1:16" x14ac:dyDescent="0.35">
      <c r="A20" s="32" t="str">
        <f t="shared" ref="A20:C20" si="18">A19</f>
        <v xml:space="preserve">2025 DEC DISC 30 </v>
      </c>
      <c r="B20" s="33">
        <f t="shared" si="18"/>
        <v>46121</v>
      </c>
      <c r="C20" s="33">
        <f t="shared" si="18"/>
        <v>46127</v>
      </c>
      <c r="D20" s="32">
        <v>3321</v>
      </c>
      <c r="E20" s="32">
        <v>337</v>
      </c>
      <c r="F20" s="32">
        <v>4</v>
      </c>
      <c r="G20" s="23">
        <v>4</v>
      </c>
      <c r="H20" s="23">
        <v>81588</v>
      </c>
      <c r="I20" s="32" t="s">
        <v>2689</v>
      </c>
      <c r="J20" s="22">
        <v>63151999</v>
      </c>
      <c r="K20" s="22" t="s">
        <v>6628</v>
      </c>
      <c r="L20" s="22" t="s">
        <v>6631</v>
      </c>
      <c r="M20" s="40">
        <v>149900</v>
      </c>
      <c r="N20" s="65">
        <v>0.3</v>
      </c>
      <c r="O20" s="34">
        <f t="shared" si="0"/>
        <v>104930</v>
      </c>
      <c r="P20" s="32" t="s">
        <v>16</v>
      </c>
    </row>
    <row r="21" spans="1:16" x14ac:dyDescent="0.35">
      <c r="A21" s="32" t="str">
        <f t="shared" ref="A21:C21" si="19">A20</f>
        <v xml:space="preserve">2025 DEC DISC 30 </v>
      </c>
      <c r="B21" s="33">
        <f t="shared" si="19"/>
        <v>46121</v>
      </c>
      <c r="C21" s="33">
        <f t="shared" si="19"/>
        <v>46127</v>
      </c>
      <c r="D21" s="32">
        <v>3321</v>
      </c>
      <c r="E21" s="32">
        <v>337</v>
      </c>
      <c r="F21" s="32">
        <v>4</v>
      </c>
      <c r="G21" s="23">
        <v>4</v>
      </c>
      <c r="H21" s="23">
        <v>81588</v>
      </c>
      <c r="I21" s="32" t="s">
        <v>2689</v>
      </c>
      <c r="J21" s="22">
        <v>63152005</v>
      </c>
      <c r="K21" s="22" t="s">
        <v>6628</v>
      </c>
      <c r="L21" s="22" t="s">
        <v>6630</v>
      </c>
      <c r="M21" s="40">
        <v>149900</v>
      </c>
      <c r="N21" s="65">
        <v>0.3</v>
      </c>
      <c r="O21" s="34">
        <f t="shared" si="0"/>
        <v>104930</v>
      </c>
      <c r="P21" s="32" t="s">
        <v>16</v>
      </c>
    </row>
    <row r="22" spans="1:16" x14ac:dyDescent="0.35">
      <c r="A22" s="32" t="str">
        <f t="shared" ref="A22:C22" si="20">A21</f>
        <v xml:space="preserve">2025 DEC DISC 30 </v>
      </c>
      <c r="B22" s="33">
        <f t="shared" si="20"/>
        <v>46121</v>
      </c>
      <c r="C22" s="33">
        <f t="shared" si="20"/>
        <v>46127</v>
      </c>
      <c r="D22" s="32">
        <v>3321</v>
      </c>
      <c r="E22" s="32">
        <v>337</v>
      </c>
      <c r="F22" s="32">
        <v>4</v>
      </c>
      <c r="G22" s="23">
        <v>4</v>
      </c>
      <c r="H22" s="23">
        <v>81588</v>
      </c>
      <c r="I22" s="32" t="s">
        <v>2689</v>
      </c>
      <c r="J22" s="22">
        <v>63152014</v>
      </c>
      <c r="K22" s="22" t="s">
        <v>6628</v>
      </c>
      <c r="L22" s="22" t="s">
        <v>6629</v>
      </c>
      <c r="M22" s="40">
        <v>149900</v>
      </c>
      <c r="N22" s="65">
        <v>0.3</v>
      </c>
      <c r="O22" s="34">
        <f t="shared" si="0"/>
        <v>104930</v>
      </c>
      <c r="P22" s="32" t="s">
        <v>16</v>
      </c>
    </row>
    <row r="23" spans="1:16" x14ac:dyDescent="0.35">
      <c r="A23" s="32" t="str">
        <f t="shared" ref="A23:C23" si="21">A22</f>
        <v xml:space="preserve">2025 DEC DISC 30 </v>
      </c>
      <c r="B23" s="33">
        <f t="shared" si="21"/>
        <v>46121</v>
      </c>
      <c r="C23" s="33">
        <f t="shared" si="21"/>
        <v>46127</v>
      </c>
      <c r="D23" s="32">
        <v>3321</v>
      </c>
      <c r="E23" s="32">
        <v>337</v>
      </c>
      <c r="F23" s="32">
        <v>4</v>
      </c>
      <c r="G23" s="23">
        <v>4</v>
      </c>
      <c r="H23" s="23">
        <v>81588</v>
      </c>
      <c r="I23" s="32" t="s">
        <v>2689</v>
      </c>
      <c r="J23" s="22">
        <v>63152023</v>
      </c>
      <c r="K23" s="22" t="s">
        <v>6628</v>
      </c>
      <c r="L23" s="22" t="s">
        <v>6627</v>
      </c>
      <c r="M23" s="40">
        <v>149900</v>
      </c>
      <c r="N23" s="65">
        <v>0.3</v>
      </c>
      <c r="O23" s="34">
        <f t="shared" si="0"/>
        <v>104930</v>
      </c>
      <c r="P23" s="32" t="s">
        <v>16</v>
      </c>
    </row>
    <row r="24" spans="1:16" x14ac:dyDescent="0.35">
      <c r="A24" s="32" t="str">
        <f t="shared" ref="A24:C24" si="22">A23</f>
        <v xml:space="preserve">2025 DEC DISC 30 </v>
      </c>
      <c r="B24" s="33">
        <f t="shared" si="22"/>
        <v>46121</v>
      </c>
      <c r="C24" s="33">
        <f t="shared" si="22"/>
        <v>46127</v>
      </c>
      <c r="D24" s="32">
        <v>3321</v>
      </c>
      <c r="E24" s="32">
        <v>337</v>
      </c>
      <c r="F24" s="32">
        <v>4</v>
      </c>
      <c r="G24" s="23">
        <v>4</v>
      </c>
      <c r="H24" s="23">
        <v>81588</v>
      </c>
      <c r="I24" s="32" t="s">
        <v>2689</v>
      </c>
      <c r="J24" s="22">
        <v>63152112</v>
      </c>
      <c r="K24" s="22" t="s">
        <v>6623</v>
      </c>
      <c r="L24" s="22" t="s">
        <v>6626</v>
      </c>
      <c r="M24" s="40">
        <v>149900</v>
      </c>
      <c r="N24" s="65">
        <v>0.3</v>
      </c>
      <c r="O24" s="34">
        <f t="shared" si="0"/>
        <v>104930</v>
      </c>
      <c r="P24" s="32" t="s">
        <v>16</v>
      </c>
    </row>
    <row r="25" spans="1:16" x14ac:dyDescent="0.35">
      <c r="A25" s="32" t="str">
        <f t="shared" ref="A25:C25" si="23">A24</f>
        <v xml:space="preserve">2025 DEC DISC 30 </v>
      </c>
      <c r="B25" s="33">
        <f t="shared" si="23"/>
        <v>46121</v>
      </c>
      <c r="C25" s="33">
        <f t="shared" si="23"/>
        <v>46127</v>
      </c>
      <c r="D25" s="32">
        <v>3321</v>
      </c>
      <c r="E25" s="32">
        <v>337</v>
      </c>
      <c r="F25" s="32">
        <v>4</v>
      </c>
      <c r="G25" s="23">
        <v>4</v>
      </c>
      <c r="H25" s="23">
        <v>81588</v>
      </c>
      <c r="I25" s="32" t="s">
        <v>2689</v>
      </c>
      <c r="J25" s="22">
        <v>63152121</v>
      </c>
      <c r="K25" s="22" t="s">
        <v>6623</v>
      </c>
      <c r="L25" s="22" t="s">
        <v>6625</v>
      </c>
      <c r="M25" s="40">
        <v>149900</v>
      </c>
      <c r="N25" s="65">
        <v>0.3</v>
      </c>
      <c r="O25" s="34">
        <f t="shared" si="0"/>
        <v>104930</v>
      </c>
      <c r="P25" s="32" t="s">
        <v>16</v>
      </c>
    </row>
    <row r="26" spans="1:16" x14ac:dyDescent="0.35">
      <c r="A26" s="32" t="str">
        <f t="shared" ref="A26:C26" si="24">A25</f>
        <v xml:space="preserve">2025 DEC DISC 30 </v>
      </c>
      <c r="B26" s="33">
        <f t="shared" si="24"/>
        <v>46121</v>
      </c>
      <c r="C26" s="33">
        <f t="shared" si="24"/>
        <v>46127</v>
      </c>
      <c r="D26" s="32">
        <v>3321</v>
      </c>
      <c r="E26" s="32">
        <v>337</v>
      </c>
      <c r="F26" s="32">
        <v>4</v>
      </c>
      <c r="G26" s="23">
        <v>4</v>
      </c>
      <c r="H26" s="23">
        <v>81588</v>
      </c>
      <c r="I26" s="32" t="s">
        <v>2689</v>
      </c>
      <c r="J26" s="22">
        <v>63152130</v>
      </c>
      <c r="K26" s="22" t="s">
        <v>6623</v>
      </c>
      <c r="L26" s="22" t="s">
        <v>6624</v>
      </c>
      <c r="M26" s="40">
        <v>149900</v>
      </c>
      <c r="N26" s="65">
        <v>0.3</v>
      </c>
      <c r="O26" s="34">
        <f t="shared" si="0"/>
        <v>104930</v>
      </c>
      <c r="P26" s="32" t="s">
        <v>16</v>
      </c>
    </row>
    <row r="27" spans="1:16" x14ac:dyDescent="0.35">
      <c r="A27" s="32" t="str">
        <f t="shared" ref="A27:C27" si="25">A26</f>
        <v xml:space="preserve">2025 DEC DISC 30 </v>
      </c>
      <c r="B27" s="33">
        <f t="shared" si="25"/>
        <v>46121</v>
      </c>
      <c r="C27" s="33">
        <f t="shared" si="25"/>
        <v>46127</v>
      </c>
      <c r="D27" s="32">
        <v>3321</v>
      </c>
      <c r="E27" s="32">
        <v>337</v>
      </c>
      <c r="F27" s="32">
        <v>4</v>
      </c>
      <c r="G27" s="23">
        <v>4</v>
      </c>
      <c r="H27" s="23">
        <v>81588</v>
      </c>
      <c r="I27" s="32" t="s">
        <v>2689</v>
      </c>
      <c r="J27" s="22">
        <v>63152149</v>
      </c>
      <c r="K27" s="22" t="s">
        <v>6623</v>
      </c>
      <c r="L27" s="22" t="s">
        <v>6622</v>
      </c>
      <c r="M27" s="40">
        <v>149900</v>
      </c>
      <c r="N27" s="65">
        <v>0.3</v>
      </c>
      <c r="O27" s="34">
        <f t="shared" si="0"/>
        <v>104930</v>
      </c>
      <c r="P27" s="32" t="s">
        <v>16</v>
      </c>
    </row>
    <row r="28" spans="1:16" x14ac:dyDescent="0.35">
      <c r="A28" s="32" t="str">
        <f t="shared" ref="A28:C28" si="26">A27</f>
        <v xml:space="preserve">2025 DEC DISC 30 </v>
      </c>
      <c r="B28" s="33">
        <f t="shared" si="26"/>
        <v>46121</v>
      </c>
      <c r="C28" s="33">
        <f t="shared" si="26"/>
        <v>46127</v>
      </c>
      <c r="D28" s="32">
        <v>3321</v>
      </c>
      <c r="E28" s="32">
        <v>337</v>
      </c>
      <c r="F28" s="32">
        <v>4</v>
      </c>
      <c r="G28" s="23">
        <v>5</v>
      </c>
      <c r="H28" s="23">
        <v>81588</v>
      </c>
      <c r="I28" s="32" t="s">
        <v>2689</v>
      </c>
      <c r="J28" s="22">
        <v>63151935</v>
      </c>
      <c r="K28" s="22" t="s">
        <v>6580</v>
      </c>
      <c r="L28" s="22" t="s">
        <v>6583</v>
      </c>
      <c r="M28" s="40">
        <v>149900</v>
      </c>
      <c r="N28" s="65">
        <v>0.3</v>
      </c>
      <c r="O28" s="34">
        <f t="shared" si="0"/>
        <v>104930</v>
      </c>
      <c r="P28" s="32" t="s">
        <v>16</v>
      </c>
    </row>
    <row r="29" spans="1:16" x14ac:dyDescent="0.35">
      <c r="A29" s="32" t="str">
        <f t="shared" ref="A29:C29" si="27">A28</f>
        <v xml:space="preserve">2025 DEC DISC 30 </v>
      </c>
      <c r="B29" s="33">
        <f t="shared" si="27"/>
        <v>46121</v>
      </c>
      <c r="C29" s="33">
        <f t="shared" si="27"/>
        <v>46127</v>
      </c>
      <c r="D29" s="32">
        <v>3321</v>
      </c>
      <c r="E29" s="32">
        <v>337</v>
      </c>
      <c r="F29" s="32">
        <v>4</v>
      </c>
      <c r="G29" s="23">
        <v>5</v>
      </c>
      <c r="H29" s="23">
        <v>81588</v>
      </c>
      <c r="I29" s="32" t="s">
        <v>2689</v>
      </c>
      <c r="J29" s="22">
        <v>63151944</v>
      </c>
      <c r="K29" s="22" t="s">
        <v>6580</v>
      </c>
      <c r="L29" s="22" t="s">
        <v>6582</v>
      </c>
      <c r="M29" s="40">
        <v>149900</v>
      </c>
      <c r="N29" s="65">
        <v>0.3</v>
      </c>
      <c r="O29" s="34">
        <f t="shared" si="0"/>
        <v>104930</v>
      </c>
      <c r="P29" s="32" t="s">
        <v>16</v>
      </c>
    </row>
    <row r="30" spans="1:16" x14ac:dyDescent="0.35">
      <c r="A30" s="32" t="str">
        <f t="shared" ref="A30:C30" si="28">A29</f>
        <v xml:space="preserve">2025 DEC DISC 30 </v>
      </c>
      <c r="B30" s="33">
        <f t="shared" si="28"/>
        <v>46121</v>
      </c>
      <c r="C30" s="33">
        <f t="shared" si="28"/>
        <v>46127</v>
      </c>
      <c r="D30" s="32">
        <v>3321</v>
      </c>
      <c r="E30" s="32">
        <v>337</v>
      </c>
      <c r="F30" s="32">
        <v>4</v>
      </c>
      <c r="G30" s="23">
        <v>5</v>
      </c>
      <c r="H30" s="23">
        <v>81588</v>
      </c>
      <c r="I30" s="32" t="s">
        <v>2689</v>
      </c>
      <c r="J30" s="22">
        <v>63151953</v>
      </c>
      <c r="K30" s="22" t="s">
        <v>6580</v>
      </c>
      <c r="L30" s="22" t="s">
        <v>6581</v>
      </c>
      <c r="M30" s="40">
        <v>149900</v>
      </c>
      <c r="N30" s="65">
        <v>0.3</v>
      </c>
      <c r="O30" s="34">
        <f t="shared" si="0"/>
        <v>104930</v>
      </c>
      <c r="P30" s="32" t="s">
        <v>16</v>
      </c>
    </row>
    <row r="31" spans="1:16" x14ac:dyDescent="0.35">
      <c r="A31" s="32" t="str">
        <f t="shared" ref="A31:C31" si="29">A30</f>
        <v xml:space="preserve">2025 DEC DISC 30 </v>
      </c>
      <c r="B31" s="33">
        <f t="shared" si="29"/>
        <v>46121</v>
      </c>
      <c r="C31" s="33">
        <f t="shared" si="29"/>
        <v>46127</v>
      </c>
      <c r="D31" s="32">
        <v>3321</v>
      </c>
      <c r="E31" s="32">
        <v>337</v>
      </c>
      <c r="F31" s="32">
        <v>4</v>
      </c>
      <c r="G31" s="23">
        <v>5</v>
      </c>
      <c r="H31" s="23">
        <v>81588</v>
      </c>
      <c r="I31" s="32" t="s">
        <v>2689</v>
      </c>
      <c r="J31" s="22">
        <v>63151962</v>
      </c>
      <c r="K31" s="22" t="s">
        <v>6580</v>
      </c>
      <c r="L31" s="22" t="s">
        <v>6579</v>
      </c>
      <c r="M31" s="40">
        <v>149900</v>
      </c>
      <c r="N31" s="65">
        <v>0.3</v>
      </c>
      <c r="O31" s="34">
        <f t="shared" si="0"/>
        <v>104930</v>
      </c>
      <c r="P31" s="32" t="s">
        <v>16</v>
      </c>
    </row>
    <row r="32" spans="1:16" x14ac:dyDescent="0.35">
      <c r="A32" s="32" t="str">
        <f t="shared" ref="A32:C32" si="30">A31</f>
        <v xml:space="preserve">2025 DEC DISC 30 </v>
      </c>
      <c r="B32" s="33">
        <f t="shared" si="30"/>
        <v>46121</v>
      </c>
      <c r="C32" s="33">
        <f t="shared" si="30"/>
        <v>46127</v>
      </c>
      <c r="D32" s="32">
        <v>3321</v>
      </c>
      <c r="E32" s="32">
        <v>337</v>
      </c>
      <c r="F32" s="32">
        <v>4</v>
      </c>
      <c r="G32" s="23">
        <v>5</v>
      </c>
      <c r="H32" s="23">
        <v>81588</v>
      </c>
      <c r="I32" s="32" t="s">
        <v>2689</v>
      </c>
      <c r="J32" s="22">
        <v>63152210</v>
      </c>
      <c r="K32" s="22" t="s">
        <v>6616</v>
      </c>
      <c r="L32" s="22" t="s">
        <v>6621</v>
      </c>
      <c r="M32" s="40">
        <v>149900</v>
      </c>
      <c r="N32" s="65">
        <v>0.3</v>
      </c>
      <c r="O32" s="34">
        <f t="shared" si="0"/>
        <v>104930</v>
      </c>
      <c r="P32" s="32" t="s">
        <v>16</v>
      </c>
    </row>
    <row r="33" spans="1:16" x14ac:dyDescent="0.35">
      <c r="A33" s="32" t="str">
        <f t="shared" ref="A33:C33" si="31">A32</f>
        <v xml:space="preserve">2025 DEC DISC 30 </v>
      </c>
      <c r="B33" s="33">
        <f t="shared" si="31"/>
        <v>46121</v>
      </c>
      <c r="C33" s="33">
        <f t="shared" si="31"/>
        <v>46127</v>
      </c>
      <c r="D33" s="32">
        <v>3321</v>
      </c>
      <c r="E33" s="32">
        <v>337</v>
      </c>
      <c r="F33" s="32">
        <v>4</v>
      </c>
      <c r="G33" s="23">
        <v>5</v>
      </c>
      <c r="H33" s="23">
        <v>81588</v>
      </c>
      <c r="I33" s="32" t="s">
        <v>2689</v>
      </c>
      <c r="J33" s="22">
        <v>63152229</v>
      </c>
      <c r="K33" s="22" t="s">
        <v>6616</v>
      </c>
      <c r="L33" s="22" t="s">
        <v>6620</v>
      </c>
      <c r="M33" s="40">
        <v>149900</v>
      </c>
      <c r="N33" s="65">
        <v>0.3</v>
      </c>
      <c r="O33" s="34">
        <f>M33-((30*M33)/100)</f>
        <v>104930</v>
      </c>
      <c r="P33" s="32" t="s">
        <v>16</v>
      </c>
    </row>
    <row r="34" spans="1:16" x14ac:dyDescent="0.35">
      <c r="A34" s="32" t="str">
        <f t="shared" ref="A34:C34" si="32">A33</f>
        <v xml:space="preserve">2025 DEC DISC 30 </v>
      </c>
      <c r="B34" s="33">
        <f t="shared" si="32"/>
        <v>46121</v>
      </c>
      <c r="C34" s="33">
        <f t="shared" si="32"/>
        <v>46127</v>
      </c>
      <c r="D34" s="32">
        <v>3321</v>
      </c>
      <c r="E34" s="32">
        <v>337</v>
      </c>
      <c r="F34" s="32">
        <v>4</v>
      </c>
      <c r="G34" s="23">
        <v>5</v>
      </c>
      <c r="H34" s="23">
        <v>81588</v>
      </c>
      <c r="I34" s="32" t="s">
        <v>2689</v>
      </c>
      <c r="J34" s="22">
        <v>63152238</v>
      </c>
      <c r="K34" s="22" t="s">
        <v>6616</v>
      </c>
      <c r="L34" s="22" t="s">
        <v>6619</v>
      </c>
      <c r="M34" s="40">
        <v>149900</v>
      </c>
      <c r="N34" s="65">
        <v>0.3</v>
      </c>
      <c r="O34" s="34">
        <f t="shared" si="0"/>
        <v>104930</v>
      </c>
      <c r="P34" s="32" t="s">
        <v>16</v>
      </c>
    </row>
    <row r="35" spans="1:16" x14ac:dyDescent="0.35">
      <c r="A35" s="32" t="str">
        <f t="shared" ref="A35:C35" si="33">A34</f>
        <v xml:space="preserve">2025 DEC DISC 30 </v>
      </c>
      <c r="B35" s="33">
        <f t="shared" si="33"/>
        <v>46121</v>
      </c>
      <c r="C35" s="33">
        <f t="shared" si="33"/>
        <v>46127</v>
      </c>
      <c r="D35" s="32">
        <v>3321</v>
      </c>
      <c r="E35" s="32">
        <v>337</v>
      </c>
      <c r="F35" s="32">
        <v>4</v>
      </c>
      <c r="G35" s="23">
        <v>5</v>
      </c>
      <c r="H35" s="23">
        <v>81588</v>
      </c>
      <c r="I35" s="32" t="s">
        <v>2689</v>
      </c>
      <c r="J35" s="22">
        <v>63152247</v>
      </c>
      <c r="K35" s="22" t="s">
        <v>6616</v>
      </c>
      <c r="L35" s="22" t="s">
        <v>6618</v>
      </c>
      <c r="M35" s="40">
        <v>149900</v>
      </c>
      <c r="N35" s="65">
        <v>0.3</v>
      </c>
      <c r="O35" s="34">
        <f t="shared" si="0"/>
        <v>104930</v>
      </c>
      <c r="P35" s="32" t="s">
        <v>16</v>
      </c>
    </row>
    <row r="36" spans="1:16" x14ac:dyDescent="0.35">
      <c r="A36" s="32" t="str">
        <f t="shared" ref="A36:C36" si="34">A35</f>
        <v xml:space="preserve">2025 DEC DISC 30 </v>
      </c>
      <c r="B36" s="33">
        <f t="shared" si="34"/>
        <v>46121</v>
      </c>
      <c r="C36" s="33">
        <f t="shared" si="34"/>
        <v>46127</v>
      </c>
      <c r="D36" s="32">
        <v>3321</v>
      </c>
      <c r="E36" s="32">
        <v>337</v>
      </c>
      <c r="F36" s="32">
        <v>4</v>
      </c>
      <c r="G36" s="23">
        <v>5</v>
      </c>
      <c r="H36" s="23">
        <v>81588</v>
      </c>
      <c r="I36" s="32" t="s">
        <v>2689</v>
      </c>
      <c r="J36" s="22">
        <v>63152256</v>
      </c>
      <c r="K36" s="22" t="s">
        <v>6616</v>
      </c>
      <c r="L36" s="22" t="s">
        <v>6617</v>
      </c>
      <c r="M36" s="40">
        <v>149900</v>
      </c>
      <c r="N36" s="65">
        <v>0.3</v>
      </c>
      <c r="O36" s="34">
        <f t="shared" si="0"/>
        <v>104930</v>
      </c>
      <c r="P36" s="32" t="s">
        <v>16</v>
      </c>
    </row>
    <row r="37" spans="1:16" x14ac:dyDescent="0.35">
      <c r="A37" s="32" t="str">
        <f t="shared" ref="A37:C37" si="35">A36</f>
        <v xml:space="preserve">2025 DEC DISC 30 </v>
      </c>
      <c r="B37" s="33">
        <f t="shared" si="35"/>
        <v>46121</v>
      </c>
      <c r="C37" s="33">
        <f t="shared" si="35"/>
        <v>46127</v>
      </c>
      <c r="D37" s="32">
        <v>3321</v>
      </c>
      <c r="E37" s="32">
        <v>337</v>
      </c>
      <c r="F37" s="32">
        <v>4</v>
      </c>
      <c r="G37" s="23">
        <v>5</v>
      </c>
      <c r="H37" s="23">
        <v>81588</v>
      </c>
      <c r="I37" s="32" t="s">
        <v>2689</v>
      </c>
      <c r="J37" s="22">
        <v>63152265</v>
      </c>
      <c r="K37" s="22" t="s">
        <v>6616</v>
      </c>
      <c r="L37" s="22" t="s">
        <v>6615</v>
      </c>
      <c r="M37" s="40">
        <v>149900</v>
      </c>
      <c r="N37" s="65">
        <v>0.3</v>
      </c>
      <c r="O37" s="34">
        <f t="shared" si="0"/>
        <v>104930</v>
      </c>
      <c r="P37" s="32" t="s">
        <v>16</v>
      </c>
    </row>
    <row r="38" spans="1:16" x14ac:dyDescent="0.35">
      <c r="A38" s="32" t="str">
        <f t="shared" ref="A38:C38" si="36">A37</f>
        <v xml:space="preserve">2025 DEC DISC 30 </v>
      </c>
      <c r="B38" s="33">
        <f t="shared" si="36"/>
        <v>46121</v>
      </c>
      <c r="C38" s="33">
        <f t="shared" si="36"/>
        <v>46127</v>
      </c>
      <c r="D38" s="32">
        <v>3321</v>
      </c>
      <c r="E38" s="32">
        <v>337</v>
      </c>
      <c r="F38" s="32">
        <v>4</v>
      </c>
      <c r="G38" s="23">
        <v>5</v>
      </c>
      <c r="H38" s="23">
        <v>81588</v>
      </c>
      <c r="I38" s="32" t="s">
        <v>2689</v>
      </c>
      <c r="J38" s="22">
        <v>66253383</v>
      </c>
      <c r="K38" s="22" t="s">
        <v>6570</v>
      </c>
      <c r="L38" s="22" t="s">
        <v>6573</v>
      </c>
      <c r="M38" s="40">
        <v>179900</v>
      </c>
      <c r="N38" s="65">
        <v>0.3</v>
      </c>
      <c r="O38" s="34">
        <f t="shared" si="0"/>
        <v>125930</v>
      </c>
      <c r="P38" s="32" t="s">
        <v>16</v>
      </c>
    </row>
    <row r="39" spans="1:16" x14ac:dyDescent="0.35">
      <c r="A39" s="32" t="str">
        <f t="shared" ref="A39:C39" si="37">A38</f>
        <v xml:space="preserve">2025 DEC DISC 30 </v>
      </c>
      <c r="B39" s="33">
        <f t="shared" si="37"/>
        <v>46121</v>
      </c>
      <c r="C39" s="33">
        <f t="shared" si="37"/>
        <v>46127</v>
      </c>
      <c r="D39" s="32">
        <v>3321</v>
      </c>
      <c r="E39" s="32">
        <v>337</v>
      </c>
      <c r="F39" s="32">
        <v>4</v>
      </c>
      <c r="G39" s="23">
        <v>5</v>
      </c>
      <c r="H39" s="23">
        <v>81588</v>
      </c>
      <c r="I39" s="32" t="s">
        <v>2689</v>
      </c>
      <c r="J39" s="22">
        <v>66253392</v>
      </c>
      <c r="K39" s="22" t="s">
        <v>6570</v>
      </c>
      <c r="L39" s="22" t="s">
        <v>6572</v>
      </c>
      <c r="M39" s="40">
        <v>179900</v>
      </c>
      <c r="N39" s="65">
        <v>0.3</v>
      </c>
      <c r="O39" s="34">
        <f t="shared" si="0"/>
        <v>125930</v>
      </c>
      <c r="P39" s="32" t="s">
        <v>16</v>
      </c>
    </row>
    <row r="40" spans="1:16" x14ac:dyDescent="0.35">
      <c r="A40" s="32" t="str">
        <f t="shared" ref="A40:C40" si="38">A39</f>
        <v xml:space="preserve">2025 DEC DISC 30 </v>
      </c>
      <c r="B40" s="33">
        <f t="shared" si="38"/>
        <v>46121</v>
      </c>
      <c r="C40" s="33">
        <f t="shared" si="38"/>
        <v>46127</v>
      </c>
      <c r="D40" s="32">
        <v>3321</v>
      </c>
      <c r="E40" s="32">
        <v>337</v>
      </c>
      <c r="F40" s="32">
        <v>4</v>
      </c>
      <c r="G40" s="23">
        <v>5</v>
      </c>
      <c r="H40" s="23">
        <v>81588</v>
      </c>
      <c r="I40" s="32" t="s">
        <v>2689</v>
      </c>
      <c r="J40" s="22">
        <v>66253409</v>
      </c>
      <c r="K40" s="22" t="s">
        <v>6570</v>
      </c>
      <c r="L40" s="22" t="s">
        <v>6571</v>
      </c>
      <c r="M40" s="40">
        <v>179900</v>
      </c>
      <c r="N40" s="65">
        <v>0.3</v>
      </c>
      <c r="O40" s="34">
        <f t="shared" si="0"/>
        <v>125930</v>
      </c>
      <c r="P40" s="32" t="s">
        <v>16</v>
      </c>
    </row>
    <row r="41" spans="1:16" x14ac:dyDescent="0.35">
      <c r="A41" s="32" t="str">
        <f t="shared" ref="A41:C41" si="39">A40</f>
        <v xml:space="preserve">2025 DEC DISC 30 </v>
      </c>
      <c r="B41" s="33">
        <f t="shared" si="39"/>
        <v>46121</v>
      </c>
      <c r="C41" s="33">
        <f t="shared" si="39"/>
        <v>46127</v>
      </c>
      <c r="D41" s="32">
        <v>3321</v>
      </c>
      <c r="E41" s="32">
        <v>337</v>
      </c>
      <c r="F41" s="32">
        <v>4</v>
      </c>
      <c r="G41" s="23">
        <v>5</v>
      </c>
      <c r="H41" s="23">
        <v>81588</v>
      </c>
      <c r="I41" s="32" t="s">
        <v>2689</v>
      </c>
      <c r="J41" s="22">
        <v>66253418</v>
      </c>
      <c r="K41" s="22" t="s">
        <v>6570</v>
      </c>
      <c r="L41" s="22" t="s">
        <v>6569</v>
      </c>
      <c r="M41" s="40">
        <v>179900</v>
      </c>
      <c r="N41" s="65">
        <v>0.3</v>
      </c>
      <c r="O41" s="34">
        <f t="shared" si="0"/>
        <v>125930</v>
      </c>
      <c r="P41" s="32" t="s">
        <v>16</v>
      </c>
    </row>
  </sheetData>
  <autoFilter ref="A1:P1" xr:uid="{A98DA6A5-931F-4C4C-A73C-7E8B7CE9A86D}"/>
  <conditionalFormatting sqref="J1">
    <cfRule type="duplicateValues" dxfId="46" priority="3"/>
    <cfRule type="duplicateValues" dxfId="45" priority="4"/>
    <cfRule type="duplicateValues" dxfId="44" priority="5"/>
    <cfRule type="duplicateValues" dxfId="43" priority="67"/>
  </conditionalFormatting>
  <conditionalFormatting sqref="J1:J1048576">
    <cfRule type="duplicateValues" dxfId="4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CF55-9701-4A95-813C-B4A7122F9CE0}">
  <dimension ref="A1:P97"/>
  <sheetViews>
    <sheetView zoomScale="75" zoomScaleNormal="71" workbookViewId="0">
      <pane ySplit="1" topLeftCell="A2" activePane="bottomLeft" state="frozen"/>
      <selection activeCell="L16" sqref="L16"/>
      <selection pane="bottomLeft" activeCell="G15" sqref="G15"/>
    </sheetView>
  </sheetViews>
  <sheetFormatPr defaultColWidth="8.81640625" defaultRowHeight="14.5" x14ac:dyDescent="0.35"/>
  <cols>
    <col min="1" max="1" width="28.4531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3.81640625" style="17" customWidth="1"/>
    <col min="13" max="13" width="16.54296875" style="37" customWidth="1"/>
    <col min="14" max="14" width="12" style="5" customWidth="1"/>
    <col min="15" max="15" width="18.453125" style="85" customWidth="1"/>
    <col min="16" max="16" width="17.17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60" t="s">
        <v>8</v>
      </c>
      <c r="O1" s="84" t="s">
        <v>9</v>
      </c>
      <c r="P1" s="27" t="s">
        <v>10</v>
      </c>
    </row>
    <row r="2" spans="1:16" customFormat="1" x14ac:dyDescent="0.35">
      <c r="A2" s="23" t="s">
        <v>7164</v>
      </c>
      <c r="B2" s="33">
        <v>46121</v>
      </c>
      <c r="C2" s="33">
        <v>46127</v>
      </c>
      <c r="D2" s="23">
        <v>3321</v>
      </c>
      <c r="E2" s="32">
        <v>337</v>
      </c>
      <c r="F2" s="32">
        <v>4</v>
      </c>
      <c r="G2" s="23">
        <v>5</v>
      </c>
      <c r="H2" s="23">
        <v>81005</v>
      </c>
      <c r="I2" s="32" t="s">
        <v>2689</v>
      </c>
      <c r="J2" s="23">
        <v>59168284</v>
      </c>
      <c r="K2" s="22" t="s">
        <v>6654</v>
      </c>
      <c r="L2" s="22" t="s">
        <v>6657</v>
      </c>
      <c r="M2" s="24">
        <v>179900</v>
      </c>
      <c r="N2" s="65">
        <v>0.3</v>
      </c>
      <c r="O2" s="66">
        <f t="shared" ref="O2:O62" si="0">M2-((30*M2)/100)</f>
        <v>125930</v>
      </c>
      <c r="P2" s="86" t="s">
        <v>16</v>
      </c>
    </row>
    <row r="3" spans="1:16" customFormat="1" x14ac:dyDescent="0.35">
      <c r="A3" s="23" t="str">
        <f>A2</f>
        <v>2025 OCT-NOV DISC 30</v>
      </c>
      <c r="B3" s="33">
        <f t="shared" ref="B3:C3" si="1">B2</f>
        <v>46121</v>
      </c>
      <c r="C3" s="33">
        <f t="shared" si="1"/>
        <v>46127</v>
      </c>
      <c r="D3" s="23">
        <v>3321</v>
      </c>
      <c r="E3" s="32">
        <v>337</v>
      </c>
      <c r="F3" s="32">
        <v>4</v>
      </c>
      <c r="G3" s="23">
        <v>5</v>
      </c>
      <c r="H3" s="23">
        <v>81005</v>
      </c>
      <c r="I3" s="32" t="s">
        <v>2689</v>
      </c>
      <c r="J3" s="23">
        <v>59168293</v>
      </c>
      <c r="K3" s="22" t="s">
        <v>6654</v>
      </c>
      <c r="L3" s="22" t="s">
        <v>6656</v>
      </c>
      <c r="M3" s="24">
        <v>179900</v>
      </c>
      <c r="N3" s="35">
        <f t="shared" ref="N3:N15" si="2">N2</f>
        <v>0.3</v>
      </c>
      <c r="O3" s="66">
        <f t="shared" si="0"/>
        <v>125930</v>
      </c>
      <c r="P3" s="86" t="s">
        <v>16</v>
      </c>
    </row>
    <row r="4" spans="1:16" customFormat="1" x14ac:dyDescent="0.35">
      <c r="A4" s="23" t="str">
        <f t="shared" ref="A4:C15" si="3">A3</f>
        <v>2025 OCT-NOV DISC 30</v>
      </c>
      <c r="B4" s="33">
        <f t="shared" si="3"/>
        <v>46121</v>
      </c>
      <c r="C4" s="33">
        <f t="shared" si="3"/>
        <v>46127</v>
      </c>
      <c r="D4" s="23">
        <v>3321</v>
      </c>
      <c r="E4" s="32">
        <v>337</v>
      </c>
      <c r="F4" s="32">
        <v>4</v>
      </c>
      <c r="G4" s="23">
        <v>5</v>
      </c>
      <c r="H4" s="23">
        <v>81005</v>
      </c>
      <c r="I4" s="32" t="s">
        <v>2689</v>
      </c>
      <c r="J4" s="23">
        <v>59168300</v>
      </c>
      <c r="K4" s="22" t="s">
        <v>6654</v>
      </c>
      <c r="L4" s="22" t="s">
        <v>6655</v>
      </c>
      <c r="M4" s="24">
        <v>179900</v>
      </c>
      <c r="N4" s="35">
        <f t="shared" si="2"/>
        <v>0.3</v>
      </c>
      <c r="O4" s="66">
        <f t="shared" si="0"/>
        <v>125930</v>
      </c>
      <c r="P4" s="86" t="s">
        <v>16</v>
      </c>
    </row>
    <row r="5" spans="1:16" customFormat="1" x14ac:dyDescent="0.35">
      <c r="A5" s="23" t="str">
        <f t="shared" si="3"/>
        <v>2025 OCT-NOV DISC 30</v>
      </c>
      <c r="B5" s="33">
        <f t="shared" si="3"/>
        <v>46121</v>
      </c>
      <c r="C5" s="33">
        <f t="shared" si="3"/>
        <v>46127</v>
      </c>
      <c r="D5" s="23">
        <v>3321</v>
      </c>
      <c r="E5" s="32">
        <v>337</v>
      </c>
      <c r="F5" s="32">
        <v>4</v>
      </c>
      <c r="G5" s="23">
        <v>5</v>
      </c>
      <c r="H5" s="23">
        <v>81005</v>
      </c>
      <c r="I5" s="32" t="s">
        <v>2689</v>
      </c>
      <c r="J5" s="23">
        <v>59168319</v>
      </c>
      <c r="K5" s="22" t="s">
        <v>6654</v>
      </c>
      <c r="L5" s="22" t="s">
        <v>6653</v>
      </c>
      <c r="M5" s="24">
        <v>179900</v>
      </c>
      <c r="N5" s="35">
        <f t="shared" si="2"/>
        <v>0.3</v>
      </c>
      <c r="O5" s="66">
        <f t="shared" si="0"/>
        <v>125930</v>
      </c>
      <c r="P5" s="86" t="s">
        <v>16</v>
      </c>
    </row>
    <row r="6" spans="1:16" customFormat="1" x14ac:dyDescent="0.35">
      <c r="A6" s="23" t="str">
        <f t="shared" si="3"/>
        <v>2025 OCT-NOV DISC 30</v>
      </c>
      <c r="B6" s="33">
        <f t="shared" si="3"/>
        <v>46121</v>
      </c>
      <c r="C6" s="33">
        <f t="shared" si="3"/>
        <v>46127</v>
      </c>
      <c r="D6" s="23">
        <v>3321</v>
      </c>
      <c r="E6" s="32">
        <v>337</v>
      </c>
      <c r="F6" s="32">
        <v>4</v>
      </c>
      <c r="G6" s="23">
        <v>5</v>
      </c>
      <c r="H6" s="23">
        <v>190</v>
      </c>
      <c r="I6" s="32" t="s">
        <v>2689</v>
      </c>
      <c r="J6" s="23">
        <v>63152390</v>
      </c>
      <c r="K6" s="22" t="s">
        <v>6597</v>
      </c>
      <c r="L6" s="22" t="s">
        <v>6602</v>
      </c>
      <c r="M6" s="24">
        <v>179900</v>
      </c>
      <c r="N6" s="35">
        <f t="shared" si="2"/>
        <v>0.3</v>
      </c>
      <c r="O6" s="66">
        <f t="shared" si="0"/>
        <v>125930</v>
      </c>
      <c r="P6" s="86" t="s">
        <v>16</v>
      </c>
    </row>
    <row r="7" spans="1:16" customFormat="1" x14ac:dyDescent="0.35">
      <c r="A7" s="23" t="str">
        <f t="shared" si="3"/>
        <v>2025 OCT-NOV DISC 30</v>
      </c>
      <c r="B7" s="33">
        <f t="shared" si="3"/>
        <v>46121</v>
      </c>
      <c r="C7" s="33">
        <f t="shared" si="3"/>
        <v>46127</v>
      </c>
      <c r="D7" s="23">
        <v>3321</v>
      </c>
      <c r="E7" s="32">
        <v>337</v>
      </c>
      <c r="F7" s="32">
        <v>4</v>
      </c>
      <c r="G7" s="23">
        <v>5</v>
      </c>
      <c r="H7" s="23">
        <v>190</v>
      </c>
      <c r="I7" s="32" t="s">
        <v>2689</v>
      </c>
      <c r="J7" s="23">
        <v>63152407</v>
      </c>
      <c r="K7" s="22" t="s">
        <v>6597</v>
      </c>
      <c r="L7" s="22" t="s">
        <v>6601</v>
      </c>
      <c r="M7" s="24">
        <v>179900</v>
      </c>
      <c r="N7" s="35">
        <f t="shared" si="2"/>
        <v>0.3</v>
      </c>
      <c r="O7" s="66">
        <f t="shared" si="0"/>
        <v>125930</v>
      </c>
      <c r="P7" s="86" t="s">
        <v>16</v>
      </c>
    </row>
    <row r="8" spans="1:16" customFormat="1" x14ac:dyDescent="0.35">
      <c r="A8" s="23" t="str">
        <f t="shared" si="3"/>
        <v>2025 OCT-NOV DISC 30</v>
      </c>
      <c r="B8" s="33">
        <f t="shared" si="3"/>
        <v>46121</v>
      </c>
      <c r="C8" s="33">
        <f t="shared" si="3"/>
        <v>46127</v>
      </c>
      <c r="D8" s="23">
        <v>3321</v>
      </c>
      <c r="E8" s="32">
        <v>337</v>
      </c>
      <c r="F8" s="32">
        <v>4</v>
      </c>
      <c r="G8" s="23">
        <v>5</v>
      </c>
      <c r="H8" s="23">
        <v>190</v>
      </c>
      <c r="I8" s="32" t="s">
        <v>2689</v>
      </c>
      <c r="J8" s="23">
        <v>63152416</v>
      </c>
      <c r="K8" s="22" t="s">
        <v>6597</v>
      </c>
      <c r="L8" s="22" t="s">
        <v>6600</v>
      </c>
      <c r="M8" s="24">
        <v>179900</v>
      </c>
      <c r="N8" s="35">
        <f t="shared" si="2"/>
        <v>0.3</v>
      </c>
      <c r="O8" s="66">
        <f t="shared" si="0"/>
        <v>125930</v>
      </c>
      <c r="P8" s="86" t="s">
        <v>16</v>
      </c>
    </row>
    <row r="9" spans="1:16" customFormat="1" x14ac:dyDescent="0.35">
      <c r="A9" s="23" t="str">
        <f t="shared" si="3"/>
        <v>2025 OCT-NOV DISC 30</v>
      </c>
      <c r="B9" s="33">
        <f t="shared" si="3"/>
        <v>46121</v>
      </c>
      <c r="C9" s="33">
        <f t="shared" si="3"/>
        <v>46127</v>
      </c>
      <c r="D9" s="23">
        <v>3321</v>
      </c>
      <c r="E9" s="32">
        <v>337</v>
      </c>
      <c r="F9" s="32">
        <v>4</v>
      </c>
      <c r="G9" s="23">
        <v>5</v>
      </c>
      <c r="H9" s="23">
        <v>190</v>
      </c>
      <c r="I9" s="32" t="s">
        <v>2689</v>
      </c>
      <c r="J9" s="23">
        <v>63152425</v>
      </c>
      <c r="K9" s="22" t="s">
        <v>6597</v>
      </c>
      <c r="L9" s="22" t="s">
        <v>6599</v>
      </c>
      <c r="M9" s="24">
        <v>179900</v>
      </c>
      <c r="N9" s="35">
        <f t="shared" si="2"/>
        <v>0.3</v>
      </c>
      <c r="O9" s="66">
        <f t="shared" si="0"/>
        <v>125930</v>
      </c>
      <c r="P9" s="86" t="s">
        <v>16</v>
      </c>
    </row>
    <row r="10" spans="1:16" x14ac:dyDescent="0.35">
      <c r="A10" s="23" t="str">
        <f t="shared" si="3"/>
        <v>2025 OCT-NOV DISC 30</v>
      </c>
      <c r="B10" s="33">
        <f t="shared" si="3"/>
        <v>46121</v>
      </c>
      <c r="C10" s="33">
        <f t="shared" si="3"/>
        <v>46127</v>
      </c>
      <c r="D10" s="32">
        <v>3321</v>
      </c>
      <c r="E10" s="32">
        <v>337</v>
      </c>
      <c r="F10" s="32">
        <v>4</v>
      </c>
      <c r="G10" s="23">
        <v>5</v>
      </c>
      <c r="H10" s="23">
        <v>190</v>
      </c>
      <c r="I10" s="32" t="s">
        <v>2689</v>
      </c>
      <c r="J10" s="23">
        <v>63152434</v>
      </c>
      <c r="K10" s="22" t="s">
        <v>6597</v>
      </c>
      <c r="L10" s="22" t="s">
        <v>6598</v>
      </c>
      <c r="M10" s="24">
        <v>179900</v>
      </c>
      <c r="N10" s="35">
        <f t="shared" si="2"/>
        <v>0.3</v>
      </c>
      <c r="O10" s="66">
        <f t="shared" si="0"/>
        <v>125930</v>
      </c>
      <c r="P10" s="86" t="s">
        <v>16</v>
      </c>
    </row>
    <row r="11" spans="1:16" x14ac:dyDescent="0.35">
      <c r="A11" s="23" t="str">
        <f t="shared" si="3"/>
        <v>2025 OCT-NOV DISC 30</v>
      </c>
      <c r="B11" s="33">
        <f t="shared" si="3"/>
        <v>46121</v>
      </c>
      <c r="C11" s="33">
        <f t="shared" si="3"/>
        <v>46127</v>
      </c>
      <c r="D11" s="32">
        <v>3321</v>
      </c>
      <c r="E11" s="32">
        <v>337</v>
      </c>
      <c r="F11" s="32">
        <v>4</v>
      </c>
      <c r="G11" s="23">
        <v>5</v>
      </c>
      <c r="H11" s="23">
        <v>190</v>
      </c>
      <c r="I11" s="32" t="s">
        <v>2689</v>
      </c>
      <c r="J11" s="23">
        <v>63152443</v>
      </c>
      <c r="K11" s="22" t="s">
        <v>6597</v>
      </c>
      <c r="L11" s="22" t="s">
        <v>6596</v>
      </c>
      <c r="M11" s="24">
        <v>179900</v>
      </c>
      <c r="N11" s="35">
        <f t="shared" si="2"/>
        <v>0.3</v>
      </c>
      <c r="O11" s="66">
        <f t="shared" si="0"/>
        <v>125930</v>
      </c>
      <c r="P11" s="86" t="s">
        <v>16</v>
      </c>
    </row>
    <row r="12" spans="1:16" x14ac:dyDescent="0.35">
      <c r="A12" s="23" t="str">
        <f t="shared" si="3"/>
        <v>2025 OCT-NOV DISC 30</v>
      </c>
      <c r="B12" s="33">
        <f t="shared" si="3"/>
        <v>46121</v>
      </c>
      <c r="C12" s="33">
        <f t="shared" si="3"/>
        <v>46127</v>
      </c>
      <c r="D12" s="32">
        <v>3321</v>
      </c>
      <c r="E12" s="32">
        <v>337</v>
      </c>
      <c r="F12" s="32">
        <v>4</v>
      </c>
      <c r="G12" s="23">
        <v>3</v>
      </c>
      <c r="H12" s="23">
        <v>81005</v>
      </c>
      <c r="I12" s="32" t="s">
        <v>2689</v>
      </c>
      <c r="J12" s="23">
        <v>63152274</v>
      </c>
      <c r="K12" s="22" t="s">
        <v>6635</v>
      </c>
      <c r="L12" s="22" t="s">
        <v>6640</v>
      </c>
      <c r="M12" s="24">
        <v>199900</v>
      </c>
      <c r="N12" s="35">
        <f t="shared" si="2"/>
        <v>0.3</v>
      </c>
      <c r="O12" s="66">
        <f t="shared" si="0"/>
        <v>139930</v>
      </c>
      <c r="P12" s="86" t="s">
        <v>16</v>
      </c>
    </row>
    <row r="13" spans="1:16" x14ac:dyDescent="0.35">
      <c r="A13" s="23" t="str">
        <f t="shared" si="3"/>
        <v>2025 OCT-NOV DISC 30</v>
      </c>
      <c r="B13" s="33">
        <f t="shared" si="3"/>
        <v>46121</v>
      </c>
      <c r="C13" s="33">
        <f t="shared" si="3"/>
        <v>46127</v>
      </c>
      <c r="D13" s="32">
        <v>3321</v>
      </c>
      <c r="E13" s="32">
        <v>337</v>
      </c>
      <c r="F13" s="32">
        <v>4</v>
      </c>
      <c r="G13" s="23">
        <v>3</v>
      </c>
      <c r="H13" s="23">
        <v>81005</v>
      </c>
      <c r="I13" s="32" t="s">
        <v>2689</v>
      </c>
      <c r="J13" s="23">
        <v>63152283</v>
      </c>
      <c r="K13" s="22" t="s">
        <v>6635</v>
      </c>
      <c r="L13" s="22" t="s">
        <v>6639</v>
      </c>
      <c r="M13" s="24">
        <v>199900</v>
      </c>
      <c r="N13" s="35">
        <f t="shared" si="2"/>
        <v>0.3</v>
      </c>
      <c r="O13" s="66">
        <f t="shared" si="0"/>
        <v>139930</v>
      </c>
      <c r="P13" s="86" t="s">
        <v>16</v>
      </c>
    </row>
    <row r="14" spans="1:16" x14ac:dyDescent="0.35">
      <c r="A14" s="23" t="str">
        <f t="shared" si="3"/>
        <v>2025 OCT-NOV DISC 30</v>
      </c>
      <c r="B14" s="33">
        <f t="shared" si="3"/>
        <v>46121</v>
      </c>
      <c r="C14" s="33">
        <f t="shared" si="3"/>
        <v>46127</v>
      </c>
      <c r="D14" s="32">
        <v>3321</v>
      </c>
      <c r="E14" s="32">
        <v>337</v>
      </c>
      <c r="F14" s="32">
        <v>4</v>
      </c>
      <c r="G14" s="23">
        <v>3</v>
      </c>
      <c r="H14" s="23">
        <v>81005</v>
      </c>
      <c r="I14" s="32" t="s">
        <v>2689</v>
      </c>
      <c r="J14" s="23">
        <v>63152292</v>
      </c>
      <c r="K14" s="22" t="s">
        <v>6635</v>
      </c>
      <c r="L14" s="22" t="s">
        <v>6638</v>
      </c>
      <c r="M14" s="24">
        <v>199900</v>
      </c>
      <c r="N14" s="35">
        <f t="shared" si="2"/>
        <v>0.3</v>
      </c>
      <c r="O14" s="66">
        <f t="shared" si="0"/>
        <v>139930</v>
      </c>
      <c r="P14" s="86" t="s">
        <v>16</v>
      </c>
    </row>
    <row r="15" spans="1:16" x14ac:dyDescent="0.35">
      <c r="A15" s="23" t="str">
        <f t="shared" si="3"/>
        <v>2025 OCT-NOV DISC 30</v>
      </c>
      <c r="B15" s="33">
        <f t="shared" si="3"/>
        <v>46121</v>
      </c>
      <c r="C15" s="33">
        <f t="shared" si="3"/>
        <v>46127</v>
      </c>
      <c r="D15" s="32">
        <v>3321</v>
      </c>
      <c r="E15" s="32">
        <v>337</v>
      </c>
      <c r="F15" s="32">
        <v>4</v>
      </c>
      <c r="G15" s="23">
        <v>3</v>
      </c>
      <c r="H15" s="23">
        <v>81005</v>
      </c>
      <c r="I15" s="32" t="s">
        <v>2689</v>
      </c>
      <c r="J15" s="23">
        <v>63152309</v>
      </c>
      <c r="K15" s="22" t="s">
        <v>6635</v>
      </c>
      <c r="L15" s="22" t="s">
        <v>6637</v>
      </c>
      <c r="M15" s="24">
        <v>199900</v>
      </c>
      <c r="N15" s="35">
        <f t="shared" si="2"/>
        <v>0.3</v>
      </c>
      <c r="O15" s="66">
        <f t="shared" si="0"/>
        <v>139930</v>
      </c>
      <c r="P15" s="86" t="s">
        <v>16</v>
      </c>
    </row>
    <row r="16" spans="1:16" x14ac:dyDescent="0.35">
      <c r="A16" s="23" t="str">
        <f t="shared" ref="A16:C31" si="4">A15</f>
        <v>2025 OCT-NOV DISC 30</v>
      </c>
      <c r="B16" s="33">
        <f t="shared" si="4"/>
        <v>46121</v>
      </c>
      <c r="C16" s="33">
        <f t="shared" si="4"/>
        <v>46127</v>
      </c>
      <c r="D16" s="32">
        <v>3321</v>
      </c>
      <c r="E16" s="32">
        <v>337</v>
      </c>
      <c r="F16" s="32">
        <v>4</v>
      </c>
      <c r="G16" s="23">
        <v>3</v>
      </c>
      <c r="H16" s="23">
        <v>81005</v>
      </c>
      <c r="I16" s="32" t="s">
        <v>2689</v>
      </c>
      <c r="J16" s="23">
        <v>63152318</v>
      </c>
      <c r="K16" s="22" t="s">
        <v>6635</v>
      </c>
      <c r="L16" s="22" t="s">
        <v>6636</v>
      </c>
      <c r="M16" s="24">
        <v>199900</v>
      </c>
      <c r="N16" s="35">
        <f t="shared" ref="N16:N31" si="5">N15</f>
        <v>0.3</v>
      </c>
      <c r="O16" s="66">
        <f t="shared" si="0"/>
        <v>139930</v>
      </c>
      <c r="P16" s="86" t="s">
        <v>16</v>
      </c>
    </row>
    <row r="17" spans="1:16" x14ac:dyDescent="0.35">
      <c r="A17" s="23" t="str">
        <f t="shared" si="4"/>
        <v>2025 OCT-NOV DISC 30</v>
      </c>
      <c r="B17" s="33">
        <f t="shared" si="4"/>
        <v>46121</v>
      </c>
      <c r="C17" s="33">
        <f t="shared" si="4"/>
        <v>46127</v>
      </c>
      <c r="D17" s="32">
        <v>3321</v>
      </c>
      <c r="E17" s="32">
        <v>337</v>
      </c>
      <c r="F17" s="32">
        <v>4</v>
      </c>
      <c r="G17" s="23">
        <v>3</v>
      </c>
      <c r="H17" s="23">
        <v>81005</v>
      </c>
      <c r="I17" s="32" t="s">
        <v>2689</v>
      </c>
      <c r="J17" s="23">
        <v>63152327</v>
      </c>
      <c r="K17" s="22" t="s">
        <v>6635</v>
      </c>
      <c r="L17" s="22" t="s">
        <v>6634</v>
      </c>
      <c r="M17" s="24">
        <v>199900</v>
      </c>
      <c r="N17" s="35">
        <f t="shared" si="5"/>
        <v>0.3</v>
      </c>
      <c r="O17" s="66">
        <f t="shared" si="0"/>
        <v>139930</v>
      </c>
      <c r="P17" s="86" t="s">
        <v>16</v>
      </c>
    </row>
    <row r="18" spans="1:16" x14ac:dyDescent="0.35">
      <c r="A18" s="23" t="str">
        <f t="shared" si="4"/>
        <v>2025 OCT-NOV DISC 30</v>
      </c>
      <c r="B18" s="33">
        <f t="shared" si="4"/>
        <v>46121</v>
      </c>
      <c r="C18" s="33">
        <f t="shared" si="4"/>
        <v>46127</v>
      </c>
      <c r="D18" s="32">
        <v>3321</v>
      </c>
      <c r="E18" s="32">
        <v>337</v>
      </c>
      <c r="F18" s="32">
        <v>4</v>
      </c>
      <c r="G18" s="23">
        <v>3</v>
      </c>
      <c r="H18" s="23">
        <v>81588</v>
      </c>
      <c r="I18" s="32" t="s">
        <v>2689</v>
      </c>
      <c r="J18" s="23">
        <v>61550025</v>
      </c>
      <c r="K18" s="22" t="s">
        <v>6678</v>
      </c>
      <c r="L18" s="22" t="s">
        <v>6681</v>
      </c>
      <c r="M18" s="24">
        <v>229900</v>
      </c>
      <c r="N18" s="35">
        <f t="shared" si="5"/>
        <v>0.3</v>
      </c>
      <c r="O18" s="66">
        <f t="shared" si="0"/>
        <v>160930</v>
      </c>
      <c r="P18" s="86" t="s">
        <v>16</v>
      </c>
    </row>
    <row r="19" spans="1:16" x14ac:dyDescent="0.35">
      <c r="A19" s="23" t="str">
        <f t="shared" si="4"/>
        <v>2025 OCT-NOV DISC 30</v>
      </c>
      <c r="B19" s="33">
        <f t="shared" si="4"/>
        <v>46121</v>
      </c>
      <c r="C19" s="33">
        <f t="shared" si="4"/>
        <v>46127</v>
      </c>
      <c r="D19" s="32">
        <v>3321</v>
      </c>
      <c r="E19" s="32">
        <v>337</v>
      </c>
      <c r="F19" s="32">
        <v>4</v>
      </c>
      <c r="G19" s="23">
        <v>3</v>
      </c>
      <c r="H19" s="23">
        <v>81588</v>
      </c>
      <c r="I19" s="32" t="s">
        <v>2689</v>
      </c>
      <c r="J19" s="23">
        <v>61550034</v>
      </c>
      <c r="K19" s="22" t="s">
        <v>6678</v>
      </c>
      <c r="L19" s="22" t="s">
        <v>6680</v>
      </c>
      <c r="M19" s="24">
        <v>229900</v>
      </c>
      <c r="N19" s="35">
        <f t="shared" si="5"/>
        <v>0.3</v>
      </c>
      <c r="O19" s="66">
        <f t="shared" si="0"/>
        <v>160930</v>
      </c>
      <c r="P19" s="86" t="s">
        <v>16</v>
      </c>
    </row>
    <row r="20" spans="1:16" x14ac:dyDescent="0.35">
      <c r="A20" s="23" t="str">
        <f t="shared" si="4"/>
        <v>2025 OCT-NOV DISC 30</v>
      </c>
      <c r="B20" s="33">
        <f t="shared" si="4"/>
        <v>46121</v>
      </c>
      <c r="C20" s="33">
        <f t="shared" si="4"/>
        <v>46127</v>
      </c>
      <c r="D20" s="32">
        <v>3321</v>
      </c>
      <c r="E20" s="32">
        <v>337</v>
      </c>
      <c r="F20" s="32">
        <v>4</v>
      </c>
      <c r="G20" s="23">
        <v>3</v>
      </c>
      <c r="H20" s="23">
        <v>81588</v>
      </c>
      <c r="I20" s="32" t="s">
        <v>2689</v>
      </c>
      <c r="J20" s="23">
        <v>61550043</v>
      </c>
      <c r="K20" s="22" t="s">
        <v>6678</v>
      </c>
      <c r="L20" s="22" t="s">
        <v>6679</v>
      </c>
      <c r="M20" s="24">
        <v>229900</v>
      </c>
      <c r="N20" s="35">
        <f t="shared" si="5"/>
        <v>0.3</v>
      </c>
      <c r="O20" s="66">
        <f t="shared" si="0"/>
        <v>160930</v>
      </c>
      <c r="P20" s="86" t="s">
        <v>16</v>
      </c>
    </row>
    <row r="21" spans="1:16" x14ac:dyDescent="0.35">
      <c r="A21" s="23" t="str">
        <f t="shared" si="4"/>
        <v>2025 OCT-NOV DISC 30</v>
      </c>
      <c r="B21" s="33">
        <f t="shared" si="4"/>
        <v>46121</v>
      </c>
      <c r="C21" s="33">
        <f t="shared" si="4"/>
        <v>46127</v>
      </c>
      <c r="D21" s="32">
        <v>3321</v>
      </c>
      <c r="E21" s="32">
        <v>337</v>
      </c>
      <c r="F21" s="32">
        <v>4</v>
      </c>
      <c r="G21" s="23">
        <v>3</v>
      </c>
      <c r="H21" s="23">
        <v>81588</v>
      </c>
      <c r="I21" s="32" t="s">
        <v>2689</v>
      </c>
      <c r="J21" s="23">
        <v>61550052</v>
      </c>
      <c r="K21" s="22" t="s">
        <v>6678</v>
      </c>
      <c r="L21" s="22" t="s">
        <v>6677</v>
      </c>
      <c r="M21" s="24">
        <v>229900</v>
      </c>
      <c r="N21" s="35">
        <f t="shared" si="5"/>
        <v>0.3</v>
      </c>
      <c r="O21" s="66">
        <f t="shared" si="0"/>
        <v>160930</v>
      </c>
      <c r="P21" s="86" t="s">
        <v>16</v>
      </c>
    </row>
    <row r="22" spans="1:16" x14ac:dyDescent="0.35">
      <c r="A22" s="23" t="str">
        <f t="shared" si="4"/>
        <v>2025 OCT-NOV DISC 30</v>
      </c>
      <c r="B22" s="33">
        <f t="shared" si="4"/>
        <v>46121</v>
      </c>
      <c r="C22" s="33">
        <f t="shared" si="4"/>
        <v>46127</v>
      </c>
      <c r="D22" s="32">
        <v>3321</v>
      </c>
      <c r="E22" s="32">
        <v>337</v>
      </c>
      <c r="F22" s="32">
        <v>4</v>
      </c>
      <c r="G22" s="23">
        <v>3</v>
      </c>
      <c r="H22" s="23">
        <v>81679</v>
      </c>
      <c r="I22" s="32" t="s">
        <v>2689</v>
      </c>
      <c r="J22" s="23">
        <v>61549340</v>
      </c>
      <c r="K22" s="22" t="s">
        <v>6671</v>
      </c>
      <c r="L22" s="22" t="s">
        <v>6676</v>
      </c>
      <c r="M22" s="24">
        <v>199900</v>
      </c>
      <c r="N22" s="35">
        <f t="shared" si="5"/>
        <v>0.3</v>
      </c>
      <c r="O22" s="66">
        <f t="shared" si="0"/>
        <v>139930</v>
      </c>
      <c r="P22" s="86" t="s">
        <v>16</v>
      </c>
    </row>
    <row r="23" spans="1:16" x14ac:dyDescent="0.35">
      <c r="A23" s="23" t="str">
        <f t="shared" si="4"/>
        <v>2025 OCT-NOV DISC 30</v>
      </c>
      <c r="B23" s="33">
        <f t="shared" si="4"/>
        <v>46121</v>
      </c>
      <c r="C23" s="33">
        <f t="shared" si="4"/>
        <v>46127</v>
      </c>
      <c r="D23" s="32">
        <v>3321</v>
      </c>
      <c r="E23" s="32">
        <v>337</v>
      </c>
      <c r="F23" s="32">
        <v>4</v>
      </c>
      <c r="G23" s="23">
        <v>3</v>
      </c>
      <c r="H23" s="23">
        <v>81679</v>
      </c>
      <c r="I23" s="32" t="s">
        <v>2689</v>
      </c>
      <c r="J23" s="23">
        <v>61549359</v>
      </c>
      <c r="K23" s="22" t="s">
        <v>6671</v>
      </c>
      <c r="L23" s="22" t="s">
        <v>6675</v>
      </c>
      <c r="M23" s="24">
        <v>199900</v>
      </c>
      <c r="N23" s="35">
        <f t="shared" si="5"/>
        <v>0.3</v>
      </c>
      <c r="O23" s="66">
        <f t="shared" si="0"/>
        <v>139930</v>
      </c>
      <c r="P23" s="86" t="s">
        <v>16</v>
      </c>
    </row>
    <row r="24" spans="1:16" x14ac:dyDescent="0.35">
      <c r="A24" s="23" t="str">
        <f t="shared" si="4"/>
        <v>2025 OCT-NOV DISC 30</v>
      </c>
      <c r="B24" s="33">
        <f t="shared" si="4"/>
        <v>46121</v>
      </c>
      <c r="C24" s="33">
        <f t="shared" si="4"/>
        <v>46127</v>
      </c>
      <c r="D24" s="32">
        <v>3321</v>
      </c>
      <c r="E24" s="32">
        <v>337</v>
      </c>
      <c r="F24" s="32">
        <v>4</v>
      </c>
      <c r="G24" s="23">
        <v>3</v>
      </c>
      <c r="H24" s="23">
        <v>81679</v>
      </c>
      <c r="I24" s="32" t="s">
        <v>2689</v>
      </c>
      <c r="J24" s="23">
        <v>61549368</v>
      </c>
      <c r="K24" s="22" t="s">
        <v>6671</v>
      </c>
      <c r="L24" s="22" t="s">
        <v>6674</v>
      </c>
      <c r="M24" s="24">
        <v>199900</v>
      </c>
      <c r="N24" s="35">
        <f t="shared" si="5"/>
        <v>0.3</v>
      </c>
      <c r="O24" s="66">
        <f t="shared" si="0"/>
        <v>139930</v>
      </c>
      <c r="P24" s="86" t="s">
        <v>16</v>
      </c>
    </row>
    <row r="25" spans="1:16" x14ac:dyDescent="0.35">
      <c r="A25" s="23" t="str">
        <f t="shared" si="4"/>
        <v>2025 OCT-NOV DISC 30</v>
      </c>
      <c r="B25" s="33">
        <f t="shared" si="4"/>
        <v>46121</v>
      </c>
      <c r="C25" s="33">
        <f t="shared" si="4"/>
        <v>46127</v>
      </c>
      <c r="D25" s="32">
        <v>3321</v>
      </c>
      <c r="E25" s="32">
        <v>337</v>
      </c>
      <c r="F25" s="32">
        <v>4</v>
      </c>
      <c r="G25" s="23">
        <v>3</v>
      </c>
      <c r="H25" s="23">
        <v>81679</v>
      </c>
      <c r="I25" s="32" t="s">
        <v>2689</v>
      </c>
      <c r="J25" s="23">
        <v>61549377</v>
      </c>
      <c r="K25" s="22" t="s">
        <v>6671</v>
      </c>
      <c r="L25" s="22" t="s">
        <v>6673</v>
      </c>
      <c r="M25" s="24">
        <v>199900</v>
      </c>
      <c r="N25" s="35">
        <f t="shared" si="5"/>
        <v>0.3</v>
      </c>
      <c r="O25" s="66">
        <f t="shared" si="0"/>
        <v>139930</v>
      </c>
      <c r="P25" s="86" t="s">
        <v>16</v>
      </c>
    </row>
    <row r="26" spans="1:16" x14ac:dyDescent="0.35">
      <c r="A26" s="23" t="str">
        <f t="shared" si="4"/>
        <v>2025 OCT-NOV DISC 30</v>
      </c>
      <c r="B26" s="33">
        <f t="shared" si="4"/>
        <v>46121</v>
      </c>
      <c r="C26" s="33">
        <f t="shared" si="4"/>
        <v>46127</v>
      </c>
      <c r="D26" s="32">
        <v>3321</v>
      </c>
      <c r="E26" s="32">
        <v>337</v>
      </c>
      <c r="F26" s="32">
        <v>4</v>
      </c>
      <c r="G26" s="23">
        <v>3</v>
      </c>
      <c r="H26" s="23">
        <v>81679</v>
      </c>
      <c r="I26" s="32" t="s">
        <v>2689</v>
      </c>
      <c r="J26" s="23">
        <v>61549386</v>
      </c>
      <c r="K26" s="22" t="s">
        <v>6671</v>
      </c>
      <c r="L26" s="22" t="s">
        <v>6672</v>
      </c>
      <c r="M26" s="24">
        <v>199900</v>
      </c>
      <c r="N26" s="35">
        <f t="shared" si="5"/>
        <v>0.3</v>
      </c>
      <c r="O26" s="66">
        <f t="shared" si="0"/>
        <v>139930</v>
      </c>
      <c r="P26" s="86" t="s">
        <v>16</v>
      </c>
    </row>
    <row r="27" spans="1:16" x14ac:dyDescent="0.35">
      <c r="A27" s="23" t="str">
        <f t="shared" si="4"/>
        <v>2025 OCT-NOV DISC 30</v>
      </c>
      <c r="B27" s="33">
        <f t="shared" si="4"/>
        <v>46121</v>
      </c>
      <c r="C27" s="33">
        <f t="shared" si="4"/>
        <v>46127</v>
      </c>
      <c r="D27" s="32">
        <v>3321</v>
      </c>
      <c r="E27" s="32">
        <v>337</v>
      </c>
      <c r="F27" s="32">
        <v>4</v>
      </c>
      <c r="G27" s="23">
        <v>3</v>
      </c>
      <c r="H27" s="23">
        <v>81679</v>
      </c>
      <c r="I27" s="32" t="s">
        <v>2689</v>
      </c>
      <c r="J27" s="23">
        <v>61549395</v>
      </c>
      <c r="K27" s="22" t="s">
        <v>6671</v>
      </c>
      <c r="L27" s="22" t="s">
        <v>6670</v>
      </c>
      <c r="M27" s="24">
        <v>199900</v>
      </c>
      <c r="N27" s="35">
        <f t="shared" si="5"/>
        <v>0.3</v>
      </c>
      <c r="O27" s="66">
        <f t="shared" si="0"/>
        <v>139930</v>
      </c>
      <c r="P27" s="86" t="s">
        <v>16</v>
      </c>
    </row>
    <row r="28" spans="1:16" x14ac:dyDescent="0.35">
      <c r="A28" s="23" t="str">
        <f t="shared" si="4"/>
        <v>2025 OCT-NOV DISC 30</v>
      </c>
      <c r="B28" s="33">
        <f t="shared" si="4"/>
        <v>46121</v>
      </c>
      <c r="C28" s="33">
        <f t="shared" si="4"/>
        <v>46127</v>
      </c>
      <c r="D28" s="32">
        <v>3321</v>
      </c>
      <c r="E28" s="32">
        <v>337</v>
      </c>
      <c r="F28" s="32">
        <v>4</v>
      </c>
      <c r="G28" s="23">
        <v>5</v>
      </c>
      <c r="H28" s="23">
        <v>190</v>
      </c>
      <c r="I28" s="32" t="s">
        <v>2689</v>
      </c>
      <c r="J28" s="23">
        <v>63152336</v>
      </c>
      <c r="K28" s="22" t="s">
        <v>6590</v>
      </c>
      <c r="L28" s="22" t="s">
        <v>6595</v>
      </c>
      <c r="M28" s="24">
        <v>179900</v>
      </c>
      <c r="N28" s="35">
        <f t="shared" si="5"/>
        <v>0.3</v>
      </c>
      <c r="O28" s="66">
        <f t="shared" si="0"/>
        <v>125930</v>
      </c>
      <c r="P28" s="86" t="s">
        <v>16</v>
      </c>
    </row>
    <row r="29" spans="1:16" x14ac:dyDescent="0.35">
      <c r="A29" s="23" t="str">
        <f t="shared" si="4"/>
        <v>2025 OCT-NOV DISC 30</v>
      </c>
      <c r="B29" s="33">
        <f t="shared" si="4"/>
        <v>46121</v>
      </c>
      <c r="C29" s="33">
        <f t="shared" si="4"/>
        <v>46127</v>
      </c>
      <c r="D29" s="32">
        <v>3321</v>
      </c>
      <c r="E29" s="32">
        <v>337</v>
      </c>
      <c r="F29" s="32">
        <v>4</v>
      </c>
      <c r="G29" s="23">
        <v>5</v>
      </c>
      <c r="H29" s="23">
        <v>190</v>
      </c>
      <c r="I29" s="32" t="s">
        <v>2689</v>
      </c>
      <c r="J29" s="23">
        <v>63152345</v>
      </c>
      <c r="K29" s="22" t="s">
        <v>6590</v>
      </c>
      <c r="L29" s="22" t="s">
        <v>6594</v>
      </c>
      <c r="M29" s="24">
        <v>179900</v>
      </c>
      <c r="N29" s="35">
        <f t="shared" si="5"/>
        <v>0.3</v>
      </c>
      <c r="O29" s="66">
        <f t="shared" si="0"/>
        <v>125930</v>
      </c>
      <c r="P29" s="86" t="s">
        <v>16</v>
      </c>
    </row>
    <row r="30" spans="1:16" x14ac:dyDescent="0.35">
      <c r="A30" s="23" t="str">
        <f t="shared" si="4"/>
        <v>2025 OCT-NOV DISC 30</v>
      </c>
      <c r="B30" s="33">
        <f t="shared" si="4"/>
        <v>46121</v>
      </c>
      <c r="C30" s="33">
        <f t="shared" si="4"/>
        <v>46127</v>
      </c>
      <c r="D30" s="32">
        <v>3321</v>
      </c>
      <c r="E30" s="32">
        <v>337</v>
      </c>
      <c r="F30" s="32">
        <v>4</v>
      </c>
      <c r="G30" s="23">
        <v>5</v>
      </c>
      <c r="H30" s="23">
        <v>190</v>
      </c>
      <c r="I30" s="32" t="s">
        <v>2689</v>
      </c>
      <c r="J30" s="23">
        <v>63152354</v>
      </c>
      <c r="K30" s="22" t="s">
        <v>6590</v>
      </c>
      <c r="L30" s="22" t="s">
        <v>6593</v>
      </c>
      <c r="M30" s="24">
        <v>179900</v>
      </c>
      <c r="N30" s="35">
        <f t="shared" si="5"/>
        <v>0.3</v>
      </c>
      <c r="O30" s="66">
        <f t="shared" si="0"/>
        <v>125930</v>
      </c>
      <c r="P30" s="86" t="s">
        <v>16</v>
      </c>
    </row>
    <row r="31" spans="1:16" x14ac:dyDescent="0.35">
      <c r="A31" s="23" t="str">
        <f t="shared" si="4"/>
        <v>2025 OCT-NOV DISC 30</v>
      </c>
      <c r="B31" s="33">
        <f t="shared" si="4"/>
        <v>46121</v>
      </c>
      <c r="C31" s="33">
        <f t="shared" si="4"/>
        <v>46127</v>
      </c>
      <c r="D31" s="32">
        <v>3321</v>
      </c>
      <c r="E31" s="32">
        <v>337</v>
      </c>
      <c r="F31" s="32">
        <v>4</v>
      </c>
      <c r="G31" s="23">
        <v>5</v>
      </c>
      <c r="H31" s="23">
        <v>190</v>
      </c>
      <c r="I31" s="32" t="s">
        <v>2689</v>
      </c>
      <c r="J31" s="23">
        <v>63152363</v>
      </c>
      <c r="K31" s="22" t="s">
        <v>6590</v>
      </c>
      <c r="L31" s="22" t="s">
        <v>6592</v>
      </c>
      <c r="M31" s="24">
        <v>179900</v>
      </c>
      <c r="N31" s="35">
        <f t="shared" si="5"/>
        <v>0.3</v>
      </c>
      <c r="O31" s="66">
        <f t="shared" si="0"/>
        <v>125930</v>
      </c>
      <c r="P31" s="86" t="s">
        <v>16</v>
      </c>
    </row>
    <row r="32" spans="1:16" x14ac:dyDescent="0.35">
      <c r="A32" s="23" t="str">
        <f t="shared" ref="A32:C43" si="6">A31</f>
        <v>2025 OCT-NOV DISC 30</v>
      </c>
      <c r="B32" s="33">
        <f t="shared" si="6"/>
        <v>46121</v>
      </c>
      <c r="C32" s="33">
        <f t="shared" si="6"/>
        <v>46127</v>
      </c>
      <c r="D32" s="32">
        <v>3321</v>
      </c>
      <c r="E32" s="32">
        <v>337</v>
      </c>
      <c r="F32" s="32">
        <v>4</v>
      </c>
      <c r="G32" s="23">
        <v>5</v>
      </c>
      <c r="H32" s="23">
        <v>190</v>
      </c>
      <c r="I32" s="32" t="s">
        <v>2689</v>
      </c>
      <c r="J32" s="23">
        <v>63152372</v>
      </c>
      <c r="K32" s="22" t="s">
        <v>6590</v>
      </c>
      <c r="L32" s="22" t="s">
        <v>6591</v>
      </c>
      <c r="M32" s="24">
        <v>179900</v>
      </c>
      <c r="N32" s="35">
        <f t="shared" ref="N32:N43" si="7">N31</f>
        <v>0.3</v>
      </c>
      <c r="O32" s="66">
        <f t="shared" si="0"/>
        <v>125930</v>
      </c>
      <c r="P32" s="86" t="s">
        <v>16</v>
      </c>
    </row>
    <row r="33" spans="1:16" x14ac:dyDescent="0.35">
      <c r="A33" s="23" t="str">
        <f t="shared" si="6"/>
        <v>2025 OCT-NOV DISC 30</v>
      </c>
      <c r="B33" s="33">
        <f t="shared" si="6"/>
        <v>46121</v>
      </c>
      <c r="C33" s="33">
        <f t="shared" si="6"/>
        <v>46127</v>
      </c>
      <c r="D33" s="32">
        <v>3321</v>
      </c>
      <c r="E33" s="32">
        <v>337</v>
      </c>
      <c r="F33" s="32">
        <v>4</v>
      </c>
      <c r="G33" s="23">
        <v>5</v>
      </c>
      <c r="H33" s="23">
        <v>190</v>
      </c>
      <c r="I33" s="32" t="s">
        <v>2689</v>
      </c>
      <c r="J33" s="23">
        <v>63152381</v>
      </c>
      <c r="K33" s="22" t="s">
        <v>6590</v>
      </c>
      <c r="L33" s="22" t="s">
        <v>6589</v>
      </c>
      <c r="M33" s="24">
        <v>179900</v>
      </c>
      <c r="N33" s="35">
        <f t="shared" si="7"/>
        <v>0.3</v>
      </c>
      <c r="O33" s="66">
        <f t="shared" si="0"/>
        <v>125930</v>
      </c>
      <c r="P33" s="86" t="s">
        <v>16</v>
      </c>
    </row>
    <row r="34" spans="1:16" x14ac:dyDescent="0.35">
      <c r="A34" s="23" t="str">
        <f t="shared" si="6"/>
        <v>2025 OCT-NOV DISC 30</v>
      </c>
      <c r="B34" s="33">
        <f t="shared" si="6"/>
        <v>46121</v>
      </c>
      <c r="C34" s="33">
        <f t="shared" si="6"/>
        <v>46127</v>
      </c>
      <c r="D34" s="32">
        <v>3321</v>
      </c>
      <c r="E34" s="32">
        <v>337</v>
      </c>
      <c r="F34" s="32">
        <v>4</v>
      </c>
      <c r="G34" s="23">
        <v>4</v>
      </c>
      <c r="H34" s="23">
        <v>81588</v>
      </c>
      <c r="I34" s="32" t="s">
        <v>2689</v>
      </c>
      <c r="J34" s="23">
        <v>61550061</v>
      </c>
      <c r="K34" s="22" t="s">
        <v>6666</v>
      </c>
      <c r="L34" s="22" t="s">
        <v>6669</v>
      </c>
      <c r="M34" s="24">
        <v>129900</v>
      </c>
      <c r="N34" s="35">
        <f t="shared" si="7"/>
        <v>0.3</v>
      </c>
      <c r="O34" s="66">
        <f t="shared" si="0"/>
        <v>90930</v>
      </c>
      <c r="P34" s="86" t="s">
        <v>16</v>
      </c>
    </row>
    <row r="35" spans="1:16" x14ac:dyDescent="0.35">
      <c r="A35" s="23" t="str">
        <f t="shared" si="6"/>
        <v>2025 OCT-NOV DISC 30</v>
      </c>
      <c r="B35" s="33">
        <f t="shared" si="6"/>
        <v>46121</v>
      </c>
      <c r="C35" s="33">
        <f t="shared" si="6"/>
        <v>46127</v>
      </c>
      <c r="D35" s="32">
        <v>3321</v>
      </c>
      <c r="E35" s="32">
        <v>337</v>
      </c>
      <c r="F35" s="32">
        <v>4</v>
      </c>
      <c r="G35" s="23">
        <v>4</v>
      </c>
      <c r="H35" s="23">
        <v>81588</v>
      </c>
      <c r="I35" s="32" t="s">
        <v>2689</v>
      </c>
      <c r="J35" s="23">
        <v>61550070</v>
      </c>
      <c r="K35" s="22" t="s">
        <v>6666</v>
      </c>
      <c r="L35" s="22" t="s">
        <v>6668</v>
      </c>
      <c r="M35" s="24">
        <v>129900</v>
      </c>
      <c r="N35" s="35">
        <f t="shared" si="7"/>
        <v>0.3</v>
      </c>
      <c r="O35" s="66">
        <f t="shared" si="0"/>
        <v>90930</v>
      </c>
      <c r="P35" s="86" t="s">
        <v>16</v>
      </c>
    </row>
    <row r="36" spans="1:16" x14ac:dyDescent="0.35">
      <c r="A36" s="23" t="str">
        <f t="shared" si="6"/>
        <v>2025 OCT-NOV DISC 30</v>
      </c>
      <c r="B36" s="33">
        <f t="shared" si="6"/>
        <v>46121</v>
      </c>
      <c r="C36" s="33">
        <f t="shared" si="6"/>
        <v>46127</v>
      </c>
      <c r="D36" s="32">
        <v>3321</v>
      </c>
      <c r="E36" s="32">
        <v>337</v>
      </c>
      <c r="F36" s="32">
        <v>4</v>
      </c>
      <c r="G36" s="23">
        <v>4</v>
      </c>
      <c r="H36" s="23">
        <v>81588</v>
      </c>
      <c r="I36" s="32" t="s">
        <v>2689</v>
      </c>
      <c r="J36" s="23">
        <v>61550089</v>
      </c>
      <c r="K36" s="22" t="s">
        <v>6666</v>
      </c>
      <c r="L36" s="22" t="s">
        <v>6667</v>
      </c>
      <c r="M36" s="24">
        <v>129900</v>
      </c>
      <c r="N36" s="35">
        <f t="shared" si="7"/>
        <v>0.3</v>
      </c>
      <c r="O36" s="66">
        <f t="shared" si="0"/>
        <v>90930</v>
      </c>
      <c r="P36" s="86" t="s">
        <v>16</v>
      </c>
    </row>
    <row r="37" spans="1:16" x14ac:dyDescent="0.35">
      <c r="A37" s="23" t="str">
        <f t="shared" si="6"/>
        <v>2025 OCT-NOV DISC 30</v>
      </c>
      <c r="B37" s="33">
        <f t="shared" si="6"/>
        <v>46121</v>
      </c>
      <c r="C37" s="33">
        <f t="shared" si="6"/>
        <v>46127</v>
      </c>
      <c r="D37" s="32">
        <v>3321</v>
      </c>
      <c r="E37" s="32">
        <v>337</v>
      </c>
      <c r="F37" s="32">
        <v>4</v>
      </c>
      <c r="G37" s="23">
        <v>4</v>
      </c>
      <c r="H37" s="23">
        <v>81588</v>
      </c>
      <c r="I37" s="32" t="s">
        <v>2689</v>
      </c>
      <c r="J37" s="23">
        <v>61550098</v>
      </c>
      <c r="K37" s="22" t="s">
        <v>6666</v>
      </c>
      <c r="L37" s="22" t="s">
        <v>6665</v>
      </c>
      <c r="M37" s="24">
        <v>129900</v>
      </c>
      <c r="N37" s="35">
        <f t="shared" si="7"/>
        <v>0.3</v>
      </c>
      <c r="O37" s="66">
        <f t="shared" si="0"/>
        <v>90930</v>
      </c>
      <c r="P37" s="86" t="s">
        <v>16</v>
      </c>
    </row>
    <row r="38" spans="1:16" x14ac:dyDescent="0.35">
      <c r="A38" s="23" t="str">
        <f t="shared" si="6"/>
        <v>2025 OCT-NOV DISC 30</v>
      </c>
      <c r="B38" s="33">
        <f t="shared" si="6"/>
        <v>46121</v>
      </c>
      <c r="C38" s="33">
        <f t="shared" si="6"/>
        <v>46127</v>
      </c>
      <c r="D38" s="32">
        <v>3321</v>
      </c>
      <c r="E38" s="32">
        <v>337</v>
      </c>
      <c r="F38" s="32">
        <v>4</v>
      </c>
      <c r="G38" s="23">
        <v>4</v>
      </c>
      <c r="H38" s="23">
        <v>81679</v>
      </c>
      <c r="I38" s="32" t="s">
        <v>2689</v>
      </c>
      <c r="J38" s="23">
        <v>61549402</v>
      </c>
      <c r="K38" s="22" t="s">
        <v>6659</v>
      </c>
      <c r="L38" s="22" t="s">
        <v>6664</v>
      </c>
      <c r="M38" s="24">
        <v>99900</v>
      </c>
      <c r="N38" s="35">
        <f t="shared" si="7"/>
        <v>0.3</v>
      </c>
      <c r="O38" s="66">
        <f t="shared" si="0"/>
        <v>69930</v>
      </c>
      <c r="P38" s="86" t="s">
        <v>16</v>
      </c>
    </row>
    <row r="39" spans="1:16" x14ac:dyDescent="0.35">
      <c r="A39" s="23" t="str">
        <f t="shared" si="6"/>
        <v>2025 OCT-NOV DISC 30</v>
      </c>
      <c r="B39" s="33">
        <f t="shared" si="6"/>
        <v>46121</v>
      </c>
      <c r="C39" s="33">
        <f t="shared" si="6"/>
        <v>46127</v>
      </c>
      <c r="D39" s="32">
        <v>3321</v>
      </c>
      <c r="E39" s="32">
        <v>337</v>
      </c>
      <c r="F39" s="32">
        <v>4</v>
      </c>
      <c r="G39" s="23">
        <v>4</v>
      </c>
      <c r="H39" s="23">
        <v>81679</v>
      </c>
      <c r="I39" s="32" t="s">
        <v>2689</v>
      </c>
      <c r="J39" s="23">
        <v>61549411</v>
      </c>
      <c r="K39" s="22" t="s">
        <v>6659</v>
      </c>
      <c r="L39" s="22" t="s">
        <v>6663</v>
      </c>
      <c r="M39" s="24">
        <v>99900</v>
      </c>
      <c r="N39" s="35">
        <f t="shared" si="7"/>
        <v>0.3</v>
      </c>
      <c r="O39" s="66">
        <f t="shared" si="0"/>
        <v>69930</v>
      </c>
      <c r="P39" s="86" t="s">
        <v>16</v>
      </c>
    </row>
    <row r="40" spans="1:16" x14ac:dyDescent="0.35">
      <c r="A40" s="23" t="str">
        <f t="shared" si="6"/>
        <v>2025 OCT-NOV DISC 30</v>
      </c>
      <c r="B40" s="33">
        <f t="shared" si="6"/>
        <v>46121</v>
      </c>
      <c r="C40" s="33">
        <f t="shared" si="6"/>
        <v>46127</v>
      </c>
      <c r="D40" s="32">
        <v>3321</v>
      </c>
      <c r="E40" s="32">
        <v>337</v>
      </c>
      <c r="F40" s="32">
        <v>4</v>
      </c>
      <c r="G40" s="23">
        <v>4</v>
      </c>
      <c r="H40" s="23">
        <v>81679</v>
      </c>
      <c r="I40" s="32" t="s">
        <v>2689</v>
      </c>
      <c r="J40" s="23">
        <v>61549420</v>
      </c>
      <c r="K40" s="22" t="s">
        <v>6659</v>
      </c>
      <c r="L40" s="22" t="s">
        <v>6662</v>
      </c>
      <c r="M40" s="24">
        <v>99900</v>
      </c>
      <c r="N40" s="35">
        <f t="shared" si="7"/>
        <v>0.3</v>
      </c>
      <c r="O40" s="66">
        <f t="shared" si="0"/>
        <v>69930</v>
      </c>
      <c r="P40" s="86" t="s">
        <v>16</v>
      </c>
    </row>
    <row r="41" spans="1:16" x14ac:dyDescent="0.35">
      <c r="A41" s="23" t="str">
        <f t="shared" si="6"/>
        <v>2025 OCT-NOV DISC 30</v>
      </c>
      <c r="B41" s="33">
        <f t="shared" si="6"/>
        <v>46121</v>
      </c>
      <c r="C41" s="33">
        <f t="shared" si="6"/>
        <v>46127</v>
      </c>
      <c r="D41" s="32">
        <v>3321</v>
      </c>
      <c r="E41" s="32">
        <v>337</v>
      </c>
      <c r="F41" s="32">
        <v>4</v>
      </c>
      <c r="G41" s="23">
        <v>4</v>
      </c>
      <c r="H41" s="23">
        <v>81679</v>
      </c>
      <c r="I41" s="32" t="s">
        <v>2689</v>
      </c>
      <c r="J41" s="23">
        <v>61549439</v>
      </c>
      <c r="K41" s="22" t="s">
        <v>6659</v>
      </c>
      <c r="L41" s="22" t="s">
        <v>6661</v>
      </c>
      <c r="M41" s="24">
        <v>99900</v>
      </c>
      <c r="N41" s="35">
        <f t="shared" si="7"/>
        <v>0.3</v>
      </c>
      <c r="O41" s="66">
        <f t="shared" si="0"/>
        <v>69930</v>
      </c>
      <c r="P41" s="86" t="s">
        <v>16</v>
      </c>
    </row>
    <row r="42" spans="1:16" x14ac:dyDescent="0.35">
      <c r="A42" s="23" t="str">
        <f t="shared" si="6"/>
        <v>2025 OCT-NOV DISC 30</v>
      </c>
      <c r="B42" s="33">
        <f t="shared" si="6"/>
        <v>46121</v>
      </c>
      <c r="C42" s="33">
        <f t="shared" si="6"/>
        <v>46127</v>
      </c>
      <c r="D42" s="32">
        <v>3321</v>
      </c>
      <c r="E42" s="32">
        <v>337</v>
      </c>
      <c r="F42" s="32">
        <v>4</v>
      </c>
      <c r="G42" s="23">
        <v>4</v>
      </c>
      <c r="H42" s="23">
        <v>81679</v>
      </c>
      <c r="I42" s="32" t="s">
        <v>2689</v>
      </c>
      <c r="J42" s="23">
        <v>61549448</v>
      </c>
      <c r="K42" s="22" t="s">
        <v>6659</v>
      </c>
      <c r="L42" s="22" t="s">
        <v>6660</v>
      </c>
      <c r="M42" s="24">
        <v>99900</v>
      </c>
      <c r="N42" s="35">
        <f t="shared" si="7"/>
        <v>0.3</v>
      </c>
      <c r="O42" s="66">
        <f t="shared" si="0"/>
        <v>69930</v>
      </c>
      <c r="P42" s="86" t="s">
        <v>16</v>
      </c>
    </row>
    <row r="43" spans="1:16" x14ac:dyDescent="0.35">
      <c r="A43" s="23" t="str">
        <f t="shared" si="6"/>
        <v>2025 OCT-NOV DISC 30</v>
      </c>
      <c r="B43" s="33">
        <f t="shared" si="6"/>
        <v>46121</v>
      </c>
      <c r="C43" s="33">
        <f t="shared" si="6"/>
        <v>46127</v>
      </c>
      <c r="D43" s="32">
        <v>3321</v>
      </c>
      <c r="E43" s="32">
        <v>337</v>
      </c>
      <c r="F43" s="32">
        <v>4</v>
      </c>
      <c r="G43" s="23">
        <v>4</v>
      </c>
      <c r="H43" s="23">
        <v>81679</v>
      </c>
      <c r="I43" s="32" t="s">
        <v>2689</v>
      </c>
      <c r="J43" s="23">
        <v>61549457</v>
      </c>
      <c r="K43" s="22" t="s">
        <v>6659</v>
      </c>
      <c r="L43" s="22" t="s">
        <v>6658</v>
      </c>
      <c r="M43" s="24">
        <v>99900</v>
      </c>
      <c r="N43" s="35">
        <f t="shared" si="7"/>
        <v>0.3</v>
      </c>
      <c r="O43" s="66">
        <f t="shared" si="0"/>
        <v>69930</v>
      </c>
      <c r="P43" s="86" t="s">
        <v>16</v>
      </c>
    </row>
    <row r="44" spans="1:16" x14ac:dyDescent="0.35">
      <c r="A44" s="23" t="str">
        <f t="shared" ref="A44:C44" si="8">A43</f>
        <v>2025 OCT-NOV DISC 30</v>
      </c>
      <c r="B44" s="33">
        <f t="shared" si="8"/>
        <v>46121</v>
      </c>
      <c r="C44" s="33">
        <f t="shared" si="8"/>
        <v>46127</v>
      </c>
      <c r="D44" s="32">
        <v>3321</v>
      </c>
      <c r="E44" s="32">
        <v>337</v>
      </c>
      <c r="F44" s="32">
        <v>4</v>
      </c>
      <c r="G44" s="23">
        <v>1</v>
      </c>
      <c r="H44" s="23">
        <v>81588</v>
      </c>
      <c r="I44" s="32" t="s">
        <v>2689</v>
      </c>
      <c r="J44" s="23">
        <v>61548985</v>
      </c>
      <c r="K44" s="22" t="s">
        <v>5434</v>
      </c>
      <c r="L44" s="22" t="s">
        <v>6713</v>
      </c>
      <c r="M44" s="24">
        <v>99900</v>
      </c>
      <c r="N44" s="35">
        <f t="shared" ref="N44" si="9">N43</f>
        <v>0.3</v>
      </c>
      <c r="O44" s="66">
        <f t="shared" si="0"/>
        <v>69930</v>
      </c>
      <c r="P44" s="86" t="s">
        <v>16</v>
      </c>
    </row>
    <row r="45" spans="1:16" x14ac:dyDescent="0.35">
      <c r="A45" s="23" t="str">
        <f t="shared" ref="A45:C45" si="10">A44</f>
        <v>2025 OCT-NOV DISC 30</v>
      </c>
      <c r="B45" s="33">
        <f t="shared" si="10"/>
        <v>46121</v>
      </c>
      <c r="C45" s="33">
        <f t="shared" si="10"/>
        <v>46127</v>
      </c>
      <c r="D45" s="32">
        <v>3321</v>
      </c>
      <c r="E45" s="32">
        <v>337</v>
      </c>
      <c r="F45" s="32">
        <v>4</v>
      </c>
      <c r="G45" s="23">
        <v>1</v>
      </c>
      <c r="H45" s="23">
        <v>81588</v>
      </c>
      <c r="I45" s="32" t="s">
        <v>2689</v>
      </c>
      <c r="J45" s="23">
        <v>61548994</v>
      </c>
      <c r="K45" s="22" t="s">
        <v>5434</v>
      </c>
      <c r="L45" s="22" t="s">
        <v>6712</v>
      </c>
      <c r="M45" s="24">
        <v>99900</v>
      </c>
      <c r="N45" s="35">
        <f t="shared" ref="N45" si="11">N44</f>
        <v>0.3</v>
      </c>
      <c r="O45" s="66">
        <f t="shared" si="0"/>
        <v>69930</v>
      </c>
      <c r="P45" s="86" t="s">
        <v>16</v>
      </c>
    </row>
    <row r="46" spans="1:16" x14ac:dyDescent="0.35">
      <c r="A46" s="23" t="str">
        <f t="shared" ref="A46:C46" si="12">A45</f>
        <v>2025 OCT-NOV DISC 30</v>
      </c>
      <c r="B46" s="33">
        <f t="shared" si="12"/>
        <v>46121</v>
      </c>
      <c r="C46" s="33">
        <f t="shared" si="12"/>
        <v>46127</v>
      </c>
      <c r="D46" s="32">
        <v>3321</v>
      </c>
      <c r="E46" s="32">
        <v>337</v>
      </c>
      <c r="F46" s="32">
        <v>4</v>
      </c>
      <c r="G46" s="23">
        <v>1</v>
      </c>
      <c r="H46" s="23">
        <v>81588</v>
      </c>
      <c r="I46" s="32" t="s">
        <v>2689</v>
      </c>
      <c r="J46" s="23">
        <v>61549000</v>
      </c>
      <c r="K46" s="22" t="s">
        <v>5434</v>
      </c>
      <c r="L46" s="22" t="s">
        <v>6711</v>
      </c>
      <c r="M46" s="24">
        <v>99900</v>
      </c>
      <c r="N46" s="35">
        <f t="shared" ref="N46" si="13">N45</f>
        <v>0.3</v>
      </c>
      <c r="O46" s="66">
        <f t="shared" si="0"/>
        <v>69930</v>
      </c>
      <c r="P46" s="86" t="s">
        <v>16</v>
      </c>
    </row>
    <row r="47" spans="1:16" x14ac:dyDescent="0.35">
      <c r="A47" s="23" t="str">
        <f t="shared" ref="A47:C47" si="14">A46</f>
        <v>2025 OCT-NOV DISC 30</v>
      </c>
      <c r="B47" s="33">
        <f t="shared" si="14"/>
        <v>46121</v>
      </c>
      <c r="C47" s="33">
        <f t="shared" si="14"/>
        <v>46127</v>
      </c>
      <c r="D47" s="32">
        <v>3321</v>
      </c>
      <c r="E47" s="32">
        <v>337</v>
      </c>
      <c r="F47" s="32">
        <v>4</v>
      </c>
      <c r="G47" s="23">
        <v>1</v>
      </c>
      <c r="H47" s="23">
        <v>81588</v>
      </c>
      <c r="I47" s="32" t="s">
        <v>2689</v>
      </c>
      <c r="J47" s="23">
        <v>61549019</v>
      </c>
      <c r="K47" s="22" t="s">
        <v>5434</v>
      </c>
      <c r="L47" s="22" t="s">
        <v>6710</v>
      </c>
      <c r="M47" s="24">
        <v>99900</v>
      </c>
      <c r="N47" s="35">
        <f t="shared" ref="N47" si="15">N46</f>
        <v>0.3</v>
      </c>
      <c r="O47" s="66">
        <f t="shared" si="0"/>
        <v>69930</v>
      </c>
      <c r="P47" s="86" t="s">
        <v>16</v>
      </c>
    </row>
    <row r="48" spans="1:16" x14ac:dyDescent="0.35">
      <c r="A48" s="23" t="str">
        <f t="shared" ref="A48:C48" si="16">A47</f>
        <v>2025 OCT-NOV DISC 30</v>
      </c>
      <c r="B48" s="33">
        <f t="shared" si="16"/>
        <v>46121</v>
      </c>
      <c r="C48" s="33">
        <f t="shared" si="16"/>
        <v>46127</v>
      </c>
      <c r="D48" s="32">
        <v>3321</v>
      </c>
      <c r="E48" s="32">
        <v>337</v>
      </c>
      <c r="F48" s="32">
        <v>4</v>
      </c>
      <c r="G48" s="23">
        <v>1</v>
      </c>
      <c r="H48" s="23">
        <v>81588</v>
      </c>
      <c r="I48" s="32" t="s">
        <v>2689</v>
      </c>
      <c r="J48" s="23">
        <v>61549028</v>
      </c>
      <c r="K48" s="22" t="s">
        <v>5437</v>
      </c>
      <c r="L48" s="22" t="s">
        <v>6717</v>
      </c>
      <c r="M48" s="24">
        <v>99900</v>
      </c>
      <c r="N48" s="35">
        <f t="shared" ref="N48" si="17">N47</f>
        <v>0.3</v>
      </c>
      <c r="O48" s="66">
        <f t="shared" si="0"/>
        <v>69930</v>
      </c>
      <c r="P48" s="86" t="s">
        <v>16</v>
      </c>
    </row>
    <row r="49" spans="1:16" x14ac:dyDescent="0.35">
      <c r="A49" s="23" t="str">
        <f t="shared" ref="A49:C49" si="18">A48</f>
        <v>2025 OCT-NOV DISC 30</v>
      </c>
      <c r="B49" s="33">
        <f t="shared" si="18"/>
        <v>46121</v>
      </c>
      <c r="C49" s="33">
        <f t="shared" si="18"/>
        <v>46127</v>
      </c>
      <c r="D49" s="32">
        <v>3321</v>
      </c>
      <c r="E49" s="32">
        <v>337</v>
      </c>
      <c r="F49" s="32">
        <v>4</v>
      </c>
      <c r="G49" s="23">
        <v>1</v>
      </c>
      <c r="H49" s="23">
        <v>81588</v>
      </c>
      <c r="I49" s="32" t="s">
        <v>2689</v>
      </c>
      <c r="J49" s="23">
        <v>61549037</v>
      </c>
      <c r="K49" s="22" t="s">
        <v>5437</v>
      </c>
      <c r="L49" s="22" t="s">
        <v>6716</v>
      </c>
      <c r="M49" s="24">
        <v>99900</v>
      </c>
      <c r="N49" s="35">
        <f t="shared" ref="N49" si="19">N48</f>
        <v>0.3</v>
      </c>
      <c r="O49" s="66">
        <f t="shared" si="0"/>
        <v>69930</v>
      </c>
      <c r="P49" s="86" t="s">
        <v>16</v>
      </c>
    </row>
    <row r="50" spans="1:16" x14ac:dyDescent="0.35">
      <c r="A50" s="23" t="str">
        <f t="shared" ref="A50:C50" si="20">A49</f>
        <v>2025 OCT-NOV DISC 30</v>
      </c>
      <c r="B50" s="33">
        <f t="shared" si="20"/>
        <v>46121</v>
      </c>
      <c r="C50" s="33">
        <f t="shared" si="20"/>
        <v>46127</v>
      </c>
      <c r="D50" s="32">
        <v>3321</v>
      </c>
      <c r="E50" s="32">
        <v>337</v>
      </c>
      <c r="F50" s="32">
        <v>4</v>
      </c>
      <c r="G50" s="23">
        <v>1</v>
      </c>
      <c r="H50" s="23">
        <v>81588</v>
      </c>
      <c r="I50" s="32" t="s">
        <v>2689</v>
      </c>
      <c r="J50" s="23">
        <v>61549046</v>
      </c>
      <c r="K50" s="22" t="s">
        <v>5437</v>
      </c>
      <c r="L50" s="22" t="s">
        <v>6715</v>
      </c>
      <c r="M50" s="24">
        <v>99900</v>
      </c>
      <c r="N50" s="35">
        <f t="shared" ref="N50" si="21">N49</f>
        <v>0.3</v>
      </c>
      <c r="O50" s="66">
        <f t="shared" si="0"/>
        <v>69930</v>
      </c>
      <c r="P50" s="86" t="s">
        <v>16</v>
      </c>
    </row>
    <row r="51" spans="1:16" x14ac:dyDescent="0.35">
      <c r="A51" s="23" t="str">
        <f t="shared" ref="A51:C51" si="22">A50</f>
        <v>2025 OCT-NOV DISC 30</v>
      </c>
      <c r="B51" s="33">
        <f t="shared" si="22"/>
        <v>46121</v>
      </c>
      <c r="C51" s="33">
        <f t="shared" si="22"/>
        <v>46127</v>
      </c>
      <c r="D51" s="32">
        <v>3321</v>
      </c>
      <c r="E51" s="32">
        <v>337</v>
      </c>
      <c r="F51" s="32">
        <v>4</v>
      </c>
      <c r="G51" s="23">
        <v>1</v>
      </c>
      <c r="H51" s="23">
        <v>81588</v>
      </c>
      <c r="I51" s="32" t="s">
        <v>2689</v>
      </c>
      <c r="J51" s="23">
        <v>61549055</v>
      </c>
      <c r="K51" s="22" t="s">
        <v>5437</v>
      </c>
      <c r="L51" s="22" t="s">
        <v>6714</v>
      </c>
      <c r="M51" s="24">
        <v>99900</v>
      </c>
      <c r="N51" s="35">
        <f t="shared" ref="N51" si="23">N50</f>
        <v>0.3</v>
      </c>
      <c r="O51" s="66">
        <f t="shared" si="0"/>
        <v>69930</v>
      </c>
      <c r="P51" s="86" t="s">
        <v>16</v>
      </c>
    </row>
    <row r="52" spans="1:16" x14ac:dyDescent="0.35">
      <c r="A52" s="23" t="str">
        <f t="shared" ref="A52:C52" si="24">A51</f>
        <v>2025 OCT-NOV DISC 30</v>
      </c>
      <c r="B52" s="33">
        <f t="shared" si="24"/>
        <v>46121</v>
      </c>
      <c r="C52" s="33">
        <f t="shared" si="24"/>
        <v>46127</v>
      </c>
      <c r="D52" s="32">
        <v>3321</v>
      </c>
      <c r="E52" s="32">
        <v>337</v>
      </c>
      <c r="F52" s="32">
        <v>4</v>
      </c>
      <c r="G52" s="23">
        <v>1</v>
      </c>
      <c r="H52" s="23">
        <v>81588</v>
      </c>
      <c r="I52" s="32" t="s">
        <v>2689</v>
      </c>
      <c r="J52" s="23">
        <v>61549064</v>
      </c>
      <c r="K52" s="22" t="s">
        <v>6719</v>
      </c>
      <c r="L52" s="22" t="s">
        <v>6722</v>
      </c>
      <c r="M52" s="24">
        <v>129900</v>
      </c>
      <c r="N52" s="35">
        <f t="shared" ref="N52" si="25">N51</f>
        <v>0.3</v>
      </c>
      <c r="O52" s="66">
        <f t="shared" si="0"/>
        <v>90930</v>
      </c>
      <c r="P52" s="86" t="s">
        <v>16</v>
      </c>
    </row>
    <row r="53" spans="1:16" x14ac:dyDescent="0.35">
      <c r="A53" s="23" t="str">
        <f t="shared" ref="A53:C53" si="26">A52</f>
        <v>2025 OCT-NOV DISC 30</v>
      </c>
      <c r="B53" s="33">
        <f t="shared" si="26"/>
        <v>46121</v>
      </c>
      <c r="C53" s="33">
        <f t="shared" si="26"/>
        <v>46127</v>
      </c>
      <c r="D53" s="32">
        <v>3321</v>
      </c>
      <c r="E53" s="32">
        <v>337</v>
      </c>
      <c r="F53" s="32">
        <v>4</v>
      </c>
      <c r="G53" s="23">
        <v>1</v>
      </c>
      <c r="H53" s="23">
        <v>81588</v>
      </c>
      <c r="I53" s="32" t="s">
        <v>2689</v>
      </c>
      <c r="J53" s="23">
        <v>61549073</v>
      </c>
      <c r="K53" s="22" t="s">
        <v>6719</v>
      </c>
      <c r="L53" s="22" t="s">
        <v>6721</v>
      </c>
      <c r="M53" s="24">
        <v>129900</v>
      </c>
      <c r="N53" s="35">
        <f t="shared" ref="N53" si="27">N52</f>
        <v>0.3</v>
      </c>
      <c r="O53" s="66">
        <f t="shared" si="0"/>
        <v>90930</v>
      </c>
      <c r="P53" s="86" t="s">
        <v>16</v>
      </c>
    </row>
    <row r="54" spans="1:16" x14ac:dyDescent="0.35">
      <c r="A54" s="23" t="str">
        <f t="shared" ref="A54:C54" si="28">A53</f>
        <v>2025 OCT-NOV DISC 30</v>
      </c>
      <c r="B54" s="33">
        <f t="shared" si="28"/>
        <v>46121</v>
      </c>
      <c r="C54" s="33">
        <f t="shared" si="28"/>
        <v>46127</v>
      </c>
      <c r="D54" s="32">
        <v>3321</v>
      </c>
      <c r="E54" s="32">
        <v>337</v>
      </c>
      <c r="F54" s="32">
        <v>4</v>
      </c>
      <c r="G54" s="23">
        <v>1</v>
      </c>
      <c r="H54" s="23">
        <v>81588</v>
      </c>
      <c r="I54" s="32" t="s">
        <v>2689</v>
      </c>
      <c r="J54" s="23">
        <v>61549082</v>
      </c>
      <c r="K54" s="22" t="s">
        <v>6719</v>
      </c>
      <c r="L54" s="22" t="s">
        <v>6720</v>
      </c>
      <c r="M54" s="24">
        <v>129900</v>
      </c>
      <c r="N54" s="35">
        <f t="shared" ref="N54" si="29">N53</f>
        <v>0.3</v>
      </c>
      <c r="O54" s="66">
        <f t="shared" si="0"/>
        <v>90930</v>
      </c>
      <c r="P54" s="86" t="s">
        <v>16</v>
      </c>
    </row>
    <row r="55" spans="1:16" x14ac:dyDescent="0.35">
      <c r="A55" s="23" t="str">
        <f t="shared" ref="A55:C55" si="30">A54</f>
        <v>2025 OCT-NOV DISC 30</v>
      </c>
      <c r="B55" s="33">
        <f t="shared" si="30"/>
        <v>46121</v>
      </c>
      <c r="C55" s="33">
        <f t="shared" si="30"/>
        <v>46127</v>
      </c>
      <c r="D55" s="32">
        <v>3321</v>
      </c>
      <c r="E55" s="32">
        <v>337</v>
      </c>
      <c r="F55" s="32">
        <v>4</v>
      </c>
      <c r="G55" s="23">
        <v>1</v>
      </c>
      <c r="H55" s="23">
        <v>81588</v>
      </c>
      <c r="I55" s="32" t="s">
        <v>2689</v>
      </c>
      <c r="J55" s="23">
        <v>61549091</v>
      </c>
      <c r="K55" s="22" t="s">
        <v>6719</v>
      </c>
      <c r="L55" s="22" t="s">
        <v>6718</v>
      </c>
      <c r="M55" s="24">
        <v>129900</v>
      </c>
      <c r="N55" s="35">
        <f t="shared" ref="N55" si="31">N54</f>
        <v>0.3</v>
      </c>
      <c r="O55" s="66">
        <f t="shared" si="0"/>
        <v>90930</v>
      </c>
      <c r="P55" s="86" t="s">
        <v>16</v>
      </c>
    </row>
    <row r="56" spans="1:16" customFormat="1" x14ac:dyDescent="0.35">
      <c r="A56" s="23" t="str">
        <f t="shared" ref="A56:C56" si="32">A55</f>
        <v>2025 OCT-NOV DISC 30</v>
      </c>
      <c r="B56" s="33">
        <f t="shared" si="32"/>
        <v>46121</v>
      </c>
      <c r="C56" s="33">
        <f t="shared" si="32"/>
        <v>46127</v>
      </c>
      <c r="D56" s="32">
        <v>3321</v>
      </c>
      <c r="E56" s="32">
        <v>337</v>
      </c>
      <c r="F56" s="32">
        <v>4</v>
      </c>
      <c r="G56" s="23">
        <v>1</v>
      </c>
      <c r="H56" s="23">
        <v>81679</v>
      </c>
      <c r="I56" s="32" t="s">
        <v>2689</v>
      </c>
      <c r="J56" s="23">
        <v>61549108</v>
      </c>
      <c r="K56" s="22" t="s">
        <v>6690</v>
      </c>
      <c r="L56" s="22" t="s">
        <v>6695</v>
      </c>
      <c r="M56" s="24">
        <v>99900</v>
      </c>
      <c r="N56" s="35">
        <f t="shared" ref="N56" si="33">N55</f>
        <v>0.3</v>
      </c>
      <c r="O56" s="66">
        <f t="shared" si="0"/>
        <v>69930</v>
      </c>
      <c r="P56" s="86" t="s">
        <v>16</v>
      </c>
    </row>
    <row r="57" spans="1:16" customFormat="1" x14ac:dyDescent="0.35">
      <c r="A57" s="23" t="str">
        <f t="shared" ref="A57:C57" si="34">A56</f>
        <v>2025 OCT-NOV DISC 30</v>
      </c>
      <c r="B57" s="33">
        <f t="shared" si="34"/>
        <v>46121</v>
      </c>
      <c r="C57" s="33">
        <f t="shared" si="34"/>
        <v>46127</v>
      </c>
      <c r="D57" s="32">
        <v>3321</v>
      </c>
      <c r="E57" s="32">
        <v>337</v>
      </c>
      <c r="F57" s="32">
        <v>4</v>
      </c>
      <c r="G57" s="23">
        <v>1</v>
      </c>
      <c r="H57" s="23">
        <v>81679</v>
      </c>
      <c r="I57" s="32" t="s">
        <v>2689</v>
      </c>
      <c r="J57" s="23">
        <v>61549117</v>
      </c>
      <c r="K57" s="22" t="s">
        <v>6690</v>
      </c>
      <c r="L57" s="22" t="s">
        <v>6694</v>
      </c>
      <c r="M57" s="24">
        <v>99900</v>
      </c>
      <c r="N57" s="35">
        <f t="shared" ref="N57" si="35">N56</f>
        <v>0.3</v>
      </c>
      <c r="O57" s="66">
        <f t="shared" si="0"/>
        <v>69930</v>
      </c>
      <c r="P57" s="86" t="s">
        <v>16</v>
      </c>
    </row>
    <row r="58" spans="1:16" customFormat="1" x14ac:dyDescent="0.35">
      <c r="A58" s="23" t="str">
        <f t="shared" ref="A58:C58" si="36">A57</f>
        <v>2025 OCT-NOV DISC 30</v>
      </c>
      <c r="B58" s="33">
        <f t="shared" si="36"/>
        <v>46121</v>
      </c>
      <c r="C58" s="33">
        <f t="shared" si="36"/>
        <v>46127</v>
      </c>
      <c r="D58" s="32">
        <v>3321</v>
      </c>
      <c r="E58" s="32">
        <v>337</v>
      </c>
      <c r="F58" s="32">
        <v>4</v>
      </c>
      <c r="G58" s="23">
        <v>1</v>
      </c>
      <c r="H58" s="23">
        <v>81679</v>
      </c>
      <c r="I58" s="32" t="s">
        <v>2689</v>
      </c>
      <c r="J58" s="23">
        <v>61549126</v>
      </c>
      <c r="K58" s="22" t="s">
        <v>6690</v>
      </c>
      <c r="L58" s="22" t="s">
        <v>6693</v>
      </c>
      <c r="M58" s="24">
        <v>99900</v>
      </c>
      <c r="N58" s="35">
        <f t="shared" ref="N58" si="37">N57</f>
        <v>0.3</v>
      </c>
      <c r="O58" s="66">
        <f t="shared" si="0"/>
        <v>69930</v>
      </c>
      <c r="P58" s="86" t="s">
        <v>16</v>
      </c>
    </row>
    <row r="59" spans="1:16" customFormat="1" x14ac:dyDescent="0.35">
      <c r="A59" s="23" t="str">
        <f t="shared" ref="A59:C59" si="38">A58</f>
        <v>2025 OCT-NOV DISC 30</v>
      </c>
      <c r="B59" s="33">
        <f t="shared" si="38"/>
        <v>46121</v>
      </c>
      <c r="C59" s="33">
        <f t="shared" si="38"/>
        <v>46127</v>
      </c>
      <c r="D59" s="32">
        <v>3321</v>
      </c>
      <c r="E59" s="32">
        <v>337</v>
      </c>
      <c r="F59" s="32">
        <v>4</v>
      </c>
      <c r="G59" s="23">
        <v>1</v>
      </c>
      <c r="H59" s="23">
        <v>81679</v>
      </c>
      <c r="I59" s="32" t="s">
        <v>2689</v>
      </c>
      <c r="J59" s="23">
        <v>61549135</v>
      </c>
      <c r="K59" s="22" t="s">
        <v>6690</v>
      </c>
      <c r="L59" s="22" t="s">
        <v>6692</v>
      </c>
      <c r="M59" s="24">
        <v>99900</v>
      </c>
      <c r="N59" s="35">
        <f t="shared" ref="N59" si="39">N58</f>
        <v>0.3</v>
      </c>
      <c r="O59" s="66">
        <f t="shared" si="0"/>
        <v>69930</v>
      </c>
      <c r="P59" s="86" t="s">
        <v>16</v>
      </c>
    </row>
    <row r="60" spans="1:16" customFormat="1" x14ac:dyDescent="0.35">
      <c r="A60" s="23" t="str">
        <f t="shared" ref="A60:C60" si="40">A59</f>
        <v>2025 OCT-NOV DISC 30</v>
      </c>
      <c r="B60" s="33">
        <f t="shared" si="40"/>
        <v>46121</v>
      </c>
      <c r="C60" s="33">
        <f t="shared" si="40"/>
        <v>46127</v>
      </c>
      <c r="D60" s="32">
        <v>3321</v>
      </c>
      <c r="E60" s="32">
        <v>337</v>
      </c>
      <c r="F60" s="32">
        <v>4</v>
      </c>
      <c r="G60" s="23">
        <v>1</v>
      </c>
      <c r="H60" s="23">
        <v>81679</v>
      </c>
      <c r="I60" s="32" t="s">
        <v>2689</v>
      </c>
      <c r="J60" s="23">
        <v>61549144</v>
      </c>
      <c r="K60" s="22" t="s">
        <v>6690</v>
      </c>
      <c r="L60" s="22" t="s">
        <v>6691</v>
      </c>
      <c r="M60" s="24">
        <v>99900</v>
      </c>
      <c r="N60" s="35">
        <f t="shared" ref="N60" si="41">N59</f>
        <v>0.3</v>
      </c>
      <c r="O60" s="66">
        <f t="shared" si="0"/>
        <v>69930</v>
      </c>
      <c r="P60" s="86" t="s">
        <v>16</v>
      </c>
    </row>
    <row r="61" spans="1:16" customFormat="1" x14ac:dyDescent="0.35">
      <c r="A61" s="23" t="str">
        <f t="shared" ref="A61:C61" si="42">A60</f>
        <v>2025 OCT-NOV DISC 30</v>
      </c>
      <c r="B61" s="33">
        <f t="shared" si="42"/>
        <v>46121</v>
      </c>
      <c r="C61" s="33">
        <f t="shared" si="42"/>
        <v>46127</v>
      </c>
      <c r="D61" s="32">
        <v>3321</v>
      </c>
      <c r="E61" s="32">
        <v>337</v>
      </c>
      <c r="F61" s="32">
        <v>4</v>
      </c>
      <c r="G61" s="23">
        <v>1</v>
      </c>
      <c r="H61" s="23">
        <v>81679</v>
      </c>
      <c r="I61" s="32" t="s">
        <v>2689</v>
      </c>
      <c r="J61" s="23">
        <v>61549153</v>
      </c>
      <c r="K61" s="22" t="s">
        <v>6690</v>
      </c>
      <c r="L61" s="22" t="s">
        <v>6689</v>
      </c>
      <c r="M61" s="24">
        <v>99900</v>
      </c>
      <c r="N61" s="35">
        <f t="shared" ref="N61" si="43">N60</f>
        <v>0.3</v>
      </c>
      <c r="O61" s="66">
        <f t="shared" si="0"/>
        <v>69930</v>
      </c>
      <c r="P61" s="86" t="s">
        <v>16</v>
      </c>
    </row>
    <row r="62" spans="1:16" customFormat="1" x14ac:dyDescent="0.35">
      <c r="A62" s="23" t="str">
        <f t="shared" ref="A62:C62" si="44">A61</f>
        <v>2025 OCT-NOV DISC 30</v>
      </c>
      <c r="B62" s="33">
        <f t="shared" si="44"/>
        <v>46121</v>
      </c>
      <c r="C62" s="33">
        <f t="shared" si="44"/>
        <v>46127</v>
      </c>
      <c r="D62" s="32">
        <v>3321</v>
      </c>
      <c r="E62" s="32">
        <v>337</v>
      </c>
      <c r="F62" s="32">
        <v>4</v>
      </c>
      <c r="G62" s="23">
        <v>1</v>
      </c>
      <c r="H62" s="23">
        <v>81679</v>
      </c>
      <c r="I62" s="32" t="s">
        <v>2689</v>
      </c>
      <c r="J62" s="23">
        <v>61549162</v>
      </c>
      <c r="K62" s="22" t="s">
        <v>6683</v>
      </c>
      <c r="L62" s="22" t="s">
        <v>6688</v>
      </c>
      <c r="M62" s="24">
        <v>99900</v>
      </c>
      <c r="N62" s="35">
        <f t="shared" ref="N62" si="45">N61</f>
        <v>0.3</v>
      </c>
      <c r="O62" s="66">
        <f t="shared" si="0"/>
        <v>69930</v>
      </c>
      <c r="P62" s="86" t="s">
        <v>16</v>
      </c>
    </row>
    <row r="63" spans="1:16" customFormat="1" x14ac:dyDescent="0.35">
      <c r="A63" s="23" t="str">
        <f t="shared" ref="A63:C63" si="46">A62</f>
        <v>2025 OCT-NOV DISC 30</v>
      </c>
      <c r="B63" s="33">
        <f t="shared" si="46"/>
        <v>46121</v>
      </c>
      <c r="C63" s="33">
        <f t="shared" si="46"/>
        <v>46127</v>
      </c>
      <c r="D63" s="32">
        <v>3321</v>
      </c>
      <c r="E63" s="32">
        <v>337</v>
      </c>
      <c r="F63" s="32">
        <v>4</v>
      </c>
      <c r="G63" s="23">
        <v>1</v>
      </c>
      <c r="H63" s="23">
        <v>81679</v>
      </c>
      <c r="I63" s="32" t="s">
        <v>2689</v>
      </c>
      <c r="J63" s="23">
        <v>61549171</v>
      </c>
      <c r="K63" s="22" t="s">
        <v>6683</v>
      </c>
      <c r="L63" s="22" t="s">
        <v>6687</v>
      </c>
      <c r="M63" s="24">
        <v>99900</v>
      </c>
      <c r="N63" s="35">
        <f t="shared" ref="N63" si="47">N62</f>
        <v>0.3</v>
      </c>
      <c r="O63" s="66">
        <f t="shared" ref="O63:O97" si="48">M63-((30*M63)/100)</f>
        <v>69930</v>
      </c>
      <c r="P63" s="86" t="s">
        <v>16</v>
      </c>
    </row>
    <row r="64" spans="1:16" customFormat="1" x14ac:dyDescent="0.35">
      <c r="A64" s="23" t="str">
        <f t="shared" ref="A64:C64" si="49">A63</f>
        <v>2025 OCT-NOV DISC 30</v>
      </c>
      <c r="B64" s="33">
        <f t="shared" si="49"/>
        <v>46121</v>
      </c>
      <c r="C64" s="33">
        <f t="shared" si="49"/>
        <v>46127</v>
      </c>
      <c r="D64" s="32">
        <v>3321</v>
      </c>
      <c r="E64" s="32">
        <v>337</v>
      </c>
      <c r="F64" s="32">
        <v>4</v>
      </c>
      <c r="G64" s="23">
        <v>1</v>
      </c>
      <c r="H64" s="23">
        <v>81679</v>
      </c>
      <c r="I64" s="32" t="s">
        <v>2689</v>
      </c>
      <c r="J64" s="23">
        <v>61549180</v>
      </c>
      <c r="K64" s="22" t="s">
        <v>6683</v>
      </c>
      <c r="L64" s="22" t="s">
        <v>6686</v>
      </c>
      <c r="M64" s="24">
        <v>99900</v>
      </c>
      <c r="N64" s="35">
        <f t="shared" ref="N64" si="50">N63</f>
        <v>0.3</v>
      </c>
      <c r="O64" s="66">
        <f t="shared" si="48"/>
        <v>69930</v>
      </c>
      <c r="P64" s="86" t="s">
        <v>16</v>
      </c>
    </row>
    <row r="65" spans="1:16" customFormat="1" x14ac:dyDescent="0.35">
      <c r="A65" s="23" t="str">
        <f t="shared" ref="A65:C65" si="51">A64</f>
        <v>2025 OCT-NOV DISC 30</v>
      </c>
      <c r="B65" s="33">
        <f t="shared" si="51"/>
        <v>46121</v>
      </c>
      <c r="C65" s="33">
        <f t="shared" si="51"/>
        <v>46127</v>
      </c>
      <c r="D65" s="32">
        <v>3321</v>
      </c>
      <c r="E65" s="32">
        <v>337</v>
      </c>
      <c r="F65" s="32">
        <v>4</v>
      </c>
      <c r="G65" s="23">
        <v>1</v>
      </c>
      <c r="H65" s="23">
        <v>81679</v>
      </c>
      <c r="I65" s="32" t="s">
        <v>2689</v>
      </c>
      <c r="J65" s="23">
        <v>61549199</v>
      </c>
      <c r="K65" s="22" t="s">
        <v>6683</v>
      </c>
      <c r="L65" s="22" t="s">
        <v>6685</v>
      </c>
      <c r="M65" s="24">
        <v>99900</v>
      </c>
      <c r="N65" s="35">
        <f t="shared" ref="N65" si="52">N64</f>
        <v>0.3</v>
      </c>
      <c r="O65" s="66">
        <f t="shared" si="48"/>
        <v>69930</v>
      </c>
      <c r="P65" s="86" t="s">
        <v>16</v>
      </c>
    </row>
    <row r="66" spans="1:16" customFormat="1" x14ac:dyDescent="0.35">
      <c r="A66" s="23" t="str">
        <f t="shared" ref="A66:C66" si="53">A65</f>
        <v>2025 OCT-NOV DISC 30</v>
      </c>
      <c r="B66" s="33">
        <f t="shared" si="53"/>
        <v>46121</v>
      </c>
      <c r="C66" s="33">
        <f t="shared" si="53"/>
        <v>46127</v>
      </c>
      <c r="D66" s="32">
        <v>3321</v>
      </c>
      <c r="E66" s="32">
        <v>337</v>
      </c>
      <c r="F66" s="32">
        <v>4</v>
      </c>
      <c r="G66" s="23">
        <v>1</v>
      </c>
      <c r="H66" s="23">
        <v>81679</v>
      </c>
      <c r="I66" s="32" t="s">
        <v>2689</v>
      </c>
      <c r="J66" s="23">
        <v>61549206</v>
      </c>
      <c r="K66" s="22" t="s">
        <v>6683</v>
      </c>
      <c r="L66" s="22" t="s">
        <v>6684</v>
      </c>
      <c r="M66" s="24">
        <v>99900</v>
      </c>
      <c r="N66" s="35">
        <f t="shared" ref="N66" si="54">N65</f>
        <v>0.3</v>
      </c>
      <c r="O66" s="66">
        <f t="shared" si="48"/>
        <v>69930</v>
      </c>
      <c r="P66" s="86" t="s">
        <v>16</v>
      </c>
    </row>
    <row r="67" spans="1:16" customFormat="1" x14ac:dyDescent="0.35">
      <c r="A67" s="23" t="str">
        <f t="shared" ref="A67:C67" si="55">A66</f>
        <v>2025 OCT-NOV DISC 30</v>
      </c>
      <c r="B67" s="33">
        <f t="shared" si="55"/>
        <v>46121</v>
      </c>
      <c r="C67" s="33">
        <f t="shared" si="55"/>
        <v>46127</v>
      </c>
      <c r="D67" s="32">
        <v>3321</v>
      </c>
      <c r="E67" s="32">
        <v>337</v>
      </c>
      <c r="F67" s="32">
        <v>4</v>
      </c>
      <c r="G67" s="23">
        <v>1</v>
      </c>
      <c r="H67" s="23">
        <v>81679</v>
      </c>
      <c r="I67" s="32" t="s">
        <v>2689</v>
      </c>
      <c r="J67" s="23">
        <v>61549215</v>
      </c>
      <c r="K67" s="22" t="s">
        <v>6683</v>
      </c>
      <c r="L67" s="22" t="s">
        <v>6682</v>
      </c>
      <c r="M67" s="24">
        <v>99900</v>
      </c>
      <c r="N67" s="35">
        <f t="shared" ref="N67" si="56">N66</f>
        <v>0.3</v>
      </c>
      <c r="O67" s="66">
        <f t="shared" si="48"/>
        <v>69930</v>
      </c>
      <c r="P67" s="86" t="s">
        <v>16</v>
      </c>
    </row>
    <row r="68" spans="1:16" customFormat="1" x14ac:dyDescent="0.35">
      <c r="A68" s="23" t="str">
        <f t="shared" ref="A68:C68" si="57">A67</f>
        <v>2025 OCT-NOV DISC 30</v>
      </c>
      <c r="B68" s="33">
        <f t="shared" si="57"/>
        <v>46121</v>
      </c>
      <c r="C68" s="33">
        <f t="shared" si="57"/>
        <v>46127</v>
      </c>
      <c r="D68" s="32">
        <v>3321</v>
      </c>
      <c r="E68" s="32">
        <v>337</v>
      </c>
      <c r="F68" s="32">
        <v>4</v>
      </c>
      <c r="G68" s="23">
        <v>1</v>
      </c>
      <c r="H68" s="23">
        <v>81679</v>
      </c>
      <c r="I68" s="32" t="s">
        <v>2689</v>
      </c>
      <c r="J68" s="23">
        <v>61549224</v>
      </c>
      <c r="K68" s="22" t="s">
        <v>6697</v>
      </c>
      <c r="L68" s="22" t="s">
        <v>6702</v>
      </c>
      <c r="M68" s="24">
        <v>99900</v>
      </c>
      <c r="N68" s="35">
        <f t="shared" ref="N68" si="58">N67</f>
        <v>0.3</v>
      </c>
      <c r="O68" s="66">
        <f t="shared" si="48"/>
        <v>69930</v>
      </c>
      <c r="P68" s="86" t="s">
        <v>16</v>
      </c>
    </row>
    <row r="69" spans="1:16" customFormat="1" x14ac:dyDescent="0.35">
      <c r="A69" s="23" t="str">
        <f t="shared" ref="A69:C69" si="59">A68</f>
        <v>2025 OCT-NOV DISC 30</v>
      </c>
      <c r="B69" s="33">
        <f t="shared" si="59"/>
        <v>46121</v>
      </c>
      <c r="C69" s="33">
        <f t="shared" si="59"/>
        <v>46127</v>
      </c>
      <c r="D69" s="32">
        <v>3321</v>
      </c>
      <c r="E69" s="32">
        <v>337</v>
      </c>
      <c r="F69" s="32">
        <v>4</v>
      </c>
      <c r="G69" s="23">
        <v>1</v>
      </c>
      <c r="H69" s="23">
        <v>81679</v>
      </c>
      <c r="I69" s="32" t="s">
        <v>2689</v>
      </c>
      <c r="J69" s="23">
        <v>61549233</v>
      </c>
      <c r="K69" s="22" t="s">
        <v>6697</v>
      </c>
      <c r="L69" s="22" t="s">
        <v>6701</v>
      </c>
      <c r="M69" s="24">
        <v>99900</v>
      </c>
      <c r="N69" s="35">
        <f t="shared" ref="N69" si="60">N68</f>
        <v>0.3</v>
      </c>
      <c r="O69" s="66">
        <f t="shared" si="48"/>
        <v>69930</v>
      </c>
      <c r="P69" s="86" t="s">
        <v>16</v>
      </c>
    </row>
    <row r="70" spans="1:16" customFormat="1" x14ac:dyDescent="0.35">
      <c r="A70" s="23" t="str">
        <f t="shared" ref="A70:C70" si="61">A69</f>
        <v>2025 OCT-NOV DISC 30</v>
      </c>
      <c r="B70" s="33">
        <f t="shared" si="61"/>
        <v>46121</v>
      </c>
      <c r="C70" s="33">
        <f t="shared" si="61"/>
        <v>46127</v>
      </c>
      <c r="D70" s="32">
        <v>3321</v>
      </c>
      <c r="E70" s="32">
        <v>337</v>
      </c>
      <c r="F70" s="32">
        <v>4</v>
      </c>
      <c r="G70" s="23">
        <v>1</v>
      </c>
      <c r="H70" s="23">
        <v>81679</v>
      </c>
      <c r="I70" s="32" t="s">
        <v>2689</v>
      </c>
      <c r="J70" s="23">
        <v>61549242</v>
      </c>
      <c r="K70" s="22" t="s">
        <v>6697</v>
      </c>
      <c r="L70" s="22" t="s">
        <v>6700</v>
      </c>
      <c r="M70" s="24">
        <v>99900</v>
      </c>
      <c r="N70" s="35">
        <f t="shared" ref="N70" si="62">N69</f>
        <v>0.3</v>
      </c>
      <c r="O70" s="66">
        <f t="shared" si="48"/>
        <v>69930</v>
      </c>
      <c r="P70" s="86" t="s">
        <v>16</v>
      </c>
    </row>
    <row r="71" spans="1:16" customFormat="1" x14ac:dyDescent="0.35">
      <c r="A71" s="23" t="str">
        <f t="shared" ref="A71:C71" si="63">A70</f>
        <v>2025 OCT-NOV DISC 30</v>
      </c>
      <c r="B71" s="33">
        <f t="shared" si="63"/>
        <v>46121</v>
      </c>
      <c r="C71" s="33">
        <f t="shared" si="63"/>
        <v>46127</v>
      </c>
      <c r="D71" s="32">
        <v>3321</v>
      </c>
      <c r="E71" s="32">
        <v>337</v>
      </c>
      <c r="F71" s="32">
        <v>4</v>
      </c>
      <c r="G71" s="23">
        <v>1</v>
      </c>
      <c r="H71" s="23">
        <v>81679</v>
      </c>
      <c r="I71" s="32" t="s">
        <v>2689</v>
      </c>
      <c r="J71" s="23">
        <v>61549251</v>
      </c>
      <c r="K71" s="22" t="s">
        <v>6697</v>
      </c>
      <c r="L71" s="22" t="s">
        <v>6699</v>
      </c>
      <c r="M71" s="24">
        <v>99900</v>
      </c>
      <c r="N71" s="35">
        <f t="shared" ref="N71" si="64">N70</f>
        <v>0.3</v>
      </c>
      <c r="O71" s="66">
        <f t="shared" si="48"/>
        <v>69930</v>
      </c>
      <c r="P71" s="86" t="s">
        <v>16</v>
      </c>
    </row>
    <row r="72" spans="1:16" customFormat="1" x14ac:dyDescent="0.35">
      <c r="A72" s="23" t="str">
        <f t="shared" ref="A72:C72" si="65">A71</f>
        <v>2025 OCT-NOV DISC 30</v>
      </c>
      <c r="B72" s="33">
        <f t="shared" si="65"/>
        <v>46121</v>
      </c>
      <c r="C72" s="33">
        <f t="shared" si="65"/>
        <v>46127</v>
      </c>
      <c r="D72" s="32">
        <v>3321</v>
      </c>
      <c r="E72" s="32">
        <v>337</v>
      </c>
      <c r="F72" s="32">
        <v>4</v>
      </c>
      <c r="G72" s="23">
        <v>1</v>
      </c>
      <c r="H72" s="23">
        <v>81679</v>
      </c>
      <c r="I72" s="32" t="s">
        <v>2689</v>
      </c>
      <c r="J72" s="23">
        <v>61549260</v>
      </c>
      <c r="K72" s="22" t="s">
        <v>6697</v>
      </c>
      <c r="L72" s="22" t="s">
        <v>6698</v>
      </c>
      <c r="M72" s="24">
        <v>99900</v>
      </c>
      <c r="N72" s="35">
        <f t="shared" ref="N72" si="66">N71</f>
        <v>0.3</v>
      </c>
      <c r="O72" s="66">
        <f t="shared" si="48"/>
        <v>69930</v>
      </c>
      <c r="P72" s="86" t="s">
        <v>16</v>
      </c>
    </row>
    <row r="73" spans="1:16" customFormat="1" x14ac:dyDescent="0.35">
      <c r="A73" s="23" t="str">
        <f t="shared" ref="A73:C73" si="67">A72</f>
        <v>2025 OCT-NOV DISC 30</v>
      </c>
      <c r="B73" s="33">
        <f t="shared" si="67"/>
        <v>46121</v>
      </c>
      <c r="C73" s="33">
        <f t="shared" si="67"/>
        <v>46127</v>
      </c>
      <c r="D73" s="32">
        <v>3321</v>
      </c>
      <c r="E73" s="32">
        <v>337</v>
      </c>
      <c r="F73" s="32">
        <v>4</v>
      </c>
      <c r="G73" s="23">
        <v>1</v>
      </c>
      <c r="H73" s="23">
        <v>81679</v>
      </c>
      <c r="I73" s="32" t="s">
        <v>2689</v>
      </c>
      <c r="J73" s="23">
        <v>61549279</v>
      </c>
      <c r="K73" s="22" t="s">
        <v>6697</v>
      </c>
      <c r="L73" s="22" t="s">
        <v>6696</v>
      </c>
      <c r="M73" s="24">
        <v>99900</v>
      </c>
      <c r="N73" s="35">
        <f t="shared" ref="N73" si="68">N72</f>
        <v>0.3</v>
      </c>
      <c r="O73" s="66">
        <f t="shared" si="48"/>
        <v>69930</v>
      </c>
      <c r="P73" s="86" t="s">
        <v>16</v>
      </c>
    </row>
    <row r="74" spans="1:16" customFormat="1" x14ac:dyDescent="0.35">
      <c r="A74" s="23" t="str">
        <f t="shared" ref="A74:C74" si="69">A73</f>
        <v>2025 OCT-NOV DISC 30</v>
      </c>
      <c r="B74" s="33">
        <f t="shared" si="69"/>
        <v>46121</v>
      </c>
      <c r="C74" s="33">
        <f t="shared" si="69"/>
        <v>46127</v>
      </c>
      <c r="D74" s="32">
        <v>3321</v>
      </c>
      <c r="E74" s="32">
        <v>337</v>
      </c>
      <c r="F74" s="32">
        <v>4</v>
      </c>
      <c r="G74" s="23">
        <v>1</v>
      </c>
      <c r="H74" s="23">
        <v>81679</v>
      </c>
      <c r="I74" s="32" t="s">
        <v>2689</v>
      </c>
      <c r="J74" s="23">
        <v>61549288</v>
      </c>
      <c r="K74" s="22" t="s">
        <v>6704</v>
      </c>
      <c r="L74" s="22" t="s">
        <v>6709</v>
      </c>
      <c r="M74" s="24">
        <v>99900</v>
      </c>
      <c r="N74" s="35">
        <f t="shared" ref="N74" si="70">N73</f>
        <v>0.3</v>
      </c>
      <c r="O74" s="66">
        <f t="shared" si="48"/>
        <v>69930</v>
      </c>
      <c r="P74" s="86" t="s">
        <v>16</v>
      </c>
    </row>
    <row r="75" spans="1:16" customFormat="1" x14ac:dyDescent="0.35">
      <c r="A75" s="23" t="str">
        <f t="shared" ref="A75:C75" si="71">A74</f>
        <v>2025 OCT-NOV DISC 30</v>
      </c>
      <c r="B75" s="33">
        <f t="shared" si="71"/>
        <v>46121</v>
      </c>
      <c r="C75" s="33">
        <f t="shared" si="71"/>
        <v>46127</v>
      </c>
      <c r="D75" s="32">
        <v>3321</v>
      </c>
      <c r="E75" s="32">
        <v>337</v>
      </c>
      <c r="F75" s="32">
        <v>4</v>
      </c>
      <c r="G75" s="23">
        <v>1</v>
      </c>
      <c r="H75" s="23">
        <v>81679</v>
      </c>
      <c r="I75" s="32" t="s">
        <v>2689</v>
      </c>
      <c r="J75" s="23">
        <v>61549297</v>
      </c>
      <c r="K75" s="22" t="s">
        <v>6704</v>
      </c>
      <c r="L75" s="22" t="s">
        <v>6708</v>
      </c>
      <c r="M75" s="24">
        <v>99900</v>
      </c>
      <c r="N75" s="35">
        <f t="shared" ref="N75" si="72">N74</f>
        <v>0.3</v>
      </c>
      <c r="O75" s="66">
        <f t="shared" si="48"/>
        <v>69930</v>
      </c>
      <c r="P75" s="86" t="s">
        <v>16</v>
      </c>
    </row>
    <row r="76" spans="1:16" customFormat="1" x14ac:dyDescent="0.35">
      <c r="A76" s="23" t="str">
        <f t="shared" ref="A76:C76" si="73">A75</f>
        <v>2025 OCT-NOV DISC 30</v>
      </c>
      <c r="B76" s="33">
        <f t="shared" si="73"/>
        <v>46121</v>
      </c>
      <c r="C76" s="33">
        <f t="shared" si="73"/>
        <v>46127</v>
      </c>
      <c r="D76" s="32">
        <v>3321</v>
      </c>
      <c r="E76" s="32">
        <v>337</v>
      </c>
      <c r="F76" s="32">
        <v>4</v>
      </c>
      <c r="G76" s="23">
        <v>1</v>
      </c>
      <c r="H76" s="23">
        <v>81679</v>
      </c>
      <c r="I76" s="32" t="s">
        <v>2689</v>
      </c>
      <c r="J76" s="23">
        <v>61549304</v>
      </c>
      <c r="K76" s="22" t="s">
        <v>6704</v>
      </c>
      <c r="L76" s="22" t="s">
        <v>6707</v>
      </c>
      <c r="M76" s="24">
        <v>99900</v>
      </c>
      <c r="N76" s="35">
        <f t="shared" ref="N76" si="74">N75</f>
        <v>0.3</v>
      </c>
      <c r="O76" s="66">
        <f t="shared" si="48"/>
        <v>69930</v>
      </c>
      <c r="P76" s="86" t="s">
        <v>16</v>
      </c>
    </row>
    <row r="77" spans="1:16" customFormat="1" x14ac:dyDescent="0.35">
      <c r="A77" s="23" t="str">
        <f t="shared" ref="A77:C77" si="75">A76</f>
        <v>2025 OCT-NOV DISC 30</v>
      </c>
      <c r="B77" s="33">
        <f t="shared" si="75"/>
        <v>46121</v>
      </c>
      <c r="C77" s="33">
        <f t="shared" si="75"/>
        <v>46127</v>
      </c>
      <c r="D77" s="32">
        <v>3321</v>
      </c>
      <c r="E77" s="32">
        <v>337</v>
      </c>
      <c r="F77" s="32">
        <v>4</v>
      </c>
      <c r="G77" s="23">
        <v>1</v>
      </c>
      <c r="H77" s="23">
        <v>81679</v>
      </c>
      <c r="I77" s="32" t="s">
        <v>2689</v>
      </c>
      <c r="J77" s="23">
        <v>61549313</v>
      </c>
      <c r="K77" s="22" t="s">
        <v>6704</v>
      </c>
      <c r="L77" s="22" t="s">
        <v>6706</v>
      </c>
      <c r="M77" s="24">
        <v>99900</v>
      </c>
      <c r="N77" s="35">
        <f t="shared" ref="N77" si="76">N76</f>
        <v>0.3</v>
      </c>
      <c r="O77" s="66">
        <f t="shared" si="48"/>
        <v>69930</v>
      </c>
      <c r="P77" s="86" t="s">
        <v>16</v>
      </c>
    </row>
    <row r="78" spans="1:16" customFormat="1" x14ac:dyDescent="0.35">
      <c r="A78" s="23" t="str">
        <f t="shared" ref="A78:C78" si="77">A77</f>
        <v>2025 OCT-NOV DISC 30</v>
      </c>
      <c r="B78" s="33">
        <f t="shared" si="77"/>
        <v>46121</v>
      </c>
      <c r="C78" s="33">
        <f t="shared" si="77"/>
        <v>46127</v>
      </c>
      <c r="D78" s="32">
        <v>3321</v>
      </c>
      <c r="E78" s="32">
        <v>337</v>
      </c>
      <c r="F78" s="32">
        <v>4</v>
      </c>
      <c r="G78" s="23">
        <v>1</v>
      </c>
      <c r="H78" s="23">
        <v>81679</v>
      </c>
      <c r="I78" s="32" t="s">
        <v>2689</v>
      </c>
      <c r="J78" s="23">
        <v>61549322</v>
      </c>
      <c r="K78" s="22" t="s">
        <v>6704</v>
      </c>
      <c r="L78" s="22" t="s">
        <v>6705</v>
      </c>
      <c r="M78" s="24">
        <v>99900</v>
      </c>
      <c r="N78" s="35">
        <f t="shared" ref="N78" si="78">N77</f>
        <v>0.3</v>
      </c>
      <c r="O78" s="66">
        <f t="shared" si="48"/>
        <v>69930</v>
      </c>
      <c r="P78" s="86" t="s">
        <v>16</v>
      </c>
    </row>
    <row r="79" spans="1:16" customFormat="1" x14ac:dyDescent="0.35">
      <c r="A79" s="23" t="str">
        <f t="shared" ref="A79:C79" si="79">A78</f>
        <v>2025 OCT-NOV DISC 30</v>
      </c>
      <c r="B79" s="33">
        <f t="shared" si="79"/>
        <v>46121</v>
      </c>
      <c r="C79" s="33">
        <f t="shared" si="79"/>
        <v>46127</v>
      </c>
      <c r="D79" s="32">
        <v>3321</v>
      </c>
      <c r="E79" s="32">
        <v>337</v>
      </c>
      <c r="F79" s="32">
        <v>4</v>
      </c>
      <c r="G79" s="23">
        <v>1</v>
      </c>
      <c r="H79" s="23">
        <v>81679</v>
      </c>
      <c r="I79" s="32" t="s">
        <v>2689</v>
      </c>
      <c r="J79" s="23">
        <v>61549331</v>
      </c>
      <c r="K79" s="22" t="s">
        <v>6704</v>
      </c>
      <c r="L79" s="22" t="s">
        <v>6703</v>
      </c>
      <c r="M79" s="24">
        <v>99900</v>
      </c>
      <c r="N79" s="35">
        <f t="shared" ref="N79" si="80">N78</f>
        <v>0.3</v>
      </c>
      <c r="O79" s="66">
        <f t="shared" si="48"/>
        <v>69930</v>
      </c>
      <c r="P79" s="86" t="s">
        <v>16</v>
      </c>
    </row>
    <row r="80" spans="1:16" customFormat="1" x14ac:dyDescent="0.35">
      <c r="A80" s="23" t="str">
        <f t="shared" ref="A80:C80" si="81">A79</f>
        <v>2025 OCT-NOV DISC 30</v>
      </c>
      <c r="B80" s="33">
        <f t="shared" si="81"/>
        <v>46121</v>
      </c>
      <c r="C80" s="33">
        <f t="shared" si="81"/>
        <v>46127</v>
      </c>
      <c r="D80" s="32">
        <v>3321</v>
      </c>
      <c r="E80" s="32">
        <v>337</v>
      </c>
      <c r="F80" s="32">
        <v>4</v>
      </c>
      <c r="G80" s="23">
        <v>1</v>
      </c>
      <c r="H80" s="23">
        <v>81588</v>
      </c>
      <c r="I80" s="32" t="s">
        <v>2689</v>
      </c>
      <c r="J80" s="23">
        <v>61094466</v>
      </c>
      <c r="K80" s="22" t="s">
        <v>6155</v>
      </c>
      <c r="L80" s="22" t="s">
        <v>6160</v>
      </c>
      <c r="M80" s="24">
        <v>99900</v>
      </c>
      <c r="N80" s="35">
        <f t="shared" ref="N80" si="82">N79</f>
        <v>0.3</v>
      </c>
      <c r="O80" s="66">
        <f t="shared" si="48"/>
        <v>69930</v>
      </c>
      <c r="P80" s="86" t="s">
        <v>16</v>
      </c>
    </row>
    <row r="81" spans="1:16" customFormat="1" x14ac:dyDescent="0.35">
      <c r="A81" s="23" t="str">
        <f t="shared" ref="A81:C81" si="83">A80</f>
        <v>2025 OCT-NOV DISC 30</v>
      </c>
      <c r="B81" s="33">
        <f t="shared" si="83"/>
        <v>46121</v>
      </c>
      <c r="C81" s="33">
        <f t="shared" si="83"/>
        <v>46127</v>
      </c>
      <c r="D81" s="32">
        <v>3321</v>
      </c>
      <c r="E81" s="32">
        <v>337</v>
      </c>
      <c r="F81" s="32">
        <v>4</v>
      </c>
      <c r="G81" s="23">
        <v>1</v>
      </c>
      <c r="H81" s="23">
        <v>81588</v>
      </c>
      <c r="I81" s="32" t="s">
        <v>2689</v>
      </c>
      <c r="J81" s="23">
        <v>61094475</v>
      </c>
      <c r="K81" s="22" t="s">
        <v>6155</v>
      </c>
      <c r="L81" s="22" t="s">
        <v>6161</v>
      </c>
      <c r="M81" s="24">
        <v>99900</v>
      </c>
      <c r="N81" s="35">
        <f t="shared" ref="N81" si="84">N80</f>
        <v>0.3</v>
      </c>
      <c r="O81" s="66">
        <f t="shared" si="48"/>
        <v>69930</v>
      </c>
      <c r="P81" s="86" t="s">
        <v>16</v>
      </c>
    </row>
    <row r="82" spans="1:16" customFormat="1" x14ac:dyDescent="0.35">
      <c r="A82" s="23" t="str">
        <f t="shared" ref="A82:C82" si="85">A81</f>
        <v>2025 OCT-NOV DISC 30</v>
      </c>
      <c r="B82" s="33">
        <f t="shared" si="85"/>
        <v>46121</v>
      </c>
      <c r="C82" s="33">
        <f t="shared" si="85"/>
        <v>46127</v>
      </c>
      <c r="D82" s="32">
        <v>3321</v>
      </c>
      <c r="E82" s="32">
        <v>337</v>
      </c>
      <c r="F82" s="32">
        <v>4</v>
      </c>
      <c r="G82" s="23">
        <v>1</v>
      </c>
      <c r="H82" s="23">
        <v>81588</v>
      </c>
      <c r="I82" s="32" t="s">
        <v>2689</v>
      </c>
      <c r="J82" s="23">
        <v>61094484</v>
      </c>
      <c r="K82" s="22" t="s">
        <v>6155</v>
      </c>
      <c r="L82" s="22" t="s">
        <v>6157</v>
      </c>
      <c r="M82" s="24">
        <v>99900</v>
      </c>
      <c r="N82" s="35">
        <f t="shared" ref="N82" si="86">N81</f>
        <v>0.3</v>
      </c>
      <c r="O82" s="66">
        <f t="shared" si="48"/>
        <v>69930</v>
      </c>
      <c r="P82" s="86" t="s">
        <v>16</v>
      </c>
    </row>
    <row r="83" spans="1:16" customFormat="1" x14ac:dyDescent="0.35">
      <c r="A83" s="23" t="str">
        <f t="shared" ref="A83:C83" si="87">A82</f>
        <v>2025 OCT-NOV DISC 30</v>
      </c>
      <c r="B83" s="33">
        <f t="shared" si="87"/>
        <v>46121</v>
      </c>
      <c r="C83" s="33">
        <f t="shared" si="87"/>
        <v>46127</v>
      </c>
      <c r="D83" s="32">
        <v>3321</v>
      </c>
      <c r="E83" s="32">
        <v>337</v>
      </c>
      <c r="F83" s="32">
        <v>4</v>
      </c>
      <c r="G83" s="23">
        <v>1</v>
      </c>
      <c r="H83" s="23">
        <v>81588</v>
      </c>
      <c r="I83" s="32" t="s">
        <v>2689</v>
      </c>
      <c r="J83" s="23">
        <v>61094493</v>
      </c>
      <c r="K83" s="22" t="s">
        <v>6155</v>
      </c>
      <c r="L83" s="22" t="s">
        <v>6158</v>
      </c>
      <c r="M83" s="24">
        <v>99900</v>
      </c>
      <c r="N83" s="35">
        <f t="shared" ref="N83" si="88">N82</f>
        <v>0.3</v>
      </c>
      <c r="O83" s="66">
        <f t="shared" si="48"/>
        <v>69930</v>
      </c>
      <c r="P83" s="86" t="s">
        <v>16</v>
      </c>
    </row>
    <row r="84" spans="1:16" customFormat="1" x14ac:dyDescent="0.35">
      <c r="A84" s="23" t="str">
        <f t="shared" ref="A84:C84" si="89">A83</f>
        <v>2025 OCT-NOV DISC 30</v>
      </c>
      <c r="B84" s="33">
        <f t="shared" si="89"/>
        <v>46121</v>
      </c>
      <c r="C84" s="33">
        <f t="shared" si="89"/>
        <v>46127</v>
      </c>
      <c r="D84" s="32">
        <v>3321</v>
      </c>
      <c r="E84" s="32">
        <v>337</v>
      </c>
      <c r="F84" s="32">
        <v>4</v>
      </c>
      <c r="G84" s="23">
        <v>1</v>
      </c>
      <c r="H84" s="23">
        <v>81588</v>
      </c>
      <c r="I84" s="32" t="s">
        <v>2689</v>
      </c>
      <c r="J84" s="23">
        <v>61094500</v>
      </c>
      <c r="K84" s="22" t="s">
        <v>6155</v>
      </c>
      <c r="L84" s="22" t="s">
        <v>6156</v>
      </c>
      <c r="M84" s="24">
        <v>99900</v>
      </c>
      <c r="N84" s="35">
        <f t="shared" ref="N84" si="90">N83</f>
        <v>0.3</v>
      </c>
      <c r="O84" s="66">
        <f t="shared" si="48"/>
        <v>69930</v>
      </c>
      <c r="P84" s="86" t="s">
        <v>16</v>
      </c>
    </row>
    <row r="85" spans="1:16" customFormat="1" x14ac:dyDescent="0.35">
      <c r="A85" s="23" t="str">
        <f t="shared" ref="A85:C85" si="91">A84</f>
        <v>2025 OCT-NOV DISC 30</v>
      </c>
      <c r="B85" s="33">
        <f t="shared" si="91"/>
        <v>46121</v>
      </c>
      <c r="C85" s="33">
        <f t="shared" si="91"/>
        <v>46127</v>
      </c>
      <c r="D85" s="32">
        <v>3321</v>
      </c>
      <c r="E85" s="32">
        <v>337</v>
      </c>
      <c r="F85" s="32">
        <v>4</v>
      </c>
      <c r="G85" s="23">
        <v>1</v>
      </c>
      <c r="H85" s="23">
        <v>81588</v>
      </c>
      <c r="I85" s="32" t="s">
        <v>2689</v>
      </c>
      <c r="J85" s="23">
        <v>61094519</v>
      </c>
      <c r="K85" s="22" t="s">
        <v>6155</v>
      </c>
      <c r="L85" s="22" t="s">
        <v>6159</v>
      </c>
      <c r="M85" s="24">
        <v>99900</v>
      </c>
      <c r="N85" s="35">
        <f t="shared" ref="N85" si="92">N84</f>
        <v>0.3</v>
      </c>
      <c r="O85" s="66">
        <f t="shared" si="48"/>
        <v>69930</v>
      </c>
      <c r="P85" s="86" t="s">
        <v>16</v>
      </c>
    </row>
    <row r="86" spans="1:16" customFormat="1" x14ac:dyDescent="0.35">
      <c r="A86" s="23" t="str">
        <f t="shared" ref="A86:C86" si="93">A85</f>
        <v>2025 OCT-NOV DISC 30</v>
      </c>
      <c r="B86" s="33">
        <f t="shared" si="93"/>
        <v>46121</v>
      </c>
      <c r="C86" s="33">
        <f t="shared" si="93"/>
        <v>46127</v>
      </c>
      <c r="D86" s="32">
        <v>3321</v>
      </c>
      <c r="E86" s="32">
        <v>337</v>
      </c>
      <c r="F86" s="32">
        <v>4</v>
      </c>
      <c r="G86" s="23">
        <v>1</v>
      </c>
      <c r="H86" s="23">
        <v>81588</v>
      </c>
      <c r="I86" s="32" t="s">
        <v>2689</v>
      </c>
      <c r="J86" s="23">
        <v>61094402</v>
      </c>
      <c r="K86" s="22" t="s">
        <v>6169</v>
      </c>
      <c r="L86" s="22" t="s">
        <v>6172</v>
      </c>
      <c r="M86" s="24">
        <v>99900</v>
      </c>
      <c r="N86" s="35">
        <f t="shared" ref="N86" si="94">N85</f>
        <v>0.3</v>
      </c>
      <c r="O86" s="66">
        <f t="shared" si="48"/>
        <v>69930</v>
      </c>
      <c r="P86" s="86" t="s">
        <v>16</v>
      </c>
    </row>
    <row r="87" spans="1:16" customFormat="1" x14ac:dyDescent="0.35">
      <c r="A87" s="23" t="str">
        <f t="shared" ref="A87:C87" si="95">A86</f>
        <v>2025 OCT-NOV DISC 30</v>
      </c>
      <c r="B87" s="33">
        <f t="shared" si="95"/>
        <v>46121</v>
      </c>
      <c r="C87" s="33">
        <f t="shared" si="95"/>
        <v>46127</v>
      </c>
      <c r="D87" s="32">
        <v>3321</v>
      </c>
      <c r="E87" s="32">
        <v>337</v>
      </c>
      <c r="F87" s="32">
        <v>4</v>
      </c>
      <c r="G87" s="23">
        <v>1</v>
      </c>
      <c r="H87" s="23">
        <v>81588</v>
      </c>
      <c r="I87" s="32" t="s">
        <v>2689</v>
      </c>
      <c r="J87" s="23">
        <v>61094411</v>
      </c>
      <c r="K87" s="22" t="s">
        <v>6169</v>
      </c>
      <c r="L87" s="22" t="s">
        <v>6175</v>
      </c>
      <c r="M87" s="24">
        <v>99900</v>
      </c>
      <c r="N87" s="35">
        <f t="shared" ref="N87" si="96">N86</f>
        <v>0.3</v>
      </c>
      <c r="O87" s="66">
        <f t="shared" si="48"/>
        <v>69930</v>
      </c>
      <c r="P87" s="86" t="s">
        <v>16</v>
      </c>
    </row>
    <row r="88" spans="1:16" customFormat="1" x14ac:dyDescent="0.35">
      <c r="A88" s="23" t="str">
        <f t="shared" ref="A88:C88" si="97">A87</f>
        <v>2025 OCT-NOV DISC 30</v>
      </c>
      <c r="B88" s="33">
        <f t="shared" si="97"/>
        <v>46121</v>
      </c>
      <c r="C88" s="33">
        <f t="shared" si="97"/>
        <v>46127</v>
      </c>
      <c r="D88" s="32">
        <v>3321</v>
      </c>
      <c r="E88" s="32">
        <v>337</v>
      </c>
      <c r="F88" s="32">
        <v>4</v>
      </c>
      <c r="G88" s="23">
        <v>1</v>
      </c>
      <c r="H88" s="23">
        <v>81588</v>
      </c>
      <c r="I88" s="32" t="s">
        <v>2689</v>
      </c>
      <c r="J88" s="23">
        <v>61094420</v>
      </c>
      <c r="K88" s="22" t="s">
        <v>6169</v>
      </c>
      <c r="L88" s="22" t="s">
        <v>6173</v>
      </c>
      <c r="M88" s="24">
        <v>99900</v>
      </c>
      <c r="N88" s="35">
        <f t="shared" ref="N88" si="98">N87</f>
        <v>0.3</v>
      </c>
      <c r="O88" s="66">
        <f t="shared" si="48"/>
        <v>69930</v>
      </c>
      <c r="P88" s="86" t="s">
        <v>16</v>
      </c>
    </row>
    <row r="89" spans="1:16" customFormat="1" x14ac:dyDescent="0.35">
      <c r="A89" s="23" t="str">
        <f t="shared" ref="A89:C89" si="99">A88</f>
        <v>2025 OCT-NOV DISC 30</v>
      </c>
      <c r="B89" s="33">
        <f t="shared" si="99"/>
        <v>46121</v>
      </c>
      <c r="C89" s="33">
        <f t="shared" si="99"/>
        <v>46127</v>
      </c>
      <c r="D89" s="32">
        <v>3321</v>
      </c>
      <c r="E89" s="32">
        <v>337</v>
      </c>
      <c r="F89" s="32">
        <v>4</v>
      </c>
      <c r="G89" s="23">
        <v>1</v>
      </c>
      <c r="H89" s="23">
        <v>81588</v>
      </c>
      <c r="I89" s="32" t="s">
        <v>2689</v>
      </c>
      <c r="J89" s="23">
        <v>61094439</v>
      </c>
      <c r="K89" s="22" t="s">
        <v>6169</v>
      </c>
      <c r="L89" s="22" t="s">
        <v>6171</v>
      </c>
      <c r="M89" s="24">
        <v>99900</v>
      </c>
      <c r="N89" s="35">
        <f t="shared" ref="N89" si="100">N88</f>
        <v>0.3</v>
      </c>
      <c r="O89" s="66">
        <f t="shared" si="48"/>
        <v>69930</v>
      </c>
      <c r="P89" s="86" t="s">
        <v>16</v>
      </c>
    </row>
    <row r="90" spans="1:16" customFormat="1" x14ac:dyDescent="0.35">
      <c r="A90" s="23" t="str">
        <f t="shared" ref="A90:C90" si="101">A89</f>
        <v>2025 OCT-NOV DISC 30</v>
      </c>
      <c r="B90" s="33">
        <f t="shared" si="101"/>
        <v>46121</v>
      </c>
      <c r="C90" s="33">
        <f t="shared" si="101"/>
        <v>46127</v>
      </c>
      <c r="D90" s="32">
        <v>3321</v>
      </c>
      <c r="E90" s="32">
        <v>337</v>
      </c>
      <c r="F90" s="32">
        <v>4</v>
      </c>
      <c r="G90" s="23">
        <v>1</v>
      </c>
      <c r="H90" s="23">
        <v>81588</v>
      </c>
      <c r="I90" s="32" t="s">
        <v>2689</v>
      </c>
      <c r="J90" s="23">
        <v>61094448</v>
      </c>
      <c r="K90" s="22" t="s">
        <v>6169</v>
      </c>
      <c r="L90" s="22" t="s">
        <v>6170</v>
      </c>
      <c r="M90" s="24">
        <v>99900</v>
      </c>
      <c r="N90" s="35">
        <f t="shared" ref="N90" si="102">N89</f>
        <v>0.3</v>
      </c>
      <c r="O90" s="66">
        <f t="shared" si="48"/>
        <v>69930</v>
      </c>
      <c r="P90" s="86" t="s">
        <v>16</v>
      </c>
    </row>
    <row r="91" spans="1:16" customFormat="1" x14ac:dyDescent="0.35">
      <c r="A91" s="23" t="str">
        <f t="shared" ref="A91:C91" si="103">A90</f>
        <v>2025 OCT-NOV DISC 30</v>
      </c>
      <c r="B91" s="33">
        <f t="shared" si="103"/>
        <v>46121</v>
      </c>
      <c r="C91" s="33">
        <f t="shared" si="103"/>
        <v>46127</v>
      </c>
      <c r="D91" s="32">
        <v>3321</v>
      </c>
      <c r="E91" s="32">
        <v>337</v>
      </c>
      <c r="F91" s="32">
        <v>4</v>
      </c>
      <c r="G91" s="23">
        <v>1</v>
      </c>
      <c r="H91" s="23">
        <v>81588</v>
      </c>
      <c r="I91" s="32" t="s">
        <v>2689</v>
      </c>
      <c r="J91" s="23">
        <v>61094457</v>
      </c>
      <c r="K91" s="22" t="s">
        <v>6169</v>
      </c>
      <c r="L91" s="22" t="s">
        <v>6174</v>
      </c>
      <c r="M91" s="24">
        <v>99900</v>
      </c>
      <c r="N91" s="35">
        <f t="shared" ref="N91" si="104">N90</f>
        <v>0.3</v>
      </c>
      <c r="O91" s="66">
        <f t="shared" si="48"/>
        <v>69930</v>
      </c>
      <c r="P91" s="86" t="s">
        <v>16</v>
      </c>
    </row>
    <row r="92" spans="1:16" customFormat="1" x14ac:dyDescent="0.35">
      <c r="A92" s="23" t="str">
        <f t="shared" ref="A92:C92" si="105">A91</f>
        <v>2025 OCT-NOV DISC 30</v>
      </c>
      <c r="B92" s="33">
        <f t="shared" si="105"/>
        <v>46121</v>
      </c>
      <c r="C92" s="33">
        <f t="shared" si="105"/>
        <v>46127</v>
      </c>
      <c r="D92" s="32">
        <v>3321</v>
      </c>
      <c r="E92" s="32">
        <v>337</v>
      </c>
      <c r="F92" s="32">
        <v>4</v>
      </c>
      <c r="G92" s="23">
        <v>1</v>
      </c>
      <c r="H92" s="23">
        <v>81588</v>
      </c>
      <c r="I92" s="32" t="s">
        <v>2689</v>
      </c>
      <c r="J92" s="23">
        <v>55507398</v>
      </c>
      <c r="K92" s="22" t="s">
        <v>6162</v>
      </c>
      <c r="L92" s="22" t="s">
        <v>6164</v>
      </c>
      <c r="M92" s="24">
        <v>99900</v>
      </c>
      <c r="N92" s="35">
        <f t="shared" ref="N92" si="106">N91</f>
        <v>0.3</v>
      </c>
      <c r="O92" s="66">
        <f t="shared" si="48"/>
        <v>69930</v>
      </c>
      <c r="P92" s="86" t="s">
        <v>16</v>
      </c>
    </row>
    <row r="93" spans="1:16" customFormat="1" x14ac:dyDescent="0.35">
      <c r="A93" s="23" t="str">
        <f t="shared" ref="A93:C93" si="107">A92</f>
        <v>2025 OCT-NOV DISC 30</v>
      </c>
      <c r="B93" s="33">
        <f t="shared" si="107"/>
        <v>46121</v>
      </c>
      <c r="C93" s="33">
        <f t="shared" si="107"/>
        <v>46127</v>
      </c>
      <c r="D93" s="32">
        <v>3321</v>
      </c>
      <c r="E93" s="32">
        <v>337</v>
      </c>
      <c r="F93" s="32">
        <v>4</v>
      </c>
      <c r="G93" s="23">
        <v>1</v>
      </c>
      <c r="H93" s="23">
        <v>81588</v>
      </c>
      <c r="I93" s="32" t="s">
        <v>2689</v>
      </c>
      <c r="J93" s="23">
        <v>55507405</v>
      </c>
      <c r="K93" s="22" t="s">
        <v>6162</v>
      </c>
      <c r="L93" s="22" t="s">
        <v>6163</v>
      </c>
      <c r="M93" s="24">
        <v>99900</v>
      </c>
      <c r="N93" s="35">
        <f t="shared" ref="N93" si="108">N92</f>
        <v>0.3</v>
      </c>
      <c r="O93" s="66">
        <f t="shared" si="48"/>
        <v>69930</v>
      </c>
      <c r="P93" s="86" t="s">
        <v>16</v>
      </c>
    </row>
    <row r="94" spans="1:16" customFormat="1" x14ac:dyDescent="0.35">
      <c r="A94" s="23" t="str">
        <f t="shared" ref="A94:C94" si="109">A93</f>
        <v>2025 OCT-NOV DISC 30</v>
      </c>
      <c r="B94" s="33">
        <f t="shared" si="109"/>
        <v>46121</v>
      </c>
      <c r="C94" s="33">
        <f t="shared" si="109"/>
        <v>46127</v>
      </c>
      <c r="D94" s="32">
        <v>3321</v>
      </c>
      <c r="E94" s="32">
        <v>337</v>
      </c>
      <c r="F94" s="32">
        <v>4</v>
      </c>
      <c r="G94" s="23">
        <v>1</v>
      </c>
      <c r="H94" s="23">
        <v>81588</v>
      </c>
      <c r="I94" s="32" t="s">
        <v>2689</v>
      </c>
      <c r="J94" s="23">
        <v>55507414</v>
      </c>
      <c r="K94" s="22" t="s">
        <v>6162</v>
      </c>
      <c r="L94" s="22" t="s">
        <v>6165</v>
      </c>
      <c r="M94" s="24">
        <v>99900</v>
      </c>
      <c r="N94" s="35">
        <f t="shared" ref="N94" si="110">N93</f>
        <v>0.3</v>
      </c>
      <c r="O94" s="66">
        <f t="shared" si="48"/>
        <v>69930</v>
      </c>
      <c r="P94" s="86" t="s">
        <v>16</v>
      </c>
    </row>
    <row r="95" spans="1:16" customFormat="1" x14ac:dyDescent="0.35">
      <c r="A95" s="23" t="str">
        <f t="shared" ref="A95:C95" si="111">A94</f>
        <v>2025 OCT-NOV DISC 30</v>
      </c>
      <c r="B95" s="33">
        <f t="shared" si="111"/>
        <v>46121</v>
      </c>
      <c r="C95" s="33">
        <f t="shared" si="111"/>
        <v>46127</v>
      </c>
      <c r="D95" s="32">
        <v>3321</v>
      </c>
      <c r="E95" s="32">
        <v>337</v>
      </c>
      <c r="F95" s="32">
        <v>4</v>
      </c>
      <c r="G95" s="23">
        <v>1</v>
      </c>
      <c r="H95" s="23">
        <v>81588</v>
      </c>
      <c r="I95" s="32" t="s">
        <v>2689</v>
      </c>
      <c r="J95" s="23">
        <v>55507423</v>
      </c>
      <c r="K95" s="22" t="s">
        <v>6162</v>
      </c>
      <c r="L95" s="22" t="s">
        <v>6167</v>
      </c>
      <c r="M95" s="24">
        <v>99900</v>
      </c>
      <c r="N95" s="35">
        <f t="shared" ref="N95" si="112">N94</f>
        <v>0.3</v>
      </c>
      <c r="O95" s="66">
        <f t="shared" si="48"/>
        <v>69930</v>
      </c>
      <c r="P95" s="86" t="s">
        <v>16</v>
      </c>
    </row>
    <row r="96" spans="1:16" customFormat="1" x14ac:dyDescent="0.35">
      <c r="A96" s="23" t="str">
        <f t="shared" ref="A96:C96" si="113">A95</f>
        <v>2025 OCT-NOV DISC 30</v>
      </c>
      <c r="B96" s="33">
        <f t="shared" si="113"/>
        <v>46121</v>
      </c>
      <c r="C96" s="33">
        <f t="shared" si="113"/>
        <v>46127</v>
      </c>
      <c r="D96" s="32">
        <v>3321</v>
      </c>
      <c r="E96" s="32">
        <v>337</v>
      </c>
      <c r="F96" s="32">
        <v>4</v>
      </c>
      <c r="G96" s="23">
        <v>1</v>
      </c>
      <c r="H96" s="23">
        <v>81588</v>
      </c>
      <c r="I96" s="32" t="s">
        <v>2689</v>
      </c>
      <c r="J96" s="23">
        <v>55507432</v>
      </c>
      <c r="K96" s="22" t="s">
        <v>6162</v>
      </c>
      <c r="L96" s="22" t="s">
        <v>6166</v>
      </c>
      <c r="M96" s="24">
        <v>99900</v>
      </c>
      <c r="N96" s="35">
        <f t="shared" ref="N96" si="114">N95</f>
        <v>0.3</v>
      </c>
      <c r="O96" s="66">
        <f t="shared" si="48"/>
        <v>69930</v>
      </c>
      <c r="P96" s="86" t="s">
        <v>16</v>
      </c>
    </row>
    <row r="97" spans="1:16" customFormat="1" x14ac:dyDescent="0.35">
      <c r="A97" s="23" t="str">
        <f t="shared" ref="A97:C97" si="115">A96</f>
        <v>2025 OCT-NOV DISC 30</v>
      </c>
      <c r="B97" s="33">
        <f t="shared" si="115"/>
        <v>46121</v>
      </c>
      <c r="C97" s="33">
        <f t="shared" si="115"/>
        <v>46127</v>
      </c>
      <c r="D97" s="32">
        <v>3321</v>
      </c>
      <c r="E97" s="32">
        <v>337</v>
      </c>
      <c r="F97" s="32">
        <v>4</v>
      </c>
      <c r="G97" s="23">
        <v>1</v>
      </c>
      <c r="H97" s="23">
        <v>81588</v>
      </c>
      <c r="I97" s="32" t="s">
        <v>2689</v>
      </c>
      <c r="J97" s="23">
        <v>55507441</v>
      </c>
      <c r="K97" s="22" t="s">
        <v>6162</v>
      </c>
      <c r="L97" s="22" t="s">
        <v>6168</v>
      </c>
      <c r="M97" s="24">
        <v>99900</v>
      </c>
      <c r="N97" s="35">
        <f t="shared" ref="N97" si="116">N96</f>
        <v>0.3</v>
      </c>
      <c r="O97" s="66">
        <f t="shared" si="48"/>
        <v>69930</v>
      </c>
      <c r="P97" s="86" t="s">
        <v>16</v>
      </c>
    </row>
  </sheetData>
  <autoFilter ref="A1:P1" xr:uid="{A98DA6A5-931F-4C4C-A73C-7E8B7CE9A86D}"/>
  <phoneticPr fontId="8" type="noConversion"/>
  <conditionalFormatting sqref="J1">
    <cfRule type="duplicateValues" dxfId="41" priority="5"/>
    <cfRule type="duplicateValues" dxfId="40" priority="6"/>
    <cfRule type="duplicateValues" dxfId="39" priority="7"/>
    <cfRule type="duplicateValues" dxfId="38" priority="74"/>
  </conditionalFormatting>
  <conditionalFormatting sqref="J1:J1048576">
    <cfRule type="duplicateValues" dxfId="37" priority="1"/>
  </conditionalFormatting>
  <conditionalFormatting sqref="J10:J55">
    <cfRule type="duplicateValues" dxfId="36" priority="69"/>
  </conditionalFormatting>
  <conditionalFormatting sqref="J56:J97 J2:J9">
    <cfRule type="duplicateValues" dxfId="35" priority="2"/>
  </conditionalFormatting>
  <pageMargins left="0.7" right="0.7" top="0.75" bottom="0.75" header="0.3" footer="0.3"/>
  <pageSetup paperSize="9" orientation="portrait" horizontalDpi="0" verticalDpi="0"/>
  <ignoredErrors>
    <ignoredError sqref="O2:O97" formula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6CBA-A5E4-4CDC-9F81-51371F1BA29D}">
  <dimension ref="A1:P237"/>
  <sheetViews>
    <sheetView zoomScale="82" zoomScaleNormal="100" workbookViewId="0">
      <pane ySplit="1" topLeftCell="A2" activePane="bottomLeft" state="frozen"/>
      <selection activeCell="L16" sqref="L16"/>
      <selection pane="bottomLeft" activeCell="K16" sqref="K16"/>
    </sheetView>
  </sheetViews>
  <sheetFormatPr defaultColWidth="8.81640625" defaultRowHeight="14.5" x14ac:dyDescent="0.35"/>
  <cols>
    <col min="1" max="1" width="25.8164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74.6328125" style="17" customWidth="1"/>
    <col min="13" max="13" width="16.54296875" style="37" customWidth="1"/>
    <col min="14" max="14" width="8.81640625" style="26" customWidth="1"/>
    <col min="15" max="15" width="19.36328125" style="37" customWidth="1"/>
    <col min="16" max="16" width="14.54296875" style="31" customWidth="1"/>
    <col min="17" max="16384" width="8.81640625" style="31"/>
  </cols>
  <sheetData>
    <row r="1" spans="1:16" ht="30.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7087</v>
      </c>
      <c r="B2" s="33">
        <v>46121</v>
      </c>
      <c r="C2" s="33">
        <v>46127</v>
      </c>
      <c r="D2" s="32">
        <v>3321</v>
      </c>
      <c r="E2" s="32">
        <v>337</v>
      </c>
      <c r="F2" s="32">
        <v>4</v>
      </c>
      <c r="G2" s="22">
        <v>5</v>
      </c>
      <c r="H2" s="23">
        <v>190</v>
      </c>
      <c r="I2" s="32" t="s">
        <v>2689</v>
      </c>
      <c r="J2" s="23">
        <v>54955076</v>
      </c>
      <c r="K2" s="23" t="s">
        <v>5807</v>
      </c>
      <c r="L2" s="43" t="s">
        <v>5809</v>
      </c>
      <c r="M2" s="24">
        <v>149900</v>
      </c>
      <c r="N2" s="64" t="s">
        <v>2569</v>
      </c>
      <c r="O2" s="34" t="s">
        <v>2577</v>
      </c>
      <c r="P2" s="32" t="s">
        <v>2569</v>
      </c>
    </row>
    <row r="3" spans="1:16" x14ac:dyDescent="0.35">
      <c r="A3" s="32" t="str">
        <f>A2</f>
        <v>2025 JUNSEPT B1G1</v>
      </c>
      <c r="B3" s="33">
        <f t="shared" ref="B3:C3" si="0">B2</f>
        <v>46121</v>
      </c>
      <c r="C3" s="33">
        <f t="shared" si="0"/>
        <v>46127</v>
      </c>
      <c r="D3" s="32">
        <v>3321</v>
      </c>
      <c r="E3" s="32">
        <v>337</v>
      </c>
      <c r="F3" s="32">
        <v>4</v>
      </c>
      <c r="G3" s="22">
        <v>5</v>
      </c>
      <c r="H3" s="23">
        <v>190</v>
      </c>
      <c r="I3" s="32" t="s">
        <v>2689</v>
      </c>
      <c r="J3" s="23">
        <v>54955085</v>
      </c>
      <c r="K3" s="23" t="s">
        <v>5807</v>
      </c>
      <c r="L3" s="43" t="s">
        <v>5811</v>
      </c>
      <c r="M3" s="24">
        <v>149900</v>
      </c>
      <c r="N3" s="64" t="s">
        <v>2569</v>
      </c>
      <c r="O3" s="34" t="s">
        <v>2577</v>
      </c>
      <c r="P3" s="32" t="s">
        <v>2569</v>
      </c>
    </row>
    <row r="4" spans="1:16" x14ac:dyDescent="0.35">
      <c r="A4" s="32" t="str">
        <f t="shared" ref="A4:C19" si="1">A3</f>
        <v>2025 JUNSEPT B1G1</v>
      </c>
      <c r="B4" s="33">
        <f t="shared" si="1"/>
        <v>46121</v>
      </c>
      <c r="C4" s="33">
        <f t="shared" si="1"/>
        <v>46127</v>
      </c>
      <c r="D4" s="32">
        <v>3321</v>
      </c>
      <c r="E4" s="32">
        <v>337</v>
      </c>
      <c r="F4" s="32">
        <v>4</v>
      </c>
      <c r="G4" s="22">
        <v>5</v>
      </c>
      <c r="H4" s="23">
        <v>190</v>
      </c>
      <c r="I4" s="32" t="s">
        <v>2689</v>
      </c>
      <c r="J4" s="23">
        <v>54955094</v>
      </c>
      <c r="K4" s="23" t="s">
        <v>5807</v>
      </c>
      <c r="L4" s="43" t="s">
        <v>5810</v>
      </c>
      <c r="M4" s="24">
        <v>149900</v>
      </c>
      <c r="N4" s="64" t="s">
        <v>2569</v>
      </c>
      <c r="O4" s="34" t="s">
        <v>2577</v>
      </c>
      <c r="P4" s="32" t="s">
        <v>2569</v>
      </c>
    </row>
    <row r="5" spans="1:16" x14ac:dyDescent="0.35">
      <c r="A5" s="32" t="str">
        <f t="shared" si="1"/>
        <v>2025 JUNSEPT B1G1</v>
      </c>
      <c r="B5" s="33">
        <f t="shared" si="1"/>
        <v>46121</v>
      </c>
      <c r="C5" s="33">
        <f t="shared" si="1"/>
        <v>46127</v>
      </c>
      <c r="D5" s="32">
        <v>3321</v>
      </c>
      <c r="E5" s="32">
        <v>337</v>
      </c>
      <c r="F5" s="32">
        <v>4</v>
      </c>
      <c r="G5" s="22">
        <v>5</v>
      </c>
      <c r="H5" s="23">
        <v>190</v>
      </c>
      <c r="I5" s="32" t="s">
        <v>2689</v>
      </c>
      <c r="J5" s="23">
        <v>54955101</v>
      </c>
      <c r="K5" s="23" t="s">
        <v>5807</v>
      </c>
      <c r="L5" s="43" t="s">
        <v>5808</v>
      </c>
      <c r="M5" s="24">
        <v>149900</v>
      </c>
      <c r="N5" s="64" t="s">
        <v>2569</v>
      </c>
      <c r="O5" s="34" t="s">
        <v>2577</v>
      </c>
      <c r="P5" s="32" t="s">
        <v>2569</v>
      </c>
    </row>
    <row r="6" spans="1:16" x14ac:dyDescent="0.35">
      <c r="A6" s="32" t="str">
        <f t="shared" si="1"/>
        <v>2025 JUNSEPT B1G1</v>
      </c>
      <c r="B6" s="33">
        <f t="shared" si="1"/>
        <v>46121</v>
      </c>
      <c r="C6" s="33">
        <f t="shared" si="1"/>
        <v>46127</v>
      </c>
      <c r="D6" s="32">
        <v>3321</v>
      </c>
      <c r="E6" s="32">
        <v>337</v>
      </c>
      <c r="F6" s="32">
        <v>4</v>
      </c>
      <c r="G6" s="22">
        <v>5</v>
      </c>
      <c r="H6" s="23">
        <v>81146</v>
      </c>
      <c r="I6" s="32" t="s">
        <v>2689</v>
      </c>
      <c r="J6" s="23">
        <v>55301627</v>
      </c>
      <c r="K6" s="23" t="s">
        <v>6411</v>
      </c>
      <c r="L6" s="43" t="s">
        <v>6415</v>
      </c>
      <c r="M6" s="24">
        <v>149900</v>
      </c>
      <c r="N6" s="64" t="s">
        <v>2569</v>
      </c>
      <c r="O6" s="34" t="s">
        <v>2577</v>
      </c>
      <c r="P6" s="32" t="s">
        <v>2569</v>
      </c>
    </row>
    <row r="7" spans="1:16" x14ac:dyDescent="0.35">
      <c r="A7" s="32" t="str">
        <f t="shared" si="1"/>
        <v>2025 JUNSEPT B1G1</v>
      </c>
      <c r="B7" s="33">
        <f t="shared" si="1"/>
        <v>46121</v>
      </c>
      <c r="C7" s="33">
        <f t="shared" si="1"/>
        <v>46127</v>
      </c>
      <c r="D7" s="32">
        <v>3321</v>
      </c>
      <c r="E7" s="32">
        <v>337</v>
      </c>
      <c r="F7" s="32">
        <v>4</v>
      </c>
      <c r="G7" s="22">
        <v>5</v>
      </c>
      <c r="H7" s="23">
        <v>81146</v>
      </c>
      <c r="I7" s="32" t="s">
        <v>2689</v>
      </c>
      <c r="J7" s="23">
        <v>55301636</v>
      </c>
      <c r="K7" s="23" t="s">
        <v>6411</v>
      </c>
      <c r="L7" s="43" t="s">
        <v>6413</v>
      </c>
      <c r="M7" s="24">
        <v>149900</v>
      </c>
      <c r="N7" s="64" t="s">
        <v>2569</v>
      </c>
      <c r="O7" s="34" t="s">
        <v>2577</v>
      </c>
      <c r="P7" s="32" t="s">
        <v>2569</v>
      </c>
    </row>
    <row r="8" spans="1:16" x14ac:dyDescent="0.35">
      <c r="A8" s="32" t="str">
        <f t="shared" si="1"/>
        <v>2025 JUNSEPT B1G1</v>
      </c>
      <c r="B8" s="33">
        <f t="shared" si="1"/>
        <v>46121</v>
      </c>
      <c r="C8" s="33">
        <f t="shared" si="1"/>
        <v>46127</v>
      </c>
      <c r="D8" s="32">
        <v>3321</v>
      </c>
      <c r="E8" s="32">
        <v>337</v>
      </c>
      <c r="F8" s="32">
        <v>4</v>
      </c>
      <c r="G8" s="22">
        <v>5</v>
      </c>
      <c r="H8" s="23">
        <v>81146</v>
      </c>
      <c r="I8" s="32" t="s">
        <v>2689</v>
      </c>
      <c r="J8" s="23">
        <v>55301645</v>
      </c>
      <c r="K8" s="23" t="s">
        <v>6411</v>
      </c>
      <c r="L8" s="43" t="s">
        <v>6414</v>
      </c>
      <c r="M8" s="24">
        <v>149900</v>
      </c>
      <c r="N8" s="64" t="s">
        <v>2569</v>
      </c>
      <c r="O8" s="34" t="s">
        <v>2577</v>
      </c>
      <c r="P8" s="32" t="s">
        <v>2569</v>
      </c>
    </row>
    <row r="9" spans="1:16" x14ac:dyDescent="0.35">
      <c r="A9" s="32" t="str">
        <f t="shared" si="1"/>
        <v>2025 JUNSEPT B1G1</v>
      </c>
      <c r="B9" s="33">
        <f t="shared" si="1"/>
        <v>46121</v>
      </c>
      <c r="C9" s="33">
        <f t="shared" si="1"/>
        <v>46127</v>
      </c>
      <c r="D9" s="32">
        <v>3321</v>
      </c>
      <c r="E9" s="32">
        <v>337</v>
      </c>
      <c r="F9" s="32">
        <v>4</v>
      </c>
      <c r="G9" s="22">
        <v>5</v>
      </c>
      <c r="H9" s="23">
        <v>81146</v>
      </c>
      <c r="I9" s="32" t="s">
        <v>2689</v>
      </c>
      <c r="J9" s="23">
        <v>55301654</v>
      </c>
      <c r="K9" s="23" t="s">
        <v>6411</v>
      </c>
      <c r="L9" s="43" t="s">
        <v>6412</v>
      </c>
      <c r="M9" s="24">
        <v>149900</v>
      </c>
      <c r="N9" s="64" t="s">
        <v>2569</v>
      </c>
      <c r="O9" s="34" t="s">
        <v>2577</v>
      </c>
      <c r="P9" s="32" t="s">
        <v>2569</v>
      </c>
    </row>
    <row r="10" spans="1:16" x14ac:dyDescent="0.35">
      <c r="A10" s="32" t="str">
        <f t="shared" si="1"/>
        <v>2025 JUNSEPT B1G1</v>
      </c>
      <c r="B10" s="33">
        <f t="shared" si="1"/>
        <v>46121</v>
      </c>
      <c r="C10" s="33">
        <f t="shared" si="1"/>
        <v>46127</v>
      </c>
      <c r="D10" s="32">
        <v>3321</v>
      </c>
      <c r="E10" s="32">
        <v>337</v>
      </c>
      <c r="F10" s="32">
        <v>4</v>
      </c>
      <c r="G10" s="22">
        <v>5</v>
      </c>
      <c r="H10" s="23">
        <v>81588</v>
      </c>
      <c r="I10" s="32" t="s">
        <v>2689</v>
      </c>
      <c r="J10" s="23">
        <v>55301583</v>
      </c>
      <c r="K10" s="23" t="s">
        <v>6406</v>
      </c>
      <c r="L10" s="43" t="s">
        <v>6407</v>
      </c>
      <c r="M10" s="24">
        <v>149900</v>
      </c>
      <c r="N10" s="64" t="s">
        <v>2569</v>
      </c>
      <c r="O10" s="34" t="s">
        <v>2577</v>
      </c>
      <c r="P10" s="32" t="s">
        <v>2569</v>
      </c>
    </row>
    <row r="11" spans="1:16" x14ac:dyDescent="0.35">
      <c r="A11" s="32" t="str">
        <f t="shared" si="1"/>
        <v>2025 JUNSEPT B1G1</v>
      </c>
      <c r="B11" s="33">
        <f t="shared" si="1"/>
        <v>46121</v>
      </c>
      <c r="C11" s="33">
        <f t="shared" si="1"/>
        <v>46127</v>
      </c>
      <c r="D11" s="32">
        <v>3321</v>
      </c>
      <c r="E11" s="32">
        <v>337</v>
      </c>
      <c r="F11" s="32">
        <v>4</v>
      </c>
      <c r="G11" s="22">
        <v>5</v>
      </c>
      <c r="H11" s="23">
        <v>81588</v>
      </c>
      <c r="I11" s="32" t="s">
        <v>2689</v>
      </c>
      <c r="J11" s="23">
        <v>55301592</v>
      </c>
      <c r="K11" s="23" t="s">
        <v>6406</v>
      </c>
      <c r="L11" s="43" t="s">
        <v>6410</v>
      </c>
      <c r="M11" s="24">
        <v>149900</v>
      </c>
      <c r="N11" s="64" t="s">
        <v>2569</v>
      </c>
      <c r="O11" s="34" t="s">
        <v>2577</v>
      </c>
      <c r="P11" s="32" t="s">
        <v>2569</v>
      </c>
    </row>
    <row r="12" spans="1:16" x14ac:dyDescent="0.35">
      <c r="A12" s="32" t="str">
        <f t="shared" si="1"/>
        <v>2025 JUNSEPT B1G1</v>
      </c>
      <c r="B12" s="33">
        <f t="shared" si="1"/>
        <v>46121</v>
      </c>
      <c r="C12" s="33">
        <f t="shared" si="1"/>
        <v>46127</v>
      </c>
      <c r="D12" s="32">
        <v>3321</v>
      </c>
      <c r="E12" s="32">
        <v>337</v>
      </c>
      <c r="F12" s="32">
        <v>4</v>
      </c>
      <c r="G12" s="22">
        <v>5</v>
      </c>
      <c r="H12" s="23">
        <v>81588</v>
      </c>
      <c r="I12" s="32" t="s">
        <v>2689</v>
      </c>
      <c r="J12" s="23">
        <v>55301609</v>
      </c>
      <c r="K12" s="23" t="s">
        <v>6406</v>
      </c>
      <c r="L12" s="43" t="s">
        <v>6409</v>
      </c>
      <c r="M12" s="24">
        <v>149900</v>
      </c>
      <c r="N12" s="64" t="s">
        <v>2569</v>
      </c>
      <c r="O12" s="34" t="s">
        <v>2577</v>
      </c>
      <c r="P12" s="32" t="s">
        <v>2569</v>
      </c>
    </row>
    <row r="13" spans="1:16" x14ac:dyDescent="0.35">
      <c r="A13" s="32" t="str">
        <f t="shared" si="1"/>
        <v>2025 JUNSEPT B1G1</v>
      </c>
      <c r="B13" s="33">
        <f t="shared" si="1"/>
        <v>46121</v>
      </c>
      <c r="C13" s="33">
        <f t="shared" si="1"/>
        <v>46127</v>
      </c>
      <c r="D13" s="32">
        <v>3321</v>
      </c>
      <c r="E13" s="32">
        <v>337</v>
      </c>
      <c r="F13" s="32">
        <v>4</v>
      </c>
      <c r="G13" s="22">
        <v>5</v>
      </c>
      <c r="H13" s="23">
        <v>81588</v>
      </c>
      <c r="I13" s="32" t="s">
        <v>2689</v>
      </c>
      <c r="J13" s="23">
        <v>55301618</v>
      </c>
      <c r="K13" s="23" t="s">
        <v>6406</v>
      </c>
      <c r="L13" s="43" t="s">
        <v>6408</v>
      </c>
      <c r="M13" s="24">
        <v>149900</v>
      </c>
      <c r="N13" s="64" t="s">
        <v>2569</v>
      </c>
      <c r="O13" s="34" t="s">
        <v>2577</v>
      </c>
      <c r="P13" s="32" t="s">
        <v>2569</v>
      </c>
    </row>
    <row r="14" spans="1:16" x14ac:dyDescent="0.35">
      <c r="A14" s="32" t="str">
        <f t="shared" si="1"/>
        <v>2025 JUNSEPT B1G1</v>
      </c>
      <c r="B14" s="33">
        <f t="shared" si="1"/>
        <v>46121</v>
      </c>
      <c r="C14" s="33">
        <f t="shared" si="1"/>
        <v>46127</v>
      </c>
      <c r="D14" s="32">
        <v>3321</v>
      </c>
      <c r="E14" s="32">
        <v>337</v>
      </c>
      <c r="F14" s="32">
        <v>4</v>
      </c>
      <c r="G14" s="22">
        <v>5</v>
      </c>
      <c r="H14" s="23">
        <v>81588</v>
      </c>
      <c r="I14" s="32" t="s">
        <v>2689</v>
      </c>
      <c r="J14" s="23">
        <v>61094528</v>
      </c>
      <c r="K14" s="23" t="s">
        <v>6401</v>
      </c>
      <c r="L14" s="43" t="s">
        <v>6404</v>
      </c>
      <c r="M14" s="24">
        <v>179900</v>
      </c>
      <c r="N14" s="64" t="s">
        <v>2569</v>
      </c>
      <c r="O14" s="34" t="s">
        <v>2577</v>
      </c>
      <c r="P14" s="32" t="s">
        <v>2569</v>
      </c>
    </row>
    <row r="15" spans="1:16" x14ac:dyDescent="0.35">
      <c r="A15" s="32" t="str">
        <f t="shared" si="1"/>
        <v>2025 JUNSEPT B1G1</v>
      </c>
      <c r="B15" s="33">
        <f t="shared" si="1"/>
        <v>46121</v>
      </c>
      <c r="C15" s="33">
        <f t="shared" si="1"/>
        <v>46127</v>
      </c>
      <c r="D15" s="32">
        <v>3321</v>
      </c>
      <c r="E15" s="32">
        <v>337</v>
      </c>
      <c r="F15" s="32">
        <v>4</v>
      </c>
      <c r="G15" s="22">
        <v>5</v>
      </c>
      <c r="H15" s="23">
        <v>81588</v>
      </c>
      <c r="I15" s="32" t="s">
        <v>2689</v>
      </c>
      <c r="J15" s="23">
        <v>61094537</v>
      </c>
      <c r="K15" s="23" t="s">
        <v>6401</v>
      </c>
      <c r="L15" s="43" t="s">
        <v>6403</v>
      </c>
      <c r="M15" s="24">
        <v>179900</v>
      </c>
      <c r="N15" s="64" t="s">
        <v>2569</v>
      </c>
      <c r="O15" s="34" t="s">
        <v>2577</v>
      </c>
      <c r="P15" s="32" t="s">
        <v>2569</v>
      </c>
    </row>
    <row r="16" spans="1:16" x14ac:dyDescent="0.35">
      <c r="A16" s="32" t="str">
        <f t="shared" si="1"/>
        <v>2025 JUNSEPT B1G1</v>
      </c>
      <c r="B16" s="33">
        <f t="shared" si="1"/>
        <v>46121</v>
      </c>
      <c r="C16" s="33">
        <f t="shared" si="1"/>
        <v>46127</v>
      </c>
      <c r="D16" s="32">
        <v>3321</v>
      </c>
      <c r="E16" s="32">
        <v>337</v>
      </c>
      <c r="F16" s="32">
        <v>4</v>
      </c>
      <c r="G16" s="22">
        <v>5</v>
      </c>
      <c r="H16" s="23">
        <v>81588</v>
      </c>
      <c r="I16" s="32" t="s">
        <v>2689</v>
      </c>
      <c r="J16" s="23">
        <v>61094546</v>
      </c>
      <c r="K16" s="23" t="s">
        <v>6401</v>
      </c>
      <c r="L16" s="43" t="s">
        <v>6405</v>
      </c>
      <c r="M16" s="24">
        <v>179900</v>
      </c>
      <c r="N16" s="64" t="s">
        <v>2569</v>
      </c>
      <c r="O16" s="34" t="s">
        <v>2577</v>
      </c>
      <c r="P16" s="32" t="s">
        <v>2569</v>
      </c>
    </row>
    <row r="17" spans="1:16" x14ac:dyDescent="0.35">
      <c r="A17" s="32" t="str">
        <f t="shared" si="1"/>
        <v>2025 JUNSEPT B1G1</v>
      </c>
      <c r="B17" s="33">
        <f t="shared" si="1"/>
        <v>46121</v>
      </c>
      <c r="C17" s="33">
        <f t="shared" si="1"/>
        <v>46127</v>
      </c>
      <c r="D17" s="32">
        <v>3321</v>
      </c>
      <c r="E17" s="32">
        <v>337</v>
      </c>
      <c r="F17" s="32">
        <v>4</v>
      </c>
      <c r="G17" s="22">
        <v>5</v>
      </c>
      <c r="H17" s="23">
        <v>81588</v>
      </c>
      <c r="I17" s="32" t="s">
        <v>2689</v>
      </c>
      <c r="J17" s="23">
        <v>61094555</v>
      </c>
      <c r="K17" s="23" t="s">
        <v>6401</v>
      </c>
      <c r="L17" s="43" t="s">
        <v>6402</v>
      </c>
      <c r="M17" s="24">
        <v>179900</v>
      </c>
      <c r="N17" s="64" t="s">
        <v>2569</v>
      </c>
      <c r="O17" s="34" t="s">
        <v>2577</v>
      </c>
      <c r="P17" s="32" t="s">
        <v>2569</v>
      </c>
    </row>
    <row r="18" spans="1:16" x14ac:dyDescent="0.35">
      <c r="A18" s="32" t="str">
        <f t="shared" si="1"/>
        <v>2025 JUNSEPT B1G1</v>
      </c>
      <c r="B18" s="33">
        <f t="shared" si="1"/>
        <v>46121</v>
      </c>
      <c r="C18" s="33">
        <f t="shared" si="1"/>
        <v>46127</v>
      </c>
      <c r="D18" s="32">
        <v>3321</v>
      </c>
      <c r="E18" s="32">
        <v>337</v>
      </c>
      <c r="F18" s="32">
        <v>4</v>
      </c>
      <c r="G18" s="22">
        <v>5</v>
      </c>
      <c r="H18" s="23">
        <v>81005</v>
      </c>
      <c r="I18" s="32" t="s">
        <v>2689</v>
      </c>
      <c r="J18" s="23">
        <v>55507870</v>
      </c>
      <c r="K18" s="23" t="s">
        <v>6391</v>
      </c>
      <c r="L18" s="43" t="s">
        <v>6392</v>
      </c>
      <c r="M18" s="24">
        <v>179900</v>
      </c>
      <c r="N18" s="64" t="s">
        <v>2569</v>
      </c>
      <c r="O18" s="34" t="s">
        <v>2577</v>
      </c>
      <c r="P18" s="32" t="s">
        <v>2569</v>
      </c>
    </row>
    <row r="19" spans="1:16" x14ac:dyDescent="0.35">
      <c r="A19" s="32" t="str">
        <f t="shared" si="1"/>
        <v>2025 JUNSEPT B1G1</v>
      </c>
      <c r="B19" s="33">
        <f t="shared" si="1"/>
        <v>46121</v>
      </c>
      <c r="C19" s="33">
        <f t="shared" si="1"/>
        <v>46127</v>
      </c>
      <c r="D19" s="32">
        <v>3321</v>
      </c>
      <c r="E19" s="32">
        <v>337</v>
      </c>
      <c r="F19" s="32">
        <v>4</v>
      </c>
      <c r="G19" s="22">
        <v>5</v>
      </c>
      <c r="H19" s="23">
        <v>81005</v>
      </c>
      <c r="I19" s="32" t="s">
        <v>2689</v>
      </c>
      <c r="J19" s="23">
        <v>55507889</v>
      </c>
      <c r="K19" s="23" t="s">
        <v>6391</v>
      </c>
      <c r="L19" s="43" t="s">
        <v>6394</v>
      </c>
      <c r="M19" s="24">
        <v>179900</v>
      </c>
      <c r="N19" s="64" t="s">
        <v>2569</v>
      </c>
      <c r="O19" s="34" t="s">
        <v>2577</v>
      </c>
      <c r="P19" s="32" t="s">
        <v>2569</v>
      </c>
    </row>
    <row r="20" spans="1:16" x14ac:dyDescent="0.35">
      <c r="A20" s="32" t="str">
        <f t="shared" ref="A20:C35" si="2">A19</f>
        <v>2025 JUNSEPT B1G1</v>
      </c>
      <c r="B20" s="33">
        <f t="shared" si="2"/>
        <v>46121</v>
      </c>
      <c r="C20" s="33">
        <f t="shared" si="2"/>
        <v>46127</v>
      </c>
      <c r="D20" s="32">
        <v>3321</v>
      </c>
      <c r="E20" s="32">
        <v>337</v>
      </c>
      <c r="F20" s="32">
        <v>4</v>
      </c>
      <c r="G20" s="22">
        <v>5</v>
      </c>
      <c r="H20" s="23">
        <v>81005</v>
      </c>
      <c r="I20" s="32" t="s">
        <v>2689</v>
      </c>
      <c r="J20" s="23">
        <v>55507898</v>
      </c>
      <c r="K20" s="23" t="s">
        <v>6391</v>
      </c>
      <c r="L20" s="43" t="s">
        <v>6395</v>
      </c>
      <c r="M20" s="24">
        <v>179900</v>
      </c>
      <c r="N20" s="64" t="s">
        <v>2569</v>
      </c>
      <c r="O20" s="34" t="s">
        <v>2577</v>
      </c>
      <c r="P20" s="32" t="s">
        <v>2569</v>
      </c>
    </row>
    <row r="21" spans="1:16" x14ac:dyDescent="0.35">
      <c r="A21" s="32" t="str">
        <f t="shared" si="2"/>
        <v>2025 JUNSEPT B1G1</v>
      </c>
      <c r="B21" s="33">
        <f t="shared" si="2"/>
        <v>46121</v>
      </c>
      <c r="C21" s="33">
        <f t="shared" si="2"/>
        <v>46127</v>
      </c>
      <c r="D21" s="32">
        <v>3321</v>
      </c>
      <c r="E21" s="32">
        <v>337</v>
      </c>
      <c r="F21" s="32">
        <v>4</v>
      </c>
      <c r="G21" s="22">
        <v>5</v>
      </c>
      <c r="H21" s="23">
        <v>81005</v>
      </c>
      <c r="I21" s="32" t="s">
        <v>2689</v>
      </c>
      <c r="J21" s="23">
        <v>55507905</v>
      </c>
      <c r="K21" s="23" t="s">
        <v>6391</v>
      </c>
      <c r="L21" s="43" t="s">
        <v>6393</v>
      </c>
      <c r="M21" s="24">
        <v>179900</v>
      </c>
      <c r="N21" s="64" t="s">
        <v>2569</v>
      </c>
      <c r="O21" s="34" t="s">
        <v>2577</v>
      </c>
      <c r="P21" s="32" t="s">
        <v>2569</v>
      </c>
    </row>
    <row r="22" spans="1:16" x14ac:dyDescent="0.35">
      <c r="A22" s="32" t="str">
        <f t="shared" si="2"/>
        <v>2025 JUNSEPT B1G1</v>
      </c>
      <c r="B22" s="33">
        <f t="shared" si="2"/>
        <v>46121</v>
      </c>
      <c r="C22" s="33">
        <f t="shared" si="2"/>
        <v>46127</v>
      </c>
      <c r="D22" s="32">
        <v>3321</v>
      </c>
      <c r="E22" s="32">
        <v>337</v>
      </c>
      <c r="F22" s="32">
        <v>4</v>
      </c>
      <c r="G22" s="22">
        <v>5</v>
      </c>
      <c r="H22" s="23">
        <v>81679</v>
      </c>
      <c r="I22" s="32" t="s">
        <v>2689</v>
      </c>
      <c r="J22" s="23">
        <v>55507834</v>
      </c>
      <c r="K22" s="23" t="s">
        <v>6441</v>
      </c>
      <c r="L22" s="43" t="s">
        <v>6442</v>
      </c>
      <c r="M22" s="24">
        <v>149900</v>
      </c>
      <c r="N22" s="64" t="s">
        <v>2569</v>
      </c>
      <c r="O22" s="34" t="s">
        <v>2577</v>
      </c>
      <c r="P22" s="32" t="s">
        <v>2569</v>
      </c>
    </row>
    <row r="23" spans="1:16" x14ac:dyDescent="0.35">
      <c r="A23" s="32" t="str">
        <f t="shared" si="2"/>
        <v>2025 JUNSEPT B1G1</v>
      </c>
      <c r="B23" s="33">
        <f t="shared" si="2"/>
        <v>46121</v>
      </c>
      <c r="C23" s="33">
        <f t="shared" si="2"/>
        <v>46127</v>
      </c>
      <c r="D23" s="32">
        <v>3321</v>
      </c>
      <c r="E23" s="32">
        <v>337</v>
      </c>
      <c r="F23" s="32">
        <v>4</v>
      </c>
      <c r="G23" s="22">
        <v>5</v>
      </c>
      <c r="H23" s="23">
        <v>81679</v>
      </c>
      <c r="I23" s="32" t="s">
        <v>2689</v>
      </c>
      <c r="J23" s="23">
        <v>55507843</v>
      </c>
      <c r="K23" s="23" t="s">
        <v>6441</v>
      </c>
      <c r="L23" s="43" t="s">
        <v>6443</v>
      </c>
      <c r="M23" s="24">
        <v>149900</v>
      </c>
      <c r="N23" s="64" t="s">
        <v>2569</v>
      </c>
      <c r="O23" s="34" t="s">
        <v>2577</v>
      </c>
      <c r="P23" s="32" t="s">
        <v>2569</v>
      </c>
    </row>
    <row r="24" spans="1:16" x14ac:dyDescent="0.35">
      <c r="A24" s="32" t="str">
        <f t="shared" si="2"/>
        <v>2025 JUNSEPT B1G1</v>
      </c>
      <c r="B24" s="33">
        <f t="shared" si="2"/>
        <v>46121</v>
      </c>
      <c r="C24" s="33">
        <f t="shared" si="2"/>
        <v>46127</v>
      </c>
      <c r="D24" s="32">
        <v>3321</v>
      </c>
      <c r="E24" s="32">
        <v>337</v>
      </c>
      <c r="F24" s="32">
        <v>4</v>
      </c>
      <c r="G24" s="22">
        <v>5</v>
      </c>
      <c r="H24" s="23">
        <v>81679</v>
      </c>
      <c r="I24" s="32" t="s">
        <v>2689</v>
      </c>
      <c r="J24" s="23">
        <v>55507852</v>
      </c>
      <c r="K24" s="23" t="s">
        <v>6441</v>
      </c>
      <c r="L24" s="43" t="s">
        <v>6444</v>
      </c>
      <c r="M24" s="24">
        <v>149900</v>
      </c>
      <c r="N24" s="64" t="s">
        <v>2569</v>
      </c>
      <c r="O24" s="34" t="s">
        <v>2577</v>
      </c>
      <c r="P24" s="32" t="s">
        <v>2569</v>
      </c>
    </row>
    <row r="25" spans="1:16" x14ac:dyDescent="0.35">
      <c r="A25" s="32" t="str">
        <f t="shared" si="2"/>
        <v>2025 JUNSEPT B1G1</v>
      </c>
      <c r="B25" s="33">
        <f t="shared" si="2"/>
        <v>46121</v>
      </c>
      <c r="C25" s="33">
        <f t="shared" si="2"/>
        <v>46127</v>
      </c>
      <c r="D25" s="32">
        <v>3321</v>
      </c>
      <c r="E25" s="32">
        <v>337</v>
      </c>
      <c r="F25" s="32">
        <v>4</v>
      </c>
      <c r="G25" s="22">
        <v>5</v>
      </c>
      <c r="H25" s="23">
        <v>81679</v>
      </c>
      <c r="I25" s="32" t="s">
        <v>2689</v>
      </c>
      <c r="J25" s="23">
        <v>55507861</v>
      </c>
      <c r="K25" s="23" t="s">
        <v>6441</v>
      </c>
      <c r="L25" s="43" t="s">
        <v>6445</v>
      </c>
      <c r="M25" s="24">
        <v>149900</v>
      </c>
      <c r="N25" s="64" t="s">
        <v>2569</v>
      </c>
      <c r="O25" s="34" t="s">
        <v>2577</v>
      </c>
      <c r="P25" s="32" t="s">
        <v>2569</v>
      </c>
    </row>
    <row r="26" spans="1:16" x14ac:dyDescent="0.35">
      <c r="A26" s="32" t="str">
        <f t="shared" si="2"/>
        <v>2025 JUNSEPT B1G1</v>
      </c>
      <c r="B26" s="33">
        <f t="shared" si="2"/>
        <v>46121</v>
      </c>
      <c r="C26" s="33">
        <f t="shared" si="2"/>
        <v>46127</v>
      </c>
      <c r="D26" s="32">
        <v>3321</v>
      </c>
      <c r="E26" s="32">
        <v>337</v>
      </c>
      <c r="F26" s="32">
        <v>4</v>
      </c>
      <c r="G26" s="22">
        <v>5</v>
      </c>
      <c r="H26" s="23">
        <v>190</v>
      </c>
      <c r="I26" s="32" t="s">
        <v>2689</v>
      </c>
      <c r="J26" s="23">
        <v>54954997</v>
      </c>
      <c r="K26" s="23" t="s">
        <v>5991</v>
      </c>
      <c r="L26" s="43" t="s">
        <v>5994</v>
      </c>
      <c r="M26" s="24">
        <v>149900</v>
      </c>
      <c r="N26" s="64" t="s">
        <v>2569</v>
      </c>
      <c r="O26" s="34" t="s">
        <v>2577</v>
      </c>
      <c r="P26" s="32" t="s">
        <v>2569</v>
      </c>
    </row>
    <row r="27" spans="1:16" x14ac:dyDescent="0.35">
      <c r="A27" s="32" t="str">
        <f t="shared" si="2"/>
        <v>2025 JUNSEPT B1G1</v>
      </c>
      <c r="B27" s="33">
        <f t="shared" si="2"/>
        <v>46121</v>
      </c>
      <c r="C27" s="33">
        <f t="shared" si="2"/>
        <v>46127</v>
      </c>
      <c r="D27" s="32">
        <v>3321</v>
      </c>
      <c r="E27" s="32">
        <v>337</v>
      </c>
      <c r="F27" s="32">
        <v>4</v>
      </c>
      <c r="G27" s="22">
        <v>5</v>
      </c>
      <c r="H27" s="23">
        <v>190</v>
      </c>
      <c r="I27" s="32" t="s">
        <v>2689</v>
      </c>
      <c r="J27" s="23">
        <v>54955003</v>
      </c>
      <c r="K27" s="23" t="s">
        <v>5991</v>
      </c>
      <c r="L27" s="43" t="s">
        <v>5995</v>
      </c>
      <c r="M27" s="24">
        <v>149900</v>
      </c>
      <c r="N27" s="64" t="s">
        <v>2569</v>
      </c>
      <c r="O27" s="34" t="s">
        <v>2577</v>
      </c>
      <c r="P27" s="32" t="s">
        <v>2569</v>
      </c>
    </row>
    <row r="28" spans="1:16" x14ac:dyDescent="0.35">
      <c r="A28" s="32" t="str">
        <f t="shared" si="2"/>
        <v>2025 JUNSEPT B1G1</v>
      </c>
      <c r="B28" s="33">
        <f t="shared" si="2"/>
        <v>46121</v>
      </c>
      <c r="C28" s="33">
        <f t="shared" si="2"/>
        <v>46127</v>
      </c>
      <c r="D28" s="32">
        <v>3321</v>
      </c>
      <c r="E28" s="32">
        <v>337</v>
      </c>
      <c r="F28" s="32">
        <v>4</v>
      </c>
      <c r="G28" s="22">
        <v>5</v>
      </c>
      <c r="H28" s="23">
        <v>190</v>
      </c>
      <c r="I28" s="32" t="s">
        <v>2689</v>
      </c>
      <c r="J28" s="23">
        <v>54955012</v>
      </c>
      <c r="K28" s="23" t="s">
        <v>5991</v>
      </c>
      <c r="L28" s="43" t="s">
        <v>5992</v>
      </c>
      <c r="M28" s="24">
        <v>149900</v>
      </c>
      <c r="N28" s="64" t="s">
        <v>2569</v>
      </c>
      <c r="O28" s="34" t="s">
        <v>2577</v>
      </c>
      <c r="P28" s="32" t="s">
        <v>2569</v>
      </c>
    </row>
    <row r="29" spans="1:16" x14ac:dyDescent="0.35">
      <c r="A29" s="32" t="str">
        <f t="shared" si="2"/>
        <v>2025 JUNSEPT B1G1</v>
      </c>
      <c r="B29" s="33">
        <f t="shared" si="2"/>
        <v>46121</v>
      </c>
      <c r="C29" s="33">
        <f t="shared" si="2"/>
        <v>46127</v>
      </c>
      <c r="D29" s="32">
        <v>3321</v>
      </c>
      <c r="E29" s="32">
        <v>337</v>
      </c>
      <c r="F29" s="32">
        <v>4</v>
      </c>
      <c r="G29" s="22">
        <v>5</v>
      </c>
      <c r="H29" s="23">
        <v>190</v>
      </c>
      <c r="I29" s="32" t="s">
        <v>2689</v>
      </c>
      <c r="J29" s="23">
        <v>54955021</v>
      </c>
      <c r="K29" s="23" t="s">
        <v>5991</v>
      </c>
      <c r="L29" s="43" t="s">
        <v>5993</v>
      </c>
      <c r="M29" s="24">
        <v>149900</v>
      </c>
      <c r="N29" s="64" t="s">
        <v>2569</v>
      </c>
      <c r="O29" s="34" t="s">
        <v>2577</v>
      </c>
      <c r="P29" s="32" t="s">
        <v>2569</v>
      </c>
    </row>
    <row r="30" spans="1:16" x14ac:dyDescent="0.35">
      <c r="A30" s="32" t="str">
        <f t="shared" si="2"/>
        <v>2025 JUNSEPT B1G1</v>
      </c>
      <c r="B30" s="33">
        <f t="shared" si="2"/>
        <v>46121</v>
      </c>
      <c r="C30" s="33">
        <f t="shared" si="2"/>
        <v>46127</v>
      </c>
      <c r="D30" s="32">
        <v>3321</v>
      </c>
      <c r="E30" s="32">
        <v>337</v>
      </c>
      <c r="F30" s="32">
        <v>4</v>
      </c>
      <c r="G30" s="22">
        <v>4</v>
      </c>
      <c r="H30" s="23">
        <v>81588</v>
      </c>
      <c r="I30" s="32" t="s">
        <v>2689</v>
      </c>
      <c r="J30" s="23">
        <v>55507692</v>
      </c>
      <c r="K30" s="23" t="s">
        <v>6362</v>
      </c>
      <c r="L30" s="43" t="s">
        <v>6367</v>
      </c>
      <c r="M30" s="24">
        <v>149900</v>
      </c>
      <c r="N30" s="64" t="s">
        <v>2569</v>
      </c>
      <c r="O30" s="34" t="s">
        <v>2577</v>
      </c>
      <c r="P30" s="32" t="s">
        <v>2569</v>
      </c>
    </row>
    <row r="31" spans="1:16" x14ac:dyDescent="0.35">
      <c r="A31" s="32" t="str">
        <f t="shared" si="2"/>
        <v>2025 JUNSEPT B1G1</v>
      </c>
      <c r="B31" s="33">
        <f t="shared" si="2"/>
        <v>46121</v>
      </c>
      <c r="C31" s="33">
        <f t="shared" si="2"/>
        <v>46127</v>
      </c>
      <c r="D31" s="32">
        <v>3321</v>
      </c>
      <c r="E31" s="32">
        <v>337</v>
      </c>
      <c r="F31" s="32">
        <v>4</v>
      </c>
      <c r="G31" s="22">
        <v>4</v>
      </c>
      <c r="H31" s="23">
        <v>81588</v>
      </c>
      <c r="I31" s="32" t="s">
        <v>2689</v>
      </c>
      <c r="J31" s="23">
        <v>55507709</v>
      </c>
      <c r="K31" s="23" t="s">
        <v>6362</v>
      </c>
      <c r="L31" s="43" t="s">
        <v>6363</v>
      </c>
      <c r="M31" s="24">
        <v>149900</v>
      </c>
      <c r="N31" s="64" t="s">
        <v>2569</v>
      </c>
      <c r="O31" s="34" t="s">
        <v>2577</v>
      </c>
      <c r="P31" s="32" t="s">
        <v>2569</v>
      </c>
    </row>
    <row r="32" spans="1:16" x14ac:dyDescent="0.35">
      <c r="A32" s="32" t="str">
        <f t="shared" si="2"/>
        <v>2025 JUNSEPT B1G1</v>
      </c>
      <c r="B32" s="33">
        <f t="shared" si="2"/>
        <v>46121</v>
      </c>
      <c r="C32" s="33">
        <f t="shared" si="2"/>
        <v>46127</v>
      </c>
      <c r="D32" s="32">
        <v>3321</v>
      </c>
      <c r="E32" s="32">
        <v>337</v>
      </c>
      <c r="F32" s="32">
        <v>4</v>
      </c>
      <c r="G32" s="22">
        <v>4</v>
      </c>
      <c r="H32" s="23">
        <v>81588</v>
      </c>
      <c r="I32" s="32" t="s">
        <v>2689</v>
      </c>
      <c r="J32" s="23">
        <v>55507718</v>
      </c>
      <c r="K32" s="23" t="s">
        <v>6362</v>
      </c>
      <c r="L32" s="43" t="s">
        <v>6364</v>
      </c>
      <c r="M32" s="24">
        <v>149900</v>
      </c>
      <c r="N32" s="64" t="s">
        <v>2569</v>
      </c>
      <c r="O32" s="34" t="s">
        <v>2577</v>
      </c>
      <c r="P32" s="32" t="s">
        <v>2569</v>
      </c>
    </row>
    <row r="33" spans="1:16" x14ac:dyDescent="0.35">
      <c r="A33" s="32" t="str">
        <f t="shared" si="2"/>
        <v>2025 JUNSEPT B1G1</v>
      </c>
      <c r="B33" s="33">
        <f t="shared" si="2"/>
        <v>46121</v>
      </c>
      <c r="C33" s="33">
        <f t="shared" si="2"/>
        <v>46127</v>
      </c>
      <c r="D33" s="32">
        <v>3321</v>
      </c>
      <c r="E33" s="32">
        <v>337</v>
      </c>
      <c r="F33" s="32">
        <v>4</v>
      </c>
      <c r="G33" s="22">
        <v>4</v>
      </c>
      <c r="H33" s="23">
        <v>81588</v>
      </c>
      <c r="I33" s="32" t="s">
        <v>2689</v>
      </c>
      <c r="J33" s="23">
        <v>55507727</v>
      </c>
      <c r="K33" s="23" t="s">
        <v>6362</v>
      </c>
      <c r="L33" s="43" t="s">
        <v>6365</v>
      </c>
      <c r="M33" s="24">
        <v>149900</v>
      </c>
      <c r="N33" s="64" t="s">
        <v>2569</v>
      </c>
      <c r="O33" s="34" t="s">
        <v>2577</v>
      </c>
      <c r="P33" s="32" t="s">
        <v>2569</v>
      </c>
    </row>
    <row r="34" spans="1:16" x14ac:dyDescent="0.35">
      <c r="A34" s="32" t="str">
        <f t="shared" si="2"/>
        <v>2025 JUNSEPT B1G1</v>
      </c>
      <c r="B34" s="33">
        <f t="shared" si="2"/>
        <v>46121</v>
      </c>
      <c r="C34" s="33">
        <f t="shared" si="2"/>
        <v>46127</v>
      </c>
      <c r="D34" s="32">
        <v>3321</v>
      </c>
      <c r="E34" s="32">
        <v>337</v>
      </c>
      <c r="F34" s="32">
        <v>4</v>
      </c>
      <c r="G34" s="22">
        <v>4</v>
      </c>
      <c r="H34" s="23">
        <v>81588</v>
      </c>
      <c r="I34" s="32" t="s">
        <v>2689</v>
      </c>
      <c r="J34" s="23">
        <v>55507736</v>
      </c>
      <c r="K34" s="23" t="s">
        <v>6362</v>
      </c>
      <c r="L34" s="43" t="s">
        <v>6368</v>
      </c>
      <c r="M34" s="24">
        <v>149900</v>
      </c>
      <c r="N34" s="64" t="s">
        <v>2569</v>
      </c>
      <c r="O34" s="34" t="s">
        <v>2577</v>
      </c>
      <c r="P34" s="32" t="s">
        <v>2569</v>
      </c>
    </row>
    <row r="35" spans="1:16" x14ac:dyDescent="0.35">
      <c r="A35" s="32" t="str">
        <f t="shared" si="2"/>
        <v>2025 JUNSEPT B1G1</v>
      </c>
      <c r="B35" s="33">
        <f t="shared" si="2"/>
        <v>46121</v>
      </c>
      <c r="C35" s="33">
        <f t="shared" si="2"/>
        <v>46127</v>
      </c>
      <c r="D35" s="32">
        <v>3321</v>
      </c>
      <c r="E35" s="32">
        <v>337</v>
      </c>
      <c r="F35" s="32">
        <v>4</v>
      </c>
      <c r="G35" s="22">
        <v>4</v>
      </c>
      <c r="H35" s="23">
        <v>81588</v>
      </c>
      <c r="I35" s="32" t="s">
        <v>2689</v>
      </c>
      <c r="J35" s="23">
        <v>55507745</v>
      </c>
      <c r="K35" s="23" t="s">
        <v>6362</v>
      </c>
      <c r="L35" s="43" t="s">
        <v>6366</v>
      </c>
      <c r="M35" s="24">
        <v>149900</v>
      </c>
      <c r="N35" s="64" t="s">
        <v>2569</v>
      </c>
      <c r="O35" s="34" t="s">
        <v>2577</v>
      </c>
      <c r="P35" s="32" t="s">
        <v>2569</v>
      </c>
    </row>
    <row r="36" spans="1:16" x14ac:dyDescent="0.35">
      <c r="A36" s="32" t="str">
        <f t="shared" ref="A36:C51" si="3">A35</f>
        <v>2025 JUNSEPT B1G1</v>
      </c>
      <c r="B36" s="33">
        <f t="shared" si="3"/>
        <v>46121</v>
      </c>
      <c r="C36" s="33">
        <f t="shared" si="3"/>
        <v>46127</v>
      </c>
      <c r="D36" s="32">
        <v>3321</v>
      </c>
      <c r="E36" s="32">
        <v>337</v>
      </c>
      <c r="F36" s="32">
        <v>4</v>
      </c>
      <c r="G36" s="22">
        <v>3</v>
      </c>
      <c r="H36" s="23">
        <v>81005</v>
      </c>
      <c r="I36" s="32" t="s">
        <v>2689</v>
      </c>
      <c r="J36" s="23">
        <v>55301341</v>
      </c>
      <c r="K36" s="23" t="s">
        <v>6374</v>
      </c>
      <c r="L36" s="43" t="s">
        <v>6377</v>
      </c>
      <c r="M36" s="24">
        <v>199900</v>
      </c>
      <c r="N36" s="64" t="s">
        <v>2569</v>
      </c>
      <c r="O36" s="34" t="s">
        <v>2577</v>
      </c>
      <c r="P36" s="32" t="s">
        <v>2569</v>
      </c>
    </row>
    <row r="37" spans="1:16" x14ac:dyDescent="0.35">
      <c r="A37" s="32" t="str">
        <f t="shared" si="3"/>
        <v>2025 JUNSEPT B1G1</v>
      </c>
      <c r="B37" s="33">
        <f t="shared" si="3"/>
        <v>46121</v>
      </c>
      <c r="C37" s="33">
        <f t="shared" si="3"/>
        <v>46127</v>
      </c>
      <c r="D37" s="32">
        <v>3321</v>
      </c>
      <c r="E37" s="32">
        <v>337</v>
      </c>
      <c r="F37" s="32">
        <v>4</v>
      </c>
      <c r="G37" s="22">
        <v>3</v>
      </c>
      <c r="H37" s="23">
        <v>81005</v>
      </c>
      <c r="I37" s="32" t="s">
        <v>2689</v>
      </c>
      <c r="J37" s="23">
        <v>55301350</v>
      </c>
      <c r="K37" s="23" t="s">
        <v>6374</v>
      </c>
      <c r="L37" s="43" t="s">
        <v>6379</v>
      </c>
      <c r="M37" s="24">
        <v>199900</v>
      </c>
      <c r="N37" s="64" t="s">
        <v>2569</v>
      </c>
      <c r="O37" s="34" t="s">
        <v>2577</v>
      </c>
      <c r="P37" s="32" t="s">
        <v>2569</v>
      </c>
    </row>
    <row r="38" spans="1:16" x14ac:dyDescent="0.35">
      <c r="A38" s="32" t="str">
        <f t="shared" si="3"/>
        <v>2025 JUNSEPT B1G1</v>
      </c>
      <c r="B38" s="33">
        <f t="shared" si="3"/>
        <v>46121</v>
      </c>
      <c r="C38" s="33">
        <f t="shared" si="3"/>
        <v>46127</v>
      </c>
      <c r="D38" s="32">
        <v>3321</v>
      </c>
      <c r="E38" s="32">
        <v>337</v>
      </c>
      <c r="F38" s="32">
        <v>4</v>
      </c>
      <c r="G38" s="22">
        <v>3</v>
      </c>
      <c r="H38" s="23">
        <v>81005</v>
      </c>
      <c r="I38" s="32" t="s">
        <v>2689</v>
      </c>
      <c r="J38" s="23">
        <v>55301369</v>
      </c>
      <c r="K38" s="23" t="s">
        <v>6374</v>
      </c>
      <c r="L38" s="43" t="s">
        <v>6380</v>
      </c>
      <c r="M38" s="24">
        <v>199900</v>
      </c>
      <c r="N38" s="64" t="s">
        <v>2569</v>
      </c>
      <c r="O38" s="34" t="s">
        <v>2577</v>
      </c>
      <c r="P38" s="32" t="s">
        <v>2569</v>
      </c>
    </row>
    <row r="39" spans="1:16" x14ac:dyDescent="0.35">
      <c r="A39" s="32" t="str">
        <f t="shared" si="3"/>
        <v>2025 JUNSEPT B1G1</v>
      </c>
      <c r="B39" s="33">
        <f t="shared" si="3"/>
        <v>46121</v>
      </c>
      <c r="C39" s="33">
        <f t="shared" si="3"/>
        <v>46127</v>
      </c>
      <c r="D39" s="32">
        <v>3321</v>
      </c>
      <c r="E39" s="32">
        <v>337</v>
      </c>
      <c r="F39" s="32">
        <v>4</v>
      </c>
      <c r="G39" s="22">
        <v>3</v>
      </c>
      <c r="H39" s="23">
        <v>81005</v>
      </c>
      <c r="I39" s="32" t="s">
        <v>2689</v>
      </c>
      <c r="J39" s="23">
        <v>55301378</v>
      </c>
      <c r="K39" s="23" t="s">
        <v>6374</v>
      </c>
      <c r="L39" s="43" t="s">
        <v>6375</v>
      </c>
      <c r="M39" s="24">
        <v>199900</v>
      </c>
      <c r="N39" s="64" t="s">
        <v>2569</v>
      </c>
      <c r="O39" s="34" t="s">
        <v>2577</v>
      </c>
      <c r="P39" s="32" t="s">
        <v>2569</v>
      </c>
    </row>
    <row r="40" spans="1:16" x14ac:dyDescent="0.35">
      <c r="A40" s="32" t="str">
        <f t="shared" si="3"/>
        <v>2025 JUNSEPT B1G1</v>
      </c>
      <c r="B40" s="33">
        <f t="shared" si="3"/>
        <v>46121</v>
      </c>
      <c r="C40" s="33">
        <f t="shared" si="3"/>
        <v>46127</v>
      </c>
      <c r="D40" s="32">
        <v>3321</v>
      </c>
      <c r="E40" s="32">
        <v>337</v>
      </c>
      <c r="F40" s="32">
        <v>4</v>
      </c>
      <c r="G40" s="22">
        <v>3</v>
      </c>
      <c r="H40" s="23">
        <v>81005</v>
      </c>
      <c r="I40" s="32" t="s">
        <v>2689</v>
      </c>
      <c r="J40" s="23">
        <v>55301387</v>
      </c>
      <c r="K40" s="23" t="s">
        <v>6374</v>
      </c>
      <c r="L40" s="43" t="s">
        <v>6376</v>
      </c>
      <c r="M40" s="24">
        <v>199900</v>
      </c>
      <c r="N40" s="64" t="s">
        <v>2569</v>
      </c>
      <c r="O40" s="34" t="s">
        <v>2577</v>
      </c>
      <c r="P40" s="32" t="s">
        <v>2569</v>
      </c>
    </row>
    <row r="41" spans="1:16" x14ac:dyDescent="0.35">
      <c r="A41" s="32" t="str">
        <f t="shared" si="3"/>
        <v>2025 JUNSEPT B1G1</v>
      </c>
      <c r="B41" s="33">
        <f t="shared" si="3"/>
        <v>46121</v>
      </c>
      <c r="C41" s="33">
        <f t="shared" si="3"/>
        <v>46127</v>
      </c>
      <c r="D41" s="32">
        <v>3321</v>
      </c>
      <c r="E41" s="32">
        <v>337</v>
      </c>
      <c r="F41" s="32">
        <v>4</v>
      </c>
      <c r="G41" s="22">
        <v>3</v>
      </c>
      <c r="H41" s="23">
        <v>81005</v>
      </c>
      <c r="I41" s="32" t="s">
        <v>2689</v>
      </c>
      <c r="J41" s="23">
        <v>55301396</v>
      </c>
      <c r="K41" s="23" t="s">
        <v>6374</v>
      </c>
      <c r="L41" s="43" t="s">
        <v>6378</v>
      </c>
      <c r="M41" s="24">
        <v>199900</v>
      </c>
      <c r="N41" s="64" t="s">
        <v>2569</v>
      </c>
      <c r="O41" s="34" t="s">
        <v>2577</v>
      </c>
      <c r="P41" s="32" t="s">
        <v>2569</v>
      </c>
    </row>
    <row r="42" spans="1:16" x14ac:dyDescent="0.35">
      <c r="A42" s="32" t="str">
        <f t="shared" si="3"/>
        <v>2025 JUNSEPT B1G1</v>
      </c>
      <c r="B42" s="33">
        <f t="shared" si="3"/>
        <v>46121</v>
      </c>
      <c r="C42" s="33">
        <f t="shared" si="3"/>
        <v>46127</v>
      </c>
      <c r="D42" s="32">
        <v>3321</v>
      </c>
      <c r="E42" s="32">
        <v>337</v>
      </c>
      <c r="F42" s="32">
        <v>4</v>
      </c>
      <c r="G42" s="22">
        <v>3</v>
      </c>
      <c r="H42" s="23">
        <v>81588</v>
      </c>
      <c r="I42" s="32" t="s">
        <v>2689</v>
      </c>
      <c r="J42" s="23">
        <v>55507530</v>
      </c>
      <c r="K42" s="23" t="s">
        <v>6434</v>
      </c>
      <c r="L42" s="43" t="s">
        <v>6435</v>
      </c>
      <c r="M42" s="24">
        <v>199900</v>
      </c>
      <c r="N42" s="64" t="s">
        <v>2569</v>
      </c>
      <c r="O42" s="34" t="s">
        <v>2577</v>
      </c>
      <c r="P42" s="32" t="s">
        <v>2569</v>
      </c>
    </row>
    <row r="43" spans="1:16" x14ac:dyDescent="0.35">
      <c r="A43" s="32" t="str">
        <f t="shared" si="3"/>
        <v>2025 JUNSEPT B1G1</v>
      </c>
      <c r="B43" s="33">
        <f t="shared" si="3"/>
        <v>46121</v>
      </c>
      <c r="C43" s="33">
        <f t="shared" si="3"/>
        <v>46127</v>
      </c>
      <c r="D43" s="32">
        <v>3321</v>
      </c>
      <c r="E43" s="32">
        <v>337</v>
      </c>
      <c r="F43" s="32">
        <v>4</v>
      </c>
      <c r="G43" s="22">
        <v>3</v>
      </c>
      <c r="H43" s="23">
        <v>81588</v>
      </c>
      <c r="I43" s="32" t="s">
        <v>2689</v>
      </c>
      <c r="J43" s="23">
        <v>55507549</v>
      </c>
      <c r="K43" s="23" t="s">
        <v>6434</v>
      </c>
      <c r="L43" s="43" t="s">
        <v>6436</v>
      </c>
      <c r="M43" s="24">
        <v>199900</v>
      </c>
      <c r="N43" s="64" t="s">
        <v>2569</v>
      </c>
      <c r="O43" s="34" t="s">
        <v>2577</v>
      </c>
      <c r="P43" s="32" t="s">
        <v>2569</v>
      </c>
    </row>
    <row r="44" spans="1:16" x14ac:dyDescent="0.35">
      <c r="A44" s="32" t="str">
        <f t="shared" si="3"/>
        <v>2025 JUNSEPT B1G1</v>
      </c>
      <c r="B44" s="33">
        <f t="shared" si="3"/>
        <v>46121</v>
      </c>
      <c r="C44" s="33">
        <f t="shared" si="3"/>
        <v>46127</v>
      </c>
      <c r="D44" s="32">
        <v>3321</v>
      </c>
      <c r="E44" s="32">
        <v>337</v>
      </c>
      <c r="F44" s="32">
        <v>4</v>
      </c>
      <c r="G44" s="22">
        <v>3</v>
      </c>
      <c r="H44" s="23">
        <v>81588</v>
      </c>
      <c r="I44" s="32" t="s">
        <v>2689</v>
      </c>
      <c r="J44" s="23">
        <v>55507558</v>
      </c>
      <c r="K44" s="23" t="s">
        <v>6434</v>
      </c>
      <c r="L44" s="43" t="s">
        <v>6437</v>
      </c>
      <c r="M44" s="24">
        <v>199900</v>
      </c>
      <c r="N44" s="64" t="s">
        <v>2569</v>
      </c>
      <c r="O44" s="34" t="s">
        <v>2577</v>
      </c>
      <c r="P44" s="32" t="s">
        <v>2569</v>
      </c>
    </row>
    <row r="45" spans="1:16" x14ac:dyDescent="0.35">
      <c r="A45" s="32" t="str">
        <f t="shared" si="3"/>
        <v>2025 JUNSEPT B1G1</v>
      </c>
      <c r="B45" s="33">
        <f t="shared" si="3"/>
        <v>46121</v>
      </c>
      <c r="C45" s="33">
        <f t="shared" si="3"/>
        <v>46127</v>
      </c>
      <c r="D45" s="32">
        <v>3321</v>
      </c>
      <c r="E45" s="32">
        <v>337</v>
      </c>
      <c r="F45" s="32">
        <v>4</v>
      </c>
      <c r="G45" s="22">
        <v>3</v>
      </c>
      <c r="H45" s="23">
        <v>81588</v>
      </c>
      <c r="I45" s="32" t="s">
        <v>2689</v>
      </c>
      <c r="J45" s="23">
        <v>55507567</v>
      </c>
      <c r="K45" s="23" t="s">
        <v>6434</v>
      </c>
      <c r="L45" s="43" t="s">
        <v>6438</v>
      </c>
      <c r="M45" s="24">
        <v>199900</v>
      </c>
      <c r="N45" s="64" t="s">
        <v>2569</v>
      </c>
      <c r="O45" s="34" t="s">
        <v>2577</v>
      </c>
      <c r="P45" s="32" t="s">
        <v>2569</v>
      </c>
    </row>
    <row r="46" spans="1:16" x14ac:dyDescent="0.35">
      <c r="A46" s="32" t="str">
        <f t="shared" si="3"/>
        <v>2025 JUNSEPT B1G1</v>
      </c>
      <c r="B46" s="33">
        <f t="shared" si="3"/>
        <v>46121</v>
      </c>
      <c r="C46" s="33">
        <f t="shared" si="3"/>
        <v>46127</v>
      </c>
      <c r="D46" s="32">
        <v>3321</v>
      </c>
      <c r="E46" s="32">
        <v>337</v>
      </c>
      <c r="F46" s="32">
        <v>4</v>
      </c>
      <c r="G46" s="22">
        <v>3</v>
      </c>
      <c r="H46" s="23">
        <v>81588</v>
      </c>
      <c r="I46" s="32" t="s">
        <v>2689</v>
      </c>
      <c r="J46" s="23">
        <v>55507576</v>
      </c>
      <c r="K46" s="23" t="s">
        <v>6434</v>
      </c>
      <c r="L46" s="43" t="s">
        <v>6439</v>
      </c>
      <c r="M46" s="24">
        <v>199900</v>
      </c>
      <c r="N46" s="64" t="s">
        <v>2569</v>
      </c>
      <c r="O46" s="34" t="s">
        <v>2577</v>
      </c>
      <c r="P46" s="32" t="s">
        <v>2569</v>
      </c>
    </row>
    <row r="47" spans="1:16" x14ac:dyDescent="0.35">
      <c r="A47" s="32" t="str">
        <f t="shared" si="3"/>
        <v>2025 JUNSEPT B1G1</v>
      </c>
      <c r="B47" s="33">
        <f t="shared" si="3"/>
        <v>46121</v>
      </c>
      <c r="C47" s="33">
        <f t="shared" si="3"/>
        <v>46127</v>
      </c>
      <c r="D47" s="32">
        <v>3321</v>
      </c>
      <c r="E47" s="32">
        <v>337</v>
      </c>
      <c r="F47" s="32">
        <v>4</v>
      </c>
      <c r="G47" s="22">
        <v>3</v>
      </c>
      <c r="H47" s="23">
        <v>81588</v>
      </c>
      <c r="I47" s="32" t="s">
        <v>2689</v>
      </c>
      <c r="J47" s="23">
        <v>55507585</v>
      </c>
      <c r="K47" s="23" t="s">
        <v>6434</v>
      </c>
      <c r="L47" s="43" t="s">
        <v>6440</v>
      </c>
      <c r="M47" s="24">
        <v>199900</v>
      </c>
      <c r="N47" s="64" t="s">
        <v>2569</v>
      </c>
      <c r="O47" s="34" t="s">
        <v>2577</v>
      </c>
      <c r="P47" s="32" t="s">
        <v>2569</v>
      </c>
    </row>
    <row r="48" spans="1:16" x14ac:dyDescent="0.35">
      <c r="A48" s="32" t="str">
        <f t="shared" si="3"/>
        <v>2025 JUNSEPT B1G1</v>
      </c>
      <c r="B48" s="33">
        <f t="shared" si="3"/>
        <v>46121</v>
      </c>
      <c r="C48" s="33">
        <f t="shared" si="3"/>
        <v>46127</v>
      </c>
      <c r="D48" s="32">
        <v>3321</v>
      </c>
      <c r="E48" s="32">
        <v>337</v>
      </c>
      <c r="F48" s="32">
        <v>4</v>
      </c>
      <c r="G48" s="22">
        <v>3</v>
      </c>
      <c r="H48" s="23">
        <v>81005</v>
      </c>
      <c r="I48" s="32" t="s">
        <v>2689</v>
      </c>
      <c r="J48" s="23">
        <v>54954835</v>
      </c>
      <c r="K48" s="23" t="s">
        <v>5981</v>
      </c>
      <c r="L48" s="43" t="s">
        <v>5983</v>
      </c>
      <c r="M48" s="24">
        <v>199900</v>
      </c>
      <c r="N48" s="64" t="s">
        <v>2569</v>
      </c>
      <c r="O48" s="34" t="s">
        <v>2577</v>
      </c>
      <c r="P48" s="32" t="s">
        <v>2569</v>
      </c>
    </row>
    <row r="49" spans="1:16" x14ac:dyDescent="0.35">
      <c r="A49" s="32" t="str">
        <f t="shared" si="3"/>
        <v>2025 JUNSEPT B1G1</v>
      </c>
      <c r="B49" s="33">
        <f t="shared" si="3"/>
        <v>46121</v>
      </c>
      <c r="C49" s="33">
        <f t="shared" si="3"/>
        <v>46127</v>
      </c>
      <c r="D49" s="32">
        <v>3321</v>
      </c>
      <c r="E49" s="32">
        <v>337</v>
      </c>
      <c r="F49" s="32">
        <v>4</v>
      </c>
      <c r="G49" s="22">
        <v>3</v>
      </c>
      <c r="H49" s="23">
        <v>81005</v>
      </c>
      <c r="I49" s="32" t="s">
        <v>2689</v>
      </c>
      <c r="J49" s="23">
        <v>54954844</v>
      </c>
      <c r="K49" s="23" t="s">
        <v>5981</v>
      </c>
      <c r="L49" s="43" t="s">
        <v>5982</v>
      </c>
      <c r="M49" s="24">
        <v>199900</v>
      </c>
      <c r="N49" s="64" t="s">
        <v>2569</v>
      </c>
      <c r="O49" s="34" t="s">
        <v>2577</v>
      </c>
      <c r="P49" s="32" t="s">
        <v>2569</v>
      </c>
    </row>
    <row r="50" spans="1:16" x14ac:dyDescent="0.35">
      <c r="A50" s="32" t="str">
        <f t="shared" si="3"/>
        <v>2025 JUNSEPT B1G1</v>
      </c>
      <c r="B50" s="33">
        <f t="shared" si="3"/>
        <v>46121</v>
      </c>
      <c r="C50" s="33">
        <f t="shared" si="3"/>
        <v>46127</v>
      </c>
      <c r="D50" s="32">
        <v>3321</v>
      </c>
      <c r="E50" s="32">
        <v>337</v>
      </c>
      <c r="F50" s="32">
        <v>4</v>
      </c>
      <c r="G50" s="22">
        <v>3</v>
      </c>
      <c r="H50" s="23">
        <v>81005</v>
      </c>
      <c r="I50" s="32" t="s">
        <v>2689</v>
      </c>
      <c r="J50" s="23">
        <v>54954853</v>
      </c>
      <c r="K50" s="23" t="s">
        <v>5981</v>
      </c>
      <c r="L50" s="43" t="s">
        <v>5984</v>
      </c>
      <c r="M50" s="24">
        <v>199900</v>
      </c>
      <c r="N50" s="64" t="s">
        <v>2569</v>
      </c>
      <c r="O50" s="34" t="s">
        <v>2577</v>
      </c>
      <c r="P50" s="32" t="s">
        <v>2569</v>
      </c>
    </row>
    <row r="51" spans="1:16" x14ac:dyDescent="0.35">
      <c r="A51" s="32" t="str">
        <f t="shared" si="3"/>
        <v>2025 JUNSEPT B1G1</v>
      </c>
      <c r="B51" s="33">
        <f t="shared" si="3"/>
        <v>46121</v>
      </c>
      <c r="C51" s="33">
        <f t="shared" si="3"/>
        <v>46127</v>
      </c>
      <c r="D51" s="32">
        <v>3321</v>
      </c>
      <c r="E51" s="32">
        <v>337</v>
      </c>
      <c r="F51" s="32">
        <v>4</v>
      </c>
      <c r="G51" s="22">
        <v>3</v>
      </c>
      <c r="H51" s="23">
        <v>81005</v>
      </c>
      <c r="I51" s="32" t="s">
        <v>2689</v>
      </c>
      <c r="J51" s="23">
        <v>54954862</v>
      </c>
      <c r="K51" s="23" t="s">
        <v>5981</v>
      </c>
      <c r="L51" s="43" t="s">
        <v>5985</v>
      </c>
      <c r="M51" s="24">
        <v>199900</v>
      </c>
      <c r="N51" s="64" t="s">
        <v>2569</v>
      </c>
      <c r="O51" s="34" t="s">
        <v>2577</v>
      </c>
      <c r="P51" s="32" t="s">
        <v>2569</v>
      </c>
    </row>
    <row r="52" spans="1:16" x14ac:dyDescent="0.35">
      <c r="A52" s="32" t="str">
        <f t="shared" ref="A52:C67" si="4">A51</f>
        <v>2025 JUNSEPT B1G1</v>
      </c>
      <c r="B52" s="33">
        <f t="shared" si="4"/>
        <v>46121</v>
      </c>
      <c r="C52" s="33">
        <f t="shared" si="4"/>
        <v>46127</v>
      </c>
      <c r="D52" s="32">
        <v>3321</v>
      </c>
      <c r="E52" s="32">
        <v>337</v>
      </c>
      <c r="F52" s="32">
        <v>4</v>
      </c>
      <c r="G52" s="22">
        <v>3</v>
      </c>
      <c r="H52" s="23">
        <v>81588</v>
      </c>
      <c r="I52" s="32" t="s">
        <v>2689</v>
      </c>
      <c r="J52" s="23">
        <v>55301403</v>
      </c>
      <c r="K52" s="23" t="s">
        <v>6299</v>
      </c>
      <c r="L52" s="43" t="s">
        <v>6300</v>
      </c>
      <c r="M52" s="24">
        <v>199900</v>
      </c>
      <c r="N52" s="64" t="s">
        <v>2569</v>
      </c>
      <c r="O52" s="34" t="s">
        <v>2577</v>
      </c>
      <c r="P52" s="32" t="s">
        <v>2569</v>
      </c>
    </row>
    <row r="53" spans="1:16" x14ac:dyDescent="0.35">
      <c r="A53" s="32" t="str">
        <f t="shared" si="4"/>
        <v>2025 JUNSEPT B1G1</v>
      </c>
      <c r="B53" s="33">
        <f t="shared" si="4"/>
        <v>46121</v>
      </c>
      <c r="C53" s="33">
        <f t="shared" si="4"/>
        <v>46127</v>
      </c>
      <c r="D53" s="32">
        <v>3321</v>
      </c>
      <c r="E53" s="32">
        <v>337</v>
      </c>
      <c r="F53" s="32">
        <v>4</v>
      </c>
      <c r="G53" s="22">
        <v>3</v>
      </c>
      <c r="H53" s="23">
        <v>81588</v>
      </c>
      <c r="I53" s="32" t="s">
        <v>2689</v>
      </c>
      <c r="J53" s="23">
        <v>55301412</v>
      </c>
      <c r="K53" s="23" t="s">
        <v>6299</v>
      </c>
      <c r="L53" s="43" t="s">
        <v>6301</v>
      </c>
      <c r="M53" s="24">
        <v>199900</v>
      </c>
      <c r="N53" s="64" t="s">
        <v>2569</v>
      </c>
      <c r="O53" s="34" t="s">
        <v>2577</v>
      </c>
      <c r="P53" s="32" t="s">
        <v>2569</v>
      </c>
    </row>
    <row r="54" spans="1:16" x14ac:dyDescent="0.35">
      <c r="A54" s="32" t="str">
        <f t="shared" si="4"/>
        <v>2025 JUNSEPT B1G1</v>
      </c>
      <c r="B54" s="33">
        <f t="shared" si="4"/>
        <v>46121</v>
      </c>
      <c r="C54" s="33">
        <f t="shared" si="4"/>
        <v>46127</v>
      </c>
      <c r="D54" s="32">
        <v>3321</v>
      </c>
      <c r="E54" s="32">
        <v>337</v>
      </c>
      <c r="F54" s="32">
        <v>4</v>
      </c>
      <c r="G54" s="22">
        <v>3</v>
      </c>
      <c r="H54" s="23">
        <v>81588</v>
      </c>
      <c r="I54" s="32" t="s">
        <v>2689</v>
      </c>
      <c r="J54" s="23">
        <v>55301421</v>
      </c>
      <c r="K54" s="23" t="s">
        <v>6299</v>
      </c>
      <c r="L54" s="43" t="s">
        <v>6302</v>
      </c>
      <c r="M54" s="24">
        <v>199900</v>
      </c>
      <c r="N54" s="64" t="s">
        <v>2569</v>
      </c>
      <c r="O54" s="34" t="s">
        <v>2577</v>
      </c>
      <c r="P54" s="32" t="s">
        <v>2569</v>
      </c>
    </row>
    <row r="55" spans="1:16" x14ac:dyDescent="0.35">
      <c r="A55" s="32" t="str">
        <f t="shared" si="4"/>
        <v>2025 JUNSEPT B1G1</v>
      </c>
      <c r="B55" s="33">
        <f t="shared" si="4"/>
        <v>46121</v>
      </c>
      <c r="C55" s="33">
        <f t="shared" si="4"/>
        <v>46127</v>
      </c>
      <c r="D55" s="32">
        <v>3321</v>
      </c>
      <c r="E55" s="32">
        <v>337</v>
      </c>
      <c r="F55" s="32">
        <v>4</v>
      </c>
      <c r="G55" s="22">
        <v>3</v>
      </c>
      <c r="H55" s="23">
        <v>81588</v>
      </c>
      <c r="I55" s="32" t="s">
        <v>2689</v>
      </c>
      <c r="J55" s="23">
        <v>55301430</v>
      </c>
      <c r="K55" s="23" t="s">
        <v>6299</v>
      </c>
      <c r="L55" s="43" t="s">
        <v>6303</v>
      </c>
      <c r="M55" s="24">
        <v>199900</v>
      </c>
      <c r="N55" s="64" t="s">
        <v>2569</v>
      </c>
      <c r="O55" s="34" t="s">
        <v>2577</v>
      </c>
      <c r="P55" s="32" t="s">
        <v>2569</v>
      </c>
    </row>
    <row r="56" spans="1:16" x14ac:dyDescent="0.35">
      <c r="A56" s="32" t="str">
        <f t="shared" si="4"/>
        <v>2025 JUNSEPT B1G1</v>
      </c>
      <c r="B56" s="33">
        <f t="shared" si="4"/>
        <v>46121</v>
      </c>
      <c r="C56" s="33">
        <f t="shared" si="4"/>
        <v>46127</v>
      </c>
      <c r="D56" s="32">
        <v>3321</v>
      </c>
      <c r="E56" s="32">
        <v>337</v>
      </c>
      <c r="F56" s="32">
        <v>4</v>
      </c>
      <c r="G56" s="22">
        <v>3</v>
      </c>
      <c r="H56" s="23">
        <v>81588</v>
      </c>
      <c r="I56" s="32" t="s">
        <v>2689</v>
      </c>
      <c r="J56" s="23">
        <v>55301449</v>
      </c>
      <c r="K56" s="23" t="s">
        <v>6299</v>
      </c>
      <c r="L56" s="43" t="s">
        <v>6304</v>
      </c>
      <c r="M56" s="24">
        <v>199900</v>
      </c>
      <c r="N56" s="64" t="s">
        <v>2569</v>
      </c>
      <c r="O56" s="34" t="s">
        <v>2577</v>
      </c>
      <c r="P56" s="32" t="s">
        <v>2569</v>
      </c>
    </row>
    <row r="57" spans="1:16" x14ac:dyDescent="0.35">
      <c r="A57" s="32" t="str">
        <f t="shared" si="4"/>
        <v>2025 JUNSEPT B1G1</v>
      </c>
      <c r="B57" s="33">
        <f t="shared" si="4"/>
        <v>46121</v>
      </c>
      <c r="C57" s="33">
        <f t="shared" si="4"/>
        <v>46127</v>
      </c>
      <c r="D57" s="32">
        <v>3321</v>
      </c>
      <c r="E57" s="32">
        <v>337</v>
      </c>
      <c r="F57" s="32">
        <v>4</v>
      </c>
      <c r="G57" s="22">
        <v>3</v>
      </c>
      <c r="H57" s="23">
        <v>81588</v>
      </c>
      <c r="I57" s="32" t="s">
        <v>2689</v>
      </c>
      <c r="J57" s="23">
        <v>55301458</v>
      </c>
      <c r="K57" s="23" t="s">
        <v>6299</v>
      </c>
      <c r="L57" s="43" t="s">
        <v>6305</v>
      </c>
      <c r="M57" s="24">
        <v>199900</v>
      </c>
      <c r="N57" s="64" t="s">
        <v>2569</v>
      </c>
      <c r="O57" s="34" t="s">
        <v>2577</v>
      </c>
      <c r="P57" s="32" t="s">
        <v>2569</v>
      </c>
    </row>
    <row r="58" spans="1:16" x14ac:dyDescent="0.35">
      <c r="A58" s="32" t="str">
        <f t="shared" si="4"/>
        <v>2025 JUNSEPT B1G1</v>
      </c>
      <c r="B58" s="33">
        <f t="shared" si="4"/>
        <v>46121</v>
      </c>
      <c r="C58" s="33">
        <f t="shared" si="4"/>
        <v>46127</v>
      </c>
      <c r="D58" s="32">
        <v>3321</v>
      </c>
      <c r="E58" s="32">
        <v>337</v>
      </c>
      <c r="F58" s="32">
        <v>4</v>
      </c>
      <c r="G58" s="22">
        <v>3</v>
      </c>
      <c r="H58" s="23">
        <v>81588</v>
      </c>
      <c r="I58" s="32" t="s">
        <v>2689</v>
      </c>
      <c r="J58" s="23">
        <v>55507594</v>
      </c>
      <c r="K58" s="23" t="s">
        <v>6386</v>
      </c>
      <c r="L58" s="43" t="s">
        <v>6389</v>
      </c>
      <c r="M58" s="24">
        <v>229900</v>
      </c>
      <c r="N58" s="64" t="s">
        <v>2569</v>
      </c>
      <c r="O58" s="34" t="s">
        <v>2577</v>
      </c>
      <c r="P58" s="32" t="s">
        <v>2569</v>
      </c>
    </row>
    <row r="59" spans="1:16" x14ac:dyDescent="0.35">
      <c r="A59" s="32" t="str">
        <f t="shared" si="4"/>
        <v>2025 JUNSEPT B1G1</v>
      </c>
      <c r="B59" s="33">
        <f t="shared" si="4"/>
        <v>46121</v>
      </c>
      <c r="C59" s="33">
        <f t="shared" si="4"/>
        <v>46127</v>
      </c>
      <c r="D59" s="32">
        <v>3321</v>
      </c>
      <c r="E59" s="32">
        <v>337</v>
      </c>
      <c r="F59" s="32">
        <v>4</v>
      </c>
      <c r="G59" s="22">
        <v>3</v>
      </c>
      <c r="H59" s="23">
        <v>81588</v>
      </c>
      <c r="I59" s="32" t="s">
        <v>2689</v>
      </c>
      <c r="J59" s="23">
        <v>55507601</v>
      </c>
      <c r="K59" s="23" t="s">
        <v>6386</v>
      </c>
      <c r="L59" s="43" t="s">
        <v>6390</v>
      </c>
      <c r="M59" s="24">
        <v>229900</v>
      </c>
      <c r="N59" s="64" t="s">
        <v>2569</v>
      </c>
      <c r="O59" s="34" t="s">
        <v>2577</v>
      </c>
      <c r="P59" s="32" t="s">
        <v>2569</v>
      </c>
    </row>
    <row r="60" spans="1:16" x14ac:dyDescent="0.35">
      <c r="A60" s="32" t="str">
        <f t="shared" si="4"/>
        <v>2025 JUNSEPT B1G1</v>
      </c>
      <c r="B60" s="33">
        <f t="shared" si="4"/>
        <v>46121</v>
      </c>
      <c r="C60" s="33">
        <f t="shared" si="4"/>
        <v>46127</v>
      </c>
      <c r="D60" s="32">
        <v>3321</v>
      </c>
      <c r="E60" s="32">
        <v>337</v>
      </c>
      <c r="F60" s="32">
        <v>4</v>
      </c>
      <c r="G60" s="22">
        <v>3</v>
      </c>
      <c r="H60" s="23">
        <v>81588</v>
      </c>
      <c r="I60" s="32" t="s">
        <v>2689</v>
      </c>
      <c r="J60" s="23">
        <v>55507610</v>
      </c>
      <c r="K60" s="23" t="s">
        <v>6386</v>
      </c>
      <c r="L60" s="43" t="s">
        <v>6388</v>
      </c>
      <c r="M60" s="24">
        <v>229900</v>
      </c>
      <c r="N60" s="64" t="s">
        <v>2569</v>
      </c>
      <c r="O60" s="34" t="s">
        <v>2577</v>
      </c>
      <c r="P60" s="32" t="s">
        <v>2569</v>
      </c>
    </row>
    <row r="61" spans="1:16" x14ac:dyDescent="0.35">
      <c r="A61" s="32" t="str">
        <f t="shared" si="4"/>
        <v>2025 JUNSEPT B1G1</v>
      </c>
      <c r="B61" s="33">
        <f t="shared" si="4"/>
        <v>46121</v>
      </c>
      <c r="C61" s="33">
        <f t="shared" si="4"/>
        <v>46127</v>
      </c>
      <c r="D61" s="32">
        <v>3321</v>
      </c>
      <c r="E61" s="32">
        <v>337</v>
      </c>
      <c r="F61" s="32">
        <v>4</v>
      </c>
      <c r="G61" s="22">
        <v>3</v>
      </c>
      <c r="H61" s="23">
        <v>81588</v>
      </c>
      <c r="I61" s="32" t="s">
        <v>2689</v>
      </c>
      <c r="J61" s="23">
        <v>55507629</v>
      </c>
      <c r="K61" s="23" t="s">
        <v>6386</v>
      </c>
      <c r="L61" s="43" t="s">
        <v>6387</v>
      </c>
      <c r="M61" s="24">
        <v>229900</v>
      </c>
      <c r="N61" s="64" t="s">
        <v>2569</v>
      </c>
      <c r="O61" s="34" t="s">
        <v>2577</v>
      </c>
      <c r="P61" s="32" t="s">
        <v>2569</v>
      </c>
    </row>
    <row r="62" spans="1:16" x14ac:dyDescent="0.35">
      <c r="A62" s="32" t="str">
        <f t="shared" si="4"/>
        <v>2025 JUNSEPT B1G1</v>
      </c>
      <c r="B62" s="33">
        <f t="shared" si="4"/>
        <v>46121</v>
      </c>
      <c r="C62" s="33">
        <f t="shared" si="4"/>
        <v>46127</v>
      </c>
      <c r="D62" s="32">
        <v>3321</v>
      </c>
      <c r="E62" s="32">
        <v>337</v>
      </c>
      <c r="F62" s="32">
        <v>4</v>
      </c>
      <c r="G62" s="22">
        <v>4</v>
      </c>
      <c r="H62" s="23">
        <v>81588</v>
      </c>
      <c r="I62" s="32" t="s">
        <v>2689</v>
      </c>
      <c r="J62" s="23">
        <v>54954915</v>
      </c>
      <c r="K62" s="23" t="s">
        <v>5986</v>
      </c>
      <c r="L62" s="43" t="s">
        <v>5988</v>
      </c>
      <c r="M62" s="24">
        <v>149900</v>
      </c>
      <c r="N62" s="64" t="s">
        <v>2569</v>
      </c>
      <c r="O62" s="34" t="s">
        <v>2577</v>
      </c>
      <c r="P62" s="32" t="s">
        <v>2569</v>
      </c>
    </row>
    <row r="63" spans="1:16" x14ac:dyDescent="0.35">
      <c r="A63" s="32" t="str">
        <f t="shared" si="4"/>
        <v>2025 JUNSEPT B1G1</v>
      </c>
      <c r="B63" s="33">
        <f t="shared" si="4"/>
        <v>46121</v>
      </c>
      <c r="C63" s="33">
        <f t="shared" si="4"/>
        <v>46127</v>
      </c>
      <c r="D63" s="32">
        <v>3321</v>
      </c>
      <c r="E63" s="32">
        <v>337</v>
      </c>
      <c r="F63" s="32">
        <v>4</v>
      </c>
      <c r="G63" s="22">
        <v>4</v>
      </c>
      <c r="H63" s="23">
        <v>81588</v>
      </c>
      <c r="I63" s="32" t="s">
        <v>2689</v>
      </c>
      <c r="J63" s="23">
        <v>54954924</v>
      </c>
      <c r="K63" s="23" t="s">
        <v>5986</v>
      </c>
      <c r="L63" s="43" t="s">
        <v>5989</v>
      </c>
      <c r="M63" s="24">
        <v>149900</v>
      </c>
      <c r="N63" s="64" t="s">
        <v>2569</v>
      </c>
      <c r="O63" s="34" t="s">
        <v>2577</v>
      </c>
      <c r="P63" s="32" t="s">
        <v>2569</v>
      </c>
    </row>
    <row r="64" spans="1:16" x14ac:dyDescent="0.35">
      <c r="A64" s="32" t="str">
        <f t="shared" si="4"/>
        <v>2025 JUNSEPT B1G1</v>
      </c>
      <c r="B64" s="33">
        <f t="shared" si="4"/>
        <v>46121</v>
      </c>
      <c r="C64" s="33">
        <f t="shared" si="4"/>
        <v>46127</v>
      </c>
      <c r="D64" s="32">
        <v>3321</v>
      </c>
      <c r="E64" s="32">
        <v>337</v>
      </c>
      <c r="F64" s="32">
        <v>4</v>
      </c>
      <c r="G64" s="22">
        <v>4</v>
      </c>
      <c r="H64" s="23">
        <v>81588</v>
      </c>
      <c r="I64" s="32" t="s">
        <v>2689</v>
      </c>
      <c r="J64" s="23">
        <v>54954933</v>
      </c>
      <c r="K64" s="23" t="s">
        <v>5986</v>
      </c>
      <c r="L64" s="43" t="s">
        <v>5987</v>
      </c>
      <c r="M64" s="24">
        <v>149900</v>
      </c>
      <c r="N64" s="64" t="s">
        <v>2569</v>
      </c>
      <c r="O64" s="34" t="s">
        <v>2577</v>
      </c>
      <c r="P64" s="32" t="s">
        <v>2569</v>
      </c>
    </row>
    <row r="65" spans="1:16" x14ac:dyDescent="0.35">
      <c r="A65" s="32" t="str">
        <f t="shared" si="4"/>
        <v>2025 JUNSEPT B1G1</v>
      </c>
      <c r="B65" s="33">
        <f t="shared" si="4"/>
        <v>46121</v>
      </c>
      <c r="C65" s="33">
        <f t="shared" si="4"/>
        <v>46127</v>
      </c>
      <c r="D65" s="32">
        <v>3321</v>
      </c>
      <c r="E65" s="32">
        <v>337</v>
      </c>
      <c r="F65" s="32">
        <v>4</v>
      </c>
      <c r="G65" s="22">
        <v>4</v>
      </c>
      <c r="H65" s="23">
        <v>81588</v>
      </c>
      <c r="I65" s="32" t="s">
        <v>2689</v>
      </c>
      <c r="J65" s="23">
        <v>54954942</v>
      </c>
      <c r="K65" s="23" t="s">
        <v>5986</v>
      </c>
      <c r="L65" s="43" t="s">
        <v>5990</v>
      </c>
      <c r="M65" s="24">
        <v>149900</v>
      </c>
      <c r="N65" s="64" t="s">
        <v>2569</v>
      </c>
      <c r="O65" s="34" t="s">
        <v>2577</v>
      </c>
      <c r="P65" s="32" t="s">
        <v>2569</v>
      </c>
    </row>
    <row r="66" spans="1:16" x14ac:dyDescent="0.35">
      <c r="A66" s="32" t="str">
        <f t="shared" si="4"/>
        <v>2025 JUNSEPT B1G1</v>
      </c>
      <c r="B66" s="33">
        <f t="shared" si="4"/>
        <v>46121</v>
      </c>
      <c r="C66" s="33">
        <f t="shared" si="4"/>
        <v>46127</v>
      </c>
      <c r="D66" s="32">
        <v>3321</v>
      </c>
      <c r="E66" s="32">
        <v>337</v>
      </c>
      <c r="F66" s="32">
        <v>4</v>
      </c>
      <c r="G66" s="22">
        <v>5</v>
      </c>
      <c r="H66" s="23">
        <v>81005</v>
      </c>
      <c r="I66" s="32" t="s">
        <v>2689</v>
      </c>
      <c r="J66" s="23">
        <v>54955030</v>
      </c>
      <c r="K66" s="23" t="s">
        <v>6989</v>
      </c>
      <c r="L66" s="43" t="s">
        <v>6990</v>
      </c>
      <c r="M66" s="24">
        <v>179900</v>
      </c>
      <c r="N66" s="64" t="s">
        <v>2569</v>
      </c>
      <c r="O66" s="34" t="s">
        <v>2577</v>
      </c>
      <c r="P66" s="32" t="s">
        <v>2569</v>
      </c>
    </row>
    <row r="67" spans="1:16" x14ac:dyDescent="0.35">
      <c r="A67" s="32" t="str">
        <f t="shared" si="4"/>
        <v>2025 JUNSEPT B1G1</v>
      </c>
      <c r="B67" s="33">
        <f t="shared" si="4"/>
        <v>46121</v>
      </c>
      <c r="C67" s="33">
        <f t="shared" si="4"/>
        <v>46127</v>
      </c>
      <c r="D67" s="32">
        <v>3321</v>
      </c>
      <c r="E67" s="32">
        <v>337</v>
      </c>
      <c r="F67" s="32">
        <v>4</v>
      </c>
      <c r="G67" s="22">
        <v>5</v>
      </c>
      <c r="H67" s="23">
        <v>81005</v>
      </c>
      <c r="I67" s="32" t="s">
        <v>2689</v>
      </c>
      <c r="J67" s="23">
        <v>54955049</v>
      </c>
      <c r="K67" s="23" t="s">
        <v>6989</v>
      </c>
      <c r="L67" s="43" t="s">
        <v>6991</v>
      </c>
      <c r="M67" s="24">
        <v>179900</v>
      </c>
      <c r="N67" s="64" t="s">
        <v>2569</v>
      </c>
      <c r="O67" s="34" t="s">
        <v>2577</v>
      </c>
      <c r="P67" s="32" t="s">
        <v>2569</v>
      </c>
    </row>
    <row r="68" spans="1:16" x14ac:dyDescent="0.35">
      <c r="A68" s="32" t="str">
        <f t="shared" ref="A68:C83" si="5">A67</f>
        <v>2025 JUNSEPT B1G1</v>
      </c>
      <c r="B68" s="33">
        <f t="shared" si="5"/>
        <v>46121</v>
      </c>
      <c r="C68" s="33">
        <f t="shared" si="5"/>
        <v>46127</v>
      </c>
      <c r="D68" s="32">
        <v>3321</v>
      </c>
      <c r="E68" s="32">
        <v>337</v>
      </c>
      <c r="F68" s="32">
        <v>4</v>
      </c>
      <c r="G68" s="22">
        <v>5</v>
      </c>
      <c r="H68" s="23">
        <v>81005</v>
      </c>
      <c r="I68" s="32" t="s">
        <v>2689</v>
      </c>
      <c r="J68" s="23">
        <v>54955058</v>
      </c>
      <c r="K68" s="23" t="s">
        <v>6989</v>
      </c>
      <c r="L68" s="43" t="s">
        <v>6992</v>
      </c>
      <c r="M68" s="24">
        <v>179900</v>
      </c>
      <c r="N68" s="64" t="s">
        <v>2569</v>
      </c>
      <c r="O68" s="34" t="s">
        <v>2577</v>
      </c>
      <c r="P68" s="32" t="s">
        <v>2569</v>
      </c>
    </row>
    <row r="69" spans="1:16" x14ac:dyDescent="0.35">
      <c r="A69" s="32" t="str">
        <f t="shared" si="5"/>
        <v>2025 JUNSEPT B1G1</v>
      </c>
      <c r="B69" s="33">
        <f t="shared" si="5"/>
        <v>46121</v>
      </c>
      <c r="C69" s="33">
        <f t="shared" si="5"/>
        <v>46127</v>
      </c>
      <c r="D69" s="32">
        <v>3321</v>
      </c>
      <c r="E69" s="32">
        <v>337</v>
      </c>
      <c r="F69" s="32">
        <v>4</v>
      </c>
      <c r="G69" s="22">
        <v>5</v>
      </c>
      <c r="H69" s="23">
        <v>81005</v>
      </c>
      <c r="I69" s="32" t="s">
        <v>2689</v>
      </c>
      <c r="J69" s="23">
        <v>54955067</v>
      </c>
      <c r="K69" s="23" t="s">
        <v>6989</v>
      </c>
      <c r="L69" s="43" t="s">
        <v>6993</v>
      </c>
      <c r="M69" s="24">
        <v>179900</v>
      </c>
      <c r="N69" s="64" t="s">
        <v>2569</v>
      </c>
      <c r="O69" s="34" t="s">
        <v>2577</v>
      </c>
      <c r="P69" s="32" t="s">
        <v>2569</v>
      </c>
    </row>
    <row r="70" spans="1:16" x14ac:dyDescent="0.35">
      <c r="A70" s="32" t="str">
        <f t="shared" si="5"/>
        <v>2025 JUNSEPT B1G1</v>
      </c>
      <c r="B70" s="33">
        <f t="shared" si="5"/>
        <v>46121</v>
      </c>
      <c r="C70" s="33">
        <f t="shared" si="5"/>
        <v>46127</v>
      </c>
      <c r="D70" s="32">
        <v>3321</v>
      </c>
      <c r="E70" s="32">
        <v>337</v>
      </c>
      <c r="F70" s="32">
        <v>4</v>
      </c>
      <c r="G70" s="22">
        <v>5</v>
      </c>
      <c r="H70" s="23">
        <v>81588</v>
      </c>
      <c r="I70" s="32" t="s">
        <v>2689</v>
      </c>
      <c r="J70" s="23">
        <v>55301547</v>
      </c>
      <c r="K70" s="23" t="s">
        <v>6396</v>
      </c>
      <c r="L70" s="43" t="s">
        <v>6399</v>
      </c>
      <c r="M70" s="24">
        <v>149900</v>
      </c>
      <c r="N70" s="64" t="s">
        <v>2569</v>
      </c>
      <c r="O70" s="34" t="s">
        <v>2577</v>
      </c>
      <c r="P70" s="32" t="s">
        <v>2569</v>
      </c>
    </row>
    <row r="71" spans="1:16" x14ac:dyDescent="0.35">
      <c r="A71" s="32" t="str">
        <f t="shared" si="5"/>
        <v>2025 JUNSEPT B1G1</v>
      </c>
      <c r="B71" s="33">
        <f t="shared" si="5"/>
        <v>46121</v>
      </c>
      <c r="C71" s="33">
        <f t="shared" si="5"/>
        <v>46127</v>
      </c>
      <c r="D71" s="32">
        <v>3321</v>
      </c>
      <c r="E71" s="32">
        <v>337</v>
      </c>
      <c r="F71" s="32">
        <v>4</v>
      </c>
      <c r="G71" s="22">
        <v>5</v>
      </c>
      <c r="H71" s="23">
        <v>81588</v>
      </c>
      <c r="I71" s="32" t="s">
        <v>2689</v>
      </c>
      <c r="J71" s="23">
        <v>55301556</v>
      </c>
      <c r="K71" s="23" t="s">
        <v>6396</v>
      </c>
      <c r="L71" s="43" t="s">
        <v>6398</v>
      </c>
      <c r="M71" s="24">
        <v>149900</v>
      </c>
      <c r="N71" s="64" t="s">
        <v>2569</v>
      </c>
      <c r="O71" s="34" t="s">
        <v>2577</v>
      </c>
      <c r="P71" s="32" t="s">
        <v>2569</v>
      </c>
    </row>
    <row r="72" spans="1:16" x14ac:dyDescent="0.35">
      <c r="A72" s="32" t="str">
        <f t="shared" si="5"/>
        <v>2025 JUNSEPT B1G1</v>
      </c>
      <c r="B72" s="33">
        <f t="shared" si="5"/>
        <v>46121</v>
      </c>
      <c r="C72" s="33">
        <f t="shared" si="5"/>
        <v>46127</v>
      </c>
      <c r="D72" s="32">
        <v>3321</v>
      </c>
      <c r="E72" s="32">
        <v>337</v>
      </c>
      <c r="F72" s="32">
        <v>4</v>
      </c>
      <c r="G72" s="22">
        <v>5</v>
      </c>
      <c r="H72" s="23">
        <v>81588</v>
      </c>
      <c r="I72" s="32" t="s">
        <v>2689</v>
      </c>
      <c r="J72" s="23">
        <v>55301565</v>
      </c>
      <c r="K72" s="23" t="s">
        <v>6396</v>
      </c>
      <c r="L72" s="43" t="s">
        <v>6397</v>
      </c>
      <c r="M72" s="24">
        <v>149900</v>
      </c>
      <c r="N72" s="64" t="s">
        <v>2569</v>
      </c>
      <c r="O72" s="34" t="s">
        <v>2577</v>
      </c>
      <c r="P72" s="32" t="s">
        <v>2569</v>
      </c>
    </row>
    <row r="73" spans="1:16" x14ac:dyDescent="0.35">
      <c r="A73" s="32" t="str">
        <f t="shared" si="5"/>
        <v>2025 JUNSEPT B1G1</v>
      </c>
      <c r="B73" s="33">
        <f t="shared" si="5"/>
        <v>46121</v>
      </c>
      <c r="C73" s="33">
        <f t="shared" si="5"/>
        <v>46127</v>
      </c>
      <c r="D73" s="32">
        <v>3321</v>
      </c>
      <c r="E73" s="32">
        <v>337</v>
      </c>
      <c r="F73" s="32">
        <v>4</v>
      </c>
      <c r="G73" s="22">
        <v>5</v>
      </c>
      <c r="H73" s="23">
        <v>81588</v>
      </c>
      <c r="I73" s="32" t="s">
        <v>2689</v>
      </c>
      <c r="J73" s="23">
        <v>55301574</v>
      </c>
      <c r="K73" s="23" t="s">
        <v>6396</v>
      </c>
      <c r="L73" s="43" t="s">
        <v>6400</v>
      </c>
      <c r="M73" s="24">
        <v>149900</v>
      </c>
      <c r="N73" s="64" t="s">
        <v>2569</v>
      </c>
      <c r="O73" s="34" t="s">
        <v>2577</v>
      </c>
      <c r="P73" s="32" t="s">
        <v>2569</v>
      </c>
    </row>
    <row r="74" spans="1:16" x14ac:dyDescent="0.35">
      <c r="A74" s="32" t="str">
        <f t="shared" si="5"/>
        <v>2025 JUNSEPT B1G1</v>
      </c>
      <c r="B74" s="33">
        <f t="shared" si="5"/>
        <v>46121</v>
      </c>
      <c r="C74" s="33">
        <f t="shared" si="5"/>
        <v>46127</v>
      </c>
      <c r="D74" s="32">
        <v>3321</v>
      </c>
      <c r="E74" s="32">
        <v>337</v>
      </c>
      <c r="F74" s="32">
        <v>4</v>
      </c>
      <c r="G74" s="22">
        <v>4</v>
      </c>
      <c r="H74" s="23">
        <v>81588</v>
      </c>
      <c r="I74" s="32" t="s">
        <v>2689</v>
      </c>
      <c r="J74" s="23">
        <v>55301501</v>
      </c>
      <c r="K74" s="23" t="s">
        <v>6311</v>
      </c>
      <c r="L74" s="43" t="s">
        <v>6312</v>
      </c>
      <c r="M74" s="24">
        <v>129900</v>
      </c>
      <c r="N74" s="64" t="s">
        <v>2569</v>
      </c>
      <c r="O74" s="34" t="s">
        <v>2577</v>
      </c>
      <c r="P74" s="32" t="s">
        <v>2569</v>
      </c>
    </row>
    <row r="75" spans="1:16" x14ac:dyDescent="0.35">
      <c r="A75" s="32" t="str">
        <f t="shared" si="5"/>
        <v>2025 JUNSEPT B1G1</v>
      </c>
      <c r="B75" s="33">
        <f t="shared" si="5"/>
        <v>46121</v>
      </c>
      <c r="C75" s="33">
        <f t="shared" si="5"/>
        <v>46127</v>
      </c>
      <c r="D75" s="32">
        <v>3321</v>
      </c>
      <c r="E75" s="32">
        <v>337</v>
      </c>
      <c r="F75" s="32">
        <v>4</v>
      </c>
      <c r="G75" s="22">
        <v>4</v>
      </c>
      <c r="H75" s="23">
        <v>81588</v>
      </c>
      <c r="I75" s="32" t="s">
        <v>2689</v>
      </c>
      <c r="J75" s="23">
        <v>55301510</v>
      </c>
      <c r="K75" s="23" t="s">
        <v>6311</v>
      </c>
      <c r="L75" s="43" t="s">
        <v>6313</v>
      </c>
      <c r="M75" s="24">
        <v>129900</v>
      </c>
      <c r="N75" s="64" t="s">
        <v>2569</v>
      </c>
      <c r="O75" s="34" t="s">
        <v>2577</v>
      </c>
      <c r="P75" s="32" t="s">
        <v>2569</v>
      </c>
    </row>
    <row r="76" spans="1:16" x14ac:dyDescent="0.35">
      <c r="A76" s="32" t="str">
        <f t="shared" si="5"/>
        <v>2025 JUNSEPT B1G1</v>
      </c>
      <c r="B76" s="33">
        <f t="shared" si="5"/>
        <v>46121</v>
      </c>
      <c r="C76" s="33">
        <f t="shared" si="5"/>
        <v>46127</v>
      </c>
      <c r="D76" s="32">
        <v>3321</v>
      </c>
      <c r="E76" s="32">
        <v>337</v>
      </c>
      <c r="F76" s="32">
        <v>4</v>
      </c>
      <c r="G76" s="22">
        <v>4</v>
      </c>
      <c r="H76" s="23">
        <v>81588</v>
      </c>
      <c r="I76" s="32" t="s">
        <v>2689</v>
      </c>
      <c r="J76" s="23">
        <v>55301529</v>
      </c>
      <c r="K76" s="23" t="s">
        <v>6311</v>
      </c>
      <c r="L76" s="43" t="s">
        <v>6314</v>
      </c>
      <c r="M76" s="24">
        <v>129900</v>
      </c>
      <c r="N76" s="64" t="s">
        <v>2569</v>
      </c>
      <c r="O76" s="34" t="s">
        <v>2577</v>
      </c>
      <c r="P76" s="32" t="s">
        <v>2569</v>
      </c>
    </row>
    <row r="77" spans="1:16" x14ac:dyDescent="0.35">
      <c r="A77" s="32" t="str">
        <f t="shared" si="5"/>
        <v>2025 JUNSEPT B1G1</v>
      </c>
      <c r="B77" s="33">
        <f t="shared" si="5"/>
        <v>46121</v>
      </c>
      <c r="C77" s="33">
        <f t="shared" si="5"/>
        <v>46127</v>
      </c>
      <c r="D77" s="32">
        <v>3321</v>
      </c>
      <c r="E77" s="32">
        <v>337</v>
      </c>
      <c r="F77" s="32">
        <v>4</v>
      </c>
      <c r="G77" s="22">
        <v>4</v>
      </c>
      <c r="H77" s="23">
        <v>81588</v>
      </c>
      <c r="I77" s="32" t="s">
        <v>2689</v>
      </c>
      <c r="J77" s="23">
        <v>55301538</v>
      </c>
      <c r="K77" s="23" t="s">
        <v>6311</v>
      </c>
      <c r="L77" s="43" t="s">
        <v>6315</v>
      </c>
      <c r="M77" s="24">
        <v>129900</v>
      </c>
      <c r="N77" s="64" t="s">
        <v>2569</v>
      </c>
      <c r="O77" s="34" t="s">
        <v>2577</v>
      </c>
      <c r="P77" s="32" t="s">
        <v>2569</v>
      </c>
    </row>
    <row r="78" spans="1:16" x14ac:dyDescent="0.35">
      <c r="A78" s="32" t="str">
        <f t="shared" si="5"/>
        <v>2025 JUNSEPT B1G1</v>
      </c>
      <c r="B78" s="33">
        <f t="shared" si="5"/>
        <v>46121</v>
      </c>
      <c r="C78" s="33">
        <f t="shared" si="5"/>
        <v>46127</v>
      </c>
      <c r="D78" s="32">
        <v>3321</v>
      </c>
      <c r="E78" s="32">
        <v>337</v>
      </c>
      <c r="F78" s="32">
        <v>4</v>
      </c>
      <c r="G78" s="22">
        <v>4</v>
      </c>
      <c r="H78" s="23">
        <v>81005</v>
      </c>
      <c r="I78" s="32" t="s">
        <v>2689</v>
      </c>
      <c r="J78" s="23">
        <v>55301467</v>
      </c>
      <c r="K78" s="23" t="s">
        <v>6357</v>
      </c>
      <c r="L78" s="43" t="s">
        <v>6359</v>
      </c>
      <c r="M78" s="24">
        <v>149900</v>
      </c>
      <c r="N78" s="64" t="s">
        <v>2569</v>
      </c>
      <c r="O78" s="34" t="s">
        <v>2577</v>
      </c>
      <c r="P78" s="32" t="s">
        <v>2569</v>
      </c>
    </row>
    <row r="79" spans="1:16" x14ac:dyDescent="0.35">
      <c r="A79" s="32" t="str">
        <f t="shared" si="5"/>
        <v>2025 JUNSEPT B1G1</v>
      </c>
      <c r="B79" s="33">
        <f t="shared" si="5"/>
        <v>46121</v>
      </c>
      <c r="C79" s="33">
        <f t="shared" si="5"/>
        <v>46127</v>
      </c>
      <c r="D79" s="32">
        <v>3321</v>
      </c>
      <c r="E79" s="32">
        <v>337</v>
      </c>
      <c r="F79" s="32">
        <v>4</v>
      </c>
      <c r="G79" s="22">
        <v>4</v>
      </c>
      <c r="H79" s="23">
        <v>81005</v>
      </c>
      <c r="I79" s="32" t="s">
        <v>2689</v>
      </c>
      <c r="J79" s="23">
        <v>55301476</v>
      </c>
      <c r="K79" s="23" t="s">
        <v>6357</v>
      </c>
      <c r="L79" s="43" t="s">
        <v>6361</v>
      </c>
      <c r="M79" s="24">
        <v>149900</v>
      </c>
      <c r="N79" s="64" t="s">
        <v>2569</v>
      </c>
      <c r="O79" s="34" t="s">
        <v>2577</v>
      </c>
      <c r="P79" s="32" t="s">
        <v>2569</v>
      </c>
    </row>
    <row r="80" spans="1:16" x14ac:dyDescent="0.35">
      <c r="A80" s="32" t="str">
        <f t="shared" si="5"/>
        <v>2025 JUNSEPT B1G1</v>
      </c>
      <c r="B80" s="33">
        <f t="shared" si="5"/>
        <v>46121</v>
      </c>
      <c r="C80" s="33">
        <f t="shared" si="5"/>
        <v>46127</v>
      </c>
      <c r="D80" s="32">
        <v>3321</v>
      </c>
      <c r="E80" s="32">
        <v>337</v>
      </c>
      <c r="F80" s="32">
        <v>4</v>
      </c>
      <c r="G80" s="22">
        <v>4</v>
      </c>
      <c r="H80" s="23">
        <v>81005</v>
      </c>
      <c r="I80" s="32" t="s">
        <v>2689</v>
      </c>
      <c r="J80" s="23">
        <v>55301485</v>
      </c>
      <c r="K80" s="23" t="s">
        <v>6357</v>
      </c>
      <c r="L80" s="43" t="s">
        <v>6358</v>
      </c>
      <c r="M80" s="24">
        <v>149900</v>
      </c>
      <c r="N80" s="64" t="s">
        <v>2569</v>
      </c>
      <c r="O80" s="34" t="s">
        <v>2577</v>
      </c>
      <c r="P80" s="32" t="s">
        <v>2569</v>
      </c>
    </row>
    <row r="81" spans="1:16" x14ac:dyDescent="0.35">
      <c r="A81" s="32" t="str">
        <f t="shared" si="5"/>
        <v>2025 JUNSEPT B1G1</v>
      </c>
      <c r="B81" s="33">
        <f t="shared" si="5"/>
        <v>46121</v>
      </c>
      <c r="C81" s="33">
        <f t="shared" si="5"/>
        <v>46127</v>
      </c>
      <c r="D81" s="32">
        <v>3321</v>
      </c>
      <c r="E81" s="32">
        <v>337</v>
      </c>
      <c r="F81" s="32">
        <v>4</v>
      </c>
      <c r="G81" s="22">
        <v>4</v>
      </c>
      <c r="H81" s="23">
        <v>81005</v>
      </c>
      <c r="I81" s="32" t="s">
        <v>2689</v>
      </c>
      <c r="J81" s="23">
        <v>55301494</v>
      </c>
      <c r="K81" s="23" t="s">
        <v>6357</v>
      </c>
      <c r="L81" s="43" t="s">
        <v>6360</v>
      </c>
      <c r="M81" s="24">
        <v>149900</v>
      </c>
      <c r="N81" s="64" t="s">
        <v>2569</v>
      </c>
      <c r="O81" s="34" t="s">
        <v>2577</v>
      </c>
      <c r="P81" s="32" t="s">
        <v>2569</v>
      </c>
    </row>
    <row r="82" spans="1:16" x14ac:dyDescent="0.35">
      <c r="A82" s="32" t="str">
        <f t="shared" si="5"/>
        <v>2025 JUNSEPT B1G1</v>
      </c>
      <c r="B82" s="33">
        <f t="shared" si="5"/>
        <v>46121</v>
      </c>
      <c r="C82" s="33">
        <f t="shared" si="5"/>
        <v>46127</v>
      </c>
      <c r="D82" s="32">
        <v>3321</v>
      </c>
      <c r="E82" s="32">
        <v>337</v>
      </c>
      <c r="F82" s="32">
        <v>4</v>
      </c>
      <c r="G82" s="22">
        <v>4</v>
      </c>
      <c r="H82" s="23">
        <v>81146</v>
      </c>
      <c r="I82" s="32" t="s">
        <v>2689</v>
      </c>
      <c r="J82" s="23">
        <v>55507790</v>
      </c>
      <c r="K82" s="23" t="s">
        <v>6369</v>
      </c>
      <c r="L82" s="43" t="s">
        <v>6371</v>
      </c>
      <c r="M82" s="24">
        <v>149900</v>
      </c>
      <c r="N82" s="64" t="s">
        <v>2569</v>
      </c>
      <c r="O82" s="34" t="s">
        <v>2577</v>
      </c>
      <c r="P82" s="32" t="s">
        <v>2569</v>
      </c>
    </row>
    <row r="83" spans="1:16" x14ac:dyDescent="0.35">
      <c r="A83" s="32" t="str">
        <f t="shared" si="5"/>
        <v>2025 JUNSEPT B1G1</v>
      </c>
      <c r="B83" s="33">
        <f t="shared" si="5"/>
        <v>46121</v>
      </c>
      <c r="C83" s="33">
        <f t="shared" si="5"/>
        <v>46127</v>
      </c>
      <c r="D83" s="32">
        <v>3321</v>
      </c>
      <c r="E83" s="32">
        <v>337</v>
      </c>
      <c r="F83" s="32">
        <v>4</v>
      </c>
      <c r="G83" s="22">
        <v>4</v>
      </c>
      <c r="H83" s="23">
        <v>81146</v>
      </c>
      <c r="I83" s="32" t="s">
        <v>2689</v>
      </c>
      <c r="J83" s="23">
        <v>55507807</v>
      </c>
      <c r="K83" s="23" t="s">
        <v>6369</v>
      </c>
      <c r="L83" s="43" t="s">
        <v>6370</v>
      </c>
      <c r="M83" s="24">
        <v>149900</v>
      </c>
      <c r="N83" s="64" t="s">
        <v>2569</v>
      </c>
      <c r="O83" s="34" t="s">
        <v>2577</v>
      </c>
      <c r="P83" s="32" t="s">
        <v>2569</v>
      </c>
    </row>
    <row r="84" spans="1:16" x14ac:dyDescent="0.35">
      <c r="A84" s="32" t="str">
        <f t="shared" ref="A84:C99" si="6">A83</f>
        <v>2025 JUNSEPT B1G1</v>
      </c>
      <c r="B84" s="33">
        <f t="shared" si="6"/>
        <v>46121</v>
      </c>
      <c r="C84" s="33">
        <f t="shared" si="6"/>
        <v>46127</v>
      </c>
      <c r="D84" s="32">
        <v>3321</v>
      </c>
      <c r="E84" s="32">
        <v>337</v>
      </c>
      <c r="F84" s="32">
        <v>4</v>
      </c>
      <c r="G84" s="22">
        <v>4</v>
      </c>
      <c r="H84" s="23">
        <v>81146</v>
      </c>
      <c r="I84" s="32" t="s">
        <v>2689</v>
      </c>
      <c r="J84" s="23">
        <v>55507816</v>
      </c>
      <c r="K84" s="23" t="s">
        <v>6369</v>
      </c>
      <c r="L84" s="43" t="s">
        <v>6372</v>
      </c>
      <c r="M84" s="24">
        <v>149900</v>
      </c>
      <c r="N84" s="64" t="s">
        <v>2569</v>
      </c>
      <c r="O84" s="34" t="s">
        <v>2577</v>
      </c>
      <c r="P84" s="32" t="s">
        <v>2569</v>
      </c>
    </row>
    <row r="85" spans="1:16" x14ac:dyDescent="0.35">
      <c r="A85" s="32" t="str">
        <f t="shared" si="6"/>
        <v>2025 JUNSEPT B1G1</v>
      </c>
      <c r="B85" s="33">
        <f t="shared" si="6"/>
        <v>46121</v>
      </c>
      <c r="C85" s="33">
        <f t="shared" si="6"/>
        <v>46127</v>
      </c>
      <c r="D85" s="32">
        <v>3321</v>
      </c>
      <c r="E85" s="32">
        <v>337</v>
      </c>
      <c r="F85" s="32">
        <v>4</v>
      </c>
      <c r="G85" s="22">
        <v>4</v>
      </c>
      <c r="H85" s="23">
        <v>81146</v>
      </c>
      <c r="I85" s="32" t="s">
        <v>2689</v>
      </c>
      <c r="J85" s="23">
        <v>55507825</v>
      </c>
      <c r="K85" s="23" t="s">
        <v>6369</v>
      </c>
      <c r="L85" s="43" t="s">
        <v>6373</v>
      </c>
      <c r="M85" s="24">
        <v>149900</v>
      </c>
      <c r="N85" s="64" t="s">
        <v>2569</v>
      </c>
      <c r="O85" s="34" t="s">
        <v>2577</v>
      </c>
      <c r="P85" s="32" t="s">
        <v>2569</v>
      </c>
    </row>
    <row r="86" spans="1:16" x14ac:dyDescent="0.35">
      <c r="A86" s="32" t="str">
        <f t="shared" si="6"/>
        <v>2025 JUNSEPT B1G1</v>
      </c>
      <c r="B86" s="33">
        <f t="shared" si="6"/>
        <v>46121</v>
      </c>
      <c r="C86" s="33">
        <f t="shared" si="6"/>
        <v>46127</v>
      </c>
      <c r="D86" s="32">
        <v>3321</v>
      </c>
      <c r="E86" s="32">
        <v>337</v>
      </c>
      <c r="F86" s="32">
        <v>4</v>
      </c>
      <c r="G86" s="22">
        <v>4</v>
      </c>
      <c r="H86" s="23">
        <v>81005</v>
      </c>
      <c r="I86" s="32" t="s">
        <v>2689</v>
      </c>
      <c r="J86" s="23">
        <v>54954951</v>
      </c>
      <c r="K86" s="23" t="s">
        <v>6984</v>
      </c>
      <c r="L86" s="43" t="s">
        <v>6985</v>
      </c>
      <c r="M86" s="24">
        <v>149900</v>
      </c>
      <c r="N86" s="64" t="s">
        <v>2569</v>
      </c>
      <c r="O86" s="34" t="s">
        <v>2577</v>
      </c>
      <c r="P86" s="32" t="s">
        <v>2569</v>
      </c>
    </row>
    <row r="87" spans="1:16" x14ac:dyDescent="0.35">
      <c r="A87" s="32" t="str">
        <f t="shared" si="6"/>
        <v>2025 JUNSEPT B1G1</v>
      </c>
      <c r="B87" s="33">
        <f t="shared" si="6"/>
        <v>46121</v>
      </c>
      <c r="C87" s="33">
        <f t="shared" si="6"/>
        <v>46127</v>
      </c>
      <c r="D87" s="32">
        <v>3321</v>
      </c>
      <c r="E87" s="32">
        <v>337</v>
      </c>
      <c r="F87" s="32">
        <v>4</v>
      </c>
      <c r="G87" s="22">
        <v>4</v>
      </c>
      <c r="H87" s="23">
        <v>81005</v>
      </c>
      <c r="I87" s="32" t="s">
        <v>2689</v>
      </c>
      <c r="J87" s="23">
        <v>54954960</v>
      </c>
      <c r="K87" s="23" t="s">
        <v>6984</v>
      </c>
      <c r="L87" s="43" t="s">
        <v>6986</v>
      </c>
      <c r="M87" s="24">
        <v>149900</v>
      </c>
      <c r="N87" s="64" t="s">
        <v>2569</v>
      </c>
      <c r="O87" s="34" t="s">
        <v>2577</v>
      </c>
      <c r="P87" s="32" t="s">
        <v>2569</v>
      </c>
    </row>
    <row r="88" spans="1:16" x14ac:dyDescent="0.35">
      <c r="A88" s="32" t="str">
        <f t="shared" si="6"/>
        <v>2025 JUNSEPT B1G1</v>
      </c>
      <c r="B88" s="33">
        <f t="shared" si="6"/>
        <v>46121</v>
      </c>
      <c r="C88" s="33">
        <f t="shared" si="6"/>
        <v>46127</v>
      </c>
      <c r="D88" s="32">
        <v>3321</v>
      </c>
      <c r="E88" s="32">
        <v>337</v>
      </c>
      <c r="F88" s="32">
        <v>4</v>
      </c>
      <c r="G88" s="22">
        <v>4</v>
      </c>
      <c r="H88" s="23">
        <v>81005</v>
      </c>
      <c r="I88" s="32" t="s">
        <v>2689</v>
      </c>
      <c r="J88" s="23">
        <v>54954979</v>
      </c>
      <c r="K88" s="23" t="s">
        <v>6984</v>
      </c>
      <c r="L88" s="43" t="s">
        <v>6987</v>
      </c>
      <c r="M88" s="24">
        <v>149900</v>
      </c>
      <c r="N88" s="64" t="s">
        <v>2569</v>
      </c>
      <c r="O88" s="34" t="s">
        <v>2577</v>
      </c>
      <c r="P88" s="32" t="s">
        <v>2569</v>
      </c>
    </row>
    <row r="89" spans="1:16" x14ac:dyDescent="0.35">
      <c r="A89" s="32" t="str">
        <f t="shared" si="6"/>
        <v>2025 JUNSEPT B1G1</v>
      </c>
      <c r="B89" s="33">
        <f t="shared" si="6"/>
        <v>46121</v>
      </c>
      <c r="C89" s="33">
        <f t="shared" si="6"/>
        <v>46127</v>
      </c>
      <c r="D89" s="32">
        <v>3321</v>
      </c>
      <c r="E89" s="32">
        <v>337</v>
      </c>
      <c r="F89" s="32">
        <v>4</v>
      </c>
      <c r="G89" s="22">
        <v>4</v>
      </c>
      <c r="H89" s="23">
        <v>81005</v>
      </c>
      <c r="I89" s="32" t="s">
        <v>2689</v>
      </c>
      <c r="J89" s="23">
        <v>54954988</v>
      </c>
      <c r="K89" s="23" t="s">
        <v>6984</v>
      </c>
      <c r="L89" s="43" t="s">
        <v>6988</v>
      </c>
      <c r="M89" s="24">
        <v>149900</v>
      </c>
      <c r="N89" s="64" t="s">
        <v>2569</v>
      </c>
      <c r="O89" s="34" t="s">
        <v>2577</v>
      </c>
      <c r="P89" s="32" t="s">
        <v>2569</v>
      </c>
    </row>
    <row r="90" spans="1:16" x14ac:dyDescent="0.35">
      <c r="A90" s="32" t="str">
        <f t="shared" si="6"/>
        <v>2025 JUNSEPT B1G1</v>
      </c>
      <c r="B90" s="33">
        <f t="shared" si="6"/>
        <v>46121</v>
      </c>
      <c r="C90" s="33">
        <f t="shared" si="6"/>
        <v>46127</v>
      </c>
      <c r="D90" s="32">
        <v>3321</v>
      </c>
      <c r="E90" s="32">
        <v>337</v>
      </c>
      <c r="F90" s="32">
        <v>4</v>
      </c>
      <c r="G90" s="22">
        <v>4</v>
      </c>
      <c r="H90" s="23">
        <v>81588</v>
      </c>
      <c r="I90" s="32" t="s">
        <v>2689</v>
      </c>
      <c r="J90" s="23">
        <v>55507754</v>
      </c>
      <c r="K90" s="23" t="s">
        <v>6306</v>
      </c>
      <c r="L90" s="43" t="s">
        <v>6307</v>
      </c>
      <c r="M90" s="24">
        <v>129900</v>
      </c>
      <c r="N90" s="64" t="s">
        <v>2569</v>
      </c>
      <c r="O90" s="34" t="s">
        <v>2577</v>
      </c>
      <c r="P90" s="32" t="s">
        <v>2569</v>
      </c>
    </row>
    <row r="91" spans="1:16" x14ac:dyDescent="0.35">
      <c r="A91" s="32" t="str">
        <f t="shared" si="6"/>
        <v>2025 JUNSEPT B1G1</v>
      </c>
      <c r="B91" s="33">
        <f t="shared" si="6"/>
        <v>46121</v>
      </c>
      <c r="C91" s="33">
        <f t="shared" si="6"/>
        <v>46127</v>
      </c>
      <c r="D91" s="32">
        <v>3321</v>
      </c>
      <c r="E91" s="32">
        <v>337</v>
      </c>
      <c r="F91" s="32">
        <v>4</v>
      </c>
      <c r="G91" s="22">
        <v>4</v>
      </c>
      <c r="H91" s="23">
        <v>81588</v>
      </c>
      <c r="I91" s="32" t="s">
        <v>2689</v>
      </c>
      <c r="J91" s="23">
        <v>55507763</v>
      </c>
      <c r="K91" s="23" t="s">
        <v>6306</v>
      </c>
      <c r="L91" s="43" t="s">
        <v>6308</v>
      </c>
      <c r="M91" s="24">
        <v>129900</v>
      </c>
      <c r="N91" s="64" t="s">
        <v>2569</v>
      </c>
      <c r="O91" s="34" t="s">
        <v>2577</v>
      </c>
      <c r="P91" s="32" t="s">
        <v>2569</v>
      </c>
    </row>
    <row r="92" spans="1:16" x14ac:dyDescent="0.35">
      <c r="A92" s="32" t="str">
        <f t="shared" si="6"/>
        <v>2025 JUNSEPT B1G1</v>
      </c>
      <c r="B92" s="33">
        <f t="shared" si="6"/>
        <v>46121</v>
      </c>
      <c r="C92" s="33">
        <f t="shared" si="6"/>
        <v>46127</v>
      </c>
      <c r="D92" s="32">
        <v>3321</v>
      </c>
      <c r="E92" s="32">
        <v>337</v>
      </c>
      <c r="F92" s="32">
        <v>4</v>
      </c>
      <c r="G92" s="22">
        <v>4</v>
      </c>
      <c r="H92" s="23">
        <v>81588</v>
      </c>
      <c r="I92" s="32" t="s">
        <v>2689</v>
      </c>
      <c r="J92" s="23">
        <v>55507772</v>
      </c>
      <c r="K92" s="23" t="s">
        <v>6306</v>
      </c>
      <c r="L92" s="43" t="s">
        <v>6309</v>
      </c>
      <c r="M92" s="24">
        <v>129900</v>
      </c>
      <c r="N92" s="64" t="s">
        <v>2569</v>
      </c>
      <c r="O92" s="34" t="s">
        <v>2577</v>
      </c>
      <c r="P92" s="32" t="s">
        <v>2569</v>
      </c>
    </row>
    <row r="93" spans="1:16" x14ac:dyDescent="0.35">
      <c r="A93" s="32" t="str">
        <f t="shared" si="6"/>
        <v>2025 JUNSEPT B1G1</v>
      </c>
      <c r="B93" s="33">
        <f t="shared" si="6"/>
        <v>46121</v>
      </c>
      <c r="C93" s="33">
        <f t="shared" si="6"/>
        <v>46127</v>
      </c>
      <c r="D93" s="32">
        <v>3321</v>
      </c>
      <c r="E93" s="32">
        <v>337</v>
      </c>
      <c r="F93" s="32">
        <v>4</v>
      </c>
      <c r="G93" s="22">
        <v>4</v>
      </c>
      <c r="H93" s="23">
        <v>81588</v>
      </c>
      <c r="I93" s="32" t="s">
        <v>2689</v>
      </c>
      <c r="J93" s="23">
        <v>55507781</v>
      </c>
      <c r="K93" s="23" t="s">
        <v>6306</v>
      </c>
      <c r="L93" s="43" t="s">
        <v>6310</v>
      </c>
      <c r="M93" s="24">
        <v>129900</v>
      </c>
      <c r="N93" s="64" t="s">
        <v>2569</v>
      </c>
      <c r="O93" s="34" t="s">
        <v>2577</v>
      </c>
      <c r="P93" s="32" t="s">
        <v>2569</v>
      </c>
    </row>
    <row r="94" spans="1:16" x14ac:dyDescent="0.35">
      <c r="A94" s="32" t="str">
        <f t="shared" si="6"/>
        <v>2025 JUNSEPT B1G1</v>
      </c>
      <c r="B94" s="33">
        <f t="shared" si="6"/>
        <v>46121</v>
      </c>
      <c r="C94" s="33">
        <f t="shared" si="6"/>
        <v>46127</v>
      </c>
      <c r="D94" s="32">
        <v>3321</v>
      </c>
      <c r="E94" s="32">
        <v>337</v>
      </c>
      <c r="F94" s="32">
        <v>4</v>
      </c>
      <c r="G94" s="22">
        <v>3</v>
      </c>
      <c r="H94" s="23">
        <v>81005</v>
      </c>
      <c r="I94" s="32" t="s">
        <v>2689</v>
      </c>
      <c r="J94" s="23">
        <v>55507638</v>
      </c>
      <c r="K94" s="23" t="s">
        <v>6427</v>
      </c>
      <c r="L94" s="43" t="s">
        <v>6428</v>
      </c>
      <c r="M94" s="24">
        <v>149900</v>
      </c>
      <c r="N94" s="64" t="s">
        <v>2569</v>
      </c>
      <c r="O94" s="34" t="s">
        <v>2577</v>
      </c>
      <c r="P94" s="32" t="s">
        <v>2569</v>
      </c>
    </row>
    <row r="95" spans="1:16" x14ac:dyDescent="0.35">
      <c r="A95" s="32" t="str">
        <f t="shared" si="6"/>
        <v>2025 JUNSEPT B1G1</v>
      </c>
      <c r="B95" s="33">
        <f t="shared" si="6"/>
        <v>46121</v>
      </c>
      <c r="C95" s="33">
        <f t="shared" si="6"/>
        <v>46127</v>
      </c>
      <c r="D95" s="32">
        <v>3321</v>
      </c>
      <c r="E95" s="32">
        <v>337</v>
      </c>
      <c r="F95" s="32">
        <v>4</v>
      </c>
      <c r="G95" s="22">
        <v>3</v>
      </c>
      <c r="H95" s="23">
        <v>81005</v>
      </c>
      <c r="I95" s="32" t="s">
        <v>2689</v>
      </c>
      <c r="J95" s="23">
        <v>55507647</v>
      </c>
      <c r="K95" s="23" t="s">
        <v>6427</v>
      </c>
      <c r="L95" s="43" t="s">
        <v>6429</v>
      </c>
      <c r="M95" s="24">
        <v>149900</v>
      </c>
      <c r="N95" s="64" t="s">
        <v>2569</v>
      </c>
      <c r="O95" s="34" t="s">
        <v>2577</v>
      </c>
      <c r="P95" s="32" t="s">
        <v>2569</v>
      </c>
    </row>
    <row r="96" spans="1:16" x14ac:dyDescent="0.35">
      <c r="A96" s="32" t="str">
        <f t="shared" si="6"/>
        <v>2025 JUNSEPT B1G1</v>
      </c>
      <c r="B96" s="33">
        <f t="shared" si="6"/>
        <v>46121</v>
      </c>
      <c r="C96" s="33">
        <f t="shared" si="6"/>
        <v>46127</v>
      </c>
      <c r="D96" s="32">
        <v>3321</v>
      </c>
      <c r="E96" s="32">
        <v>337</v>
      </c>
      <c r="F96" s="32">
        <v>4</v>
      </c>
      <c r="G96" s="22">
        <v>3</v>
      </c>
      <c r="H96" s="23">
        <v>81005</v>
      </c>
      <c r="I96" s="32" t="s">
        <v>2689</v>
      </c>
      <c r="J96" s="23">
        <v>55507656</v>
      </c>
      <c r="K96" s="23" t="s">
        <v>6427</v>
      </c>
      <c r="L96" s="43" t="s">
        <v>6430</v>
      </c>
      <c r="M96" s="24">
        <v>149900</v>
      </c>
      <c r="N96" s="64" t="s">
        <v>2569</v>
      </c>
      <c r="O96" s="34" t="s">
        <v>2577</v>
      </c>
      <c r="P96" s="32" t="s">
        <v>2569</v>
      </c>
    </row>
    <row r="97" spans="1:16" x14ac:dyDescent="0.35">
      <c r="A97" s="32" t="str">
        <f t="shared" si="6"/>
        <v>2025 JUNSEPT B1G1</v>
      </c>
      <c r="B97" s="33">
        <f t="shared" si="6"/>
        <v>46121</v>
      </c>
      <c r="C97" s="33">
        <f t="shared" si="6"/>
        <v>46127</v>
      </c>
      <c r="D97" s="32">
        <v>3321</v>
      </c>
      <c r="E97" s="32">
        <v>337</v>
      </c>
      <c r="F97" s="32">
        <v>4</v>
      </c>
      <c r="G97" s="22">
        <v>3</v>
      </c>
      <c r="H97" s="23">
        <v>81005</v>
      </c>
      <c r="I97" s="32" t="s">
        <v>2689</v>
      </c>
      <c r="J97" s="23">
        <v>55507665</v>
      </c>
      <c r="K97" s="23" t="s">
        <v>6427</v>
      </c>
      <c r="L97" s="43" t="s">
        <v>6431</v>
      </c>
      <c r="M97" s="24">
        <v>149900</v>
      </c>
      <c r="N97" s="64" t="s">
        <v>2569</v>
      </c>
      <c r="O97" s="34" t="s">
        <v>2577</v>
      </c>
      <c r="P97" s="32" t="s">
        <v>2569</v>
      </c>
    </row>
    <row r="98" spans="1:16" x14ac:dyDescent="0.35">
      <c r="A98" s="32" t="str">
        <f t="shared" si="6"/>
        <v>2025 JUNSEPT B1G1</v>
      </c>
      <c r="B98" s="33">
        <f t="shared" si="6"/>
        <v>46121</v>
      </c>
      <c r="C98" s="33">
        <f t="shared" si="6"/>
        <v>46127</v>
      </c>
      <c r="D98" s="32">
        <v>3321</v>
      </c>
      <c r="E98" s="32">
        <v>337</v>
      </c>
      <c r="F98" s="32">
        <v>4</v>
      </c>
      <c r="G98" s="22">
        <v>3</v>
      </c>
      <c r="H98" s="23">
        <v>81005</v>
      </c>
      <c r="I98" s="32" t="s">
        <v>2689</v>
      </c>
      <c r="J98" s="23">
        <v>55507674</v>
      </c>
      <c r="K98" s="23" t="s">
        <v>6427</v>
      </c>
      <c r="L98" s="43" t="s">
        <v>6432</v>
      </c>
      <c r="M98" s="24">
        <v>149900</v>
      </c>
      <c r="N98" s="64" t="s">
        <v>2569</v>
      </c>
      <c r="O98" s="34" t="s">
        <v>2577</v>
      </c>
      <c r="P98" s="32" t="s">
        <v>2569</v>
      </c>
    </row>
    <row r="99" spans="1:16" x14ac:dyDescent="0.35">
      <c r="A99" s="32" t="str">
        <f t="shared" si="6"/>
        <v>2025 JUNSEPT B1G1</v>
      </c>
      <c r="B99" s="33">
        <f t="shared" si="6"/>
        <v>46121</v>
      </c>
      <c r="C99" s="33">
        <f t="shared" si="6"/>
        <v>46127</v>
      </c>
      <c r="D99" s="32">
        <v>3321</v>
      </c>
      <c r="E99" s="32">
        <v>337</v>
      </c>
      <c r="F99" s="32">
        <v>4</v>
      </c>
      <c r="G99" s="22">
        <v>3</v>
      </c>
      <c r="H99" s="23">
        <v>81005</v>
      </c>
      <c r="I99" s="32" t="s">
        <v>2689</v>
      </c>
      <c r="J99" s="23">
        <v>55507683</v>
      </c>
      <c r="K99" s="23" t="s">
        <v>6427</v>
      </c>
      <c r="L99" s="43" t="s">
        <v>6433</v>
      </c>
      <c r="M99" s="24">
        <v>149900</v>
      </c>
      <c r="N99" s="64" t="s">
        <v>2569</v>
      </c>
      <c r="O99" s="34" t="s">
        <v>2577</v>
      </c>
      <c r="P99" s="32" t="s">
        <v>2569</v>
      </c>
    </row>
    <row r="100" spans="1:16" x14ac:dyDescent="0.35">
      <c r="A100" s="32" t="str">
        <f t="shared" ref="A100:C115" si="7">A99</f>
        <v>2025 JUNSEPT B1G1</v>
      </c>
      <c r="B100" s="33">
        <f t="shared" si="7"/>
        <v>46121</v>
      </c>
      <c r="C100" s="33">
        <f t="shared" si="7"/>
        <v>46127</v>
      </c>
      <c r="D100" s="32">
        <v>3321</v>
      </c>
      <c r="E100" s="32">
        <v>337</v>
      </c>
      <c r="F100" s="32">
        <v>4</v>
      </c>
      <c r="G100" s="22">
        <v>4</v>
      </c>
      <c r="H100" s="23">
        <v>81588</v>
      </c>
      <c r="I100" s="32" t="s">
        <v>2689</v>
      </c>
      <c r="J100" s="23">
        <v>59168248</v>
      </c>
      <c r="K100" s="23" t="s">
        <v>6341</v>
      </c>
      <c r="L100" s="43" t="s">
        <v>6349</v>
      </c>
      <c r="M100" s="24">
        <v>99900</v>
      </c>
      <c r="N100" s="64" t="s">
        <v>2569</v>
      </c>
      <c r="O100" s="34" t="s">
        <v>2577</v>
      </c>
      <c r="P100" s="32" t="s">
        <v>2569</v>
      </c>
    </row>
    <row r="101" spans="1:16" x14ac:dyDescent="0.35">
      <c r="A101" s="32" t="str">
        <f t="shared" si="7"/>
        <v>2025 JUNSEPT B1G1</v>
      </c>
      <c r="B101" s="33">
        <f t="shared" si="7"/>
        <v>46121</v>
      </c>
      <c r="C101" s="33">
        <f t="shared" si="7"/>
        <v>46127</v>
      </c>
      <c r="D101" s="32">
        <v>3321</v>
      </c>
      <c r="E101" s="32">
        <v>337</v>
      </c>
      <c r="F101" s="32">
        <v>4</v>
      </c>
      <c r="G101" s="22">
        <v>4</v>
      </c>
      <c r="H101" s="23">
        <v>81588</v>
      </c>
      <c r="I101" s="32" t="s">
        <v>2689</v>
      </c>
      <c r="J101" s="23">
        <v>59168257</v>
      </c>
      <c r="K101" s="23" t="s">
        <v>6341</v>
      </c>
      <c r="L101" s="43" t="s">
        <v>6348</v>
      </c>
      <c r="M101" s="24">
        <v>99900</v>
      </c>
      <c r="N101" s="64" t="s">
        <v>2569</v>
      </c>
      <c r="O101" s="34" t="s">
        <v>2577</v>
      </c>
      <c r="P101" s="32" t="s">
        <v>2569</v>
      </c>
    </row>
    <row r="102" spans="1:16" x14ac:dyDescent="0.35">
      <c r="A102" s="32" t="str">
        <f t="shared" si="7"/>
        <v>2025 JUNSEPT B1G1</v>
      </c>
      <c r="B102" s="33">
        <f t="shared" si="7"/>
        <v>46121</v>
      </c>
      <c r="C102" s="33">
        <f t="shared" si="7"/>
        <v>46127</v>
      </c>
      <c r="D102" s="32">
        <v>3321</v>
      </c>
      <c r="E102" s="32">
        <v>337</v>
      </c>
      <c r="F102" s="32">
        <v>4</v>
      </c>
      <c r="G102" s="22">
        <v>4</v>
      </c>
      <c r="H102" s="23">
        <v>81588</v>
      </c>
      <c r="I102" s="32" t="s">
        <v>2689</v>
      </c>
      <c r="J102" s="23">
        <v>59168266</v>
      </c>
      <c r="K102" s="23" t="s">
        <v>6341</v>
      </c>
      <c r="L102" s="43" t="s">
        <v>6350</v>
      </c>
      <c r="M102" s="24">
        <v>99900</v>
      </c>
      <c r="N102" s="64" t="s">
        <v>2569</v>
      </c>
      <c r="O102" s="34" t="s">
        <v>2577</v>
      </c>
      <c r="P102" s="32" t="s">
        <v>2569</v>
      </c>
    </row>
    <row r="103" spans="1:16" x14ac:dyDescent="0.35">
      <c r="A103" s="32" t="str">
        <f t="shared" si="7"/>
        <v>2025 JUNSEPT B1G1</v>
      </c>
      <c r="B103" s="33">
        <f t="shared" si="7"/>
        <v>46121</v>
      </c>
      <c r="C103" s="33">
        <f t="shared" si="7"/>
        <v>46127</v>
      </c>
      <c r="D103" s="32">
        <v>3321</v>
      </c>
      <c r="E103" s="32">
        <v>337</v>
      </c>
      <c r="F103" s="32">
        <v>4</v>
      </c>
      <c r="G103" s="22">
        <v>4</v>
      </c>
      <c r="H103" s="23">
        <v>81588</v>
      </c>
      <c r="I103" s="32" t="s">
        <v>2689</v>
      </c>
      <c r="J103" s="23">
        <v>59168275</v>
      </c>
      <c r="K103" s="23" t="s">
        <v>6341</v>
      </c>
      <c r="L103" s="43" t="s">
        <v>6347</v>
      </c>
      <c r="M103" s="24">
        <v>99900</v>
      </c>
      <c r="N103" s="64" t="s">
        <v>2569</v>
      </c>
      <c r="O103" s="34" t="s">
        <v>2577</v>
      </c>
      <c r="P103" s="32" t="s">
        <v>2569</v>
      </c>
    </row>
    <row r="104" spans="1:16" x14ac:dyDescent="0.35">
      <c r="A104" s="32" t="str">
        <f t="shared" si="7"/>
        <v>2025 JUNSEPT B1G1</v>
      </c>
      <c r="B104" s="33">
        <f t="shared" si="7"/>
        <v>46121</v>
      </c>
      <c r="C104" s="33">
        <f t="shared" si="7"/>
        <v>46127</v>
      </c>
      <c r="D104" s="32">
        <v>3321</v>
      </c>
      <c r="E104" s="32">
        <v>337</v>
      </c>
      <c r="F104" s="32">
        <v>4</v>
      </c>
      <c r="G104" s="22">
        <v>3</v>
      </c>
      <c r="H104" s="23">
        <v>81588</v>
      </c>
      <c r="I104" s="32" t="s">
        <v>2689</v>
      </c>
      <c r="J104" s="23">
        <v>54954871</v>
      </c>
      <c r="K104" s="23" t="s">
        <v>5802</v>
      </c>
      <c r="L104" s="43" t="s">
        <v>5803</v>
      </c>
      <c r="M104" s="24">
        <v>199900</v>
      </c>
      <c r="N104" s="64" t="s">
        <v>2569</v>
      </c>
      <c r="O104" s="34" t="s">
        <v>2577</v>
      </c>
      <c r="P104" s="32" t="s">
        <v>2569</v>
      </c>
    </row>
    <row r="105" spans="1:16" x14ac:dyDescent="0.35">
      <c r="A105" s="32" t="str">
        <f t="shared" si="7"/>
        <v>2025 JUNSEPT B1G1</v>
      </c>
      <c r="B105" s="33">
        <f t="shared" si="7"/>
        <v>46121</v>
      </c>
      <c r="C105" s="33">
        <f t="shared" si="7"/>
        <v>46127</v>
      </c>
      <c r="D105" s="32">
        <v>3321</v>
      </c>
      <c r="E105" s="32">
        <v>337</v>
      </c>
      <c r="F105" s="32">
        <v>4</v>
      </c>
      <c r="G105" s="22">
        <v>3</v>
      </c>
      <c r="H105" s="23">
        <v>81588</v>
      </c>
      <c r="I105" s="32" t="s">
        <v>2689</v>
      </c>
      <c r="J105" s="23">
        <v>54954880</v>
      </c>
      <c r="K105" s="23" t="s">
        <v>5802</v>
      </c>
      <c r="L105" s="43" t="s">
        <v>5804</v>
      </c>
      <c r="M105" s="24">
        <v>199900</v>
      </c>
      <c r="N105" s="64" t="s">
        <v>2569</v>
      </c>
      <c r="O105" s="34" t="s">
        <v>2577</v>
      </c>
      <c r="P105" s="32" t="s">
        <v>2569</v>
      </c>
    </row>
    <row r="106" spans="1:16" x14ac:dyDescent="0.35">
      <c r="A106" s="32" t="str">
        <f t="shared" si="7"/>
        <v>2025 JUNSEPT B1G1</v>
      </c>
      <c r="B106" s="33">
        <f t="shared" si="7"/>
        <v>46121</v>
      </c>
      <c r="C106" s="33">
        <f t="shared" si="7"/>
        <v>46127</v>
      </c>
      <c r="D106" s="32">
        <v>3321</v>
      </c>
      <c r="E106" s="32">
        <v>337</v>
      </c>
      <c r="F106" s="32">
        <v>4</v>
      </c>
      <c r="G106" s="22">
        <v>3</v>
      </c>
      <c r="H106" s="23">
        <v>81588</v>
      </c>
      <c r="I106" s="32" t="s">
        <v>2689</v>
      </c>
      <c r="J106" s="23">
        <v>54954899</v>
      </c>
      <c r="K106" s="23" t="s">
        <v>5802</v>
      </c>
      <c r="L106" s="43" t="s">
        <v>5806</v>
      </c>
      <c r="M106" s="24">
        <v>199900</v>
      </c>
      <c r="N106" s="64" t="s">
        <v>2569</v>
      </c>
      <c r="O106" s="34" t="s">
        <v>2577</v>
      </c>
      <c r="P106" s="32" t="s">
        <v>2569</v>
      </c>
    </row>
    <row r="107" spans="1:16" x14ac:dyDescent="0.35">
      <c r="A107" s="32" t="str">
        <f t="shared" si="7"/>
        <v>2025 JUNSEPT B1G1</v>
      </c>
      <c r="B107" s="33">
        <f t="shared" si="7"/>
        <v>46121</v>
      </c>
      <c r="C107" s="33">
        <f t="shared" si="7"/>
        <v>46127</v>
      </c>
      <c r="D107" s="32">
        <v>3321</v>
      </c>
      <c r="E107" s="32">
        <v>337</v>
      </c>
      <c r="F107" s="32">
        <v>4</v>
      </c>
      <c r="G107" s="22">
        <v>3</v>
      </c>
      <c r="H107" s="23">
        <v>81588</v>
      </c>
      <c r="I107" s="32" t="s">
        <v>2689</v>
      </c>
      <c r="J107" s="23">
        <v>54954906</v>
      </c>
      <c r="K107" s="23" t="s">
        <v>5802</v>
      </c>
      <c r="L107" s="43" t="s">
        <v>5805</v>
      </c>
      <c r="M107" s="24">
        <v>199900</v>
      </c>
      <c r="N107" s="64" t="s">
        <v>2569</v>
      </c>
      <c r="O107" s="34" t="s">
        <v>2577</v>
      </c>
      <c r="P107" s="32" t="s">
        <v>2569</v>
      </c>
    </row>
    <row r="108" spans="1:16" x14ac:dyDescent="0.35">
      <c r="A108" s="32" t="str">
        <f t="shared" si="7"/>
        <v>2025 JUNSEPT B1G1</v>
      </c>
      <c r="B108" s="33">
        <f t="shared" si="7"/>
        <v>46121</v>
      </c>
      <c r="C108" s="33">
        <f t="shared" si="7"/>
        <v>46127</v>
      </c>
      <c r="D108" s="32">
        <v>3321</v>
      </c>
      <c r="E108" s="32">
        <v>337</v>
      </c>
      <c r="F108" s="32">
        <v>4</v>
      </c>
      <c r="G108" s="22">
        <v>3</v>
      </c>
      <c r="H108" s="23">
        <v>81588</v>
      </c>
      <c r="I108" s="32" t="s">
        <v>2689</v>
      </c>
      <c r="J108" s="23">
        <v>59168202</v>
      </c>
      <c r="K108" s="23" t="s">
        <v>6381</v>
      </c>
      <c r="L108" s="43" t="s">
        <v>6383</v>
      </c>
      <c r="M108" s="24">
        <v>199900</v>
      </c>
      <c r="N108" s="64" t="s">
        <v>2569</v>
      </c>
      <c r="O108" s="34" t="s">
        <v>2577</v>
      </c>
      <c r="P108" s="32" t="s">
        <v>2569</v>
      </c>
    </row>
    <row r="109" spans="1:16" x14ac:dyDescent="0.35">
      <c r="A109" s="32" t="str">
        <f t="shared" si="7"/>
        <v>2025 JUNSEPT B1G1</v>
      </c>
      <c r="B109" s="33">
        <f t="shared" si="7"/>
        <v>46121</v>
      </c>
      <c r="C109" s="33">
        <f t="shared" si="7"/>
        <v>46127</v>
      </c>
      <c r="D109" s="32">
        <v>3321</v>
      </c>
      <c r="E109" s="32">
        <v>337</v>
      </c>
      <c r="F109" s="32">
        <v>4</v>
      </c>
      <c r="G109" s="22">
        <v>3</v>
      </c>
      <c r="H109" s="23">
        <v>81588</v>
      </c>
      <c r="I109" s="32" t="s">
        <v>2689</v>
      </c>
      <c r="J109" s="23">
        <v>59168211</v>
      </c>
      <c r="K109" s="23" t="s">
        <v>6381</v>
      </c>
      <c r="L109" s="43" t="s">
        <v>6385</v>
      </c>
      <c r="M109" s="24">
        <v>199900</v>
      </c>
      <c r="N109" s="64" t="s">
        <v>2569</v>
      </c>
      <c r="O109" s="34" t="s">
        <v>2577</v>
      </c>
      <c r="P109" s="32" t="s">
        <v>2569</v>
      </c>
    </row>
    <row r="110" spans="1:16" x14ac:dyDescent="0.35">
      <c r="A110" s="32" t="str">
        <f t="shared" si="7"/>
        <v>2025 JUNSEPT B1G1</v>
      </c>
      <c r="B110" s="33">
        <f t="shared" si="7"/>
        <v>46121</v>
      </c>
      <c r="C110" s="33">
        <f t="shared" si="7"/>
        <v>46127</v>
      </c>
      <c r="D110" s="32">
        <v>3321</v>
      </c>
      <c r="E110" s="32">
        <v>337</v>
      </c>
      <c r="F110" s="32">
        <v>4</v>
      </c>
      <c r="G110" s="22">
        <v>3</v>
      </c>
      <c r="H110" s="23">
        <v>81588</v>
      </c>
      <c r="I110" s="32" t="s">
        <v>2689</v>
      </c>
      <c r="J110" s="23">
        <v>59168220</v>
      </c>
      <c r="K110" s="23" t="s">
        <v>6381</v>
      </c>
      <c r="L110" s="43" t="s">
        <v>6382</v>
      </c>
      <c r="M110" s="24">
        <v>199900</v>
      </c>
      <c r="N110" s="64" t="s">
        <v>2569</v>
      </c>
      <c r="O110" s="34" t="s">
        <v>2577</v>
      </c>
      <c r="P110" s="32" t="s">
        <v>2569</v>
      </c>
    </row>
    <row r="111" spans="1:16" x14ac:dyDescent="0.35">
      <c r="A111" s="32" t="str">
        <f t="shared" si="7"/>
        <v>2025 JUNSEPT B1G1</v>
      </c>
      <c r="B111" s="33">
        <f t="shared" si="7"/>
        <v>46121</v>
      </c>
      <c r="C111" s="33">
        <f t="shared" si="7"/>
        <v>46127</v>
      </c>
      <c r="D111" s="32">
        <v>3321</v>
      </c>
      <c r="E111" s="32">
        <v>337</v>
      </c>
      <c r="F111" s="32">
        <v>4</v>
      </c>
      <c r="G111" s="22">
        <v>3</v>
      </c>
      <c r="H111" s="23">
        <v>81588</v>
      </c>
      <c r="I111" s="32" t="s">
        <v>2689</v>
      </c>
      <c r="J111" s="23">
        <v>59168239</v>
      </c>
      <c r="K111" s="23" t="s">
        <v>6381</v>
      </c>
      <c r="L111" s="43" t="s">
        <v>6384</v>
      </c>
      <c r="M111" s="24">
        <v>199900</v>
      </c>
      <c r="N111" s="64" t="s">
        <v>2569</v>
      </c>
      <c r="O111" s="34" t="s">
        <v>2577</v>
      </c>
      <c r="P111" s="32" t="s">
        <v>2569</v>
      </c>
    </row>
    <row r="112" spans="1:16" x14ac:dyDescent="0.35">
      <c r="A112" s="32" t="str">
        <f t="shared" si="7"/>
        <v>2025 JUNSEPT B1G1</v>
      </c>
      <c r="B112" s="33">
        <f t="shared" si="7"/>
        <v>46121</v>
      </c>
      <c r="C112" s="33">
        <f t="shared" si="7"/>
        <v>46127</v>
      </c>
      <c r="D112" s="32">
        <v>3321</v>
      </c>
      <c r="E112" s="32">
        <v>337</v>
      </c>
      <c r="F112" s="32">
        <v>4</v>
      </c>
      <c r="G112" s="22">
        <v>1</v>
      </c>
      <c r="H112" s="23">
        <v>81462</v>
      </c>
      <c r="I112" s="32" t="s">
        <v>2689</v>
      </c>
      <c r="J112" s="23">
        <v>54954559</v>
      </c>
      <c r="K112" s="23" t="s">
        <v>5797</v>
      </c>
      <c r="L112" s="43" t="s">
        <v>5799</v>
      </c>
      <c r="M112" s="24">
        <v>99900</v>
      </c>
      <c r="N112" s="64" t="s">
        <v>2569</v>
      </c>
      <c r="O112" s="34" t="s">
        <v>2577</v>
      </c>
      <c r="P112" s="32" t="s">
        <v>2569</v>
      </c>
    </row>
    <row r="113" spans="1:16" x14ac:dyDescent="0.35">
      <c r="A113" s="32" t="str">
        <f t="shared" si="7"/>
        <v>2025 JUNSEPT B1G1</v>
      </c>
      <c r="B113" s="33">
        <f t="shared" si="7"/>
        <v>46121</v>
      </c>
      <c r="C113" s="33">
        <f t="shared" si="7"/>
        <v>46127</v>
      </c>
      <c r="D113" s="32">
        <v>3321</v>
      </c>
      <c r="E113" s="32">
        <v>337</v>
      </c>
      <c r="F113" s="32">
        <v>4</v>
      </c>
      <c r="G113" s="22">
        <v>1</v>
      </c>
      <c r="H113" s="23">
        <v>81462</v>
      </c>
      <c r="I113" s="32" t="s">
        <v>2689</v>
      </c>
      <c r="J113" s="23">
        <v>54954568</v>
      </c>
      <c r="K113" s="23" t="s">
        <v>5797</v>
      </c>
      <c r="L113" s="43" t="s">
        <v>5798</v>
      </c>
      <c r="M113" s="24">
        <v>99900</v>
      </c>
      <c r="N113" s="64" t="s">
        <v>2569</v>
      </c>
      <c r="O113" s="34" t="s">
        <v>2577</v>
      </c>
      <c r="P113" s="32" t="s">
        <v>2569</v>
      </c>
    </row>
    <row r="114" spans="1:16" x14ac:dyDescent="0.35">
      <c r="A114" s="32" t="str">
        <f t="shared" si="7"/>
        <v>2025 JUNSEPT B1G1</v>
      </c>
      <c r="B114" s="33">
        <f t="shared" si="7"/>
        <v>46121</v>
      </c>
      <c r="C114" s="33">
        <f t="shared" si="7"/>
        <v>46127</v>
      </c>
      <c r="D114" s="32">
        <v>3321</v>
      </c>
      <c r="E114" s="32">
        <v>337</v>
      </c>
      <c r="F114" s="32">
        <v>4</v>
      </c>
      <c r="G114" s="22">
        <v>1</v>
      </c>
      <c r="H114" s="23">
        <v>81462</v>
      </c>
      <c r="I114" s="32" t="s">
        <v>2689</v>
      </c>
      <c r="J114" s="23">
        <v>54954577</v>
      </c>
      <c r="K114" s="23" t="s">
        <v>5797</v>
      </c>
      <c r="L114" s="43" t="s">
        <v>5801</v>
      </c>
      <c r="M114" s="24">
        <v>99900</v>
      </c>
      <c r="N114" s="64" t="s">
        <v>2569</v>
      </c>
      <c r="O114" s="34" t="s">
        <v>2577</v>
      </c>
      <c r="P114" s="32" t="s">
        <v>2569</v>
      </c>
    </row>
    <row r="115" spans="1:16" x14ac:dyDescent="0.35">
      <c r="A115" s="32" t="str">
        <f t="shared" si="7"/>
        <v>2025 JUNSEPT B1G1</v>
      </c>
      <c r="B115" s="33">
        <f t="shared" si="7"/>
        <v>46121</v>
      </c>
      <c r="C115" s="33">
        <f t="shared" si="7"/>
        <v>46127</v>
      </c>
      <c r="D115" s="32">
        <v>3321</v>
      </c>
      <c r="E115" s="32">
        <v>337</v>
      </c>
      <c r="F115" s="32">
        <v>4</v>
      </c>
      <c r="G115" s="22">
        <v>1</v>
      </c>
      <c r="H115" s="23">
        <v>81462</v>
      </c>
      <c r="I115" s="32" t="s">
        <v>2689</v>
      </c>
      <c r="J115" s="23">
        <v>54954586</v>
      </c>
      <c r="K115" s="23" t="s">
        <v>5797</v>
      </c>
      <c r="L115" s="43" t="s">
        <v>5800</v>
      </c>
      <c r="M115" s="24">
        <v>99900</v>
      </c>
      <c r="N115" s="64" t="s">
        <v>2569</v>
      </c>
      <c r="O115" s="34" t="s">
        <v>2577</v>
      </c>
      <c r="P115" s="32" t="s">
        <v>2569</v>
      </c>
    </row>
    <row r="116" spans="1:16" x14ac:dyDescent="0.35">
      <c r="A116" s="32" t="str">
        <f t="shared" ref="A116:C131" si="8">A115</f>
        <v>2025 JUNSEPT B1G1</v>
      </c>
      <c r="B116" s="33">
        <f t="shared" si="8"/>
        <v>46121</v>
      </c>
      <c r="C116" s="33">
        <f t="shared" si="8"/>
        <v>46127</v>
      </c>
      <c r="D116" s="32">
        <v>3321</v>
      </c>
      <c r="E116" s="32">
        <v>337</v>
      </c>
      <c r="F116" s="32">
        <v>4</v>
      </c>
      <c r="G116" s="22">
        <v>1</v>
      </c>
      <c r="H116" s="23">
        <v>81005</v>
      </c>
      <c r="I116" s="32" t="s">
        <v>2689</v>
      </c>
      <c r="J116" s="23">
        <v>54954675</v>
      </c>
      <c r="K116" s="23" t="s">
        <v>5996</v>
      </c>
      <c r="L116" s="43" t="s">
        <v>5999</v>
      </c>
      <c r="M116" s="24">
        <v>129900</v>
      </c>
      <c r="N116" s="64" t="s">
        <v>2569</v>
      </c>
      <c r="O116" s="34" t="s">
        <v>2577</v>
      </c>
      <c r="P116" s="32" t="s">
        <v>2569</v>
      </c>
    </row>
    <row r="117" spans="1:16" x14ac:dyDescent="0.35">
      <c r="A117" s="32" t="str">
        <f t="shared" si="8"/>
        <v>2025 JUNSEPT B1G1</v>
      </c>
      <c r="B117" s="33">
        <f t="shared" si="8"/>
        <v>46121</v>
      </c>
      <c r="C117" s="33">
        <f t="shared" si="8"/>
        <v>46127</v>
      </c>
      <c r="D117" s="32">
        <v>3321</v>
      </c>
      <c r="E117" s="32">
        <v>337</v>
      </c>
      <c r="F117" s="32">
        <v>4</v>
      </c>
      <c r="G117" s="22">
        <v>1</v>
      </c>
      <c r="H117" s="23">
        <v>81005</v>
      </c>
      <c r="I117" s="32" t="s">
        <v>2689</v>
      </c>
      <c r="J117" s="23">
        <v>54954684</v>
      </c>
      <c r="K117" s="23" t="s">
        <v>5996</v>
      </c>
      <c r="L117" s="43" t="s">
        <v>6000</v>
      </c>
      <c r="M117" s="24">
        <v>129900</v>
      </c>
      <c r="N117" s="64" t="s">
        <v>2569</v>
      </c>
      <c r="O117" s="34" t="s">
        <v>2577</v>
      </c>
      <c r="P117" s="32" t="s">
        <v>2569</v>
      </c>
    </row>
    <row r="118" spans="1:16" x14ac:dyDescent="0.35">
      <c r="A118" s="32" t="str">
        <f t="shared" si="8"/>
        <v>2025 JUNSEPT B1G1</v>
      </c>
      <c r="B118" s="33">
        <f t="shared" si="8"/>
        <v>46121</v>
      </c>
      <c r="C118" s="33">
        <f t="shared" si="8"/>
        <v>46127</v>
      </c>
      <c r="D118" s="32">
        <v>3321</v>
      </c>
      <c r="E118" s="32">
        <v>337</v>
      </c>
      <c r="F118" s="32">
        <v>4</v>
      </c>
      <c r="G118" s="22">
        <v>1</v>
      </c>
      <c r="H118" s="23">
        <v>81005</v>
      </c>
      <c r="I118" s="32" t="s">
        <v>2689</v>
      </c>
      <c r="J118" s="23">
        <v>54954693</v>
      </c>
      <c r="K118" s="23" t="s">
        <v>5996</v>
      </c>
      <c r="L118" s="43" t="s">
        <v>5998</v>
      </c>
      <c r="M118" s="24">
        <v>129900</v>
      </c>
      <c r="N118" s="64" t="s">
        <v>2569</v>
      </c>
      <c r="O118" s="34" t="s">
        <v>2577</v>
      </c>
      <c r="P118" s="32" t="s">
        <v>2569</v>
      </c>
    </row>
    <row r="119" spans="1:16" x14ac:dyDescent="0.35">
      <c r="A119" s="32" t="str">
        <f t="shared" si="8"/>
        <v>2025 JUNSEPT B1G1</v>
      </c>
      <c r="B119" s="33">
        <f t="shared" si="8"/>
        <v>46121</v>
      </c>
      <c r="C119" s="33">
        <f t="shared" si="8"/>
        <v>46127</v>
      </c>
      <c r="D119" s="32">
        <v>3321</v>
      </c>
      <c r="E119" s="32">
        <v>337</v>
      </c>
      <c r="F119" s="32">
        <v>4</v>
      </c>
      <c r="G119" s="22">
        <v>1</v>
      </c>
      <c r="H119" s="23">
        <v>81005</v>
      </c>
      <c r="I119" s="32" t="s">
        <v>2689</v>
      </c>
      <c r="J119" s="23">
        <v>54954700</v>
      </c>
      <c r="K119" s="23" t="s">
        <v>5996</v>
      </c>
      <c r="L119" s="43" t="s">
        <v>5997</v>
      </c>
      <c r="M119" s="24">
        <v>129900</v>
      </c>
      <c r="N119" s="64" t="s">
        <v>2569</v>
      </c>
      <c r="O119" s="34" t="s">
        <v>2577</v>
      </c>
      <c r="P119" s="32" t="s">
        <v>2569</v>
      </c>
    </row>
    <row r="120" spans="1:16" x14ac:dyDescent="0.35">
      <c r="A120" s="32" t="str">
        <f t="shared" si="8"/>
        <v>2025 JUNSEPT B1G1</v>
      </c>
      <c r="B120" s="33">
        <f t="shared" si="8"/>
        <v>46121</v>
      </c>
      <c r="C120" s="33">
        <f t="shared" si="8"/>
        <v>46127</v>
      </c>
      <c r="D120" s="32">
        <v>3321</v>
      </c>
      <c r="E120" s="32">
        <v>337</v>
      </c>
      <c r="F120" s="32">
        <v>4</v>
      </c>
      <c r="G120" s="22">
        <v>1</v>
      </c>
      <c r="H120" s="23">
        <v>81588</v>
      </c>
      <c r="I120" s="32" t="s">
        <v>2689</v>
      </c>
      <c r="J120" s="23">
        <v>54954719</v>
      </c>
      <c r="K120" s="23" t="s">
        <v>5790</v>
      </c>
      <c r="L120" s="43" t="s">
        <v>5796</v>
      </c>
      <c r="M120" s="24">
        <v>129900</v>
      </c>
      <c r="N120" s="64" t="s">
        <v>2569</v>
      </c>
      <c r="O120" s="34" t="s">
        <v>2577</v>
      </c>
      <c r="P120" s="32" t="s">
        <v>2569</v>
      </c>
    </row>
    <row r="121" spans="1:16" x14ac:dyDescent="0.35">
      <c r="A121" s="32" t="str">
        <f t="shared" si="8"/>
        <v>2025 JUNSEPT B1G1</v>
      </c>
      <c r="B121" s="33">
        <f t="shared" si="8"/>
        <v>46121</v>
      </c>
      <c r="C121" s="33">
        <f t="shared" si="8"/>
        <v>46127</v>
      </c>
      <c r="D121" s="32">
        <v>3321</v>
      </c>
      <c r="E121" s="32">
        <v>337</v>
      </c>
      <c r="F121" s="32">
        <v>4</v>
      </c>
      <c r="G121" s="22">
        <v>1</v>
      </c>
      <c r="H121" s="23">
        <v>81588</v>
      </c>
      <c r="I121" s="32" t="s">
        <v>2689</v>
      </c>
      <c r="J121" s="23">
        <v>54954728</v>
      </c>
      <c r="K121" s="23" t="s">
        <v>5790</v>
      </c>
      <c r="L121" s="43" t="s">
        <v>5791</v>
      </c>
      <c r="M121" s="24">
        <v>129900</v>
      </c>
      <c r="N121" s="64" t="s">
        <v>2569</v>
      </c>
      <c r="O121" s="34" t="s">
        <v>2577</v>
      </c>
      <c r="P121" s="32" t="s">
        <v>2569</v>
      </c>
    </row>
    <row r="122" spans="1:16" x14ac:dyDescent="0.35">
      <c r="A122" s="32" t="str">
        <f t="shared" si="8"/>
        <v>2025 JUNSEPT B1G1</v>
      </c>
      <c r="B122" s="33">
        <f t="shared" si="8"/>
        <v>46121</v>
      </c>
      <c r="C122" s="33">
        <f t="shared" si="8"/>
        <v>46127</v>
      </c>
      <c r="D122" s="32">
        <v>3321</v>
      </c>
      <c r="E122" s="32">
        <v>337</v>
      </c>
      <c r="F122" s="32">
        <v>4</v>
      </c>
      <c r="G122" s="22">
        <v>1</v>
      </c>
      <c r="H122" s="23">
        <v>81588</v>
      </c>
      <c r="I122" s="32" t="s">
        <v>2689</v>
      </c>
      <c r="J122" s="23">
        <v>54954737</v>
      </c>
      <c r="K122" s="23" t="s">
        <v>5790</v>
      </c>
      <c r="L122" s="43" t="s">
        <v>5793</v>
      </c>
      <c r="M122" s="24">
        <v>129900</v>
      </c>
      <c r="N122" s="64" t="s">
        <v>2569</v>
      </c>
      <c r="O122" s="34" t="s">
        <v>2577</v>
      </c>
      <c r="P122" s="32" t="s">
        <v>2569</v>
      </c>
    </row>
    <row r="123" spans="1:16" x14ac:dyDescent="0.35">
      <c r="A123" s="32" t="str">
        <f t="shared" si="8"/>
        <v>2025 JUNSEPT B1G1</v>
      </c>
      <c r="B123" s="33">
        <f t="shared" si="8"/>
        <v>46121</v>
      </c>
      <c r="C123" s="33">
        <f t="shared" si="8"/>
        <v>46127</v>
      </c>
      <c r="D123" s="32">
        <v>3321</v>
      </c>
      <c r="E123" s="32">
        <v>337</v>
      </c>
      <c r="F123" s="32">
        <v>4</v>
      </c>
      <c r="G123" s="22">
        <v>1</v>
      </c>
      <c r="H123" s="23">
        <v>81588</v>
      </c>
      <c r="I123" s="32" t="s">
        <v>2689</v>
      </c>
      <c r="J123" s="23">
        <v>54954746</v>
      </c>
      <c r="K123" s="23" t="s">
        <v>5790</v>
      </c>
      <c r="L123" s="43" t="s">
        <v>6298</v>
      </c>
      <c r="M123" s="24">
        <v>129900</v>
      </c>
      <c r="N123" s="64" t="s">
        <v>2569</v>
      </c>
      <c r="O123" s="34" t="s">
        <v>2577</v>
      </c>
      <c r="P123" s="32" t="s">
        <v>2569</v>
      </c>
    </row>
    <row r="124" spans="1:16" x14ac:dyDescent="0.35">
      <c r="A124" s="32" t="str">
        <f t="shared" si="8"/>
        <v>2025 JUNSEPT B1G1</v>
      </c>
      <c r="B124" s="33">
        <f t="shared" si="8"/>
        <v>46121</v>
      </c>
      <c r="C124" s="33">
        <f t="shared" si="8"/>
        <v>46127</v>
      </c>
      <c r="D124" s="32">
        <v>3321</v>
      </c>
      <c r="E124" s="32">
        <v>337</v>
      </c>
      <c r="F124" s="32">
        <v>4</v>
      </c>
      <c r="G124" s="22">
        <v>1</v>
      </c>
      <c r="H124" s="23">
        <v>81588</v>
      </c>
      <c r="I124" s="32" t="s">
        <v>2689</v>
      </c>
      <c r="J124" s="23">
        <v>54954755</v>
      </c>
      <c r="K124" s="23" t="s">
        <v>5788</v>
      </c>
      <c r="L124" s="43" t="s">
        <v>5789</v>
      </c>
      <c r="M124" s="24">
        <v>99900</v>
      </c>
      <c r="N124" s="64" t="s">
        <v>2569</v>
      </c>
      <c r="O124" s="34" t="s">
        <v>2577</v>
      </c>
      <c r="P124" s="32" t="s">
        <v>2569</v>
      </c>
    </row>
    <row r="125" spans="1:16" x14ac:dyDescent="0.35">
      <c r="A125" s="32" t="str">
        <f t="shared" si="8"/>
        <v>2025 JUNSEPT B1G1</v>
      </c>
      <c r="B125" s="33">
        <f t="shared" si="8"/>
        <v>46121</v>
      </c>
      <c r="C125" s="33">
        <f t="shared" si="8"/>
        <v>46127</v>
      </c>
      <c r="D125" s="32">
        <v>3321</v>
      </c>
      <c r="E125" s="32">
        <v>337</v>
      </c>
      <c r="F125" s="32">
        <v>4</v>
      </c>
      <c r="G125" s="22">
        <v>1</v>
      </c>
      <c r="H125" s="23">
        <v>81588</v>
      </c>
      <c r="I125" s="32" t="s">
        <v>2689</v>
      </c>
      <c r="J125" s="23">
        <v>54954764</v>
      </c>
      <c r="K125" s="23" t="s">
        <v>5788</v>
      </c>
      <c r="L125" s="43" t="s">
        <v>5795</v>
      </c>
      <c r="M125" s="24">
        <v>99900</v>
      </c>
      <c r="N125" s="64" t="s">
        <v>2569</v>
      </c>
      <c r="O125" s="34" t="s">
        <v>2577</v>
      </c>
      <c r="P125" s="32" t="s">
        <v>2569</v>
      </c>
    </row>
    <row r="126" spans="1:16" x14ac:dyDescent="0.35">
      <c r="A126" s="32" t="str">
        <f t="shared" si="8"/>
        <v>2025 JUNSEPT B1G1</v>
      </c>
      <c r="B126" s="33">
        <f t="shared" si="8"/>
        <v>46121</v>
      </c>
      <c r="C126" s="33">
        <f t="shared" si="8"/>
        <v>46127</v>
      </c>
      <c r="D126" s="32">
        <v>3321</v>
      </c>
      <c r="E126" s="32">
        <v>337</v>
      </c>
      <c r="F126" s="32">
        <v>4</v>
      </c>
      <c r="G126" s="22">
        <v>1</v>
      </c>
      <c r="H126" s="23">
        <v>81588</v>
      </c>
      <c r="I126" s="32" t="s">
        <v>2689</v>
      </c>
      <c r="J126" s="23">
        <v>54954773</v>
      </c>
      <c r="K126" s="23" t="s">
        <v>5788</v>
      </c>
      <c r="L126" s="43" t="s">
        <v>5792</v>
      </c>
      <c r="M126" s="24">
        <v>99900</v>
      </c>
      <c r="N126" s="64" t="s">
        <v>2569</v>
      </c>
      <c r="O126" s="34" t="s">
        <v>2577</v>
      </c>
      <c r="P126" s="32" t="s">
        <v>2569</v>
      </c>
    </row>
    <row r="127" spans="1:16" x14ac:dyDescent="0.35">
      <c r="A127" s="32" t="str">
        <f t="shared" si="8"/>
        <v>2025 JUNSEPT B1G1</v>
      </c>
      <c r="B127" s="33">
        <f t="shared" si="8"/>
        <v>46121</v>
      </c>
      <c r="C127" s="33">
        <f t="shared" si="8"/>
        <v>46127</v>
      </c>
      <c r="D127" s="32">
        <v>3321</v>
      </c>
      <c r="E127" s="32">
        <v>337</v>
      </c>
      <c r="F127" s="32">
        <v>4</v>
      </c>
      <c r="G127" s="22">
        <v>1</v>
      </c>
      <c r="H127" s="23">
        <v>81588</v>
      </c>
      <c r="I127" s="32" t="s">
        <v>2689</v>
      </c>
      <c r="J127" s="23">
        <v>54954782</v>
      </c>
      <c r="K127" s="23" t="s">
        <v>5788</v>
      </c>
      <c r="L127" s="43" t="s">
        <v>5794</v>
      </c>
      <c r="M127" s="24">
        <v>99900</v>
      </c>
      <c r="N127" s="64" t="s">
        <v>2569</v>
      </c>
      <c r="O127" s="34" t="s">
        <v>2577</v>
      </c>
      <c r="P127" s="32" t="s">
        <v>2569</v>
      </c>
    </row>
    <row r="128" spans="1:16" x14ac:dyDescent="0.35">
      <c r="A128" s="32" t="str">
        <f t="shared" si="8"/>
        <v>2025 JUNSEPT B1G1</v>
      </c>
      <c r="B128" s="33">
        <f t="shared" si="8"/>
        <v>46121</v>
      </c>
      <c r="C128" s="33">
        <f t="shared" si="8"/>
        <v>46127</v>
      </c>
      <c r="D128" s="32">
        <v>3321</v>
      </c>
      <c r="E128" s="32">
        <v>337</v>
      </c>
      <c r="F128" s="32">
        <v>4</v>
      </c>
      <c r="G128" s="22">
        <v>1</v>
      </c>
      <c r="H128" s="23">
        <v>81588</v>
      </c>
      <c r="I128" s="32" t="s">
        <v>2689</v>
      </c>
      <c r="J128" s="23">
        <v>54954791</v>
      </c>
      <c r="K128" s="23" t="s">
        <v>6051</v>
      </c>
      <c r="L128" s="43" t="s">
        <v>6054</v>
      </c>
      <c r="M128" s="24">
        <v>99900</v>
      </c>
      <c r="N128" s="64" t="s">
        <v>2569</v>
      </c>
      <c r="O128" s="34" t="s">
        <v>2577</v>
      </c>
      <c r="P128" s="32" t="s">
        <v>2569</v>
      </c>
    </row>
    <row r="129" spans="1:16" x14ac:dyDescent="0.35">
      <c r="A129" s="32" t="str">
        <f t="shared" si="8"/>
        <v>2025 JUNSEPT B1G1</v>
      </c>
      <c r="B129" s="33">
        <f t="shared" si="8"/>
        <v>46121</v>
      </c>
      <c r="C129" s="33">
        <f t="shared" si="8"/>
        <v>46127</v>
      </c>
      <c r="D129" s="32">
        <v>3321</v>
      </c>
      <c r="E129" s="32">
        <v>337</v>
      </c>
      <c r="F129" s="32">
        <v>4</v>
      </c>
      <c r="G129" s="22">
        <v>1</v>
      </c>
      <c r="H129" s="23">
        <v>81588</v>
      </c>
      <c r="I129" s="32" t="s">
        <v>2689</v>
      </c>
      <c r="J129" s="23">
        <v>54954808</v>
      </c>
      <c r="K129" s="23" t="s">
        <v>6051</v>
      </c>
      <c r="L129" s="43" t="s">
        <v>6052</v>
      </c>
      <c r="M129" s="24">
        <v>99900</v>
      </c>
      <c r="N129" s="64" t="s">
        <v>2569</v>
      </c>
      <c r="O129" s="34" t="s">
        <v>2577</v>
      </c>
      <c r="P129" s="32" t="s">
        <v>2569</v>
      </c>
    </row>
    <row r="130" spans="1:16" x14ac:dyDescent="0.35">
      <c r="A130" s="32" t="str">
        <f t="shared" si="8"/>
        <v>2025 JUNSEPT B1G1</v>
      </c>
      <c r="B130" s="33">
        <f t="shared" si="8"/>
        <v>46121</v>
      </c>
      <c r="C130" s="33">
        <f t="shared" si="8"/>
        <v>46127</v>
      </c>
      <c r="D130" s="32">
        <v>3321</v>
      </c>
      <c r="E130" s="32">
        <v>337</v>
      </c>
      <c r="F130" s="32">
        <v>4</v>
      </c>
      <c r="G130" s="22">
        <v>1</v>
      </c>
      <c r="H130" s="23">
        <v>81588</v>
      </c>
      <c r="I130" s="32" t="s">
        <v>2689</v>
      </c>
      <c r="J130" s="23">
        <v>54954817</v>
      </c>
      <c r="K130" s="23" t="s">
        <v>6051</v>
      </c>
      <c r="L130" s="43" t="s">
        <v>6053</v>
      </c>
      <c r="M130" s="24">
        <v>99900</v>
      </c>
      <c r="N130" s="64" t="s">
        <v>2569</v>
      </c>
      <c r="O130" s="34" t="s">
        <v>2577</v>
      </c>
      <c r="P130" s="32" t="s">
        <v>2569</v>
      </c>
    </row>
    <row r="131" spans="1:16" x14ac:dyDescent="0.35">
      <c r="A131" s="32" t="str">
        <f t="shared" si="8"/>
        <v>2025 JUNSEPT B1G1</v>
      </c>
      <c r="B131" s="33">
        <f t="shared" si="8"/>
        <v>46121</v>
      </c>
      <c r="C131" s="33">
        <f t="shared" si="8"/>
        <v>46127</v>
      </c>
      <c r="D131" s="32">
        <v>3321</v>
      </c>
      <c r="E131" s="32">
        <v>337</v>
      </c>
      <c r="F131" s="32">
        <v>4</v>
      </c>
      <c r="G131" s="22">
        <v>1</v>
      </c>
      <c r="H131" s="23">
        <v>81588</v>
      </c>
      <c r="I131" s="32" t="s">
        <v>2689</v>
      </c>
      <c r="J131" s="23">
        <v>54954826</v>
      </c>
      <c r="K131" s="23" t="s">
        <v>6051</v>
      </c>
      <c r="L131" s="43" t="s">
        <v>6055</v>
      </c>
      <c r="M131" s="24">
        <v>99900</v>
      </c>
      <c r="N131" s="64" t="s">
        <v>2569</v>
      </c>
      <c r="O131" s="34" t="s">
        <v>2577</v>
      </c>
      <c r="P131" s="32" t="s">
        <v>2569</v>
      </c>
    </row>
    <row r="132" spans="1:16" x14ac:dyDescent="0.35">
      <c r="A132" s="32" t="str">
        <f t="shared" ref="A132:C147" si="9">A131</f>
        <v>2025 JUNSEPT B1G1</v>
      </c>
      <c r="B132" s="33">
        <f t="shared" si="9"/>
        <v>46121</v>
      </c>
      <c r="C132" s="33">
        <f t="shared" si="9"/>
        <v>46127</v>
      </c>
      <c r="D132" s="32">
        <v>3321</v>
      </c>
      <c r="E132" s="32">
        <v>337</v>
      </c>
      <c r="F132" s="32">
        <v>4</v>
      </c>
      <c r="G132" s="22">
        <v>1</v>
      </c>
      <c r="H132" s="23">
        <v>81588</v>
      </c>
      <c r="I132" s="32" t="s">
        <v>2689</v>
      </c>
      <c r="J132" s="23">
        <v>55301109</v>
      </c>
      <c r="K132" s="23" t="s">
        <v>6102</v>
      </c>
      <c r="L132" s="43" t="s">
        <v>6107</v>
      </c>
      <c r="M132" s="24">
        <v>99900</v>
      </c>
      <c r="N132" s="64" t="s">
        <v>2569</v>
      </c>
      <c r="O132" s="34" t="s">
        <v>2577</v>
      </c>
      <c r="P132" s="32" t="s">
        <v>2569</v>
      </c>
    </row>
    <row r="133" spans="1:16" x14ac:dyDescent="0.35">
      <c r="A133" s="32" t="str">
        <f t="shared" si="9"/>
        <v>2025 JUNSEPT B1G1</v>
      </c>
      <c r="B133" s="33">
        <f t="shared" si="9"/>
        <v>46121</v>
      </c>
      <c r="C133" s="33">
        <f t="shared" si="9"/>
        <v>46127</v>
      </c>
      <c r="D133" s="32">
        <v>3321</v>
      </c>
      <c r="E133" s="32">
        <v>337</v>
      </c>
      <c r="F133" s="32">
        <v>4</v>
      </c>
      <c r="G133" s="22">
        <v>1</v>
      </c>
      <c r="H133" s="23">
        <v>81588</v>
      </c>
      <c r="I133" s="32" t="s">
        <v>2689</v>
      </c>
      <c r="J133" s="23">
        <v>55301118</v>
      </c>
      <c r="K133" s="23" t="s">
        <v>6102</v>
      </c>
      <c r="L133" s="43" t="s">
        <v>6105</v>
      </c>
      <c r="M133" s="24">
        <v>99900</v>
      </c>
      <c r="N133" s="64" t="s">
        <v>2569</v>
      </c>
      <c r="O133" s="34" t="s">
        <v>2577</v>
      </c>
      <c r="P133" s="32" t="s">
        <v>2569</v>
      </c>
    </row>
    <row r="134" spans="1:16" x14ac:dyDescent="0.35">
      <c r="A134" s="32" t="str">
        <f t="shared" si="9"/>
        <v>2025 JUNSEPT B1G1</v>
      </c>
      <c r="B134" s="33">
        <f t="shared" si="9"/>
        <v>46121</v>
      </c>
      <c r="C134" s="33">
        <f t="shared" si="9"/>
        <v>46127</v>
      </c>
      <c r="D134" s="32">
        <v>3321</v>
      </c>
      <c r="E134" s="32">
        <v>337</v>
      </c>
      <c r="F134" s="32">
        <v>4</v>
      </c>
      <c r="G134" s="22">
        <v>1</v>
      </c>
      <c r="H134" s="23">
        <v>81588</v>
      </c>
      <c r="I134" s="32" t="s">
        <v>2689</v>
      </c>
      <c r="J134" s="23">
        <v>55301127</v>
      </c>
      <c r="K134" s="23" t="s">
        <v>6102</v>
      </c>
      <c r="L134" s="43" t="s">
        <v>6103</v>
      </c>
      <c r="M134" s="24">
        <v>99900</v>
      </c>
      <c r="N134" s="64" t="s">
        <v>2569</v>
      </c>
      <c r="O134" s="34" t="s">
        <v>2577</v>
      </c>
      <c r="P134" s="32" t="s">
        <v>2569</v>
      </c>
    </row>
    <row r="135" spans="1:16" x14ac:dyDescent="0.35">
      <c r="A135" s="32" t="str">
        <f t="shared" si="9"/>
        <v>2025 JUNSEPT B1G1</v>
      </c>
      <c r="B135" s="33">
        <f t="shared" si="9"/>
        <v>46121</v>
      </c>
      <c r="C135" s="33">
        <f t="shared" si="9"/>
        <v>46127</v>
      </c>
      <c r="D135" s="32">
        <v>3321</v>
      </c>
      <c r="E135" s="32">
        <v>337</v>
      </c>
      <c r="F135" s="32">
        <v>4</v>
      </c>
      <c r="G135" s="22">
        <v>1</v>
      </c>
      <c r="H135" s="23">
        <v>81588</v>
      </c>
      <c r="I135" s="32" t="s">
        <v>2689</v>
      </c>
      <c r="J135" s="23">
        <v>55301136</v>
      </c>
      <c r="K135" s="23" t="s">
        <v>6102</v>
      </c>
      <c r="L135" s="43" t="s">
        <v>6108</v>
      </c>
      <c r="M135" s="24">
        <v>99900</v>
      </c>
      <c r="N135" s="64" t="s">
        <v>2569</v>
      </c>
      <c r="O135" s="34" t="s">
        <v>2577</v>
      </c>
      <c r="P135" s="32" t="s">
        <v>2569</v>
      </c>
    </row>
    <row r="136" spans="1:16" x14ac:dyDescent="0.35">
      <c r="A136" s="32" t="str">
        <f t="shared" si="9"/>
        <v>2025 JUNSEPT B1G1</v>
      </c>
      <c r="B136" s="33">
        <f t="shared" si="9"/>
        <v>46121</v>
      </c>
      <c r="C136" s="33">
        <f t="shared" si="9"/>
        <v>46127</v>
      </c>
      <c r="D136" s="32">
        <v>3321</v>
      </c>
      <c r="E136" s="32">
        <v>337</v>
      </c>
      <c r="F136" s="32">
        <v>4</v>
      </c>
      <c r="G136" s="22">
        <v>1</v>
      </c>
      <c r="H136" s="23">
        <v>81588</v>
      </c>
      <c r="I136" s="32" t="s">
        <v>2689</v>
      </c>
      <c r="J136" s="23">
        <v>55301145</v>
      </c>
      <c r="K136" s="23" t="s">
        <v>6102</v>
      </c>
      <c r="L136" s="43" t="s">
        <v>6106</v>
      </c>
      <c r="M136" s="24">
        <v>99900</v>
      </c>
      <c r="N136" s="64" t="s">
        <v>2569</v>
      </c>
      <c r="O136" s="34" t="s">
        <v>2577</v>
      </c>
      <c r="P136" s="32" t="s">
        <v>2569</v>
      </c>
    </row>
    <row r="137" spans="1:16" x14ac:dyDescent="0.35">
      <c r="A137" s="32" t="str">
        <f t="shared" si="9"/>
        <v>2025 JUNSEPT B1G1</v>
      </c>
      <c r="B137" s="33">
        <f t="shared" si="9"/>
        <v>46121</v>
      </c>
      <c r="C137" s="33">
        <f t="shared" si="9"/>
        <v>46127</v>
      </c>
      <c r="D137" s="32">
        <v>3321</v>
      </c>
      <c r="E137" s="32">
        <v>337</v>
      </c>
      <c r="F137" s="32">
        <v>4</v>
      </c>
      <c r="G137" s="22">
        <v>1</v>
      </c>
      <c r="H137" s="23">
        <v>81588</v>
      </c>
      <c r="I137" s="32" t="s">
        <v>2689</v>
      </c>
      <c r="J137" s="23">
        <v>55301154</v>
      </c>
      <c r="K137" s="23" t="s">
        <v>6102</v>
      </c>
      <c r="L137" s="43" t="s">
        <v>6104</v>
      </c>
      <c r="M137" s="24">
        <v>99900</v>
      </c>
      <c r="N137" s="64" t="s">
        <v>2569</v>
      </c>
      <c r="O137" s="34" t="s">
        <v>2577</v>
      </c>
      <c r="P137" s="32" t="s">
        <v>2569</v>
      </c>
    </row>
    <row r="138" spans="1:16" x14ac:dyDescent="0.35">
      <c r="A138" s="32" t="str">
        <f t="shared" si="9"/>
        <v>2025 JUNSEPT B1G1</v>
      </c>
      <c r="B138" s="33">
        <f t="shared" si="9"/>
        <v>46121</v>
      </c>
      <c r="C138" s="33">
        <f t="shared" si="9"/>
        <v>46127</v>
      </c>
      <c r="D138" s="32">
        <v>3321</v>
      </c>
      <c r="E138" s="32">
        <v>337</v>
      </c>
      <c r="F138" s="32">
        <v>4</v>
      </c>
      <c r="G138" s="22">
        <v>1</v>
      </c>
      <c r="H138" s="23">
        <v>81588</v>
      </c>
      <c r="I138" s="32" t="s">
        <v>2689</v>
      </c>
      <c r="J138" s="23">
        <v>55301163</v>
      </c>
      <c r="K138" s="23" t="s">
        <v>6109</v>
      </c>
      <c r="L138" s="43" t="s">
        <v>6111</v>
      </c>
      <c r="M138" s="24">
        <v>99900</v>
      </c>
      <c r="N138" s="64" t="s">
        <v>2569</v>
      </c>
      <c r="O138" s="34" t="s">
        <v>2577</v>
      </c>
      <c r="P138" s="32" t="s">
        <v>2569</v>
      </c>
    </row>
    <row r="139" spans="1:16" x14ac:dyDescent="0.35">
      <c r="A139" s="32" t="str">
        <f t="shared" si="9"/>
        <v>2025 JUNSEPT B1G1</v>
      </c>
      <c r="B139" s="33">
        <f t="shared" si="9"/>
        <v>46121</v>
      </c>
      <c r="C139" s="33">
        <f t="shared" si="9"/>
        <v>46127</v>
      </c>
      <c r="D139" s="32">
        <v>3321</v>
      </c>
      <c r="E139" s="32">
        <v>337</v>
      </c>
      <c r="F139" s="32">
        <v>4</v>
      </c>
      <c r="G139" s="22">
        <v>1</v>
      </c>
      <c r="H139" s="23">
        <v>81588</v>
      </c>
      <c r="I139" s="32" t="s">
        <v>2689</v>
      </c>
      <c r="J139" s="23">
        <v>55301172</v>
      </c>
      <c r="K139" s="23" t="s">
        <v>6109</v>
      </c>
      <c r="L139" s="43" t="s">
        <v>6113</v>
      </c>
      <c r="M139" s="24">
        <v>99900</v>
      </c>
      <c r="N139" s="64" t="s">
        <v>2569</v>
      </c>
      <c r="O139" s="34" t="s">
        <v>2577</v>
      </c>
      <c r="P139" s="32" t="s">
        <v>2569</v>
      </c>
    </row>
    <row r="140" spans="1:16" x14ac:dyDescent="0.35">
      <c r="A140" s="32" t="str">
        <f t="shared" si="9"/>
        <v>2025 JUNSEPT B1G1</v>
      </c>
      <c r="B140" s="33">
        <f t="shared" si="9"/>
        <v>46121</v>
      </c>
      <c r="C140" s="33">
        <f t="shared" si="9"/>
        <v>46127</v>
      </c>
      <c r="D140" s="32">
        <v>3321</v>
      </c>
      <c r="E140" s="32">
        <v>337</v>
      </c>
      <c r="F140" s="32">
        <v>4</v>
      </c>
      <c r="G140" s="22">
        <v>1</v>
      </c>
      <c r="H140" s="23">
        <v>81588</v>
      </c>
      <c r="I140" s="32" t="s">
        <v>2689</v>
      </c>
      <c r="J140" s="23">
        <v>55301181</v>
      </c>
      <c r="K140" s="23" t="s">
        <v>6109</v>
      </c>
      <c r="L140" s="43" t="s">
        <v>6114</v>
      </c>
      <c r="M140" s="24">
        <v>99900</v>
      </c>
      <c r="N140" s="64" t="s">
        <v>2569</v>
      </c>
      <c r="O140" s="34" t="s">
        <v>2577</v>
      </c>
      <c r="P140" s="32" t="s">
        <v>2569</v>
      </c>
    </row>
    <row r="141" spans="1:16" x14ac:dyDescent="0.35">
      <c r="A141" s="32" t="str">
        <f t="shared" si="9"/>
        <v>2025 JUNSEPT B1G1</v>
      </c>
      <c r="B141" s="33">
        <f t="shared" si="9"/>
        <v>46121</v>
      </c>
      <c r="C141" s="33">
        <f t="shared" si="9"/>
        <v>46127</v>
      </c>
      <c r="D141" s="32">
        <v>3321</v>
      </c>
      <c r="E141" s="32">
        <v>337</v>
      </c>
      <c r="F141" s="32">
        <v>4</v>
      </c>
      <c r="G141" s="22">
        <v>1</v>
      </c>
      <c r="H141" s="23">
        <v>81588</v>
      </c>
      <c r="I141" s="32" t="s">
        <v>2689</v>
      </c>
      <c r="J141" s="23">
        <v>55301190</v>
      </c>
      <c r="K141" s="23" t="s">
        <v>6109</v>
      </c>
      <c r="L141" s="43" t="s">
        <v>6115</v>
      </c>
      <c r="M141" s="24">
        <v>99900</v>
      </c>
      <c r="N141" s="64" t="s">
        <v>2569</v>
      </c>
      <c r="O141" s="34" t="s">
        <v>2577</v>
      </c>
      <c r="P141" s="32" t="s">
        <v>2569</v>
      </c>
    </row>
    <row r="142" spans="1:16" x14ac:dyDescent="0.35">
      <c r="A142" s="32" t="str">
        <f t="shared" si="9"/>
        <v>2025 JUNSEPT B1G1</v>
      </c>
      <c r="B142" s="33">
        <f t="shared" si="9"/>
        <v>46121</v>
      </c>
      <c r="C142" s="33">
        <f t="shared" si="9"/>
        <v>46127</v>
      </c>
      <c r="D142" s="32">
        <v>3321</v>
      </c>
      <c r="E142" s="32">
        <v>337</v>
      </c>
      <c r="F142" s="32">
        <v>4</v>
      </c>
      <c r="G142" s="22">
        <v>1</v>
      </c>
      <c r="H142" s="23">
        <v>81588</v>
      </c>
      <c r="I142" s="32" t="s">
        <v>2689</v>
      </c>
      <c r="J142" s="23">
        <v>55301207</v>
      </c>
      <c r="K142" s="23" t="s">
        <v>6109</v>
      </c>
      <c r="L142" s="43" t="s">
        <v>6112</v>
      </c>
      <c r="M142" s="24">
        <v>99900</v>
      </c>
      <c r="N142" s="64" t="s">
        <v>2569</v>
      </c>
      <c r="O142" s="34" t="s">
        <v>2577</v>
      </c>
      <c r="P142" s="32" t="s">
        <v>2569</v>
      </c>
    </row>
    <row r="143" spans="1:16" x14ac:dyDescent="0.35">
      <c r="A143" s="32" t="str">
        <f t="shared" si="9"/>
        <v>2025 JUNSEPT B1G1</v>
      </c>
      <c r="B143" s="33">
        <f t="shared" si="9"/>
        <v>46121</v>
      </c>
      <c r="C143" s="33">
        <f t="shared" si="9"/>
        <v>46127</v>
      </c>
      <c r="D143" s="32">
        <v>3321</v>
      </c>
      <c r="E143" s="32">
        <v>337</v>
      </c>
      <c r="F143" s="32">
        <v>4</v>
      </c>
      <c r="G143" s="22">
        <v>1</v>
      </c>
      <c r="H143" s="23">
        <v>81588</v>
      </c>
      <c r="I143" s="32" t="s">
        <v>2689</v>
      </c>
      <c r="J143" s="23">
        <v>55301216</v>
      </c>
      <c r="K143" s="23" t="s">
        <v>6109</v>
      </c>
      <c r="L143" s="43" t="s">
        <v>6110</v>
      </c>
      <c r="M143" s="24">
        <v>99900</v>
      </c>
      <c r="N143" s="64" t="s">
        <v>2569</v>
      </c>
      <c r="O143" s="34" t="s">
        <v>2577</v>
      </c>
      <c r="P143" s="32" t="s">
        <v>2569</v>
      </c>
    </row>
    <row r="144" spans="1:16" x14ac:dyDescent="0.35">
      <c r="A144" s="32" t="str">
        <f t="shared" si="9"/>
        <v>2025 JUNSEPT B1G1</v>
      </c>
      <c r="B144" s="33">
        <f t="shared" si="9"/>
        <v>46121</v>
      </c>
      <c r="C144" s="33">
        <f t="shared" si="9"/>
        <v>46127</v>
      </c>
      <c r="D144" s="32">
        <v>3321</v>
      </c>
      <c r="E144" s="32">
        <v>337</v>
      </c>
      <c r="F144" s="32">
        <v>4</v>
      </c>
      <c r="G144" s="22">
        <v>1</v>
      </c>
      <c r="H144" s="23">
        <v>81588</v>
      </c>
      <c r="I144" s="32" t="s">
        <v>2689</v>
      </c>
      <c r="J144" s="23">
        <v>55301225</v>
      </c>
      <c r="K144" s="23" t="s">
        <v>6027</v>
      </c>
      <c r="L144" s="43" t="s">
        <v>6033</v>
      </c>
      <c r="M144" s="24">
        <v>99900</v>
      </c>
      <c r="N144" s="64" t="s">
        <v>2569</v>
      </c>
      <c r="O144" s="34" t="s">
        <v>2577</v>
      </c>
      <c r="P144" s="32" t="s">
        <v>2569</v>
      </c>
    </row>
    <row r="145" spans="1:16" x14ac:dyDescent="0.35">
      <c r="A145" s="32" t="str">
        <f t="shared" si="9"/>
        <v>2025 JUNSEPT B1G1</v>
      </c>
      <c r="B145" s="33">
        <f t="shared" si="9"/>
        <v>46121</v>
      </c>
      <c r="C145" s="33">
        <f t="shared" si="9"/>
        <v>46127</v>
      </c>
      <c r="D145" s="32">
        <v>3321</v>
      </c>
      <c r="E145" s="32">
        <v>337</v>
      </c>
      <c r="F145" s="32">
        <v>4</v>
      </c>
      <c r="G145" s="22">
        <v>1</v>
      </c>
      <c r="H145" s="23">
        <v>81588</v>
      </c>
      <c r="I145" s="32" t="s">
        <v>2689</v>
      </c>
      <c r="J145" s="23">
        <v>55301234</v>
      </c>
      <c r="K145" s="23" t="s">
        <v>6027</v>
      </c>
      <c r="L145" s="43" t="s">
        <v>6028</v>
      </c>
      <c r="M145" s="24">
        <v>99900</v>
      </c>
      <c r="N145" s="64" t="s">
        <v>2569</v>
      </c>
      <c r="O145" s="34" t="s">
        <v>2577</v>
      </c>
      <c r="P145" s="32" t="s">
        <v>2569</v>
      </c>
    </row>
    <row r="146" spans="1:16" x14ac:dyDescent="0.35">
      <c r="A146" s="32" t="str">
        <f t="shared" si="9"/>
        <v>2025 JUNSEPT B1G1</v>
      </c>
      <c r="B146" s="33">
        <f t="shared" si="9"/>
        <v>46121</v>
      </c>
      <c r="C146" s="33">
        <f t="shared" si="9"/>
        <v>46127</v>
      </c>
      <c r="D146" s="32">
        <v>3321</v>
      </c>
      <c r="E146" s="32">
        <v>337</v>
      </c>
      <c r="F146" s="32">
        <v>4</v>
      </c>
      <c r="G146" s="22">
        <v>1</v>
      </c>
      <c r="H146" s="23">
        <v>81588</v>
      </c>
      <c r="I146" s="32" t="s">
        <v>2689</v>
      </c>
      <c r="J146" s="23">
        <v>55301243</v>
      </c>
      <c r="K146" s="23" t="s">
        <v>6027</v>
      </c>
      <c r="L146" s="43" t="s">
        <v>6030</v>
      </c>
      <c r="M146" s="24">
        <v>99900</v>
      </c>
      <c r="N146" s="64" t="s">
        <v>2569</v>
      </c>
      <c r="O146" s="34" t="s">
        <v>2577</v>
      </c>
      <c r="P146" s="32" t="s">
        <v>2569</v>
      </c>
    </row>
    <row r="147" spans="1:16" x14ac:dyDescent="0.35">
      <c r="A147" s="32" t="str">
        <f t="shared" si="9"/>
        <v>2025 JUNSEPT B1G1</v>
      </c>
      <c r="B147" s="33">
        <f t="shared" si="9"/>
        <v>46121</v>
      </c>
      <c r="C147" s="33">
        <f t="shared" si="9"/>
        <v>46127</v>
      </c>
      <c r="D147" s="32">
        <v>3321</v>
      </c>
      <c r="E147" s="32">
        <v>337</v>
      </c>
      <c r="F147" s="32">
        <v>4</v>
      </c>
      <c r="G147" s="22">
        <v>1</v>
      </c>
      <c r="H147" s="23">
        <v>81588</v>
      </c>
      <c r="I147" s="32" t="s">
        <v>2689</v>
      </c>
      <c r="J147" s="23">
        <v>55301252</v>
      </c>
      <c r="K147" s="23" t="s">
        <v>6027</v>
      </c>
      <c r="L147" s="43" t="s">
        <v>6031</v>
      </c>
      <c r="M147" s="24">
        <v>99900</v>
      </c>
      <c r="N147" s="64" t="s">
        <v>2569</v>
      </c>
      <c r="O147" s="34" t="s">
        <v>2577</v>
      </c>
      <c r="P147" s="32" t="s">
        <v>2569</v>
      </c>
    </row>
    <row r="148" spans="1:16" x14ac:dyDescent="0.35">
      <c r="A148" s="32" t="str">
        <f t="shared" ref="A148:C163" si="10">A147</f>
        <v>2025 JUNSEPT B1G1</v>
      </c>
      <c r="B148" s="33">
        <f t="shared" si="10"/>
        <v>46121</v>
      </c>
      <c r="C148" s="33">
        <f t="shared" si="10"/>
        <v>46127</v>
      </c>
      <c r="D148" s="32">
        <v>3321</v>
      </c>
      <c r="E148" s="32">
        <v>337</v>
      </c>
      <c r="F148" s="32">
        <v>4</v>
      </c>
      <c r="G148" s="22">
        <v>1</v>
      </c>
      <c r="H148" s="23">
        <v>81588</v>
      </c>
      <c r="I148" s="32" t="s">
        <v>2689</v>
      </c>
      <c r="J148" s="23">
        <v>55301261</v>
      </c>
      <c r="K148" s="23" t="s">
        <v>6027</v>
      </c>
      <c r="L148" s="43" t="s">
        <v>6029</v>
      </c>
      <c r="M148" s="24">
        <v>99900</v>
      </c>
      <c r="N148" s="64" t="s">
        <v>2569</v>
      </c>
      <c r="O148" s="34" t="s">
        <v>2577</v>
      </c>
      <c r="P148" s="32" t="s">
        <v>2569</v>
      </c>
    </row>
    <row r="149" spans="1:16" x14ac:dyDescent="0.35">
      <c r="A149" s="32" t="str">
        <f t="shared" si="10"/>
        <v>2025 JUNSEPT B1G1</v>
      </c>
      <c r="B149" s="33">
        <f t="shared" si="10"/>
        <v>46121</v>
      </c>
      <c r="C149" s="33">
        <f t="shared" si="10"/>
        <v>46127</v>
      </c>
      <c r="D149" s="32">
        <v>3321</v>
      </c>
      <c r="E149" s="32">
        <v>337</v>
      </c>
      <c r="F149" s="32">
        <v>4</v>
      </c>
      <c r="G149" s="22">
        <v>1</v>
      </c>
      <c r="H149" s="23">
        <v>81588</v>
      </c>
      <c r="I149" s="32" t="s">
        <v>2689</v>
      </c>
      <c r="J149" s="23">
        <v>55301270</v>
      </c>
      <c r="K149" s="23" t="s">
        <v>6027</v>
      </c>
      <c r="L149" s="43" t="s">
        <v>6032</v>
      </c>
      <c r="M149" s="24">
        <v>99900</v>
      </c>
      <c r="N149" s="64" t="s">
        <v>2569</v>
      </c>
      <c r="O149" s="34" t="s">
        <v>2577</v>
      </c>
      <c r="P149" s="32" t="s">
        <v>2569</v>
      </c>
    </row>
    <row r="150" spans="1:16" x14ac:dyDescent="0.35">
      <c r="A150" s="32" t="str">
        <f t="shared" si="10"/>
        <v>2025 JUNSEPT B1G1</v>
      </c>
      <c r="B150" s="33">
        <f t="shared" si="10"/>
        <v>46121</v>
      </c>
      <c r="C150" s="33">
        <f t="shared" si="10"/>
        <v>46127</v>
      </c>
      <c r="D150" s="32">
        <v>3321</v>
      </c>
      <c r="E150" s="32">
        <v>337</v>
      </c>
      <c r="F150" s="32">
        <v>4</v>
      </c>
      <c r="G150" s="22">
        <v>1</v>
      </c>
      <c r="H150" s="23">
        <v>81588</v>
      </c>
      <c r="I150" s="32" t="s">
        <v>2689</v>
      </c>
      <c r="J150" s="23">
        <v>55301289</v>
      </c>
      <c r="K150" s="23" t="s">
        <v>6977</v>
      </c>
      <c r="L150" s="43" t="s">
        <v>6978</v>
      </c>
      <c r="M150" s="24">
        <v>99900</v>
      </c>
      <c r="N150" s="64" t="s">
        <v>2569</v>
      </c>
      <c r="O150" s="34" t="s">
        <v>2577</v>
      </c>
      <c r="P150" s="32" t="s">
        <v>2569</v>
      </c>
    </row>
    <row r="151" spans="1:16" x14ac:dyDescent="0.35">
      <c r="A151" s="32" t="str">
        <f t="shared" si="10"/>
        <v>2025 JUNSEPT B1G1</v>
      </c>
      <c r="B151" s="33">
        <f t="shared" si="10"/>
        <v>46121</v>
      </c>
      <c r="C151" s="33">
        <f t="shared" si="10"/>
        <v>46127</v>
      </c>
      <c r="D151" s="32">
        <v>3321</v>
      </c>
      <c r="E151" s="32">
        <v>337</v>
      </c>
      <c r="F151" s="32">
        <v>4</v>
      </c>
      <c r="G151" s="22">
        <v>1</v>
      </c>
      <c r="H151" s="23">
        <v>81588</v>
      </c>
      <c r="I151" s="32" t="s">
        <v>2689</v>
      </c>
      <c r="J151" s="23">
        <v>55301298</v>
      </c>
      <c r="K151" s="23" t="s">
        <v>6977</v>
      </c>
      <c r="L151" s="43" t="s">
        <v>6979</v>
      </c>
      <c r="M151" s="24">
        <v>99900</v>
      </c>
      <c r="N151" s="64" t="s">
        <v>2569</v>
      </c>
      <c r="O151" s="34" t="s">
        <v>2577</v>
      </c>
      <c r="P151" s="32" t="s">
        <v>2569</v>
      </c>
    </row>
    <row r="152" spans="1:16" x14ac:dyDescent="0.35">
      <c r="A152" s="32" t="str">
        <f t="shared" si="10"/>
        <v>2025 JUNSEPT B1G1</v>
      </c>
      <c r="B152" s="33">
        <f t="shared" si="10"/>
        <v>46121</v>
      </c>
      <c r="C152" s="33">
        <f t="shared" si="10"/>
        <v>46127</v>
      </c>
      <c r="D152" s="32">
        <v>3321</v>
      </c>
      <c r="E152" s="32">
        <v>337</v>
      </c>
      <c r="F152" s="32">
        <v>4</v>
      </c>
      <c r="G152" s="22">
        <v>1</v>
      </c>
      <c r="H152" s="23">
        <v>81588</v>
      </c>
      <c r="I152" s="32" t="s">
        <v>2689</v>
      </c>
      <c r="J152" s="23">
        <v>55301305</v>
      </c>
      <c r="K152" s="23" t="s">
        <v>6977</v>
      </c>
      <c r="L152" s="43" t="s">
        <v>6980</v>
      </c>
      <c r="M152" s="24">
        <v>99900</v>
      </c>
      <c r="N152" s="64" t="s">
        <v>2569</v>
      </c>
      <c r="O152" s="34" t="s">
        <v>2577</v>
      </c>
      <c r="P152" s="32" t="s">
        <v>2569</v>
      </c>
    </row>
    <row r="153" spans="1:16" x14ac:dyDescent="0.35">
      <c r="A153" s="32" t="str">
        <f t="shared" si="10"/>
        <v>2025 JUNSEPT B1G1</v>
      </c>
      <c r="B153" s="33">
        <f t="shared" si="10"/>
        <v>46121</v>
      </c>
      <c r="C153" s="33">
        <f t="shared" si="10"/>
        <v>46127</v>
      </c>
      <c r="D153" s="32">
        <v>3321</v>
      </c>
      <c r="E153" s="32">
        <v>337</v>
      </c>
      <c r="F153" s="32">
        <v>4</v>
      </c>
      <c r="G153" s="22">
        <v>1</v>
      </c>
      <c r="H153" s="23">
        <v>81588</v>
      </c>
      <c r="I153" s="32" t="s">
        <v>2689</v>
      </c>
      <c r="J153" s="23">
        <v>55301314</v>
      </c>
      <c r="K153" s="23" t="s">
        <v>6977</v>
      </c>
      <c r="L153" s="43" t="s">
        <v>6981</v>
      </c>
      <c r="M153" s="24">
        <v>99900</v>
      </c>
      <c r="N153" s="64" t="s">
        <v>2569</v>
      </c>
      <c r="O153" s="34" t="s">
        <v>2577</v>
      </c>
      <c r="P153" s="32" t="s">
        <v>2569</v>
      </c>
    </row>
    <row r="154" spans="1:16" x14ac:dyDescent="0.35">
      <c r="A154" s="32" t="str">
        <f t="shared" si="10"/>
        <v>2025 JUNSEPT B1G1</v>
      </c>
      <c r="B154" s="33">
        <f t="shared" si="10"/>
        <v>46121</v>
      </c>
      <c r="C154" s="33">
        <f t="shared" si="10"/>
        <v>46127</v>
      </c>
      <c r="D154" s="32">
        <v>3321</v>
      </c>
      <c r="E154" s="32">
        <v>337</v>
      </c>
      <c r="F154" s="32">
        <v>4</v>
      </c>
      <c r="G154" s="22">
        <v>1</v>
      </c>
      <c r="H154" s="23">
        <v>81588</v>
      </c>
      <c r="I154" s="32" t="s">
        <v>2689</v>
      </c>
      <c r="J154" s="23">
        <v>55301323</v>
      </c>
      <c r="K154" s="23" t="s">
        <v>6977</v>
      </c>
      <c r="L154" s="43" t="s">
        <v>6982</v>
      </c>
      <c r="M154" s="24">
        <v>99900</v>
      </c>
      <c r="N154" s="64" t="s">
        <v>2569</v>
      </c>
      <c r="O154" s="34" t="s">
        <v>2577</v>
      </c>
      <c r="P154" s="32" t="s">
        <v>2569</v>
      </c>
    </row>
    <row r="155" spans="1:16" x14ac:dyDescent="0.35">
      <c r="A155" s="32" t="str">
        <f t="shared" si="10"/>
        <v>2025 JUNSEPT B1G1</v>
      </c>
      <c r="B155" s="33">
        <f t="shared" si="10"/>
        <v>46121</v>
      </c>
      <c r="C155" s="33">
        <f t="shared" si="10"/>
        <v>46127</v>
      </c>
      <c r="D155" s="32">
        <v>3321</v>
      </c>
      <c r="E155" s="32">
        <v>337</v>
      </c>
      <c r="F155" s="32">
        <v>4</v>
      </c>
      <c r="G155" s="22">
        <v>1</v>
      </c>
      <c r="H155" s="23">
        <v>81588</v>
      </c>
      <c r="I155" s="32" t="s">
        <v>2689</v>
      </c>
      <c r="J155" s="23">
        <v>55301332</v>
      </c>
      <c r="K155" s="23" t="s">
        <v>6977</v>
      </c>
      <c r="L155" s="43" t="s">
        <v>6983</v>
      </c>
      <c r="M155" s="24">
        <v>99900</v>
      </c>
      <c r="N155" s="64" t="s">
        <v>2569</v>
      </c>
      <c r="O155" s="34" t="s">
        <v>2577</v>
      </c>
      <c r="P155" s="32" t="s">
        <v>2569</v>
      </c>
    </row>
    <row r="156" spans="1:16" x14ac:dyDescent="0.35">
      <c r="A156" s="32" t="str">
        <f t="shared" si="10"/>
        <v>2025 JUNSEPT B1G1</v>
      </c>
      <c r="B156" s="33">
        <f t="shared" si="10"/>
        <v>46121</v>
      </c>
      <c r="C156" s="33">
        <f t="shared" si="10"/>
        <v>46127</v>
      </c>
      <c r="D156" s="32">
        <v>3321</v>
      </c>
      <c r="E156" s="32">
        <v>337</v>
      </c>
      <c r="F156" s="32">
        <v>4</v>
      </c>
      <c r="G156" s="22">
        <v>1</v>
      </c>
      <c r="H156" s="23">
        <v>81588</v>
      </c>
      <c r="I156" s="32" t="s">
        <v>2689</v>
      </c>
      <c r="J156" s="23">
        <v>55301001</v>
      </c>
      <c r="K156" s="23" t="s">
        <v>6342</v>
      </c>
      <c r="L156" s="43" t="s">
        <v>6354</v>
      </c>
      <c r="M156" s="24">
        <v>99900</v>
      </c>
      <c r="N156" s="64" t="s">
        <v>2569</v>
      </c>
      <c r="O156" s="34" t="s">
        <v>2577</v>
      </c>
      <c r="P156" s="32" t="s">
        <v>2569</v>
      </c>
    </row>
    <row r="157" spans="1:16" x14ac:dyDescent="0.35">
      <c r="A157" s="32" t="str">
        <f t="shared" si="10"/>
        <v>2025 JUNSEPT B1G1</v>
      </c>
      <c r="B157" s="33">
        <f t="shared" si="10"/>
        <v>46121</v>
      </c>
      <c r="C157" s="33">
        <f t="shared" si="10"/>
        <v>46127</v>
      </c>
      <c r="D157" s="32">
        <v>3321</v>
      </c>
      <c r="E157" s="32">
        <v>337</v>
      </c>
      <c r="F157" s="32">
        <v>4</v>
      </c>
      <c r="G157" s="22">
        <v>1</v>
      </c>
      <c r="H157" s="23">
        <v>81588</v>
      </c>
      <c r="I157" s="32" t="s">
        <v>2689</v>
      </c>
      <c r="J157" s="23">
        <v>55301010</v>
      </c>
      <c r="K157" s="23" t="s">
        <v>6342</v>
      </c>
      <c r="L157" s="43" t="s">
        <v>6351</v>
      </c>
      <c r="M157" s="24">
        <v>99900</v>
      </c>
      <c r="N157" s="64" t="s">
        <v>2569</v>
      </c>
      <c r="O157" s="34" t="s">
        <v>2577</v>
      </c>
      <c r="P157" s="32" t="s">
        <v>2569</v>
      </c>
    </row>
    <row r="158" spans="1:16" x14ac:dyDescent="0.35">
      <c r="A158" s="32" t="str">
        <f t="shared" si="10"/>
        <v>2025 JUNSEPT B1G1</v>
      </c>
      <c r="B158" s="33">
        <f t="shared" si="10"/>
        <v>46121</v>
      </c>
      <c r="C158" s="33">
        <f t="shared" si="10"/>
        <v>46127</v>
      </c>
      <c r="D158" s="32">
        <v>3321</v>
      </c>
      <c r="E158" s="32">
        <v>337</v>
      </c>
      <c r="F158" s="32">
        <v>4</v>
      </c>
      <c r="G158" s="22">
        <v>1</v>
      </c>
      <c r="H158" s="23">
        <v>81588</v>
      </c>
      <c r="I158" s="32" t="s">
        <v>2689</v>
      </c>
      <c r="J158" s="23">
        <v>55301029</v>
      </c>
      <c r="K158" s="23" t="s">
        <v>6342</v>
      </c>
      <c r="L158" s="43" t="s">
        <v>6352</v>
      </c>
      <c r="M158" s="24">
        <v>99900</v>
      </c>
      <c r="N158" s="64" t="s">
        <v>2569</v>
      </c>
      <c r="O158" s="34" t="s">
        <v>2577</v>
      </c>
      <c r="P158" s="32" t="s">
        <v>2569</v>
      </c>
    </row>
    <row r="159" spans="1:16" x14ac:dyDescent="0.35">
      <c r="A159" s="32" t="str">
        <f t="shared" si="10"/>
        <v>2025 JUNSEPT B1G1</v>
      </c>
      <c r="B159" s="33">
        <f t="shared" si="10"/>
        <v>46121</v>
      </c>
      <c r="C159" s="33">
        <f t="shared" si="10"/>
        <v>46127</v>
      </c>
      <c r="D159" s="32">
        <v>3321</v>
      </c>
      <c r="E159" s="32">
        <v>337</v>
      </c>
      <c r="F159" s="32">
        <v>4</v>
      </c>
      <c r="G159" s="22">
        <v>1</v>
      </c>
      <c r="H159" s="23">
        <v>81588</v>
      </c>
      <c r="I159" s="32" t="s">
        <v>2689</v>
      </c>
      <c r="J159" s="23">
        <v>55301038</v>
      </c>
      <c r="K159" s="23" t="s">
        <v>6342</v>
      </c>
      <c r="L159" s="43" t="s">
        <v>6355</v>
      </c>
      <c r="M159" s="24">
        <v>99900</v>
      </c>
      <c r="N159" s="64" t="s">
        <v>2569</v>
      </c>
      <c r="O159" s="34" t="s">
        <v>2577</v>
      </c>
      <c r="P159" s="32" t="s">
        <v>2569</v>
      </c>
    </row>
    <row r="160" spans="1:16" x14ac:dyDescent="0.35">
      <c r="A160" s="32" t="str">
        <f t="shared" si="10"/>
        <v>2025 JUNSEPT B1G1</v>
      </c>
      <c r="B160" s="33">
        <f t="shared" si="10"/>
        <v>46121</v>
      </c>
      <c r="C160" s="33">
        <f t="shared" si="10"/>
        <v>46127</v>
      </c>
      <c r="D160" s="32">
        <v>3321</v>
      </c>
      <c r="E160" s="32">
        <v>337</v>
      </c>
      <c r="F160" s="32">
        <v>4</v>
      </c>
      <c r="G160" s="22">
        <v>1</v>
      </c>
      <c r="H160" s="23">
        <v>81588</v>
      </c>
      <c r="I160" s="32" t="s">
        <v>2689</v>
      </c>
      <c r="J160" s="23">
        <v>55301047</v>
      </c>
      <c r="K160" s="23" t="s">
        <v>6342</v>
      </c>
      <c r="L160" s="43" t="s">
        <v>6356</v>
      </c>
      <c r="M160" s="24">
        <v>99900</v>
      </c>
      <c r="N160" s="64" t="s">
        <v>2569</v>
      </c>
      <c r="O160" s="34" t="s">
        <v>2577</v>
      </c>
      <c r="P160" s="32" t="s">
        <v>2569</v>
      </c>
    </row>
    <row r="161" spans="1:16" x14ac:dyDescent="0.35">
      <c r="A161" s="32" t="str">
        <f t="shared" si="10"/>
        <v>2025 JUNSEPT B1G1</v>
      </c>
      <c r="B161" s="33">
        <f t="shared" si="10"/>
        <v>46121</v>
      </c>
      <c r="C161" s="33">
        <f t="shared" si="10"/>
        <v>46127</v>
      </c>
      <c r="D161" s="32">
        <v>3321</v>
      </c>
      <c r="E161" s="32">
        <v>337</v>
      </c>
      <c r="F161" s="32">
        <v>4</v>
      </c>
      <c r="G161" s="22">
        <v>1</v>
      </c>
      <c r="H161" s="23">
        <v>81588</v>
      </c>
      <c r="I161" s="32" t="s">
        <v>2689</v>
      </c>
      <c r="J161" s="23">
        <v>55301056</v>
      </c>
      <c r="K161" s="23" t="s">
        <v>6342</v>
      </c>
      <c r="L161" s="43" t="s">
        <v>6353</v>
      </c>
      <c r="M161" s="24">
        <v>99900</v>
      </c>
      <c r="N161" s="64" t="s">
        <v>2569</v>
      </c>
      <c r="O161" s="34" t="s">
        <v>2577</v>
      </c>
      <c r="P161" s="32" t="s">
        <v>2569</v>
      </c>
    </row>
    <row r="162" spans="1:16" x14ac:dyDescent="0.35">
      <c r="A162" s="32" t="str">
        <f t="shared" si="10"/>
        <v>2025 JUNSEPT B1G1</v>
      </c>
      <c r="B162" s="33">
        <f t="shared" si="10"/>
        <v>46121</v>
      </c>
      <c r="C162" s="33">
        <f t="shared" si="10"/>
        <v>46127</v>
      </c>
      <c r="D162" s="32">
        <v>3321</v>
      </c>
      <c r="E162" s="32">
        <v>337</v>
      </c>
      <c r="F162" s="32">
        <v>4</v>
      </c>
      <c r="G162" s="22">
        <v>1</v>
      </c>
      <c r="H162" s="23">
        <v>81588</v>
      </c>
      <c r="I162" s="32" t="s">
        <v>2689</v>
      </c>
      <c r="J162" s="23">
        <v>55301065</v>
      </c>
      <c r="K162" s="23" t="s">
        <v>6340</v>
      </c>
      <c r="L162" s="43" t="s">
        <v>6343</v>
      </c>
      <c r="M162" s="24">
        <v>99900</v>
      </c>
      <c r="N162" s="64" t="s">
        <v>2569</v>
      </c>
      <c r="O162" s="34" t="s">
        <v>2577</v>
      </c>
      <c r="P162" s="32" t="s">
        <v>2569</v>
      </c>
    </row>
    <row r="163" spans="1:16" x14ac:dyDescent="0.35">
      <c r="A163" s="32" t="str">
        <f t="shared" si="10"/>
        <v>2025 JUNSEPT B1G1</v>
      </c>
      <c r="B163" s="33">
        <f t="shared" si="10"/>
        <v>46121</v>
      </c>
      <c r="C163" s="33">
        <f t="shared" si="10"/>
        <v>46127</v>
      </c>
      <c r="D163" s="32">
        <v>3321</v>
      </c>
      <c r="E163" s="32">
        <v>337</v>
      </c>
      <c r="F163" s="32">
        <v>4</v>
      </c>
      <c r="G163" s="22">
        <v>1</v>
      </c>
      <c r="H163" s="23">
        <v>81588</v>
      </c>
      <c r="I163" s="32" t="s">
        <v>2689</v>
      </c>
      <c r="J163" s="23">
        <v>55301074</v>
      </c>
      <c r="K163" s="23" t="s">
        <v>6340</v>
      </c>
      <c r="L163" s="43" t="s">
        <v>6346</v>
      </c>
      <c r="M163" s="24">
        <v>99900</v>
      </c>
      <c r="N163" s="64" t="s">
        <v>2569</v>
      </c>
      <c r="O163" s="34" t="s">
        <v>2577</v>
      </c>
      <c r="P163" s="32" t="s">
        <v>2569</v>
      </c>
    </row>
    <row r="164" spans="1:16" x14ac:dyDescent="0.35">
      <c r="A164" s="32" t="str">
        <f t="shared" ref="A164:C179" si="11">A163</f>
        <v>2025 JUNSEPT B1G1</v>
      </c>
      <c r="B164" s="33">
        <f t="shared" si="11"/>
        <v>46121</v>
      </c>
      <c r="C164" s="33">
        <f t="shared" si="11"/>
        <v>46127</v>
      </c>
      <c r="D164" s="32">
        <v>3321</v>
      </c>
      <c r="E164" s="32">
        <v>337</v>
      </c>
      <c r="F164" s="32">
        <v>4</v>
      </c>
      <c r="G164" s="22">
        <v>1</v>
      </c>
      <c r="H164" s="23">
        <v>81588</v>
      </c>
      <c r="I164" s="32" t="s">
        <v>2689</v>
      </c>
      <c r="J164" s="23">
        <v>55301083</v>
      </c>
      <c r="K164" s="23" t="s">
        <v>6340</v>
      </c>
      <c r="L164" s="43" t="s">
        <v>6344</v>
      </c>
      <c r="M164" s="24">
        <v>99900</v>
      </c>
      <c r="N164" s="64" t="s">
        <v>2569</v>
      </c>
      <c r="O164" s="34" t="s">
        <v>2577</v>
      </c>
      <c r="P164" s="32" t="s">
        <v>2569</v>
      </c>
    </row>
    <row r="165" spans="1:16" x14ac:dyDescent="0.35">
      <c r="A165" s="32" t="str">
        <f t="shared" si="11"/>
        <v>2025 JUNSEPT B1G1</v>
      </c>
      <c r="B165" s="33">
        <f t="shared" si="11"/>
        <v>46121</v>
      </c>
      <c r="C165" s="33">
        <f t="shared" si="11"/>
        <v>46127</v>
      </c>
      <c r="D165" s="32">
        <v>3321</v>
      </c>
      <c r="E165" s="32">
        <v>337</v>
      </c>
      <c r="F165" s="32">
        <v>4</v>
      </c>
      <c r="G165" s="22">
        <v>1</v>
      </c>
      <c r="H165" s="23">
        <v>81588</v>
      </c>
      <c r="I165" s="32" t="s">
        <v>2689</v>
      </c>
      <c r="J165" s="23">
        <v>55301092</v>
      </c>
      <c r="K165" s="23" t="s">
        <v>6340</v>
      </c>
      <c r="L165" s="43" t="s">
        <v>6345</v>
      </c>
      <c r="M165" s="24">
        <v>99900</v>
      </c>
      <c r="N165" s="64" t="s">
        <v>2569</v>
      </c>
      <c r="O165" s="34" t="s">
        <v>2577</v>
      </c>
      <c r="P165" s="32" t="s">
        <v>2569</v>
      </c>
    </row>
    <row r="166" spans="1:16" x14ac:dyDescent="0.35">
      <c r="A166" s="32" t="str">
        <f t="shared" si="11"/>
        <v>2025 JUNSEPT B1G1</v>
      </c>
      <c r="B166" s="33">
        <f t="shared" si="11"/>
        <v>46121</v>
      </c>
      <c r="C166" s="33">
        <f t="shared" si="11"/>
        <v>46127</v>
      </c>
      <c r="D166" s="32">
        <v>3321</v>
      </c>
      <c r="E166" s="32">
        <v>337</v>
      </c>
      <c r="F166" s="32">
        <v>4</v>
      </c>
      <c r="G166" s="22">
        <v>1</v>
      </c>
      <c r="H166" s="23">
        <v>81588</v>
      </c>
      <c r="I166" s="32" t="s">
        <v>2689</v>
      </c>
      <c r="J166" s="23">
        <v>55507138</v>
      </c>
      <c r="K166" s="23" t="s">
        <v>6066</v>
      </c>
      <c r="L166" s="43" t="s">
        <v>6069</v>
      </c>
      <c r="M166" s="24">
        <v>99900</v>
      </c>
      <c r="N166" s="64" t="s">
        <v>2569</v>
      </c>
      <c r="O166" s="34" t="s">
        <v>2577</v>
      </c>
      <c r="P166" s="32" t="s">
        <v>2569</v>
      </c>
    </row>
    <row r="167" spans="1:16" x14ac:dyDescent="0.35">
      <c r="A167" s="32" t="str">
        <f t="shared" si="11"/>
        <v>2025 JUNSEPT B1G1</v>
      </c>
      <c r="B167" s="33">
        <f t="shared" si="11"/>
        <v>46121</v>
      </c>
      <c r="C167" s="33">
        <f t="shared" si="11"/>
        <v>46127</v>
      </c>
      <c r="D167" s="32">
        <v>3321</v>
      </c>
      <c r="E167" s="32">
        <v>337</v>
      </c>
      <c r="F167" s="32">
        <v>4</v>
      </c>
      <c r="G167" s="22">
        <v>1</v>
      </c>
      <c r="H167" s="23">
        <v>81588</v>
      </c>
      <c r="I167" s="32" t="s">
        <v>2689</v>
      </c>
      <c r="J167" s="23">
        <v>55507147</v>
      </c>
      <c r="K167" s="23" t="s">
        <v>6066</v>
      </c>
      <c r="L167" s="43" t="s">
        <v>6067</v>
      </c>
      <c r="M167" s="24">
        <v>99900</v>
      </c>
      <c r="N167" s="64" t="s">
        <v>2569</v>
      </c>
      <c r="O167" s="34" t="s">
        <v>2577</v>
      </c>
      <c r="P167" s="32" t="s">
        <v>2569</v>
      </c>
    </row>
    <row r="168" spans="1:16" x14ac:dyDescent="0.35">
      <c r="A168" s="32" t="str">
        <f t="shared" si="11"/>
        <v>2025 JUNSEPT B1G1</v>
      </c>
      <c r="B168" s="33">
        <f t="shared" si="11"/>
        <v>46121</v>
      </c>
      <c r="C168" s="33">
        <f t="shared" si="11"/>
        <v>46127</v>
      </c>
      <c r="D168" s="32">
        <v>3321</v>
      </c>
      <c r="E168" s="32">
        <v>337</v>
      </c>
      <c r="F168" s="32">
        <v>4</v>
      </c>
      <c r="G168" s="22">
        <v>1</v>
      </c>
      <c r="H168" s="23">
        <v>81588</v>
      </c>
      <c r="I168" s="32" t="s">
        <v>2689</v>
      </c>
      <c r="J168" s="23">
        <v>55507156</v>
      </c>
      <c r="K168" s="23" t="s">
        <v>6066</v>
      </c>
      <c r="L168" s="43" t="s">
        <v>6068</v>
      </c>
      <c r="M168" s="24">
        <v>99900</v>
      </c>
      <c r="N168" s="64" t="s">
        <v>2569</v>
      </c>
      <c r="O168" s="34" t="s">
        <v>2577</v>
      </c>
      <c r="P168" s="32" t="s">
        <v>2569</v>
      </c>
    </row>
    <row r="169" spans="1:16" x14ac:dyDescent="0.35">
      <c r="A169" s="32" t="str">
        <f t="shared" si="11"/>
        <v>2025 JUNSEPT B1G1</v>
      </c>
      <c r="B169" s="33">
        <f t="shared" si="11"/>
        <v>46121</v>
      </c>
      <c r="C169" s="33">
        <f t="shared" si="11"/>
        <v>46127</v>
      </c>
      <c r="D169" s="32">
        <v>3321</v>
      </c>
      <c r="E169" s="32">
        <v>337</v>
      </c>
      <c r="F169" s="32">
        <v>4</v>
      </c>
      <c r="G169" s="22">
        <v>1</v>
      </c>
      <c r="H169" s="23">
        <v>81588</v>
      </c>
      <c r="I169" s="32" t="s">
        <v>2689</v>
      </c>
      <c r="J169" s="23">
        <v>55507165</v>
      </c>
      <c r="K169" s="23" t="s">
        <v>6066</v>
      </c>
      <c r="L169" s="43" t="s">
        <v>6071</v>
      </c>
      <c r="M169" s="24">
        <v>99900</v>
      </c>
      <c r="N169" s="64" t="s">
        <v>2569</v>
      </c>
      <c r="O169" s="34" t="s">
        <v>2577</v>
      </c>
      <c r="P169" s="32" t="s">
        <v>2569</v>
      </c>
    </row>
    <row r="170" spans="1:16" x14ac:dyDescent="0.35">
      <c r="A170" s="32" t="str">
        <f t="shared" si="11"/>
        <v>2025 JUNSEPT B1G1</v>
      </c>
      <c r="B170" s="33">
        <f t="shared" si="11"/>
        <v>46121</v>
      </c>
      <c r="C170" s="33">
        <f t="shared" si="11"/>
        <v>46127</v>
      </c>
      <c r="D170" s="32">
        <v>3321</v>
      </c>
      <c r="E170" s="32">
        <v>337</v>
      </c>
      <c r="F170" s="32">
        <v>4</v>
      </c>
      <c r="G170" s="22">
        <v>1</v>
      </c>
      <c r="H170" s="23">
        <v>81588</v>
      </c>
      <c r="I170" s="32" t="s">
        <v>2689</v>
      </c>
      <c r="J170" s="23">
        <v>55507174</v>
      </c>
      <c r="K170" s="23" t="s">
        <v>6066</v>
      </c>
      <c r="L170" s="43" t="s">
        <v>6072</v>
      </c>
      <c r="M170" s="24">
        <v>99900</v>
      </c>
      <c r="N170" s="64" t="s">
        <v>2569</v>
      </c>
      <c r="O170" s="34" t="s">
        <v>2577</v>
      </c>
      <c r="P170" s="32" t="s">
        <v>2569</v>
      </c>
    </row>
    <row r="171" spans="1:16" x14ac:dyDescent="0.35">
      <c r="A171" s="32" t="str">
        <f t="shared" si="11"/>
        <v>2025 JUNSEPT B1G1</v>
      </c>
      <c r="B171" s="33">
        <f t="shared" si="11"/>
        <v>46121</v>
      </c>
      <c r="C171" s="33">
        <f t="shared" si="11"/>
        <v>46127</v>
      </c>
      <c r="D171" s="32">
        <v>3321</v>
      </c>
      <c r="E171" s="32">
        <v>337</v>
      </c>
      <c r="F171" s="32">
        <v>4</v>
      </c>
      <c r="G171" s="22">
        <v>1</v>
      </c>
      <c r="H171" s="23">
        <v>81588</v>
      </c>
      <c r="I171" s="32" t="s">
        <v>2689</v>
      </c>
      <c r="J171" s="23">
        <v>55507183</v>
      </c>
      <c r="K171" s="23" t="s">
        <v>6066</v>
      </c>
      <c r="L171" s="43" t="s">
        <v>6070</v>
      </c>
      <c r="M171" s="24">
        <v>99900</v>
      </c>
      <c r="N171" s="64" t="s">
        <v>2569</v>
      </c>
      <c r="O171" s="34" t="s">
        <v>2577</v>
      </c>
      <c r="P171" s="32" t="s">
        <v>2569</v>
      </c>
    </row>
    <row r="172" spans="1:16" x14ac:dyDescent="0.35">
      <c r="A172" s="32" t="str">
        <f t="shared" si="11"/>
        <v>2025 JUNSEPT B1G1</v>
      </c>
      <c r="B172" s="33">
        <f t="shared" si="11"/>
        <v>46121</v>
      </c>
      <c r="C172" s="33">
        <f t="shared" si="11"/>
        <v>46127</v>
      </c>
      <c r="D172" s="32">
        <v>3321</v>
      </c>
      <c r="E172" s="32">
        <v>337</v>
      </c>
      <c r="F172" s="32">
        <v>4</v>
      </c>
      <c r="G172" s="22">
        <v>1</v>
      </c>
      <c r="H172" s="23">
        <v>81588</v>
      </c>
      <c r="I172" s="32" t="s">
        <v>2689</v>
      </c>
      <c r="J172" s="23">
        <v>55507192</v>
      </c>
      <c r="K172" s="23" t="s">
        <v>6039</v>
      </c>
      <c r="L172" s="43" t="s">
        <v>6041</v>
      </c>
      <c r="M172" s="24">
        <v>99900</v>
      </c>
      <c r="N172" s="64" t="s">
        <v>2569</v>
      </c>
      <c r="O172" s="34" t="s">
        <v>2577</v>
      </c>
      <c r="P172" s="32" t="s">
        <v>2569</v>
      </c>
    </row>
    <row r="173" spans="1:16" x14ac:dyDescent="0.35">
      <c r="A173" s="32" t="str">
        <f t="shared" si="11"/>
        <v>2025 JUNSEPT B1G1</v>
      </c>
      <c r="B173" s="33">
        <f t="shared" si="11"/>
        <v>46121</v>
      </c>
      <c r="C173" s="33">
        <f t="shared" si="11"/>
        <v>46127</v>
      </c>
      <c r="D173" s="32">
        <v>3321</v>
      </c>
      <c r="E173" s="32">
        <v>337</v>
      </c>
      <c r="F173" s="32">
        <v>4</v>
      </c>
      <c r="G173" s="22">
        <v>1</v>
      </c>
      <c r="H173" s="23">
        <v>81588</v>
      </c>
      <c r="I173" s="32" t="s">
        <v>2689</v>
      </c>
      <c r="J173" s="23">
        <v>55507209</v>
      </c>
      <c r="K173" s="23" t="s">
        <v>6039</v>
      </c>
      <c r="L173" s="43" t="s">
        <v>6040</v>
      </c>
      <c r="M173" s="24">
        <v>99900</v>
      </c>
      <c r="N173" s="64" t="s">
        <v>2569</v>
      </c>
      <c r="O173" s="34" t="s">
        <v>2577</v>
      </c>
      <c r="P173" s="32" t="s">
        <v>2569</v>
      </c>
    </row>
    <row r="174" spans="1:16" x14ac:dyDescent="0.35">
      <c r="A174" s="32" t="str">
        <f t="shared" si="11"/>
        <v>2025 JUNSEPT B1G1</v>
      </c>
      <c r="B174" s="33">
        <f t="shared" si="11"/>
        <v>46121</v>
      </c>
      <c r="C174" s="33">
        <f t="shared" si="11"/>
        <v>46127</v>
      </c>
      <c r="D174" s="32">
        <v>3321</v>
      </c>
      <c r="E174" s="32">
        <v>337</v>
      </c>
      <c r="F174" s="32">
        <v>4</v>
      </c>
      <c r="G174" s="22">
        <v>1</v>
      </c>
      <c r="H174" s="23">
        <v>81588</v>
      </c>
      <c r="I174" s="32" t="s">
        <v>2689</v>
      </c>
      <c r="J174" s="23">
        <v>55507218</v>
      </c>
      <c r="K174" s="23" t="s">
        <v>6039</v>
      </c>
      <c r="L174" s="43" t="s">
        <v>6045</v>
      </c>
      <c r="M174" s="24">
        <v>99900</v>
      </c>
      <c r="N174" s="64" t="s">
        <v>2569</v>
      </c>
      <c r="O174" s="34" t="s">
        <v>2577</v>
      </c>
      <c r="P174" s="32" t="s">
        <v>2569</v>
      </c>
    </row>
    <row r="175" spans="1:16" x14ac:dyDescent="0.35">
      <c r="A175" s="32" t="str">
        <f t="shared" si="11"/>
        <v>2025 JUNSEPT B1G1</v>
      </c>
      <c r="B175" s="33">
        <f t="shared" si="11"/>
        <v>46121</v>
      </c>
      <c r="C175" s="33">
        <f t="shared" si="11"/>
        <v>46127</v>
      </c>
      <c r="D175" s="32">
        <v>3321</v>
      </c>
      <c r="E175" s="32">
        <v>337</v>
      </c>
      <c r="F175" s="32">
        <v>4</v>
      </c>
      <c r="G175" s="22">
        <v>1</v>
      </c>
      <c r="H175" s="23">
        <v>81588</v>
      </c>
      <c r="I175" s="32" t="s">
        <v>2689</v>
      </c>
      <c r="J175" s="23">
        <v>55507227</v>
      </c>
      <c r="K175" s="23" t="s">
        <v>6039</v>
      </c>
      <c r="L175" s="43" t="s">
        <v>6042</v>
      </c>
      <c r="M175" s="24">
        <v>99900</v>
      </c>
      <c r="N175" s="64" t="s">
        <v>2569</v>
      </c>
      <c r="O175" s="34" t="s">
        <v>2577</v>
      </c>
      <c r="P175" s="32" t="s">
        <v>2569</v>
      </c>
    </row>
    <row r="176" spans="1:16" x14ac:dyDescent="0.35">
      <c r="A176" s="32" t="str">
        <f t="shared" si="11"/>
        <v>2025 JUNSEPT B1G1</v>
      </c>
      <c r="B176" s="33">
        <f t="shared" si="11"/>
        <v>46121</v>
      </c>
      <c r="C176" s="33">
        <f t="shared" si="11"/>
        <v>46127</v>
      </c>
      <c r="D176" s="32">
        <v>3321</v>
      </c>
      <c r="E176" s="32">
        <v>337</v>
      </c>
      <c r="F176" s="32">
        <v>4</v>
      </c>
      <c r="G176" s="22">
        <v>1</v>
      </c>
      <c r="H176" s="23">
        <v>81588</v>
      </c>
      <c r="I176" s="32" t="s">
        <v>2689</v>
      </c>
      <c r="J176" s="23">
        <v>55507236</v>
      </c>
      <c r="K176" s="23" t="s">
        <v>6039</v>
      </c>
      <c r="L176" s="43" t="s">
        <v>6043</v>
      </c>
      <c r="M176" s="24">
        <v>99900</v>
      </c>
      <c r="N176" s="64" t="s">
        <v>2569</v>
      </c>
      <c r="O176" s="34" t="s">
        <v>2577</v>
      </c>
      <c r="P176" s="32" t="s">
        <v>2569</v>
      </c>
    </row>
    <row r="177" spans="1:16" x14ac:dyDescent="0.35">
      <c r="A177" s="32" t="str">
        <f t="shared" si="11"/>
        <v>2025 JUNSEPT B1G1</v>
      </c>
      <c r="B177" s="33">
        <f t="shared" si="11"/>
        <v>46121</v>
      </c>
      <c r="C177" s="33">
        <f t="shared" si="11"/>
        <v>46127</v>
      </c>
      <c r="D177" s="32">
        <v>3321</v>
      </c>
      <c r="E177" s="32">
        <v>337</v>
      </c>
      <c r="F177" s="32">
        <v>4</v>
      </c>
      <c r="G177" s="22">
        <v>1</v>
      </c>
      <c r="H177" s="23">
        <v>81588</v>
      </c>
      <c r="I177" s="32" t="s">
        <v>2689</v>
      </c>
      <c r="J177" s="23">
        <v>55507245</v>
      </c>
      <c r="K177" s="23" t="s">
        <v>6039</v>
      </c>
      <c r="L177" s="43" t="s">
        <v>6044</v>
      </c>
      <c r="M177" s="24">
        <v>99900</v>
      </c>
      <c r="N177" s="64" t="s">
        <v>2569</v>
      </c>
      <c r="O177" s="34" t="s">
        <v>2577</v>
      </c>
      <c r="P177" s="32" t="s">
        <v>2569</v>
      </c>
    </row>
    <row r="178" spans="1:16" x14ac:dyDescent="0.35">
      <c r="A178" s="32" t="str">
        <f t="shared" si="11"/>
        <v>2025 JUNSEPT B1G1</v>
      </c>
      <c r="B178" s="33">
        <f t="shared" si="11"/>
        <v>46121</v>
      </c>
      <c r="C178" s="33">
        <f t="shared" si="11"/>
        <v>46127</v>
      </c>
      <c r="D178" s="32">
        <v>3321</v>
      </c>
      <c r="E178" s="32">
        <v>337</v>
      </c>
      <c r="F178" s="32">
        <v>4</v>
      </c>
      <c r="G178" s="22">
        <v>1</v>
      </c>
      <c r="H178" s="23">
        <v>81588</v>
      </c>
      <c r="I178" s="32" t="s">
        <v>2689</v>
      </c>
      <c r="J178" s="23">
        <v>55507254</v>
      </c>
      <c r="K178" s="23" t="s">
        <v>6034</v>
      </c>
      <c r="L178" s="43" t="s">
        <v>6036</v>
      </c>
      <c r="M178" s="24">
        <v>99900</v>
      </c>
      <c r="N178" s="64" t="s">
        <v>2569</v>
      </c>
      <c r="O178" s="34" t="s">
        <v>2577</v>
      </c>
      <c r="P178" s="32" t="s">
        <v>2569</v>
      </c>
    </row>
    <row r="179" spans="1:16" x14ac:dyDescent="0.35">
      <c r="A179" s="32" t="str">
        <f t="shared" si="11"/>
        <v>2025 JUNSEPT B1G1</v>
      </c>
      <c r="B179" s="33">
        <f t="shared" si="11"/>
        <v>46121</v>
      </c>
      <c r="C179" s="33">
        <f t="shared" si="11"/>
        <v>46127</v>
      </c>
      <c r="D179" s="32">
        <v>3321</v>
      </c>
      <c r="E179" s="32">
        <v>337</v>
      </c>
      <c r="F179" s="32">
        <v>4</v>
      </c>
      <c r="G179" s="22">
        <v>1</v>
      </c>
      <c r="H179" s="23">
        <v>81588</v>
      </c>
      <c r="I179" s="32" t="s">
        <v>2689</v>
      </c>
      <c r="J179" s="23">
        <v>55507263</v>
      </c>
      <c r="K179" s="23" t="s">
        <v>6034</v>
      </c>
      <c r="L179" s="43" t="s">
        <v>6035</v>
      </c>
      <c r="M179" s="24">
        <v>99900</v>
      </c>
      <c r="N179" s="64" t="s">
        <v>2569</v>
      </c>
      <c r="O179" s="34" t="s">
        <v>2577</v>
      </c>
      <c r="P179" s="32" t="s">
        <v>2569</v>
      </c>
    </row>
    <row r="180" spans="1:16" x14ac:dyDescent="0.35">
      <c r="A180" s="32" t="str">
        <f t="shared" ref="A180:C195" si="12">A179</f>
        <v>2025 JUNSEPT B1G1</v>
      </c>
      <c r="B180" s="33">
        <f t="shared" si="12"/>
        <v>46121</v>
      </c>
      <c r="C180" s="33">
        <f t="shared" si="12"/>
        <v>46127</v>
      </c>
      <c r="D180" s="32">
        <v>3321</v>
      </c>
      <c r="E180" s="32">
        <v>337</v>
      </c>
      <c r="F180" s="32">
        <v>4</v>
      </c>
      <c r="G180" s="22">
        <v>1</v>
      </c>
      <c r="H180" s="23">
        <v>81588</v>
      </c>
      <c r="I180" s="32" t="s">
        <v>2689</v>
      </c>
      <c r="J180" s="23">
        <v>55507272</v>
      </c>
      <c r="K180" s="23" t="s">
        <v>6034</v>
      </c>
      <c r="L180" s="43" t="s">
        <v>6038</v>
      </c>
      <c r="M180" s="24">
        <v>99900</v>
      </c>
      <c r="N180" s="64" t="s">
        <v>2569</v>
      </c>
      <c r="O180" s="34" t="s">
        <v>2577</v>
      </c>
      <c r="P180" s="32" t="s">
        <v>2569</v>
      </c>
    </row>
    <row r="181" spans="1:16" x14ac:dyDescent="0.35">
      <c r="A181" s="32" t="str">
        <f t="shared" si="12"/>
        <v>2025 JUNSEPT B1G1</v>
      </c>
      <c r="B181" s="33">
        <f t="shared" si="12"/>
        <v>46121</v>
      </c>
      <c r="C181" s="33">
        <f t="shared" si="12"/>
        <v>46127</v>
      </c>
      <c r="D181" s="32">
        <v>3321</v>
      </c>
      <c r="E181" s="32">
        <v>337</v>
      </c>
      <c r="F181" s="32">
        <v>4</v>
      </c>
      <c r="G181" s="22">
        <v>1</v>
      </c>
      <c r="H181" s="23">
        <v>81588</v>
      </c>
      <c r="I181" s="32" t="s">
        <v>2689</v>
      </c>
      <c r="J181" s="23">
        <v>55507281</v>
      </c>
      <c r="K181" s="23" t="s">
        <v>6034</v>
      </c>
      <c r="L181" s="43" t="s">
        <v>6037</v>
      </c>
      <c r="M181" s="24">
        <v>99900</v>
      </c>
      <c r="N181" s="64" t="s">
        <v>2569</v>
      </c>
      <c r="O181" s="34" t="s">
        <v>2577</v>
      </c>
      <c r="P181" s="32" t="s">
        <v>2569</v>
      </c>
    </row>
    <row r="182" spans="1:16" x14ac:dyDescent="0.35">
      <c r="A182" s="32" t="str">
        <f t="shared" si="12"/>
        <v>2025 JUNSEPT B1G1</v>
      </c>
      <c r="B182" s="33">
        <f t="shared" si="12"/>
        <v>46121</v>
      </c>
      <c r="C182" s="33">
        <f t="shared" si="12"/>
        <v>46127</v>
      </c>
      <c r="D182" s="32">
        <v>3321</v>
      </c>
      <c r="E182" s="32">
        <v>337</v>
      </c>
      <c r="F182" s="32">
        <v>4</v>
      </c>
      <c r="G182" s="22">
        <v>1</v>
      </c>
      <c r="H182" s="23">
        <v>81588</v>
      </c>
      <c r="I182" s="32" t="s">
        <v>2689</v>
      </c>
      <c r="J182" s="23">
        <v>55507290</v>
      </c>
      <c r="K182" s="23" t="s">
        <v>6061</v>
      </c>
      <c r="L182" s="43" t="s">
        <v>6063</v>
      </c>
      <c r="M182" s="24">
        <v>99900</v>
      </c>
      <c r="N182" s="64" t="s">
        <v>2569</v>
      </c>
      <c r="O182" s="34" t="s">
        <v>2577</v>
      </c>
      <c r="P182" s="32" t="s">
        <v>2569</v>
      </c>
    </row>
    <row r="183" spans="1:16" x14ac:dyDescent="0.35">
      <c r="A183" s="32" t="str">
        <f t="shared" si="12"/>
        <v>2025 JUNSEPT B1G1</v>
      </c>
      <c r="B183" s="33">
        <f t="shared" si="12"/>
        <v>46121</v>
      </c>
      <c r="C183" s="33">
        <f t="shared" si="12"/>
        <v>46127</v>
      </c>
      <c r="D183" s="32">
        <v>3321</v>
      </c>
      <c r="E183" s="32">
        <v>337</v>
      </c>
      <c r="F183" s="32">
        <v>4</v>
      </c>
      <c r="G183" s="22">
        <v>1</v>
      </c>
      <c r="H183" s="23">
        <v>81588</v>
      </c>
      <c r="I183" s="32" t="s">
        <v>2689</v>
      </c>
      <c r="J183" s="23">
        <v>55507307</v>
      </c>
      <c r="K183" s="23" t="s">
        <v>6061</v>
      </c>
      <c r="L183" s="43" t="s">
        <v>6064</v>
      </c>
      <c r="M183" s="24">
        <v>99900</v>
      </c>
      <c r="N183" s="64" t="s">
        <v>2569</v>
      </c>
      <c r="O183" s="34" t="s">
        <v>2577</v>
      </c>
      <c r="P183" s="32" t="s">
        <v>2569</v>
      </c>
    </row>
    <row r="184" spans="1:16" x14ac:dyDescent="0.35">
      <c r="A184" s="32" t="str">
        <f t="shared" si="12"/>
        <v>2025 JUNSEPT B1G1</v>
      </c>
      <c r="B184" s="33">
        <f t="shared" si="12"/>
        <v>46121</v>
      </c>
      <c r="C184" s="33">
        <f t="shared" si="12"/>
        <v>46127</v>
      </c>
      <c r="D184" s="32">
        <v>3321</v>
      </c>
      <c r="E184" s="32">
        <v>337</v>
      </c>
      <c r="F184" s="32">
        <v>4</v>
      </c>
      <c r="G184" s="22">
        <v>1</v>
      </c>
      <c r="H184" s="23">
        <v>81588</v>
      </c>
      <c r="I184" s="32" t="s">
        <v>2689</v>
      </c>
      <c r="J184" s="23">
        <v>55507316</v>
      </c>
      <c r="K184" s="23" t="s">
        <v>6061</v>
      </c>
      <c r="L184" s="43" t="s">
        <v>6062</v>
      </c>
      <c r="M184" s="24">
        <v>99900</v>
      </c>
      <c r="N184" s="64" t="s">
        <v>2569</v>
      </c>
      <c r="O184" s="34" t="s">
        <v>2577</v>
      </c>
      <c r="P184" s="32" t="s">
        <v>2569</v>
      </c>
    </row>
    <row r="185" spans="1:16" x14ac:dyDescent="0.35">
      <c r="A185" s="32" t="str">
        <f t="shared" si="12"/>
        <v>2025 JUNSEPT B1G1</v>
      </c>
      <c r="B185" s="33">
        <f t="shared" si="12"/>
        <v>46121</v>
      </c>
      <c r="C185" s="33">
        <f t="shared" si="12"/>
        <v>46127</v>
      </c>
      <c r="D185" s="32">
        <v>3321</v>
      </c>
      <c r="E185" s="32">
        <v>337</v>
      </c>
      <c r="F185" s="32">
        <v>4</v>
      </c>
      <c r="G185" s="22">
        <v>1</v>
      </c>
      <c r="H185" s="23">
        <v>81588</v>
      </c>
      <c r="I185" s="32" t="s">
        <v>2689</v>
      </c>
      <c r="J185" s="23">
        <v>55507325</v>
      </c>
      <c r="K185" s="23" t="s">
        <v>6061</v>
      </c>
      <c r="L185" s="43" t="s">
        <v>6065</v>
      </c>
      <c r="M185" s="24">
        <v>99900</v>
      </c>
      <c r="N185" s="64" t="s">
        <v>2569</v>
      </c>
      <c r="O185" s="34" t="s">
        <v>2577</v>
      </c>
      <c r="P185" s="32" t="s">
        <v>2569</v>
      </c>
    </row>
    <row r="186" spans="1:16" x14ac:dyDescent="0.35">
      <c r="A186" s="32" t="str">
        <f t="shared" si="12"/>
        <v>2025 JUNSEPT B1G1</v>
      </c>
      <c r="B186" s="33">
        <f t="shared" si="12"/>
        <v>46121</v>
      </c>
      <c r="C186" s="33">
        <f t="shared" si="12"/>
        <v>46127</v>
      </c>
      <c r="D186" s="32">
        <v>3321</v>
      </c>
      <c r="E186" s="32">
        <v>337</v>
      </c>
      <c r="F186" s="32">
        <v>4</v>
      </c>
      <c r="G186" s="22">
        <v>1</v>
      </c>
      <c r="H186" s="23">
        <v>81588</v>
      </c>
      <c r="I186" s="32" t="s">
        <v>2689</v>
      </c>
      <c r="J186" s="23">
        <v>55507450</v>
      </c>
      <c r="K186" s="23" t="s">
        <v>6056</v>
      </c>
      <c r="L186" s="43" t="s">
        <v>6059</v>
      </c>
      <c r="M186" s="24">
        <v>99900</v>
      </c>
      <c r="N186" s="64" t="s">
        <v>2569</v>
      </c>
      <c r="O186" s="34" t="s">
        <v>2577</v>
      </c>
      <c r="P186" s="32" t="s">
        <v>2569</v>
      </c>
    </row>
    <row r="187" spans="1:16" x14ac:dyDescent="0.35">
      <c r="A187" s="32" t="str">
        <f t="shared" si="12"/>
        <v>2025 JUNSEPT B1G1</v>
      </c>
      <c r="B187" s="33">
        <f t="shared" si="12"/>
        <v>46121</v>
      </c>
      <c r="C187" s="33">
        <f t="shared" si="12"/>
        <v>46127</v>
      </c>
      <c r="D187" s="32">
        <v>3321</v>
      </c>
      <c r="E187" s="32">
        <v>337</v>
      </c>
      <c r="F187" s="32">
        <v>4</v>
      </c>
      <c r="G187" s="22">
        <v>1</v>
      </c>
      <c r="H187" s="23">
        <v>81588</v>
      </c>
      <c r="I187" s="32" t="s">
        <v>2689</v>
      </c>
      <c r="J187" s="23">
        <v>55507469</v>
      </c>
      <c r="K187" s="23" t="s">
        <v>6056</v>
      </c>
      <c r="L187" s="43" t="s">
        <v>6057</v>
      </c>
      <c r="M187" s="24">
        <v>99900</v>
      </c>
      <c r="N187" s="64" t="s">
        <v>2569</v>
      </c>
      <c r="O187" s="34" t="s">
        <v>2577</v>
      </c>
      <c r="P187" s="32" t="s">
        <v>2569</v>
      </c>
    </row>
    <row r="188" spans="1:16" x14ac:dyDescent="0.35">
      <c r="A188" s="32" t="str">
        <f t="shared" si="12"/>
        <v>2025 JUNSEPT B1G1</v>
      </c>
      <c r="B188" s="33">
        <f t="shared" si="12"/>
        <v>46121</v>
      </c>
      <c r="C188" s="33">
        <f t="shared" si="12"/>
        <v>46127</v>
      </c>
      <c r="D188" s="32">
        <v>3321</v>
      </c>
      <c r="E188" s="32">
        <v>337</v>
      </c>
      <c r="F188" s="32">
        <v>4</v>
      </c>
      <c r="G188" s="22">
        <v>1</v>
      </c>
      <c r="H188" s="23">
        <v>81588</v>
      </c>
      <c r="I188" s="32" t="s">
        <v>2689</v>
      </c>
      <c r="J188" s="23">
        <v>55507478</v>
      </c>
      <c r="K188" s="23" t="s">
        <v>6056</v>
      </c>
      <c r="L188" s="43" t="s">
        <v>6058</v>
      </c>
      <c r="M188" s="24">
        <v>99900</v>
      </c>
      <c r="N188" s="64" t="s">
        <v>2569</v>
      </c>
      <c r="O188" s="34" t="s">
        <v>2577</v>
      </c>
      <c r="P188" s="32" t="s">
        <v>2569</v>
      </c>
    </row>
    <row r="189" spans="1:16" x14ac:dyDescent="0.35">
      <c r="A189" s="32" t="str">
        <f t="shared" si="12"/>
        <v>2025 JUNSEPT B1G1</v>
      </c>
      <c r="B189" s="33">
        <f t="shared" si="12"/>
        <v>46121</v>
      </c>
      <c r="C189" s="33">
        <f t="shared" si="12"/>
        <v>46127</v>
      </c>
      <c r="D189" s="32">
        <v>3321</v>
      </c>
      <c r="E189" s="32">
        <v>337</v>
      </c>
      <c r="F189" s="32">
        <v>4</v>
      </c>
      <c r="G189" s="22">
        <v>1</v>
      </c>
      <c r="H189" s="23">
        <v>81588</v>
      </c>
      <c r="I189" s="32" t="s">
        <v>2689</v>
      </c>
      <c r="J189" s="23">
        <v>55507487</v>
      </c>
      <c r="K189" s="23" t="s">
        <v>6056</v>
      </c>
      <c r="L189" s="43" t="s">
        <v>6060</v>
      </c>
      <c r="M189" s="24">
        <v>99900</v>
      </c>
      <c r="N189" s="64" t="s">
        <v>2569</v>
      </c>
      <c r="O189" s="34" t="s">
        <v>2577</v>
      </c>
      <c r="P189" s="32" t="s">
        <v>2569</v>
      </c>
    </row>
    <row r="190" spans="1:16" x14ac:dyDescent="0.35">
      <c r="A190" s="32" t="str">
        <f t="shared" si="12"/>
        <v>2025 JUNSEPT B1G1</v>
      </c>
      <c r="B190" s="33">
        <f t="shared" si="12"/>
        <v>46121</v>
      </c>
      <c r="C190" s="33">
        <f t="shared" si="12"/>
        <v>46127</v>
      </c>
      <c r="D190" s="32">
        <v>3321</v>
      </c>
      <c r="E190" s="32">
        <v>337</v>
      </c>
      <c r="F190" s="32">
        <v>4</v>
      </c>
      <c r="G190" s="22">
        <v>1</v>
      </c>
      <c r="H190" s="23">
        <v>81005</v>
      </c>
      <c r="I190" s="32" t="s">
        <v>2689</v>
      </c>
      <c r="J190" s="23">
        <v>55507496</v>
      </c>
      <c r="K190" s="23" t="s">
        <v>6046</v>
      </c>
      <c r="L190" s="43" t="s">
        <v>6049</v>
      </c>
      <c r="M190" s="24">
        <v>99900</v>
      </c>
      <c r="N190" s="64" t="s">
        <v>2569</v>
      </c>
      <c r="O190" s="34" t="s">
        <v>2577</v>
      </c>
      <c r="P190" s="32" t="s">
        <v>2569</v>
      </c>
    </row>
    <row r="191" spans="1:16" x14ac:dyDescent="0.35">
      <c r="A191" s="32" t="str">
        <f t="shared" si="12"/>
        <v>2025 JUNSEPT B1G1</v>
      </c>
      <c r="B191" s="33">
        <f t="shared" si="12"/>
        <v>46121</v>
      </c>
      <c r="C191" s="33">
        <f t="shared" si="12"/>
        <v>46127</v>
      </c>
      <c r="D191" s="32">
        <v>3321</v>
      </c>
      <c r="E191" s="32">
        <v>337</v>
      </c>
      <c r="F191" s="32">
        <v>4</v>
      </c>
      <c r="G191" s="22">
        <v>1</v>
      </c>
      <c r="H191" s="23">
        <v>81005</v>
      </c>
      <c r="I191" s="32" t="s">
        <v>2689</v>
      </c>
      <c r="J191" s="23">
        <v>55507503</v>
      </c>
      <c r="K191" s="23" t="s">
        <v>6046</v>
      </c>
      <c r="L191" s="43" t="s">
        <v>6048</v>
      </c>
      <c r="M191" s="24">
        <v>99900</v>
      </c>
      <c r="N191" s="64" t="s">
        <v>2569</v>
      </c>
      <c r="O191" s="34" t="s">
        <v>2577</v>
      </c>
      <c r="P191" s="32" t="s">
        <v>2569</v>
      </c>
    </row>
    <row r="192" spans="1:16" x14ac:dyDescent="0.35">
      <c r="A192" s="32" t="str">
        <f t="shared" si="12"/>
        <v>2025 JUNSEPT B1G1</v>
      </c>
      <c r="B192" s="33">
        <f t="shared" si="12"/>
        <v>46121</v>
      </c>
      <c r="C192" s="33">
        <f t="shared" si="12"/>
        <v>46127</v>
      </c>
      <c r="D192" s="32">
        <v>3321</v>
      </c>
      <c r="E192" s="32">
        <v>337</v>
      </c>
      <c r="F192" s="32">
        <v>4</v>
      </c>
      <c r="G192" s="22">
        <v>1</v>
      </c>
      <c r="H192" s="23">
        <v>81005</v>
      </c>
      <c r="I192" s="32" t="s">
        <v>2689</v>
      </c>
      <c r="J192" s="23">
        <v>55507512</v>
      </c>
      <c r="K192" s="23" t="s">
        <v>6046</v>
      </c>
      <c r="L192" s="43" t="s">
        <v>6047</v>
      </c>
      <c r="M192" s="24">
        <v>99900</v>
      </c>
      <c r="N192" s="64" t="s">
        <v>2569</v>
      </c>
      <c r="O192" s="34" t="s">
        <v>2577</v>
      </c>
      <c r="P192" s="32" t="s">
        <v>2569</v>
      </c>
    </row>
    <row r="193" spans="1:16" x14ac:dyDescent="0.35">
      <c r="A193" s="32" t="str">
        <f t="shared" si="12"/>
        <v>2025 JUNSEPT B1G1</v>
      </c>
      <c r="B193" s="33">
        <f t="shared" si="12"/>
        <v>46121</v>
      </c>
      <c r="C193" s="33">
        <f t="shared" si="12"/>
        <v>46127</v>
      </c>
      <c r="D193" s="32">
        <v>3321</v>
      </c>
      <c r="E193" s="32">
        <v>337</v>
      </c>
      <c r="F193" s="32">
        <v>4</v>
      </c>
      <c r="G193" s="22">
        <v>1</v>
      </c>
      <c r="H193" s="23">
        <v>81005</v>
      </c>
      <c r="I193" s="32" t="s">
        <v>2689</v>
      </c>
      <c r="J193" s="23">
        <v>55507521</v>
      </c>
      <c r="K193" s="23" t="s">
        <v>6046</v>
      </c>
      <c r="L193" s="43" t="s">
        <v>6050</v>
      </c>
      <c r="M193" s="24">
        <v>99900</v>
      </c>
      <c r="N193" s="64" t="s">
        <v>2569</v>
      </c>
      <c r="O193" s="34" t="s">
        <v>2577</v>
      </c>
      <c r="P193" s="32" t="s">
        <v>2569</v>
      </c>
    </row>
    <row r="194" spans="1:16" x14ac:dyDescent="0.35">
      <c r="A194" s="32" t="str">
        <f t="shared" si="12"/>
        <v>2025 JUNSEPT B1G1</v>
      </c>
      <c r="B194" s="33">
        <f t="shared" si="12"/>
        <v>46121</v>
      </c>
      <c r="C194" s="33">
        <f t="shared" si="12"/>
        <v>46127</v>
      </c>
      <c r="D194" s="32">
        <v>3321</v>
      </c>
      <c r="E194" s="32">
        <v>337</v>
      </c>
      <c r="F194" s="32">
        <v>4</v>
      </c>
      <c r="G194" s="22">
        <v>1</v>
      </c>
      <c r="H194" s="23">
        <v>81679</v>
      </c>
      <c r="I194" s="32" t="s">
        <v>2689</v>
      </c>
      <c r="J194" s="23">
        <v>55253457</v>
      </c>
      <c r="K194" s="23" t="s">
        <v>6022</v>
      </c>
      <c r="L194" s="43" t="s">
        <v>6023</v>
      </c>
      <c r="M194" s="24">
        <v>99900</v>
      </c>
      <c r="N194" s="64" t="s">
        <v>2569</v>
      </c>
      <c r="O194" s="34" t="s">
        <v>2577</v>
      </c>
      <c r="P194" s="32" t="s">
        <v>2569</v>
      </c>
    </row>
    <row r="195" spans="1:16" x14ac:dyDescent="0.35">
      <c r="A195" s="32" t="str">
        <f t="shared" si="12"/>
        <v>2025 JUNSEPT B1G1</v>
      </c>
      <c r="B195" s="33">
        <f t="shared" si="12"/>
        <v>46121</v>
      </c>
      <c r="C195" s="33">
        <f t="shared" si="12"/>
        <v>46127</v>
      </c>
      <c r="D195" s="32">
        <v>3321</v>
      </c>
      <c r="E195" s="32">
        <v>337</v>
      </c>
      <c r="F195" s="32">
        <v>4</v>
      </c>
      <c r="G195" s="22">
        <v>1</v>
      </c>
      <c r="H195" s="23">
        <v>81679</v>
      </c>
      <c r="I195" s="32" t="s">
        <v>2689</v>
      </c>
      <c r="J195" s="23">
        <v>55253466</v>
      </c>
      <c r="K195" s="23" t="s">
        <v>6022</v>
      </c>
      <c r="L195" s="43" t="s">
        <v>6026</v>
      </c>
      <c r="M195" s="24">
        <v>99900</v>
      </c>
      <c r="N195" s="64" t="s">
        <v>2569</v>
      </c>
      <c r="O195" s="34" t="s">
        <v>2577</v>
      </c>
      <c r="P195" s="32" t="s">
        <v>2569</v>
      </c>
    </row>
    <row r="196" spans="1:16" x14ac:dyDescent="0.35">
      <c r="A196" s="32" t="str">
        <f t="shared" ref="A196:C211" si="13">A195</f>
        <v>2025 JUNSEPT B1G1</v>
      </c>
      <c r="B196" s="33">
        <f t="shared" si="13"/>
        <v>46121</v>
      </c>
      <c r="C196" s="33">
        <f t="shared" si="13"/>
        <v>46127</v>
      </c>
      <c r="D196" s="32">
        <v>3321</v>
      </c>
      <c r="E196" s="32">
        <v>337</v>
      </c>
      <c r="F196" s="32">
        <v>4</v>
      </c>
      <c r="G196" s="22">
        <v>1</v>
      </c>
      <c r="H196" s="23">
        <v>81679</v>
      </c>
      <c r="I196" s="32" t="s">
        <v>2689</v>
      </c>
      <c r="J196" s="23">
        <v>55253475</v>
      </c>
      <c r="K196" s="23" t="s">
        <v>6022</v>
      </c>
      <c r="L196" s="43" t="s">
        <v>6024</v>
      </c>
      <c r="M196" s="24">
        <v>99900</v>
      </c>
      <c r="N196" s="64" t="s">
        <v>2569</v>
      </c>
      <c r="O196" s="34" t="s">
        <v>2577</v>
      </c>
      <c r="P196" s="32" t="s">
        <v>2569</v>
      </c>
    </row>
    <row r="197" spans="1:16" x14ac:dyDescent="0.35">
      <c r="A197" s="32" t="str">
        <f t="shared" si="13"/>
        <v>2025 JUNSEPT B1G1</v>
      </c>
      <c r="B197" s="33">
        <f t="shared" si="13"/>
        <v>46121</v>
      </c>
      <c r="C197" s="33">
        <f t="shared" si="13"/>
        <v>46127</v>
      </c>
      <c r="D197" s="32">
        <v>3321</v>
      </c>
      <c r="E197" s="32">
        <v>337</v>
      </c>
      <c r="F197" s="32">
        <v>4</v>
      </c>
      <c r="G197" s="22">
        <v>1</v>
      </c>
      <c r="H197" s="23">
        <v>81679</v>
      </c>
      <c r="I197" s="32" t="s">
        <v>2689</v>
      </c>
      <c r="J197" s="23">
        <v>55253484</v>
      </c>
      <c r="K197" s="23" t="s">
        <v>6022</v>
      </c>
      <c r="L197" s="43" t="s">
        <v>6025</v>
      </c>
      <c r="M197" s="24">
        <v>99900</v>
      </c>
      <c r="N197" s="64" t="s">
        <v>2569</v>
      </c>
      <c r="O197" s="34" t="s">
        <v>2577</v>
      </c>
      <c r="P197" s="32" t="s">
        <v>2569</v>
      </c>
    </row>
    <row r="198" spans="1:16" x14ac:dyDescent="0.35">
      <c r="A198" s="32" t="str">
        <f t="shared" si="13"/>
        <v>2025 JUNSEPT B1G1</v>
      </c>
      <c r="B198" s="33">
        <f t="shared" si="13"/>
        <v>46121</v>
      </c>
      <c r="C198" s="33">
        <f t="shared" si="13"/>
        <v>46127</v>
      </c>
      <c r="D198" s="32">
        <v>3321</v>
      </c>
      <c r="E198" s="32">
        <v>337</v>
      </c>
      <c r="F198" s="32">
        <v>4</v>
      </c>
      <c r="G198" s="22">
        <v>1</v>
      </c>
      <c r="H198" s="23">
        <v>81679</v>
      </c>
      <c r="I198" s="32" t="s">
        <v>2689</v>
      </c>
      <c r="J198" s="23">
        <v>55253493</v>
      </c>
      <c r="K198" s="23" t="s">
        <v>5976</v>
      </c>
      <c r="L198" s="43" t="s">
        <v>5979</v>
      </c>
      <c r="M198" s="24">
        <v>99900</v>
      </c>
      <c r="N198" s="64" t="s">
        <v>2569</v>
      </c>
      <c r="O198" s="34" t="s">
        <v>2577</v>
      </c>
      <c r="P198" s="32" t="s">
        <v>2569</v>
      </c>
    </row>
    <row r="199" spans="1:16" x14ac:dyDescent="0.35">
      <c r="A199" s="32" t="str">
        <f t="shared" si="13"/>
        <v>2025 JUNSEPT B1G1</v>
      </c>
      <c r="B199" s="33">
        <f t="shared" si="13"/>
        <v>46121</v>
      </c>
      <c r="C199" s="33">
        <f t="shared" si="13"/>
        <v>46127</v>
      </c>
      <c r="D199" s="32">
        <v>3321</v>
      </c>
      <c r="E199" s="32">
        <v>337</v>
      </c>
      <c r="F199" s="32">
        <v>4</v>
      </c>
      <c r="G199" s="22">
        <v>1</v>
      </c>
      <c r="H199" s="23">
        <v>81679</v>
      </c>
      <c r="I199" s="32" t="s">
        <v>2689</v>
      </c>
      <c r="J199" s="23">
        <v>55253500</v>
      </c>
      <c r="K199" s="23" t="s">
        <v>5976</v>
      </c>
      <c r="L199" s="43" t="s">
        <v>5977</v>
      </c>
      <c r="M199" s="24">
        <v>99900</v>
      </c>
      <c r="N199" s="64" t="s">
        <v>2569</v>
      </c>
      <c r="O199" s="34" t="s">
        <v>2577</v>
      </c>
      <c r="P199" s="32" t="s">
        <v>2569</v>
      </c>
    </row>
    <row r="200" spans="1:16" x14ac:dyDescent="0.35">
      <c r="A200" s="32" t="str">
        <f t="shared" si="13"/>
        <v>2025 JUNSEPT B1G1</v>
      </c>
      <c r="B200" s="33">
        <f t="shared" si="13"/>
        <v>46121</v>
      </c>
      <c r="C200" s="33">
        <f t="shared" si="13"/>
        <v>46127</v>
      </c>
      <c r="D200" s="32">
        <v>3321</v>
      </c>
      <c r="E200" s="32">
        <v>337</v>
      </c>
      <c r="F200" s="32">
        <v>4</v>
      </c>
      <c r="G200" s="22">
        <v>1</v>
      </c>
      <c r="H200" s="23">
        <v>81679</v>
      </c>
      <c r="I200" s="32" t="s">
        <v>2689</v>
      </c>
      <c r="J200" s="23">
        <v>55253519</v>
      </c>
      <c r="K200" s="23" t="s">
        <v>5976</v>
      </c>
      <c r="L200" s="43" t="s">
        <v>5978</v>
      </c>
      <c r="M200" s="24">
        <v>99900</v>
      </c>
      <c r="N200" s="64" t="s">
        <v>2569</v>
      </c>
      <c r="O200" s="34" t="s">
        <v>2577</v>
      </c>
      <c r="P200" s="32" t="s">
        <v>2569</v>
      </c>
    </row>
    <row r="201" spans="1:16" x14ac:dyDescent="0.35">
      <c r="A201" s="32" t="str">
        <f t="shared" si="13"/>
        <v>2025 JUNSEPT B1G1</v>
      </c>
      <c r="B201" s="33">
        <f t="shared" si="13"/>
        <v>46121</v>
      </c>
      <c r="C201" s="33">
        <f t="shared" si="13"/>
        <v>46127</v>
      </c>
      <c r="D201" s="32">
        <v>3321</v>
      </c>
      <c r="E201" s="32">
        <v>337</v>
      </c>
      <c r="F201" s="32">
        <v>4</v>
      </c>
      <c r="G201" s="22">
        <v>1</v>
      </c>
      <c r="H201" s="23">
        <v>81679</v>
      </c>
      <c r="I201" s="32" t="s">
        <v>2689</v>
      </c>
      <c r="J201" s="23">
        <v>55253528</v>
      </c>
      <c r="K201" s="23" t="s">
        <v>5976</v>
      </c>
      <c r="L201" s="43" t="s">
        <v>5980</v>
      </c>
      <c r="M201" s="24">
        <v>99900</v>
      </c>
      <c r="N201" s="64" t="s">
        <v>2569</v>
      </c>
      <c r="O201" s="34" t="s">
        <v>2577</v>
      </c>
      <c r="P201" s="32" t="s">
        <v>2569</v>
      </c>
    </row>
    <row r="202" spans="1:16" x14ac:dyDescent="0.35">
      <c r="A202" s="32" t="str">
        <f t="shared" si="13"/>
        <v>2025 JUNSEPT B1G1</v>
      </c>
      <c r="B202" s="33">
        <f t="shared" si="13"/>
        <v>46121</v>
      </c>
      <c r="C202" s="33">
        <f t="shared" si="13"/>
        <v>46127</v>
      </c>
      <c r="D202" s="32">
        <v>3321</v>
      </c>
      <c r="E202" s="32">
        <v>337</v>
      </c>
      <c r="F202" s="32">
        <v>4</v>
      </c>
      <c r="G202" s="22">
        <v>1</v>
      </c>
      <c r="H202" s="23">
        <v>81588</v>
      </c>
      <c r="I202" s="32" t="s">
        <v>2689</v>
      </c>
      <c r="J202" s="23">
        <v>55253537</v>
      </c>
      <c r="K202" s="23" t="s">
        <v>6015</v>
      </c>
      <c r="L202" s="43" t="s">
        <v>6020</v>
      </c>
      <c r="M202" s="24">
        <v>99900</v>
      </c>
      <c r="N202" s="64" t="s">
        <v>2569</v>
      </c>
      <c r="O202" s="34" t="s">
        <v>2577</v>
      </c>
      <c r="P202" s="32" t="s">
        <v>2569</v>
      </c>
    </row>
    <row r="203" spans="1:16" x14ac:dyDescent="0.35">
      <c r="A203" s="32" t="str">
        <f t="shared" si="13"/>
        <v>2025 JUNSEPT B1G1</v>
      </c>
      <c r="B203" s="33">
        <f t="shared" si="13"/>
        <v>46121</v>
      </c>
      <c r="C203" s="33">
        <f t="shared" si="13"/>
        <v>46127</v>
      </c>
      <c r="D203" s="32">
        <v>3321</v>
      </c>
      <c r="E203" s="32">
        <v>337</v>
      </c>
      <c r="F203" s="32">
        <v>4</v>
      </c>
      <c r="G203" s="22">
        <v>1</v>
      </c>
      <c r="H203" s="23">
        <v>81588</v>
      </c>
      <c r="I203" s="32" t="s">
        <v>2689</v>
      </c>
      <c r="J203" s="23">
        <v>55253546</v>
      </c>
      <c r="K203" s="23" t="s">
        <v>6015</v>
      </c>
      <c r="L203" s="43" t="s">
        <v>6019</v>
      </c>
      <c r="M203" s="24">
        <v>99900</v>
      </c>
      <c r="N203" s="64" t="s">
        <v>2569</v>
      </c>
      <c r="O203" s="34" t="s">
        <v>2577</v>
      </c>
      <c r="P203" s="32" t="s">
        <v>2569</v>
      </c>
    </row>
    <row r="204" spans="1:16" x14ac:dyDescent="0.35">
      <c r="A204" s="32" t="str">
        <f t="shared" si="13"/>
        <v>2025 JUNSEPT B1G1</v>
      </c>
      <c r="B204" s="33">
        <f t="shared" si="13"/>
        <v>46121</v>
      </c>
      <c r="C204" s="33">
        <f t="shared" si="13"/>
        <v>46127</v>
      </c>
      <c r="D204" s="32">
        <v>3321</v>
      </c>
      <c r="E204" s="32">
        <v>337</v>
      </c>
      <c r="F204" s="32">
        <v>4</v>
      </c>
      <c r="G204" s="22">
        <v>1</v>
      </c>
      <c r="H204" s="23">
        <v>81588</v>
      </c>
      <c r="I204" s="32" t="s">
        <v>2689</v>
      </c>
      <c r="J204" s="23">
        <v>55253555</v>
      </c>
      <c r="K204" s="23" t="s">
        <v>6015</v>
      </c>
      <c r="L204" s="43" t="s">
        <v>6021</v>
      </c>
      <c r="M204" s="24">
        <v>99900</v>
      </c>
      <c r="N204" s="64" t="s">
        <v>2569</v>
      </c>
      <c r="O204" s="34" t="s">
        <v>2577</v>
      </c>
      <c r="P204" s="32" t="s">
        <v>2569</v>
      </c>
    </row>
    <row r="205" spans="1:16" x14ac:dyDescent="0.35">
      <c r="A205" s="32" t="str">
        <f t="shared" si="13"/>
        <v>2025 JUNSEPT B1G1</v>
      </c>
      <c r="B205" s="33">
        <f t="shared" si="13"/>
        <v>46121</v>
      </c>
      <c r="C205" s="33">
        <f t="shared" si="13"/>
        <v>46127</v>
      </c>
      <c r="D205" s="32">
        <v>3321</v>
      </c>
      <c r="E205" s="32">
        <v>337</v>
      </c>
      <c r="F205" s="32">
        <v>4</v>
      </c>
      <c r="G205" s="22">
        <v>1</v>
      </c>
      <c r="H205" s="23">
        <v>81588</v>
      </c>
      <c r="I205" s="32" t="s">
        <v>2689</v>
      </c>
      <c r="J205" s="23">
        <v>55253564</v>
      </c>
      <c r="K205" s="23" t="s">
        <v>6015</v>
      </c>
      <c r="L205" s="43" t="s">
        <v>6016</v>
      </c>
      <c r="M205" s="24">
        <v>99900</v>
      </c>
      <c r="N205" s="64" t="s">
        <v>2569</v>
      </c>
      <c r="O205" s="34" t="s">
        <v>2577</v>
      </c>
      <c r="P205" s="32" t="s">
        <v>2569</v>
      </c>
    </row>
    <row r="206" spans="1:16" x14ac:dyDescent="0.35">
      <c r="A206" s="32" t="str">
        <f t="shared" si="13"/>
        <v>2025 JUNSEPT B1G1</v>
      </c>
      <c r="B206" s="33">
        <f t="shared" si="13"/>
        <v>46121</v>
      </c>
      <c r="C206" s="33">
        <f t="shared" si="13"/>
        <v>46127</v>
      </c>
      <c r="D206" s="32">
        <v>3321</v>
      </c>
      <c r="E206" s="32">
        <v>337</v>
      </c>
      <c r="F206" s="32">
        <v>4</v>
      </c>
      <c r="G206" s="22">
        <v>1</v>
      </c>
      <c r="H206" s="23">
        <v>81588</v>
      </c>
      <c r="I206" s="32" t="s">
        <v>2689</v>
      </c>
      <c r="J206" s="23">
        <v>55253573</v>
      </c>
      <c r="K206" s="23" t="s">
        <v>6015</v>
      </c>
      <c r="L206" s="43" t="s">
        <v>6018</v>
      </c>
      <c r="M206" s="24">
        <v>99900</v>
      </c>
      <c r="N206" s="64" t="s">
        <v>2569</v>
      </c>
      <c r="O206" s="34" t="s">
        <v>2577</v>
      </c>
      <c r="P206" s="32" t="s">
        <v>2569</v>
      </c>
    </row>
    <row r="207" spans="1:16" x14ac:dyDescent="0.35">
      <c r="A207" s="32" t="str">
        <f t="shared" si="13"/>
        <v>2025 JUNSEPT B1G1</v>
      </c>
      <c r="B207" s="33">
        <f t="shared" si="13"/>
        <v>46121</v>
      </c>
      <c r="C207" s="33">
        <f t="shared" si="13"/>
        <v>46127</v>
      </c>
      <c r="D207" s="32">
        <v>3321</v>
      </c>
      <c r="E207" s="32">
        <v>337</v>
      </c>
      <c r="F207" s="32">
        <v>4</v>
      </c>
      <c r="G207" s="22">
        <v>1</v>
      </c>
      <c r="H207" s="23">
        <v>81588</v>
      </c>
      <c r="I207" s="32" t="s">
        <v>2689</v>
      </c>
      <c r="J207" s="23">
        <v>55253582</v>
      </c>
      <c r="K207" s="23" t="s">
        <v>6015</v>
      </c>
      <c r="L207" s="43" t="s">
        <v>6017</v>
      </c>
      <c r="M207" s="24">
        <v>99900</v>
      </c>
      <c r="N207" s="64" t="s">
        <v>2569</v>
      </c>
      <c r="O207" s="34" t="s">
        <v>2577</v>
      </c>
      <c r="P207" s="32" t="s">
        <v>2569</v>
      </c>
    </row>
    <row r="208" spans="1:16" x14ac:dyDescent="0.35">
      <c r="A208" s="32" t="str">
        <f t="shared" si="13"/>
        <v>2025 JUNSEPT B1G1</v>
      </c>
      <c r="B208" s="33">
        <f t="shared" si="13"/>
        <v>46121</v>
      </c>
      <c r="C208" s="33">
        <f t="shared" si="13"/>
        <v>46127</v>
      </c>
      <c r="D208" s="32">
        <v>3321</v>
      </c>
      <c r="E208" s="32">
        <v>337</v>
      </c>
      <c r="F208" s="32">
        <v>4</v>
      </c>
      <c r="G208" s="22">
        <v>1</v>
      </c>
      <c r="H208" s="23">
        <v>81588</v>
      </c>
      <c r="I208" s="32" t="s">
        <v>2689</v>
      </c>
      <c r="J208" s="23">
        <v>55301663</v>
      </c>
      <c r="K208" s="23" t="s">
        <v>6001</v>
      </c>
      <c r="L208" s="43" t="s">
        <v>6002</v>
      </c>
      <c r="M208" s="24">
        <v>99900</v>
      </c>
      <c r="N208" s="64" t="s">
        <v>2569</v>
      </c>
      <c r="O208" s="34" t="s">
        <v>2577</v>
      </c>
      <c r="P208" s="32" t="s">
        <v>2569</v>
      </c>
    </row>
    <row r="209" spans="1:16" x14ac:dyDescent="0.35">
      <c r="A209" s="32" t="str">
        <f t="shared" si="13"/>
        <v>2025 JUNSEPT B1G1</v>
      </c>
      <c r="B209" s="33">
        <f t="shared" si="13"/>
        <v>46121</v>
      </c>
      <c r="C209" s="33">
        <f t="shared" si="13"/>
        <v>46127</v>
      </c>
      <c r="D209" s="32">
        <v>3321</v>
      </c>
      <c r="E209" s="32">
        <v>337</v>
      </c>
      <c r="F209" s="32">
        <v>4</v>
      </c>
      <c r="G209" s="22">
        <v>1</v>
      </c>
      <c r="H209" s="23">
        <v>81588</v>
      </c>
      <c r="I209" s="32" t="s">
        <v>2689</v>
      </c>
      <c r="J209" s="23">
        <v>55301672</v>
      </c>
      <c r="K209" s="23" t="s">
        <v>6001</v>
      </c>
      <c r="L209" s="43" t="s">
        <v>6004</v>
      </c>
      <c r="M209" s="24">
        <v>99900</v>
      </c>
      <c r="N209" s="64" t="s">
        <v>2569</v>
      </c>
      <c r="O209" s="34" t="s">
        <v>2577</v>
      </c>
      <c r="P209" s="32" t="s">
        <v>2569</v>
      </c>
    </row>
    <row r="210" spans="1:16" x14ac:dyDescent="0.35">
      <c r="A210" s="32" t="str">
        <f t="shared" si="13"/>
        <v>2025 JUNSEPT B1G1</v>
      </c>
      <c r="B210" s="33">
        <f t="shared" si="13"/>
        <v>46121</v>
      </c>
      <c r="C210" s="33">
        <f t="shared" si="13"/>
        <v>46127</v>
      </c>
      <c r="D210" s="32">
        <v>3321</v>
      </c>
      <c r="E210" s="32">
        <v>337</v>
      </c>
      <c r="F210" s="32">
        <v>4</v>
      </c>
      <c r="G210" s="22">
        <v>1</v>
      </c>
      <c r="H210" s="23">
        <v>81588</v>
      </c>
      <c r="I210" s="32" t="s">
        <v>2689</v>
      </c>
      <c r="J210" s="23">
        <v>55301681</v>
      </c>
      <c r="K210" s="23" t="s">
        <v>6001</v>
      </c>
      <c r="L210" s="43" t="s">
        <v>6003</v>
      </c>
      <c r="M210" s="24">
        <v>99900</v>
      </c>
      <c r="N210" s="64" t="s">
        <v>2569</v>
      </c>
      <c r="O210" s="34" t="s">
        <v>2577</v>
      </c>
      <c r="P210" s="32" t="s">
        <v>2569</v>
      </c>
    </row>
    <row r="211" spans="1:16" x14ac:dyDescent="0.35">
      <c r="A211" s="32" t="str">
        <f t="shared" si="13"/>
        <v>2025 JUNSEPT B1G1</v>
      </c>
      <c r="B211" s="33">
        <f t="shared" si="13"/>
        <v>46121</v>
      </c>
      <c r="C211" s="33">
        <f t="shared" si="13"/>
        <v>46127</v>
      </c>
      <c r="D211" s="32">
        <v>3321</v>
      </c>
      <c r="E211" s="32">
        <v>337</v>
      </c>
      <c r="F211" s="32">
        <v>4</v>
      </c>
      <c r="G211" s="22">
        <v>1</v>
      </c>
      <c r="H211" s="23">
        <v>81588</v>
      </c>
      <c r="I211" s="32" t="s">
        <v>2689</v>
      </c>
      <c r="J211" s="23">
        <v>55301690</v>
      </c>
      <c r="K211" s="23" t="s">
        <v>6001</v>
      </c>
      <c r="L211" s="43" t="s">
        <v>6007</v>
      </c>
      <c r="M211" s="24">
        <v>99900</v>
      </c>
      <c r="N211" s="64" t="s">
        <v>2569</v>
      </c>
      <c r="O211" s="34" t="s">
        <v>2577</v>
      </c>
      <c r="P211" s="32" t="s">
        <v>2569</v>
      </c>
    </row>
    <row r="212" spans="1:16" x14ac:dyDescent="0.35">
      <c r="A212" s="32" t="str">
        <f t="shared" ref="A212:C227" si="14">A211</f>
        <v>2025 JUNSEPT B1G1</v>
      </c>
      <c r="B212" s="33">
        <f t="shared" si="14"/>
        <v>46121</v>
      </c>
      <c r="C212" s="33">
        <f t="shared" si="14"/>
        <v>46127</v>
      </c>
      <c r="D212" s="32">
        <v>3321</v>
      </c>
      <c r="E212" s="32">
        <v>337</v>
      </c>
      <c r="F212" s="32">
        <v>4</v>
      </c>
      <c r="G212" s="22">
        <v>1</v>
      </c>
      <c r="H212" s="23">
        <v>81588</v>
      </c>
      <c r="I212" s="32" t="s">
        <v>2689</v>
      </c>
      <c r="J212" s="23">
        <v>55301707</v>
      </c>
      <c r="K212" s="23" t="s">
        <v>6001</v>
      </c>
      <c r="L212" s="43" t="s">
        <v>6006</v>
      </c>
      <c r="M212" s="24">
        <v>99900</v>
      </c>
      <c r="N212" s="64" t="s">
        <v>2569</v>
      </c>
      <c r="O212" s="34" t="s">
        <v>2577</v>
      </c>
      <c r="P212" s="32" t="s">
        <v>2569</v>
      </c>
    </row>
    <row r="213" spans="1:16" x14ac:dyDescent="0.35">
      <c r="A213" s="32" t="str">
        <f t="shared" si="14"/>
        <v>2025 JUNSEPT B1G1</v>
      </c>
      <c r="B213" s="33">
        <f t="shared" si="14"/>
        <v>46121</v>
      </c>
      <c r="C213" s="33">
        <f t="shared" si="14"/>
        <v>46127</v>
      </c>
      <c r="D213" s="32">
        <v>3321</v>
      </c>
      <c r="E213" s="32">
        <v>337</v>
      </c>
      <c r="F213" s="32">
        <v>4</v>
      </c>
      <c r="G213" s="22">
        <v>1</v>
      </c>
      <c r="H213" s="23">
        <v>81588</v>
      </c>
      <c r="I213" s="32" t="s">
        <v>2689</v>
      </c>
      <c r="J213" s="23">
        <v>55301716</v>
      </c>
      <c r="K213" s="23" t="s">
        <v>6001</v>
      </c>
      <c r="L213" s="43" t="s">
        <v>6005</v>
      </c>
      <c r="M213" s="24">
        <v>99900</v>
      </c>
      <c r="N213" s="64" t="s">
        <v>2569</v>
      </c>
      <c r="O213" s="34" t="s">
        <v>2577</v>
      </c>
      <c r="P213" s="32" t="s">
        <v>2569</v>
      </c>
    </row>
    <row r="214" spans="1:16" x14ac:dyDescent="0.35">
      <c r="A214" s="32" t="str">
        <f t="shared" si="14"/>
        <v>2025 JUNSEPT B1G1</v>
      </c>
      <c r="B214" s="33">
        <f t="shared" si="14"/>
        <v>46121</v>
      </c>
      <c r="C214" s="33">
        <f t="shared" si="14"/>
        <v>46127</v>
      </c>
      <c r="D214" s="32">
        <v>3321</v>
      </c>
      <c r="E214" s="32">
        <v>337</v>
      </c>
      <c r="F214" s="32">
        <v>4</v>
      </c>
      <c r="G214" s="22">
        <v>1</v>
      </c>
      <c r="H214" s="23">
        <v>81588</v>
      </c>
      <c r="I214" s="32" t="s">
        <v>2689</v>
      </c>
      <c r="J214" s="23">
        <v>55301725</v>
      </c>
      <c r="K214" s="23" t="s">
        <v>6008</v>
      </c>
      <c r="L214" s="43" t="s">
        <v>6013</v>
      </c>
      <c r="M214" s="24">
        <v>99900</v>
      </c>
      <c r="N214" s="64" t="s">
        <v>2569</v>
      </c>
      <c r="O214" s="34" t="s">
        <v>2577</v>
      </c>
      <c r="P214" s="32" t="s">
        <v>2569</v>
      </c>
    </row>
    <row r="215" spans="1:16" x14ac:dyDescent="0.35">
      <c r="A215" s="32" t="str">
        <f t="shared" si="14"/>
        <v>2025 JUNSEPT B1G1</v>
      </c>
      <c r="B215" s="33">
        <f t="shared" si="14"/>
        <v>46121</v>
      </c>
      <c r="C215" s="33">
        <f t="shared" si="14"/>
        <v>46127</v>
      </c>
      <c r="D215" s="32">
        <v>3321</v>
      </c>
      <c r="E215" s="32">
        <v>337</v>
      </c>
      <c r="F215" s="32">
        <v>4</v>
      </c>
      <c r="G215" s="22">
        <v>1</v>
      </c>
      <c r="H215" s="23">
        <v>81588</v>
      </c>
      <c r="I215" s="32" t="s">
        <v>2689</v>
      </c>
      <c r="J215" s="23">
        <v>55301734</v>
      </c>
      <c r="K215" s="23" t="s">
        <v>6008</v>
      </c>
      <c r="L215" s="43" t="s">
        <v>6009</v>
      </c>
      <c r="M215" s="24">
        <v>99900</v>
      </c>
      <c r="N215" s="64" t="s">
        <v>2569</v>
      </c>
      <c r="O215" s="34" t="s">
        <v>2577</v>
      </c>
      <c r="P215" s="32" t="s">
        <v>2569</v>
      </c>
    </row>
    <row r="216" spans="1:16" x14ac:dyDescent="0.35">
      <c r="A216" s="32" t="str">
        <f t="shared" si="14"/>
        <v>2025 JUNSEPT B1G1</v>
      </c>
      <c r="B216" s="33">
        <f t="shared" si="14"/>
        <v>46121</v>
      </c>
      <c r="C216" s="33">
        <f t="shared" si="14"/>
        <v>46127</v>
      </c>
      <c r="D216" s="32">
        <v>3321</v>
      </c>
      <c r="E216" s="32">
        <v>337</v>
      </c>
      <c r="F216" s="32">
        <v>4</v>
      </c>
      <c r="G216" s="22">
        <v>1</v>
      </c>
      <c r="H216" s="23">
        <v>81588</v>
      </c>
      <c r="I216" s="32" t="s">
        <v>2689</v>
      </c>
      <c r="J216" s="23">
        <v>55301743</v>
      </c>
      <c r="K216" s="23" t="s">
        <v>6008</v>
      </c>
      <c r="L216" s="43" t="s">
        <v>6010</v>
      </c>
      <c r="M216" s="24">
        <v>99900</v>
      </c>
      <c r="N216" s="64" t="s">
        <v>2569</v>
      </c>
      <c r="O216" s="34" t="s">
        <v>2577</v>
      </c>
      <c r="P216" s="32" t="s">
        <v>2569</v>
      </c>
    </row>
    <row r="217" spans="1:16" x14ac:dyDescent="0.35">
      <c r="A217" s="32" t="str">
        <f t="shared" si="14"/>
        <v>2025 JUNSEPT B1G1</v>
      </c>
      <c r="B217" s="33">
        <f t="shared" si="14"/>
        <v>46121</v>
      </c>
      <c r="C217" s="33">
        <f t="shared" si="14"/>
        <v>46127</v>
      </c>
      <c r="D217" s="32">
        <v>3321</v>
      </c>
      <c r="E217" s="32">
        <v>337</v>
      </c>
      <c r="F217" s="32">
        <v>4</v>
      </c>
      <c r="G217" s="22">
        <v>1</v>
      </c>
      <c r="H217" s="23">
        <v>81588</v>
      </c>
      <c r="I217" s="32" t="s">
        <v>2689</v>
      </c>
      <c r="J217" s="23">
        <v>55301752</v>
      </c>
      <c r="K217" s="23" t="s">
        <v>6008</v>
      </c>
      <c r="L217" s="43" t="s">
        <v>6012</v>
      </c>
      <c r="M217" s="24">
        <v>99900</v>
      </c>
      <c r="N217" s="64" t="s">
        <v>2569</v>
      </c>
      <c r="O217" s="34" t="s">
        <v>2577</v>
      </c>
      <c r="P217" s="32" t="s">
        <v>2569</v>
      </c>
    </row>
    <row r="218" spans="1:16" x14ac:dyDescent="0.35">
      <c r="A218" s="32" t="str">
        <f t="shared" si="14"/>
        <v>2025 JUNSEPT B1G1</v>
      </c>
      <c r="B218" s="33">
        <f t="shared" si="14"/>
        <v>46121</v>
      </c>
      <c r="C218" s="33">
        <f t="shared" si="14"/>
        <v>46127</v>
      </c>
      <c r="D218" s="32">
        <v>3321</v>
      </c>
      <c r="E218" s="32">
        <v>337</v>
      </c>
      <c r="F218" s="32">
        <v>4</v>
      </c>
      <c r="G218" s="22">
        <v>1</v>
      </c>
      <c r="H218" s="23">
        <v>81588</v>
      </c>
      <c r="I218" s="32" t="s">
        <v>2689</v>
      </c>
      <c r="J218" s="23">
        <v>55301761</v>
      </c>
      <c r="K218" s="23" t="s">
        <v>6008</v>
      </c>
      <c r="L218" s="43" t="s">
        <v>6011</v>
      </c>
      <c r="M218" s="24">
        <v>99900</v>
      </c>
      <c r="N218" s="64" t="s">
        <v>2569</v>
      </c>
      <c r="O218" s="34" t="s">
        <v>2577</v>
      </c>
      <c r="P218" s="32" t="s">
        <v>2569</v>
      </c>
    </row>
    <row r="219" spans="1:16" x14ac:dyDescent="0.35">
      <c r="A219" s="32" t="str">
        <f t="shared" si="14"/>
        <v>2025 JUNSEPT B1G1</v>
      </c>
      <c r="B219" s="33">
        <f t="shared" si="14"/>
        <v>46121</v>
      </c>
      <c r="C219" s="33">
        <f t="shared" si="14"/>
        <v>46127</v>
      </c>
      <c r="D219" s="32">
        <v>3321</v>
      </c>
      <c r="E219" s="32">
        <v>337</v>
      </c>
      <c r="F219" s="32">
        <v>4</v>
      </c>
      <c r="G219" s="22">
        <v>1</v>
      </c>
      <c r="H219" s="23">
        <v>81588</v>
      </c>
      <c r="I219" s="32" t="s">
        <v>2689</v>
      </c>
      <c r="J219" s="23">
        <v>55301770</v>
      </c>
      <c r="K219" s="23" t="s">
        <v>6008</v>
      </c>
      <c r="L219" s="43" t="s">
        <v>6014</v>
      </c>
      <c r="M219" s="24">
        <v>99900</v>
      </c>
      <c r="N219" s="64" t="s">
        <v>2569</v>
      </c>
      <c r="O219" s="34" t="s">
        <v>2577</v>
      </c>
      <c r="P219" s="32" t="s">
        <v>2569</v>
      </c>
    </row>
    <row r="220" spans="1:16" x14ac:dyDescent="0.35">
      <c r="A220" s="32" t="str">
        <f t="shared" si="14"/>
        <v>2025 JUNSEPT B1G1</v>
      </c>
      <c r="B220" s="33">
        <f t="shared" si="14"/>
        <v>46121</v>
      </c>
      <c r="C220" s="33">
        <f t="shared" si="14"/>
        <v>46127</v>
      </c>
      <c r="D220" s="32">
        <v>3321</v>
      </c>
      <c r="E220" s="32">
        <v>337</v>
      </c>
      <c r="F220" s="32">
        <v>4</v>
      </c>
      <c r="G220" s="22">
        <v>1</v>
      </c>
      <c r="H220" s="23">
        <v>81588</v>
      </c>
      <c r="I220" s="32" t="s">
        <v>2689</v>
      </c>
      <c r="J220" s="23">
        <v>59168122</v>
      </c>
      <c r="K220" s="23" t="s">
        <v>6097</v>
      </c>
      <c r="L220" s="43" t="s">
        <v>6100</v>
      </c>
      <c r="M220" s="24">
        <v>99900</v>
      </c>
      <c r="N220" s="64" t="s">
        <v>2569</v>
      </c>
      <c r="O220" s="34" t="s">
        <v>2577</v>
      </c>
      <c r="P220" s="32" t="s">
        <v>2569</v>
      </c>
    </row>
    <row r="221" spans="1:16" x14ac:dyDescent="0.35">
      <c r="A221" s="32" t="str">
        <f t="shared" si="14"/>
        <v>2025 JUNSEPT B1G1</v>
      </c>
      <c r="B221" s="33">
        <f t="shared" si="14"/>
        <v>46121</v>
      </c>
      <c r="C221" s="33">
        <f t="shared" si="14"/>
        <v>46127</v>
      </c>
      <c r="D221" s="32">
        <v>3321</v>
      </c>
      <c r="E221" s="32">
        <v>337</v>
      </c>
      <c r="F221" s="32">
        <v>4</v>
      </c>
      <c r="G221" s="22">
        <v>1</v>
      </c>
      <c r="H221" s="23">
        <v>81588</v>
      </c>
      <c r="I221" s="32" t="s">
        <v>2689</v>
      </c>
      <c r="J221" s="23">
        <v>59168131</v>
      </c>
      <c r="K221" s="23" t="s">
        <v>6097</v>
      </c>
      <c r="L221" s="43" t="s">
        <v>6101</v>
      </c>
      <c r="M221" s="24">
        <v>99900</v>
      </c>
      <c r="N221" s="64" t="s">
        <v>2569</v>
      </c>
      <c r="O221" s="34" t="s">
        <v>2577</v>
      </c>
      <c r="P221" s="32" t="s">
        <v>2569</v>
      </c>
    </row>
    <row r="222" spans="1:16" x14ac:dyDescent="0.35">
      <c r="A222" s="32" t="str">
        <f t="shared" si="14"/>
        <v>2025 JUNSEPT B1G1</v>
      </c>
      <c r="B222" s="33">
        <f t="shared" si="14"/>
        <v>46121</v>
      </c>
      <c r="C222" s="33">
        <f t="shared" si="14"/>
        <v>46127</v>
      </c>
      <c r="D222" s="32">
        <v>3321</v>
      </c>
      <c r="E222" s="32">
        <v>337</v>
      </c>
      <c r="F222" s="32">
        <v>4</v>
      </c>
      <c r="G222" s="22">
        <v>1</v>
      </c>
      <c r="H222" s="23">
        <v>81588</v>
      </c>
      <c r="I222" s="32" t="s">
        <v>2689</v>
      </c>
      <c r="J222" s="23">
        <v>59168140</v>
      </c>
      <c r="K222" s="23" t="s">
        <v>6097</v>
      </c>
      <c r="L222" s="43" t="s">
        <v>6099</v>
      </c>
      <c r="M222" s="24">
        <v>99900</v>
      </c>
      <c r="N222" s="64" t="s">
        <v>2569</v>
      </c>
      <c r="O222" s="34" t="s">
        <v>2577</v>
      </c>
      <c r="P222" s="32" t="s">
        <v>2569</v>
      </c>
    </row>
    <row r="223" spans="1:16" x14ac:dyDescent="0.35">
      <c r="A223" s="32" t="str">
        <f t="shared" si="14"/>
        <v>2025 JUNSEPT B1G1</v>
      </c>
      <c r="B223" s="33">
        <f t="shared" si="14"/>
        <v>46121</v>
      </c>
      <c r="C223" s="33">
        <f t="shared" si="14"/>
        <v>46127</v>
      </c>
      <c r="D223" s="32">
        <v>3321</v>
      </c>
      <c r="E223" s="32">
        <v>337</v>
      </c>
      <c r="F223" s="32">
        <v>4</v>
      </c>
      <c r="G223" s="22">
        <v>1</v>
      </c>
      <c r="H223" s="23">
        <v>81588</v>
      </c>
      <c r="I223" s="32" t="s">
        <v>2689</v>
      </c>
      <c r="J223" s="23">
        <v>59168159</v>
      </c>
      <c r="K223" s="23" t="s">
        <v>6097</v>
      </c>
      <c r="L223" s="43" t="s">
        <v>6098</v>
      </c>
      <c r="M223" s="24">
        <v>99900</v>
      </c>
      <c r="N223" s="64" t="s">
        <v>2569</v>
      </c>
      <c r="O223" s="34" t="s">
        <v>2577</v>
      </c>
      <c r="P223" s="32" t="s">
        <v>2569</v>
      </c>
    </row>
    <row r="224" spans="1:16" x14ac:dyDescent="0.35">
      <c r="A224" s="32" t="str">
        <f t="shared" si="14"/>
        <v>2025 JUNSEPT B1G1</v>
      </c>
      <c r="B224" s="33">
        <f t="shared" si="14"/>
        <v>46121</v>
      </c>
      <c r="C224" s="33">
        <f t="shared" si="14"/>
        <v>46127</v>
      </c>
      <c r="D224" s="32">
        <v>3321</v>
      </c>
      <c r="E224" s="32">
        <v>337</v>
      </c>
      <c r="F224" s="32">
        <v>4</v>
      </c>
      <c r="G224" s="22">
        <v>1</v>
      </c>
      <c r="H224" s="23">
        <v>81588</v>
      </c>
      <c r="I224" s="32" t="s">
        <v>2689</v>
      </c>
      <c r="J224" s="23">
        <v>59168168</v>
      </c>
      <c r="K224" s="23" t="s">
        <v>6093</v>
      </c>
      <c r="L224" s="43" t="s">
        <v>6095</v>
      </c>
      <c r="M224" s="24">
        <v>99900</v>
      </c>
      <c r="N224" s="64" t="s">
        <v>2569</v>
      </c>
      <c r="O224" s="34" t="s">
        <v>2577</v>
      </c>
      <c r="P224" s="32" t="s">
        <v>2569</v>
      </c>
    </row>
    <row r="225" spans="1:16" x14ac:dyDescent="0.35">
      <c r="A225" s="32" t="str">
        <f t="shared" si="14"/>
        <v>2025 JUNSEPT B1G1</v>
      </c>
      <c r="B225" s="33">
        <f t="shared" si="14"/>
        <v>46121</v>
      </c>
      <c r="C225" s="33">
        <f t="shared" si="14"/>
        <v>46127</v>
      </c>
      <c r="D225" s="32">
        <v>3321</v>
      </c>
      <c r="E225" s="32">
        <v>337</v>
      </c>
      <c r="F225" s="32">
        <v>4</v>
      </c>
      <c r="G225" s="22">
        <v>1</v>
      </c>
      <c r="H225" s="23">
        <v>81588</v>
      </c>
      <c r="I225" s="32" t="s">
        <v>2689</v>
      </c>
      <c r="J225" s="23">
        <v>59168177</v>
      </c>
      <c r="K225" s="23" t="s">
        <v>6093</v>
      </c>
      <c r="L225" s="43" t="s">
        <v>6094</v>
      </c>
      <c r="M225" s="24">
        <v>99900</v>
      </c>
      <c r="N225" s="64" t="s">
        <v>2569</v>
      </c>
      <c r="O225" s="34" t="s">
        <v>2577</v>
      </c>
      <c r="P225" s="32" t="s">
        <v>2569</v>
      </c>
    </row>
    <row r="226" spans="1:16" x14ac:dyDescent="0.35">
      <c r="A226" s="32" t="str">
        <f t="shared" si="14"/>
        <v>2025 JUNSEPT B1G1</v>
      </c>
      <c r="B226" s="33">
        <f t="shared" si="14"/>
        <v>46121</v>
      </c>
      <c r="C226" s="33">
        <f t="shared" si="14"/>
        <v>46127</v>
      </c>
      <c r="D226" s="32">
        <v>3321</v>
      </c>
      <c r="E226" s="32">
        <v>337</v>
      </c>
      <c r="F226" s="32">
        <v>4</v>
      </c>
      <c r="G226" s="22">
        <v>1</v>
      </c>
      <c r="H226" s="23">
        <v>81588</v>
      </c>
      <c r="I226" s="32" t="s">
        <v>2689</v>
      </c>
      <c r="J226" s="23">
        <v>59168186</v>
      </c>
      <c r="K226" s="23" t="s">
        <v>6093</v>
      </c>
      <c r="L226" s="43" t="s">
        <v>6096</v>
      </c>
      <c r="M226" s="24">
        <v>99900</v>
      </c>
      <c r="N226" s="64" t="s">
        <v>2569</v>
      </c>
      <c r="O226" s="34" t="s">
        <v>2577</v>
      </c>
      <c r="P226" s="32" t="s">
        <v>2569</v>
      </c>
    </row>
    <row r="227" spans="1:16" x14ac:dyDescent="0.35">
      <c r="A227" s="32" t="str">
        <f t="shared" si="14"/>
        <v>2025 JUNSEPT B1G1</v>
      </c>
      <c r="B227" s="33">
        <f t="shared" si="14"/>
        <v>46121</v>
      </c>
      <c r="C227" s="33">
        <f t="shared" si="14"/>
        <v>46127</v>
      </c>
      <c r="D227" s="32">
        <v>3321</v>
      </c>
      <c r="E227" s="32">
        <v>337</v>
      </c>
      <c r="F227" s="32">
        <v>4</v>
      </c>
      <c r="G227" s="22">
        <v>1</v>
      </c>
      <c r="H227" s="23">
        <v>81588</v>
      </c>
      <c r="I227" s="32" t="s">
        <v>2689</v>
      </c>
      <c r="J227" s="23">
        <v>59168195</v>
      </c>
      <c r="K227" s="23" t="s">
        <v>6093</v>
      </c>
      <c r="L227" s="43" t="s">
        <v>6497</v>
      </c>
      <c r="M227" s="24">
        <v>99900</v>
      </c>
      <c r="N227" s="64" t="s">
        <v>2569</v>
      </c>
      <c r="O227" s="34" t="s">
        <v>2577</v>
      </c>
      <c r="P227" s="32" t="s">
        <v>2569</v>
      </c>
    </row>
    <row r="228" spans="1:16" x14ac:dyDescent="0.35">
      <c r="A228" s="32" t="str">
        <f t="shared" ref="A228:C233" si="15">A227</f>
        <v>2025 JUNSEPT B1G1</v>
      </c>
      <c r="B228" s="33">
        <f t="shared" si="15"/>
        <v>46121</v>
      </c>
      <c r="C228" s="33">
        <f t="shared" si="15"/>
        <v>46127</v>
      </c>
      <c r="D228" s="32">
        <v>3321</v>
      </c>
      <c r="E228" s="32">
        <v>337</v>
      </c>
      <c r="F228" s="32">
        <v>4</v>
      </c>
      <c r="G228" s="22">
        <v>1</v>
      </c>
      <c r="H228" s="23">
        <v>81588</v>
      </c>
      <c r="I228" s="32" t="s">
        <v>2689</v>
      </c>
      <c r="J228" s="23">
        <v>55507334</v>
      </c>
      <c r="K228" s="23" t="s">
        <v>6073</v>
      </c>
      <c r="L228" s="43" t="s">
        <v>6079</v>
      </c>
      <c r="M228" s="24">
        <v>99900</v>
      </c>
      <c r="N228" s="64" t="s">
        <v>2569</v>
      </c>
      <c r="O228" s="34" t="s">
        <v>2577</v>
      </c>
      <c r="P228" s="32" t="s">
        <v>2569</v>
      </c>
    </row>
    <row r="229" spans="1:16" x14ac:dyDescent="0.35">
      <c r="A229" s="32" t="str">
        <f t="shared" si="15"/>
        <v>2025 JUNSEPT B1G1</v>
      </c>
      <c r="B229" s="33">
        <f t="shared" si="15"/>
        <v>46121</v>
      </c>
      <c r="C229" s="33">
        <f t="shared" si="15"/>
        <v>46127</v>
      </c>
      <c r="D229" s="32">
        <v>3321</v>
      </c>
      <c r="E229" s="32">
        <v>337</v>
      </c>
      <c r="F229" s="32">
        <v>4</v>
      </c>
      <c r="G229" s="22">
        <v>1</v>
      </c>
      <c r="H229" s="23">
        <v>81588</v>
      </c>
      <c r="I229" s="32" t="s">
        <v>2689</v>
      </c>
      <c r="J229" s="23">
        <v>55507343</v>
      </c>
      <c r="K229" s="23" t="s">
        <v>6073</v>
      </c>
      <c r="L229" s="43" t="s">
        <v>6074</v>
      </c>
      <c r="M229" s="24">
        <v>99900</v>
      </c>
      <c r="N229" s="64" t="s">
        <v>2569</v>
      </c>
      <c r="O229" s="34" t="s">
        <v>2577</v>
      </c>
      <c r="P229" s="32" t="s">
        <v>2569</v>
      </c>
    </row>
    <row r="230" spans="1:16" x14ac:dyDescent="0.35">
      <c r="A230" s="32" t="str">
        <f t="shared" si="15"/>
        <v>2025 JUNSEPT B1G1</v>
      </c>
      <c r="B230" s="33">
        <f t="shared" si="15"/>
        <v>46121</v>
      </c>
      <c r="C230" s="33">
        <f t="shared" si="15"/>
        <v>46127</v>
      </c>
      <c r="D230" s="32">
        <v>3321</v>
      </c>
      <c r="E230" s="32">
        <v>337</v>
      </c>
      <c r="F230" s="32">
        <v>4</v>
      </c>
      <c r="G230" s="22">
        <v>1</v>
      </c>
      <c r="H230" s="23">
        <v>81588</v>
      </c>
      <c r="I230" s="32" t="s">
        <v>2689</v>
      </c>
      <c r="J230" s="23">
        <v>55507352</v>
      </c>
      <c r="K230" s="23" t="s">
        <v>6073</v>
      </c>
      <c r="L230" s="43" t="s">
        <v>6078</v>
      </c>
      <c r="M230" s="24">
        <v>99900</v>
      </c>
      <c r="N230" s="64" t="s">
        <v>2569</v>
      </c>
      <c r="O230" s="34" t="s">
        <v>2577</v>
      </c>
      <c r="P230" s="32" t="s">
        <v>2569</v>
      </c>
    </row>
    <row r="231" spans="1:16" x14ac:dyDescent="0.35">
      <c r="A231" s="32" t="str">
        <f t="shared" si="15"/>
        <v>2025 JUNSEPT B1G1</v>
      </c>
      <c r="B231" s="33">
        <f t="shared" si="15"/>
        <v>46121</v>
      </c>
      <c r="C231" s="33">
        <f t="shared" si="15"/>
        <v>46127</v>
      </c>
      <c r="D231" s="32">
        <v>3321</v>
      </c>
      <c r="E231" s="32">
        <v>337</v>
      </c>
      <c r="F231" s="32">
        <v>4</v>
      </c>
      <c r="G231" s="22">
        <v>1</v>
      </c>
      <c r="H231" s="23">
        <v>81588</v>
      </c>
      <c r="I231" s="32" t="s">
        <v>2689</v>
      </c>
      <c r="J231" s="23">
        <v>55507361</v>
      </c>
      <c r="K231" s="23" t="s">
        <v>6073</v>
      </c>
      <c r="L231" s="43" t="s">
        <v>6077</v>
      </c>
      <c r="M231" s="24">
        <v>99900</v>
      </c>
      <c r="N231" s="64" t="s">
        <v>2569</v>
      </c>
      <c r="O231" s="34" t="s">
        <v>2577</v>
      </c>
      <c r="P231" s="32" t="s">
        <v>2569</v>
      </c>
    </row>
    <row r="232" spans="1:16" x14ac:dyDescent="0.35">
      <c r="A232" s="32" t="str">
        <f t="shared" si="15"/>
        <v>2025 JUNSEPT B1G1</v>
      </c>
      <c r="B232" s="33">
        <f t="shared" si="15"/>
        <v>46121</v>
      </c>
      <c r="C232" s="33">
        <f t="shared" si="15"/>
        <v>46127</v>
      </c>
      <c r="D232" s="32">
        <v>3321</v>
      </c>
      <c r="E232" s="32">
        <v>337</v>
      </c>
      <c r="F232" s="32">
        <v>4</v>
      </c>
      <c r="G232" s="22">
        <v>1</v>
      </c>
      <c r="H232" s="23">
        <v>81588</v>
      </c>
      <c r="I232" s="32" t="s">
        <v>2689</v>
      </c>
      <c r="J232" s="23">
        <v>55507370</v>
      </c>
      <c r="K232" s="23" t="s">
        <v>6073</v>
      </c>
      <c r="L232" s="43" t="s">
        <v>6075</v>
      </c>
      <c r="M232" s="24">
        <v>99900</v>
      </c>
      <c r="N232" s="64" t="s">
        <v>2569</v>
      </c>
      <c r="O232" s="34" t="s">
        <v>2577</v>
      </c>
      <c r="P232" s="32" t="s">
        <v>2569</v>
      </c>
    </row>
    <row r="233" spans="1:16" x14ac:dyDescent="0.35">
      <c r="A233" s="32" t="str">
        <f t="shared" si="15"/>
        <v>2025 JUNSEPT B1G1</v>
      </c>
      <c r="B233" s="33">
        <f t="shared" si="15"/>
        <v>46121</v>
      </c>
      <c r="C233" s="33">
        <f t="shared" si="15"/>
        <v>46127</v>
      </c>
      <c r="D233" s="32">
        <v>3321</v>
      </c>
      <c r="E233" s="32">
        <v>337</v>
      </c>
      <c r="F233" s="32">
        <v>4</v>
      </c>
      <c r="G233" s="22">
        <v>1</v>
      </c>
      <c r="H233" s="23">
        <v>81588</v>
      </c>
      <c r="I233" s="32" t="s">
        <v>2689</v>
      </c>
      <c r="J233" s="23">
        <v>55507389</v>
      </c>
      <c r="K233" s="23" t="s">
        <v>6073</v>
      </c>
      <c r="L233" s="43" t="s">
        <v>6076</v>
      </c>
      <c r="M233" s="24">
        <v>99900</v>
      </c>
      <c r="N233" s="64" t="s">
        <v>2569</v>
      </c>
      <c r="O233" s="34" t="s">
        <v>2577</v>
      </c>
      <c r="P233" s="32" t="s">
        <v>2569</v>
      </c>
    </row>
    <row r="234" spans="1:16" x14ac:dyDescent="0.35">
      <c r="A234" s="32" t="str">
        <f t="shared" ref="A234:C234" si="16">A233</f>
        <v>2025 JUNSEPT B1G1</v>
      </c>
      <c r="B234" s="33">
        <f t="shared" si="16"/>
        <v>46121</v>
      </c>
      <c r="C234" s="33">
        <f t="shared" si="16"/>
        <v>46127</v>
      </c>
      <c r="D234" s="32">
        <v>3321</v>
      </c>
      <c r="E234" s="32">
        <v>337</v>
      </c>
      <c r="F234" s="32">
        <v>4</v>
      </c>
      <c r="G234" s="23">
        <v>5</v>
      </c>
      <c r="H234" s="23">
        <v>81005</v>
      </c>
      <c r="I234" s="32" t="s">
        <v>2689</v>
      </c>
      <c r="J234" s="23">
        <v>54391336</v>
      </c>
      <c r="K234" s="23" t="s">
        <v>5731</v>
      </c>
      <c r="L234" s="43" t="s">
        <v>5733</v>
      </c>
      <c r="M234" s="24">
        <v>299900</v>
      </c>
      <c r="N234" s="34" t="s">
        <v>2569</v>
      </c>
      <c r="O234" s="32" t="s">
        <v>2577</v>
      </c>
      <c r="P234" s="34" t="s">
        <v>2569</v>
      </c>
    </row>
    <row r="235" spans="1:16" x14ac:dyDescent="0.35">
      <c r="A235" s="32" t="str">
        <f t="shared" ref="A235:C235" si="17">A234</f>
        <v>2025 JUNSEPT B1G1</v>
      </c>
      <c r="B235" s="33">
        <f t="shared" si="17"/>
        <v>46121</v>
      </c>
      <c r="C235" s="33">
        <f t="shared" si="17"/>
        <v>46127</v>
      </c>
      <c r="D235" s="32">
        <v>3321</v>
      </c>
      <c r="E235" s="32">
        <v>337</v>
      </c>
      <c r="F235" s="32">
        <v>4</v>
      </c>
      <c r="G235" s="23">
        <v>5</v>
      </c>
      <c r="H235" s="23">
        <v>81005</v>
      </c>
      <c r="I235" s="32" t="s">
        <v>2689</v>
      </c>
      <c r="J235" s="23">
        <v>54391345</v>
      </c>
      <c r="K235" s="23" t="s">
        <v>5731</v>
      </c>
      <c r="L235" s="43" t="s">
        <v>5732</v>
      </c>
      <c r="M235" s="24">
        <v>299900</v>
      </c>
      <c r="N235" s="34" t="s">
        <v>2569</v>
      </c>
      <c r="O235" s="32" t="s">
        <v>2577</v>
      </c>
      <c r="P235" s="34" t="s">
        <v>2569</v>
      </c>
    </row>
    <row r="236" spans="1:16" x14ac:dyDescent="0.35">
      <c r="A236" s="32" t="str">
        <f t="shared" ref="A236:C236" si="18">A235</f>
        <v>2025 JUNSEPT B1G1</v>
      </c>
      <c r="B236" s="33">
        <f t="shared" si="18"/>
        <v>46121</v>
      </c>
      <c r="C236" s="33">
        <f t="shared" si="18"/>
        <v>46127</v>
      </c>
      <c r="D236" s="32">
        <v>3321</v>
      </c>
      <c r="E236" s="32">
        <v>337</v>
      </c>
      <c r="F236" s="32">
        <v>4</v>
      </c>
      <c r="G236" s="23">
        <v>5</v>
      </c>
      <c r="H236" s="23">
        <v>81005</v>
      </c>
      <c r="I236" s="32" t="s">
        <v>2689</v>
      </c>
      <c r="J236" s="23">
        <v>54391354</v>
      </c>
      <c r="K236" s="23" t="s">
        <v>5731</v>
      </c>
      <c r="L236" s="43" t="s">
        <v>5734</v>
      </c>
      <c r="M236" s="24">
        <v>299900</v>
      </c>
      <c r="N236" s="34" t="s">
        <v>2569</v>
      </c>
      <c r="O236" s="32" t="s">
        <v>2577</v>
      </c>
      <c r="P236" s="34" t="s">
        <v>2569</v>
      </c>
    </row>
    <row r="237" spans="1:16" x14ac:dyDescent="0.35">
      <c r="A237" s="32" t="str">
        <f t="shared" ref="A237:C237" si="19">A236</f>
        <v>2025 JUNSEPT B1G1</v>
      </c>
      <c r="B237" s="33">
        <f t="shared" si="19"/>
        <v>46121</v>
      </c>
      <c r="C237" s="33">
        <f t="shared" si="19"/>
        <v>46127</v>
      </c>
      <c r="D237" s="32">
        <v>3321</v>
      </c>
      <c r="E237" s="32">
        <v>337</v>
      </c>
      <c r="F237" s="32">
        <v>4</v>
      </c>
      <c r="G237" s="23">
        <v>5</v>
      </c>
      <c r="H237" s="23">
        <v>81005</v>
      </c>
      <c r="I237" s="32" t="s">
        <v>2689</v>
      </c>
      <c r="J237" s="23">
        <v>54391363</v>
      </c>
      <c r="K237" s="23" t="s">
        <v>5731</v>
      </c>
      <c r="L237" s="43" t="s">
        <v>5735</v>
      </c>
      <c r="M237" s="24">
        <v>299900</v>
      </c>
      <c r="N237" s="34" t="s">
        <v>2569</v>
      </c>
      <c r="O237" s="32" t="s">
        <v>2577</v>
      </c>
      <c r="P237" s="34" t="s">
        <v>2569</v>
      </c>
    </row>
  </sheetData>
  <autoFilter ref="A1:P1" xr:uid="{A98DA6A5-931F-4C4C-A73C-7E8B7CE9A86D}"/>
  <phoneticPr fontId="8" type="noConversion"/>
  <conditionalFormatting sqref="J1">
    <cfRule type="duplicateValues" dxfId="34" priority="61"/>
    <cfRule type="duplicateValues" dxfId="33" priority="62"/>
    <cfRule type="duplicateValues" dxfId="32" priority="6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C60E-AE13-44BD-93B6-3A7F8DEBA866}">
  <dimension ref="A1:P204"/>
  <sheetViews>
    <sheetView zoomScale="85" zoomScaleNormal="85" workbookViewId="0">
      <pane ySplit="1" topLeftCell="A2" activePane="bottomLeft" state="frozen"/>
      <selection activeCell="L16" sqref="L16"/>
      <selection pane="bottomLeft" activeCell="C3" sqref="C3"/>
    </sheetView>
  </sheetViews>
  <sheetFormatPr defaultColWidth="8.6328125" defaultRowHeight="14.5" x14ac:dyDescent="0.35"/>
  <cols>
    <col min="1" max="1" width="24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0.6328125" style="31" customWidth="1"/>
    <col min="9" max="9" width="16.54296875" style="2" bestFit="1" customWidth="1"/>
    <col min="10" max="10" width="9.54296875" style="2" bestFit="1" customWidth="1"/>
    <col min="11" max="11" width="13.1796875" style="2" customWidth="1"/>
    <col min="12" max="12" width="46.90625" style="17" customWidth="1"/>
    <col min="13" max="13" width="16.36328125" style="37" customWidth="1"/>
    <col min="14" max="14" width="16.36328125" style="5" customWidth="1"/>
    <col min="15" max="15" width="19.90625" style="4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29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30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7089</v>
      </c>
      <c r="B2" s="33">
        <v>46121</v>
      </c>
      <c r="C2" s="33">
        <v>46127</v>
      </c>
      <c r="D2" s="44">
        <v>3321</v>
      </c>
      <c r="E2" s="44">
        <v>337</v>
      </c>
      <c r="F2" s="68">
        <v>4</v>
      </c>
      <c r="G2" s="23">
        <v>4</v>
      </c>
      <c r="H2" s="23">
        <v>81588</v>
      </c>
      <c r="I2" s="32" t="s">
        <v>2689</v>
      </c>
      <c r="J2" s="22">
        <v>51607135</v>
      </c>
      <c r="K2" s="22" t="s">
        <v>4392</v>
      </c>
      <c r="L2" s="22" t="s">
        <v>4393</v>
      </c>
      <c r="M2" s="24">
        <v>199900</v>
      </c>
      <c r="N2" s="35">
        <v>0.75</v>
      </c>
      <c r="O2" s="69">
        <f>M2-((75*M2)/100)</f>
        <v>49975</v>
      </c>
      <c r="P2" s="34" t="s">
        <v>16</v>
      </c>
    </row>
    <row r="3" spans="1:16" x14ac:dyDescent="0.35">
      <c r="A3" s="32" t="str">
        <f>A2</f>
        <v>2025 JAN-MEI DISC 75%</v>
      </c>
      <c r="B3" s="33">
        <f>B2</f>
        <v>46121</v>
      </c>
      <c r="C3" s="33">
        <f>C2</f>
        <v>46127</v>
      </c>
      <c r="D3" s="44">
        <v>3321</v>
      </c>
      <c r="E3" s="44">
        <v>337</v>
      </c>
      <c r="F3" s="68">
        <v>4</v>
      </c>
      <c r="G3" s="23">
        <v>4</v>
      </c>
      <c r="H3" s="23">
        <v>81588</v>
      </c>
      <c r="I3" s="32" t="s">
        <v>2689</v>
      </c>
      <c r="J3" s="22">
        <v>51607144</v>
      </c>
      <c r="K3" s="22" t="s">
        <v>4392</v>
      </c>
      <c r="L3" s="22" t="s">
        <v>4396</v>
      </c>
      <c r="M3" s="24">
        <v>199900</v>
      </c>
      <c r="N3" s="35">
        <v>0.75</v>
      </c>
      <c r="O3" s="69">
        <f t="shared" ref="O3:O66" si="0">M3-((75*M3)/100)</f>
        <v>49975</v>
      </c>
      <c r="P3" s="34" t="str">
        <f>P2</f>
        <v>PERCENTAGE</v>
      </c>
    </row>
    <row r="4" spans="1:16" x14ac:dyDescent="0.35">
      <c r="A4" s="32" t="str">
        <f t="shared" ref="A4:C19" si="1">A3</f>
        <v>2025 JAN-MEI DISC 75%</v>
      </c>
      <c r="B4" s="33">
        <f t="shared" si="1"/>
        <v>46121</v>
      </c>
      <c r="C4" s="33">
        <f t="shared" si="1"/>
        <v>46127</v>
      </c>
      <c r="D4" s="44">
        <v>3321</v>
      </c>
      <c r="E4" s="44">
        <v>337</v>
      </c>
      <c r="F4" s="68">
        <v>4</v>
      </c>
      <c r="G4" s="23">
        <v>4</v>
      </c>
      <c r="H4" s="23">
        <v>81588</v>
      </c>
      <c r="I4" s="32" t="s">
        <v>2689</v>
      </c>
      <c r="J4" s="22">
        <v>51607153</v>
      </c>
      <c r="K4" s="22" t="s">
        <v>4392</v>
      </c>
      <c r="L4" s="22" t="s">
        <v>4394</v>
      </c>
      <c r="M4" s="24">
        <v>199900</v>
      </c>
      <c r="N4" s="35">
        <v>0.75</v>
      </c>
      <c r="O4" s="69">
        <f t="shared" si="0"/>
        <v>49975</v>
      </c>
      <c r="P4" s="34" t="str">
        <f t="shared" ref="P4:P67" si="2">P3</f>
        <v>PERCENTAGE</v>
      </c>
    </row>
    <row r="5" spans="1:16" x14ac:dyDescent="0.35">
      <c r="A5" s="32" t="str">
        <f t="shared" si="1"/>
        <v>2025 JAN-MEI DISC 75%</v>
      </c>
      <c r="B5" s="33">
        <f t="shared" si="1"/>
        <v>46121</v>
      </c>
      <c r="C5" s="33">
        <f t="shared" si="1"/>
        <v>46127</v>
      </c>
      <c r="D5" s="44">
        <v>3321</v>
      </c>
      <c r="E5" s="44">
        <v>337</v>
      </c>
      <c r="F5" s="68">
        <v>4</v>
      </c>
      <c r="G5" s="23">
        <v>4</v>
      </c>
      <c r="H5" s="23">
        <v>81588</v>
      </c>
      <c r="I5" s="32" t="s">
        <v>2689</v>
      </c>
      <c r="J5" s="22">
        <v>51607162</v>
      </c>
      <c r="K5" s="22" t="s">
        <v>4392</v>
      </c>
      <c r="L5" s="22" t="s">
        <v>4395</v>
      </c>
      <c r="M5" s="24">
        <v>199900</v>
      </c>
      <c r="N5" s="35">
        <v>0.75</v>
      </c>
      <c r="O5" s="69">
        <f t="shared" si="0"/>
        <v>49975</v>
      </c>
      <c r="P5" s="34" t="str">
        <f t="shared" si="2"/>
        <v>PERCENTAGE</v>
      </c>
    </row>
    <row r="6" spans="1:16" x14ac:dyDescent="0.35">
      <c r="A6" s="32" t="str">
        <f t="shared" si="1"/>
        <v>2025 JAN-MEI DISC 75%</v>
      </c>
      <c r="B6" s="33">
        <f t="shared" si="1"/>
        <v>46121</v>
      </c>
      <c r="C6" s="33">
        <f t="shared" si="1"/>
        <v>46127</v>
      </c>
      <c r="D6" s="44">
        <v>3321</v>
      </c>
      <c r="E6" s="44">
        <v>337</v>
      </c>
      <c r="F6" s="68">
        <v>4</v>
      </c>
      <c r="G6" s="23">
        <v>4</v>
      </c>
      <c r="H6" s="23">
        <v>81588</v>
      </c>
      <c r="I6" s="32" t="s">
        <v>2689</v>
      </c>
      <c r="J6" s="22">
        <v>51837191</v>
      </c>
      <c r="K6" s="22" t="s">
        <v>4392</v>
      </c>
      <c r="L6" s="22" t="s">
        <v>4422</v>
      </c>
      <c r="M6" s="24">
        <v>199900</v>
      </c>
      <c r="N6" s="35">
        <v>0.75</v>
      </c>
      <c r="O6" s="69">
        <f t="shared" si="0"/>
        <v>49975</v>
      </c>
      <c r="P6" s="34" t="str">
        <f t="shared" si="2"/>
        <v>PERCENTAGE</v>
      </c>
    </row>
    <row r="7" spans="1:16" x14ac:dyDescent="0.35">
      <c r="A7" s="32" t="str">
        <f t="shared" si="1"/>
        <v>2025 JAN-MEI DISC 75%</v>
      </c>
      <c r="B7" s="33">
        <f t="shared" si="1"/>
        <v>46121</v>
      </c>
      <c r="C7" s="33">
        <f t="shared" si="1"/>
        <v>46127</v>
      </c>
      <c r="D7" s="44">
        <v>3321</v>
      </c>
      <c r="E7" s="44">
        <v>337</v>
      </c>
      <c r="F7" s="68">
        <v>4</v>
      </c>
      <c r="G7" s="23">
        <v>4</v>
      </c>
      <c r="H7" s="23">
        <v>81588</v>
      </c>
      <c r="I7" s="32" t="s">
        <v>2689</v>
      </c>
      <c r="J7" s="22">
        <v>51837208</v>
      </c>
      <c r="K7" s="22" t="s">
        <v>4392</v>
      </c>
      <c r="L7" s="22" t="s">
        <v>4423</v>
      </c>
      <c r="M7" s="24">
        <v>199900</v>
      </c>
      <c r="N7" s="35">
        <v>0.75</v>
      </c>
      <c r="O7" s="69">
        <f t="shared" si="0"/>
        <v>49975</v>
      </c>
      <c r="P7" s="34" t="str">
        <f t="shared" si="2"/>
        <v>PERCENTAGE</v>
      </c>
    </row>
    <row r="8" spans="1:16" x14ac:dyDescent="0.35">
      <c r="A8" s="32" t="str">
        <f t="shared" si="1"/>
        <v>2025 JAN-MEI DISC 75%</v>
      </c>
      <c r="B8" s="33">
        <f t="shared" si="1"/>
        <v>46121</v>
      </c>
      <c r="C8" s="33">
        <f t="shared" si="1"/>
        <v>46127</v>
      </c>
      <c r="D8" s="44">
        <v>3321</v>
      </c>
      <c r="E8" s="44">
        <v>337</v>
      </c>
      <c r="F8" s="68">
        <v>4</v>
      </c>
      <c r="G8" s="23">
        <v>5</v>
      </c>
      <c r="H8" s="23">
        <v>190</v>
      </c>
      <c r="I8" s="32" t="s">
        <v>2689</v>
      </c>
      <c r="J8" s="22">
        <v>51607019</v>
      </c>
      <c r="K8" s="22" t="s">
        <v>4407</v>
      </c>
      <c r="L8" s="22" t="s">
        <v>4408</v>
      </c>
      <c r="M8" s="24">
        <v>259900</v>
      </c>
      <c r="N8" s="35">
        <v>0.75</v>
      </c>
      <c r="O8" s="69">
        <f t="shared" si="0"/>
        <v>64975</v>
      </c>
      <c r="P8" s="34" t="str">
        <f t="shared" si="2"/>
        <v>PERCENTAGE</v>
      </c>
    </row>
    <row r="9" spans="1:16" x14ac:dyDescent="0.35">
      <c r="A9" s="32" t="str">
        <f t="shared" si="1"/>
        <v>2025 JAN-MEI DISC 75%</v>
      </c>
      <c r="B9" s="33">
        <f t="shared" si="1"/>
        <v>46121</v>
      </c>
      <c r="C9" s="33">
        <f t="shared" si="1"/>
        <v>46127</v>
      </c>
      <c r="D9" s="44">
        <v>3321</v>
      </c>
      <c r="E9" s="44">
        <v>337</v>
      </c>
      <c r="F9" s="68">
        <v>4</v>
      </c>
      <c r="G9" s="23">
        <v>5</v>
      </c>
      <c r="H9" s="23">
        <v>190</v>
      </c>
      <c r="I9" s="32" t="s">
        <v>2689</v>
      </c>
      <c r="J9" s="22">
        <v>51607028</v>
      </c>
      <c r="K9" s="22" t="s">
        <v>4407</v>
      </c>
      <c r="L9" s="22" t="s">
        <v>4410</v>
      </c>
      <c r="M9" s="24">
        <v>259900</v>
      </c>
      <c r="N9" s="35">
        <v>0.75</v>
      </c>
      <c r="O9" s="69">
        <f t="shared" si="0"/>
        <v>64975</v>
      </c>
      <c r="P9" s="34" t="str">
        <f t="shared" si="2"/>
        <v>PERCENTAGE</v>
      </c>
    </row>
    <row r="10" spans="1:16" x14ac:dyDescent="0.35">
      <c r="A10" s="32" t="str">
        <f t="shared" si="1"/>
        <v>2025 JAN-MEI DISC 75%</v>
      </c>
      <c r="B10" s="33">
        <f t="shared" si="1"/>
        <v>46121</v>
      </c>
      <c r="C10" s="33">
        <f t="shared" si="1"/>
        <v>46127</v>
      </c>
      <c r="D10" s="44">
        <v>3321</v>
      </c>
      <c r="E10" s="44">
        <v>337</v>
      </c>
      <c r="F10" s="68">
        <v>4</v>
      </c>
      <c r="G10" s="23">
        <v>5</v>
      </c>
      <c r="H10" s="23">
        <v>190</v>
      </c>
      <c r="I10" s="32" t="s">
        <v>2689</v>
      </c>
      <c r="J10" s="22">
        <v>51607037</v>
      </c>
      <c r="K10" s="22" t="s">
        <v>4407</v>
      </c>
      <c r="L10" s="22" t="s">
        <v>4409</v>
      </c>
      <c r="M10" s="24">
        <v>259900</v>
      </c>
      <c r="N10" s="35">
        <v>0.75</v>
      </c>
      <c r="O10" s="69">
        <f t="shared" si="0"/>
        <v>64975</v>
      </c>
      <c r="P10" s="34" t="str">
        <f t="shared" si="2"/>
        <v>PERCENTAGE</v>
      </c>
    </row>
    <row r="11" spans="1:16" x14ac:dyDescent="0.35">
      <c r="A11" s="32" t="str">
        <f t="shared" si="1"/>
        <v>2025 JAN-MEI DISC 75%</v>
      </c>
      <c r="B11" s="33">
        <f t="shared" si="1"/>
        <v>46121</v>
      </c>
      <c r="C11" s="33">
        <f t="shared" si="1"/>
        <v>46127</v>
      </c>
      <c r="D11" s="44">
        <v>3321</v>
      </c>
      <c r="E11" s="44">
        <v>337</v>
      </c>
      <c r="F11" s="68">
        <v>4</v>
      </c>
      <c r="G11" s="23">
        <v>5</v>
      </c>
      <c r="H11" s="23">
        <v>190</v>
      </c>
      <c r="I11" s="32" t="s">
        <v>2689</v>
      </c>
      <c r="J11" s="22">
        <v>51607046</v>
      </c>
      <c r="K11" s="22" t="s">
        <v>4407</v>
      </c>
      <c r="L11" s="22" t="s">
        <v>4411</v>
      </c>
      <c r="M11" s="24">
        <v>259900</v>
      </c>
      <c r="N11" s="35">
        <v>0.75</v>
      </c>
      <c r="O11" s="69">
        <f t="shared" si="0"/>
        <v>64975</v>
      </c>
      <c r="P11" s="34" t="str">
        <f t="shared" si="2"/>
        <v>PERCENTAGE</v>
      </c>
    </row>
    <row r="12" spans="1:16" x14ac:dyDescent="0.35">
      <c r="A12" s="32" t="str">
        <f t="shared" si="1"/>
        <v>2025 JAN-MEI DISC 75%</v>
      </c>
      <c r="B12" s="33">
        <f t="shared" si="1"/>
        <v>46121</v>
      </c>
      <c r="C12" s="33">
        <f t="shared" si="1"/>
        <v>46127</v>
      </c>
      <c r="D12" s="44">
        <v>3321</v>
      </c>
      <c r="E12" s="44">
        <v>337</v>
      </c>
      <c r="F12" s="68">
        <v>4</v>
      </c>
      <c r="G12" s="23">
        <v>5</v>
      </c>
      <c r="H12" s="23">
        <v>190</v>
      </c>
      <c r="I12" s="32" t="s">
        <v>2689</v>
      </c>
      <c r="J12" s="22">
        <v>51607055</v>
      </c>
      <c r="K12" s="22" t="s">
        <v>4397</v>
      </c>
      <c r="L12" s="22" t="s">
        <v>4398</v>
      </c>
      <c r="M12" s="24">
        <v>259900</v>
      </c>
      <c r="N12" s="35">
        <v>0.75</v>
      </c>
      <c r="O12" s="69">
        <f t="shared" si="0"/>
        <v>64975</v>
      </c>
      <c r="P12" s="34" t="str">
        <f t="shared" si="2"/>
        <v>PERCENTAGE</v>
      </c>
    </row>
    <row r="13" spans="1:16" x14ac:dyDescent="0.35">
      <c r="A13" s="32" t="str">
        <f t="shared" si="1"/>
        <v>2025 JAN-MEI DISC 75%</v>
      </c>
      <c r="B13" s="33">
        <f t="shared" si="1"/>
        <v>46121</v>
      </c>
      <c r="C13" s="33">
        <f t="shared" si="1"/>
        <v>46127</v>
      </c>
      <c r="D13" s="44">
        <v>3321</v>
      </c>
      <c r="E13" s="44">
        <v>337</v>
      </c>
      <c r="F13" s="68">
        <v>4</v>
      </c>
      <c r="G13" s="23">
        <v>5</v>
      </c>
      <c r="H13" s="23">
        <v>190</v>
      </c>
      <c r="I13" s="32" t="s">
        <v>2689</v>
      </c>
      <c r="J13" s="22">
        <v>51607064</v>
      </c>
      <c r="K13" s="22" t="s">
        <v>4397</v>
      </c>
      <c r="L13" s="22" t="s">
        <v>4401</v>
      </c>
      <c r="M13" s="24">
        <v>259900</v>
      </c>
      <c r="N13" s="35">
        <v>0.75</v>
      </c>
      <c r="O13" s="69">
        <f t="shared" si="0"/>
        <v>64975</v>
      </c>
      <c r="P13" s="34" t="str">
        <f t="shared" si="2"/>
        <v>PERCENTAGE</v>
      </c>
    </row>
    <row r="14" spans="1:16" x14ac:dyDescent="0.35">
      <c r="A14" s="32" t="str">
        <f t="shared" si="1"/>
        <v>2025 JAN-MEI DISC 75%</v>
      </c>
      <c r="B14" s="33">
        <f t="shared" si="1"/>
        <v>46121</v>
      </c>
      <c r="C14" s="33">
        <f t="shared" si="1"/>
        <v>46127</v>
      </c>
      <c r="D14" s="44">
        <v>3321</v>
      </c>
      <c r="E14" s="44">
        <v>337</v>
      </c>
      <c r="F14" s="68">
        <v>4</v>
      </c>
      <c r="G14" s="23">
        <v>5</v>
      </c>
      <c r="H14" s="23">
        <v>190</v>
      </c>
      <c r="I14" s="32" t="s">
        <v>2689</v>
      </c>
      <c r="J14" s="22">
        <v>51607073</v>
      </c>
      <c r="K14" s="22" t="s">
        <v>4397</v>
      </c>
      <c r="L14" s="22" t="s">
        <v>4400</v>
      </c>
      <c r="M14" s="24">
        <v>259900</v>
      </c>
      <c r="N14" s="35">
        <v>0.75</v>
      </c>
      <c r="O14" s="69">
        <f t="shared" si="0"/>
        <v>64975</v>
      </c>
      <c r="P14" s="34" t="str">
        <f t="shared" si="2"/>
        <v>PERCENTAGE</v>
      </c>
    </row>
    <row r="15" spans="1:16" x14ac:dyDescent="0.35">
      <c r="A15" s="32" t="str">
        <f t="shared" si="1"/>
        <v>2025 JAN-MEI DISC 75%</v>
      </c>
      <c r="B15" s="33">
        <f t="shared" si="1"/>
        <v>46121</v>
      </c>
      <c r="C15" s="33">
        <f t="shared" si="1"/>
        <v>46127</v>
      </c>
      <c r="D15" s="44">
        <v>3321</v>
      </c>
      <c r="E15" s="44">
        <v>337</v>
      </c>
      <c r="F15" s="68">
        <v>4</v>
      </c>
      <c r="G15" s="23">
        <v>5</v>
      </c>
      <c r="H15" s="23">
        <v>190</v>
      </c>
      <c r="I15" s="32" t="s">
        <v>2689</v>
      </c>
      <c r="J15" s="22">
        <v>51607082</v>
      </c>
      <c r="K15" s="22" t="s">
        <v>4397</v>
      </c>
      <c r="L15" s="22" t="s">
        <v>4399</v>
      </c>
      <c r="M15" s="24">
        <v>259900</v>
      </c>
      <c r="N15" s="35">
        <v>0.75</v>
      </c>
      <c r="O15" s="69">
        <f t="shared" si="0"/>
        <v>64975</v>
      </c>
      <c r="P15" s="34" t="str">
        <f t="shared" si="2"/>
        <v>PERCENTAGE</v>
      </c>
    </row>
    <row r="16" spans="1:16" x14ac:dyDescent="0.35">
      <c r="A16" s="32" t="str">
        <f t="shared" si="1"/>
        <v>2025 JAN-MEI DISC 75%</v>
      </c>
      <c r="B16" s="33">
        <f t="shared" si="1"/>
        <v>46121</v>
      </c>
      <c r="C16" s="33">
        <f t="shared" si="1"/>
        <v>46127</v>
      </c>
      <c r="D16" s="44">
        <v>3321</v>
      </c>
      <c r="E16" s="44">
        <v>337</v>
      </c>
      <c r="F16" s="68">
        <v>4</v>
      </c>
      <c r="G16" s="23">
        <v>5</v>
      </c>
      <c r="H16" s="23">
        <v>190</v>
      </c>
      <c r="I16" s="32" t="s">
        <v>2689</v>
      </c>
      <c r="J16" s="22">
        <v>51607091</v>
      </c>
      <c r="K16" s="22" t="s">
        <v>4402</v>
      </c>
      <c r="L16" s="22" t="s">
        <v>4405</v>
      </c>
      <c r="M16" s="24">
        <v>259900</v>
      </c>
      <c r="N16" s="35">
        <v>0.75</v>
      </c>
      <c r="O16" s="69">
        <f t="shared" si="0"/>
        <v>64975</v>
      </c>
      <c r="P16" s="34" t="str">
        <f t="shared" si="2"/>
        <v>PERCENTAGE</v>
      </c>
    </row>
    <row r="17" spans="1:16" x14ac:dyDescent="0.35">
      <c r="A17" s="32" t="str">
        <f t="shared" si="1"/>
        <v>2025 JAN-MEI DISC 75%</v>
      </c>
      <c r="B17" s="33">
        <f t="shared" si="1"/>
        <v>46121</v>
      </c>
      <c r="C17" s="33">
        <f t="shared" si="1"/>
        <v>46127</v>
      </c>
      <c r="D17" s="44">
        <v>3321</v>
      </c>
      <c r="E17" s="44">
        <v>337</v>
      </c>
      <c r="F17" s="68">
        <v>4</v>
      </c>
      <c r="G17" s="23">
        <v>5</v>
      </c>
      <c r="H17" s="23">
        <v>190</v>
      </c>
      <c r="I17" s="32" t="s">
        <v>2689</v>
      </c>
      <c r="J17" s="22">
        <v>51607108</v>
      </c>
      <c r="K17" s="22" t="s">
        <v>4402</v>
      </c>
      <c r="L17" s="22" t="s">
        <v>4404</v>
      </c>
      <c r="M17" s="24">
        <v>259900</v>
      </c>
      <c r="N17" s="35">
        <v>0.75</v>
      </c>
      <c r="O17" s="69">
        <f t="shared" si="0"/>
        <v>64975</v>
      </c>
      <c r="P17" s="34" t="str">
        <f t="shared" si="2"/>
        <v>PERCENTAGE</v>
      </c>
    </row>
    <row r="18" spans="1:16" x14ac:dyDescent="0.35">
      <c r="A18" s="32" t="str">
        <f t="shared" si="1"/>
        <v>2025 JAN-MEI DISC 75%</v>
      </c>
      <c r="B18" s="33">
        <f t="shared" si="1"/>
        <v>46121</v>
      </c>
      <c r="C18" s="33">
        <f t="shared" si="1"/>
        <v>46127</v>
      </c>
      <c r="D18" s="44">
        <v>3321</v>
      </c>
      <c r="E18" s="44">
        <v>337</v>
      </c>
      <c r="F18" s="68">
        <v>4</v>
      </c>
      <c r="G18" s="23">
        <v>5</v>
      </c>
      <c r="H18" s="23">
        <v>190</v>
      </c>
      <c r="I18" s="32" t="s">
        <v>2689</v>
      </c>
      <c r="J18" s="22">
        <v>51607117</v>
      </c>
      <c r="K18" s="22" t="s">
        <v>4402</v>
      </c>
      <c r="L18" s="22" t="s">
        <v>4403</v>
      </c>
      <c r="M18" s="24">
        <v>259900</v>
      </c>
      <c r="N18" s="35">
        <v>0.75</v>
      </c>
      <c r="O18" s="69">
        <f t="shared" si="0"/>
        <v>64975</v>
      </c>
      <c r="P18" s="34" t="str">
        <f t="shared" si="2"/>
        <v>PERCENTAGE</v>
      </c>
    </row>
    <row r="19" spans="1:16" x14ac:dyDescent="0.35">
      <c r="A19" s="32" t="str">
        <f t="shared" si="1"/>
        <v>2025 JAN-MEI DISC 75%</v>
      </c>
      <c r="B19" s="33">
        <f t="shared" si="1"/>
        <v>46121</v>
      </c>
      <c r="C19" s="33">
        <f t="shared" si="1"/>
        <v>46127</v>
      </c>
      <c r="D19" s="44">
        <v>3321</v>
      </c>
      <c r="E19" s="44">
        <v>337</v>
      </c>
      <c r="F19" s="68">
        <v>4</v>
      </c>
      <c r="G19" s="23">
        <v>5</v>
      </c>
      <c r="H19" s="23">
        <v>190</v>
      </c>
      <c r="I19" s="32" t="s">
        <v>2689</v>
      </c>
      <c r="J19" s="22">
        <v>51607126</v>
      </c>
      <c r="K19" s="22" t="s">
        <v>4402</v>
      </c>
      <c r="L19" s="22" t="s">
        <v>4406</v>
      </c>
      <c r="M19" s="24">
        <v>259900</v>
      </c>
      <c r="N19" s="35">
        <v>0.75</v>
      </c>
      <c r="O19" s="69">
        <f t="shared" si="0"/>
        <v>64975</v>
      </c>
      <c r="P19" s="34" t="str">
        <f t="shared" si="2"/>
        <v>PERCENTAGE</v>
      </c>
    </row>
    <row r="20" spans="1:16" x14ac:dyDescent="0.35">
      <c r="A20" s="32" t="str">
        <f t="shared" ref="A20:C35" si="3">A19</f>
        <v>2025 JAN-MEI DISC 75%</v>
      </c>
      <c r="B20" s="33">
        <f t="shared" si="3"/>
        <v>46121</v>
      </c>
      <c r="C20" s="33">
        <f t="shared" si="3"/>
        <v>46127</v>
      </c>
      <c r="D20" s="44">
        <v>3321</v>
      </c>
      <c r="E20" s="44">
        <v>337</v>
      </c>
      <c r="F20" s="68">
        <v>4</v>
      </c>
      <c r="G20" s="23">
        <v>1</v>
      </c>
      <c r="H20" s="23">
        <v>81676</v>
      </c>
      <c r="I20" s="32" t="s">
        <v>2689</v>
      </c>
      <c r="J20" s="22">
        <v>52132959</v>
      </c>
      <c r="K20" s="22" t="s">
        <v>4634</v>
      </c>
      <c r="L20" s="22" t="s">
        <v>4636</v>
      </c>
      <c r="M20" s="24">
        <v>139900</v>
      </c>
      <c r="N20" s="35">
        <v>0.75</v>
      </c>
      <c r="O20" s="69">
        <f t="shared" si="0"/>
        <v>34975</v>
      </c>
      <c r="P20" s="34" t="str">
        <f t="shared" si="2"/>
        <v>PERCENTAGE</v>
      </c>
    </row>
    <row r="21" spans="1:16" x14ac:dyDescent="0.35">
      <c r="A21" s="32" t="str">
        <f t="shared" si="3"/>
        <v>2025 JAN-MEI DISC 75%</v>
      </c>
      <c r="B21" s="33">
        <f t="shared" si="3"/>
        <v>46121</v>
      </c>
      <c r="C21" s="33">
        <f t="shared" si="3"/>
        <v>46127</v>
      </c>
      <c r="D21" s="44">
        <v>3321</v>
      </c>
      <c r="E21" s="44">
        <v>337</v>
      </c>
      <c r="F21" s="68">
        <v>4</v>
      </c>
      <c r="G21" s="23">
        <v>1</v>
      </c>
      <c r="H21" s="23">
        <v>81676</v>
      </c>
      <c r="I21" s="32" t="s">
        <v>2689</v>
      </c>
      <c r="J21" s="22">
        <v>52132968</v>
      </c>
      <c r="K21" s="22" t="s">
        <v>4634</v>
      </c>
      <c r="L21" s="22" t="s">
        <v>4637</v>
      </c>
      <c r="M21" s="24">
        <v>139900</v>
      </c>
      <c r="N21" s="35">
        <v>0.75</v>
      </c>
      <c r="O21" s="69">
        <f t="shared" si="0"/>
        <v>34975</v>
      </c>
      <c r="P21" s="34" t="str">
        <f t="shared" si="2"/>
        <v>PERCENTAGE</v>
      </c>
    </row>
    <row r="22" spans="1:16" x14ac:dyDescent="0.35">
      <c r="A22" s="32" t="str">
        <f t="shared" si="3"/>
        <v>2025 JAN-MEI DISC 75%</v>
      </c>
      <c r="B22" s="33">
        <f t="shared" si="3"/>
        <v>46121</v>
      </c>
      <c r="C22" s="33">
        <f t="shared" si="3"/>
        <v>46127</v>
      </c>
      <c r="D22" s="44">
        <v>3321</v>
      </c>
      <c r="E22" s="44">
        <v>337</v>
      </c>
      <c r="F22" s="68">
        <v>4</v>
      </c>
      <c r="G22" s="23">
        <v>1</v>
      </c>
      <c r="H22" s="23">
        <v>81676</v>
      </c>
      <c r="I22" s="32" t="s">
        <v>2689</v>
      </c>
      <c r="J22" s="22">
        <v>52132977</v>
      </c>
      <c r="K22" s="22" t="s">
        <v>4634</v>
      </c>
      <c r="L22" s="22" t="s">
        <v>4635</v>
      </c>
      <c r="M22" s="24">
        <v>139900</v>
      </c>
      <c r="N22" s="35">
        <v>0.75</v>
      </c>
      <c r="O22" s="69">
        <f t="shared" si="0"/>
        <v>34975</v>
      </c>
      <c r="P22" s="34" t="str">
        <f t="shared" si="2"/>
        <v>PERCENTAGE</v>
      </c>
    </row>
    <row r="23" spans="1:16" x14ac:dyDescent="0.35">
      <c r="A23" s="32" t="str">
        <f t="shared" si="3"/>
        <v>2025 JAN-MEI DISC 75%</v>
      </c>
      <c r="B23" s="33">
        <f t="shared" si="3"/>
        <v>46121</v>
      </c>
      <c r="C23" s="33">
        <f t="shared" si="3"/>
        <v>46127</v>
      </c>
      <c r="D23" s="44">
        <v>3321</v>
      </c>
      <c r="E23" s="44">
        <v>337</v>
      </c>
      <c r="F23" s="68">
        <v>4</v>
      </c>
      <c r="G23" s="23">
        <v>1</v>
      </c>
      <c r="H23" s="23">
        <v>81676</v>
      </c>
      <c r="I23" s="32" t="s">
        <v>2689</v>
      </c>
      <c r="J23" s="22">
        <v>52132986</v>
      </c>
      <c r="K23" s="22" t="s">
        <v>4634</v>
      </c>
      <c r="L23" s="22" t="s">
        <v>4638</v>
      </c>
      <c r="M23" s="24">
        <v>139900</v>
      </c>
      <c r="N23" s="35">
        <v>0.75</v>
      </c>
      <c r="O23" s="69">
        <f t="shared" si="0"/>
        <v>34975</v>
      </c>
      <c r="P23" s="34" t="str">
        <f t="shared" si="2"/>
        <v>PERCENTAGE</v>
      </c>
    </row>
    <row r="24" spans="1:16" x14ac:dyDescent="0.35">
      <c r="A24" s="32" t="str">
        <f t="shared" si="3"/>
        <v>2025 JAN-MEI DISC 75%</v>
      </c>
      <c r="B24" s="33">
        <f t="shared" si="3"/>
        <v>46121</v>
      </c>
      <c r="C24" s="33">
        <f t="shared" si="3"/>
        <v>46127</v>
      </c>
      <c r="D24" s="44">
        <v>3321</v>
      </c>
      <c r="E24" s="44">
        <v>337</v>
      </c>
      <c r="F24" s="68">
        <v>4</v>
      </c>
      <c r="G24" s="23">
        <v>1</v>
      </c>
      <c r="H24" s="23">
        <v>81676</v>
      </c>
      <c r="I24" s="32" t="s">
        <v>2689</v>
      </c>
      <c r="J24" s="22">
        <v>52132995</v>
      </c>
      <c r="K24" s="22" t="s">
        <v>4629</v>
      </c>
      <c r="L24" s="22" t="s">
        <v>4633</v>
      </c>
      <c r="M24" s="24">
        <v>139900</v>
      </c>
      <c r="N24" s="35">
        <v>0.75</v>
      </c>
      <c r="O24" s="69">
        <f t="shared" si="0"/>
        <v>34975</v>
      </c>
      <c r="P24" s="34" t="str">
        <f t="shared" si="2"/>
        <v>PERCENTAGE</v>
      </c>
    </row>
    <row r="25" spans="1:16" x14ac:dyDescent="0.35">
      <c r="A25" s="32" t="str">
        <f t="shared" si="3"/>
        <v>2025 JAN-MEI DISC 75%</v>
      </c>
      <c r="B25" s="33">
        <f t="shared" si="3"/>
        <v>46121</v>
      </c>
      <c r="C25" s="33">
        <f t="shared" si="3"/>
        <v>46127</v>
      </c>
      <c r="D25" s="44">
        <v>3321</v>
      </c>
      <c r="E25" s="44">
        <v>337</v>
      </c>
      <c r="F25" s="68">
        <v>4</v>
      </c>
      <c r="G25" s="23">
        <v>1</v>
      </c>
      <c r="H25" s="23">
        <v>81676</v>
      </c>
      <c r="I25" s="32" t="s">
        <v>2689</v>
      </c>
      <c r="J25" s="22">
        <v>52133001</v>
      </c>
      <c r="K25" s="22" t="s">
        <v>4629</v>
      </c>
      <c r="L25" s="22" t="s">
        <v>4632</v>
      </c>
      <c r="M25" s="24">
        <v>139900</v>
      </c>
      <c r="N25" s="35">
        <v>0.75</v>
      </c>
      <c r="O25" s="69">
        <f t="shared" si="0"/>
        <v>34975</v>
      </c>
      <c r="P25" s="34" t="str">
        <f t="shared" si="2"/>
        <v>PERCENTAGE</v>
      </c>
    </row>
    <row r="26" spans="1:16" x14ac:dyDescent="0.35">
      <c r="A26" s="32" t="str">
        <f t="shared" si="3"/>
        <v>2025 JAN-MEI DISC 75%</v>
      </c>
      <c r="B26" s="33">
        <f t="shared" si="3"/>
        <v>46121</v>
      </c>
      <c r="C26" s="33">
        <f t="shared" si="3"/>
        <v>46127</v>
      </c>
      <c r="D26" s="44">
        <v>3321</v>
      </c>
      <c r="E26" s="44">
        <v>337</v>
      </c>
      <c r="F26" s="68">
        <v>4</v>
      </c>
      <c r="G26" s="23">
        <v>1</v>
      </c>
      <c r="H26" s="23">
        <v>81676</v>
      </c>
      <c r="I26" s="32" t="s">
        <v>2689</v>
      </c>
      <c r="J26" s="22">
        <v>52133010</v>
      </c>
      <c r="K26" s="22" t="s">
        <v>4629</v>
      </c>
      <c r="L26" s="22" t="s">
        <v>4630</v>
      </c>
      <c r="M26" s="24">
        <v>139900</v>
      </c>
      <c r="N26" s="35">
        <v>0.75</v>
      </c>
      <c r="O26" s="69">
        <f t="shared" si="0"/>
        <v>34975</v>
      </c>
      <c r="P26" s="34" t="str">
        <f t="shared" si="2"/>
        <v>PERCENTAGE</v>
      </c>
    </row>
    <row r="27" spans="1:16" x14ac:dyDescent="0.35">
      <c r="A27" s="32" t="str">
        <f t="shared" si="3"/>
        <v>2025 JAN-MEI DISC 75%</v>
      </c>
      <c r="B27" s="33">
        <f t="shared" si="3"/>
        <v>46121</v>
      </c>
      <c r="C27" s="33">
        <f t="shared" si="3"/>
        <v>46127</v>
      </c>
      <c r="D27" s="44">
        <v>3321</v>
      </c>
      <c r="E27" s="44">
        <v>337</v>
      </c>
      <c r="F27" s="68">
        <v>4</v>
      </c>
      <c r="G27" s="23">
        <v>1</v>
      </c>
      <c r="H27" s="23">
        <v>81676</v>
      </c>
      <c r="I27" s="32" t="s">
        <v>2689</v>
      </c>
      <c r="J27" s="22">
        <v>52133029</v>
      </c>
      <c r="K27" s="22" t="s">
        <v>4629</v>
      </c>
      <c r="L27" s="22" t="s">
        <v>4631</v>
      </c>
      <c r="M27" s="24">
        <v>139900</v>
      </c>
      <c r="N27" s="35">
        <v>0.75</v>
      </c>
      <c r="O27" s="69">
        <f t="shared" si="0"/>
        <v>34975</v>
      </c>
      <c r="P27" s="34" t="str">
        <f t="shared" si="2"/>
        <v>PERCENTAGE</v>
      </c>
    </row>
    <row r="28" spans="1:16" x14ac:dyDescent="0.35">
      <c r="A28" s="32" t="str">
        <f t="shared" si="3"/>
        <v>2025 JAN-MEI DISC 75%</v>
      </c>
      <c r="B28" s="33">
        <f t="shared" si="3"/>
        <v>46121</v>
      </c>
      <c r="C28" s="33">
        <f t="shared" si="3"/>
        <v>46127</v>
      </c>
      <c r="D28" s="44">
        <v>3321</v>
      </c>
      <c r="E28" s="44">
        <v>337</v>
      </c>
      <c r="F28" s="68">
        <v>4</v>
      </c>
      <c r="G28" s="23">
        <v>1</v>
      </c>
      <c r="H28" s="23">
        <v>81588</v>
      </c>
      <c r="I28" s="32" t="s">
        <v>2689</v>
      </c>
      <c r="J28" s="22">
        <v>51606896</v>
      </c>
      <c r="K28" s="22" t="s">
        <v>4424</v>
      </c>
      <c r="L28" s="22" t="s">
        <v>4426</v>
      </c>
      <c r="M28" s="24">
        <v>149900</v>
      </c>
      <c r="N28" s="35">
        <v>0.75</v>
      </c>
      <c r="O28" s="69">
        <f t="shared" si="0"/>
        <v>37475</v>
      </c>
      <c r="P28" s="34" t="str">
        <f t="shared" si="2"/>
        <v>PERCENTAGE</v>
      </c>
    </row>
    <row r="29" spans="1:16" x14ac:dyDescent="0.35">
      <c r="A29" s="32" t="str">
        <f t="shared" si="3"/>
        <v>2025 JAN-MEI DISC 75%</v>
      </c>
      <c r="B29" s="33">
        <f t="shared" si="3"/>
        <v>46121</v>
      </c>
      <c r="C29" s="33">
        <f t="shared" si="3"/>
        <v>46127</v>
      </c>
      <c r="D29" s="44">
        <v>3321</v>
      </c>
      <c r="E29" s="44">
        <v>337</v>
      </c>
      <c r="F29" s="68">
        <v>4</v>
      </c>
      <c r="G29" s="23">
        <v>1</v>
      </c>
      <c r="H29" s="23">
        <v>81588</v>
      </c>
      <c r="I29" s="32" t="s">
        <v>2689</v>
      </c>
      <c r="J29" s="22">
        <v>51606903</v>
      </c>
      <c r="K29" s="22" t="s">
        <v>4424</v>
      </c>
      <c r="L29" s="22" t="s">
        <v>4427</v>
      </c>
      <c r="M29" s="24">
        <v>149900</v>
      </c>
      <c r="N29" s="35">
        <v>0.75</v>
      </c>
      <c r="O29" s="69">
        <f t="shared" si="0"/>
        <v>37475</v>
      </c>
      <c r="P29" s="34" t="str">
        <f t="shared" si="2"/>
        <v>PERCENTAGE</v>
      </c>
    </row>
    <row r="30" spans="1:16" x14ac:dyDescent="0.35">
      <c r="A30" s="32" t="str">
        <f t="shared" si="3"/>
        <v>2025 JAN-MEI DISC 75%</v>
      </c>
      <c r="B30" s="33">
        <f t="shared" si="3"/>
        <v>46121</v>
      </c>
      <c r="C30" s="33">
        <f t="shared" si="3"/>
        <v>46127</v>
      </c>
      <c r="D30" s="44">
        <v>3321</v>
      </c>
      <c r="E30" s="44">
        <v>337</v>
      </c>
      <c r="F30" s="68">
        <v>4</v>
      </c>
      <c r="G30" s="23">
        <v>1</v>
      </c>
      <c r="H30" s="23">
        <v>81588</v>
      </c>
      <c r="I30" s="32" t="s">
        <v>2689</v>
      </c>
      <c r="J30" s="22">
        <v>51606912</v>
      </c>
      <c r="K30" s="22" t="s">
        <v>4424</v>
      </c>
      <c r="L30" s="22" t="s">
        <v>4428</v>
      </c>
      <c r="M30" s="24">
        <v>149900</v>
      </c>
      <c r="N30" s="35">
        <v>0.75</v>
      </c>
      <c r="O30" s="69">
        <f t="shared" si="0"/>
        <v>37475</v>
      </c>
      <c r="P30" s="34" t="str">
        <f t="shared" si="2"/>
        <v>PERCENTAGE</v>
      </c>
    </row>
    <row r="31" spans="1:16" x14ac:dyDescent="0.35">
      <c r="A31" s="32" t="str">
        <f t="shared" si="3"/>
        <v>2025 JAN-MEI DISC 75%</v>
      </c>
      <c r="B31" s="33">
        <f t="shared" si="3"/>
        <v>46121</v>
      </c>
      <c r="C31" s="33">
        <f t="shared" si="3"/>
        <v>46127</v>
      </c>
      <c r="D31" s="44">
        <v>3321</v>
      </c>
      <c r="E31" s="44">
        <v>337</v>
      </c>
      <c r="F31" s="68">
        <v>4</v>
      </c>
      <c r="G31" s="23">
        <v>1</v>
      </c>
      <c r="H31" s="23">
        <v>81588</v>
      </c>
      <c r="I31" s="32" t="s">
        <v>2689</v>
      </c>
      <c r="J31" s="22">
        <v>51606921</v>
      </c>
      <c r="K31" s="22" t="s">
        <v>4424</v>
      </c>
      <c r="L31" s="22" t="s">
        <v>4425</v>
      </c>
      <c r="M31" s="24">
        <v>149900</v>
      </c>
      <c r="N31" s="35">
        <v>0.75</v>
      </c>
      <c r="O31" s="69">
        <f t="shared" si="0"/>
        <v>37475</v>
      </c>
      <c r="P31" s="34" t="str">
        <f t="shared" si="2"/>
        <v>PERCENTAGE</v>
      </c>
    </row>
    <row r="32" spans="1:16" x14ac:dyDescent="0.35">
      <c r="A32" s="32" t="str">
        <f t="shared" si="3"/>
        <v>2025 JAN-MEI DISC 75%</v>
      </c>
      <c r="B32" s="33">
        <f t="shared" si="3"/>
        <v>46121</v>
      </c>
      <c r="C32" s="33">
        <f t="shared" si="3"/>
        <v>46127</v>
      </c>
      <c r="D32" s="44">
        <v>3321</v>
      </c>
      <c r="E32" s="44">
        <v>337</v>
      </c>
      <c r="F32" s="68">
        <v>4</v>
      </c>
      <c r="G32" s="23">
        <v>1</v>
      </c>
      <c r="H32" s="23">
        <v>81588</v>
      </c>
      <c r="I32" s="32" t="s">
        <v>2689</v>
      </c>
      <c r="J32" s="22">
        <v>51606976</v>
      </c>
      <c r="K32" s="22" t="s">
        <v>4434</v>
      </c>
      <c r="L32" s="22" t="s">
        <v>4436</v>
      </c>
      <c r="M32" s="24">
        <v>149900</v>
      </c>
      <c r="N32" s="35">
        <v>0.75</v>
      </c>
      <c r="O32" s="69">
        <f t="shared" si="0"/>
        <v>37475</v>
      </c>
      <c r="P32" s="34" t="str">
        <f t="shared" si="2"/>
        <v>PERCENTAGE</v>
      </c>
    </row>
    <row r="33" spans="1:16" x14ac:dyDescent="0.35">
      <c r="A33" s="32" t="str">
        <f t="shared" si="3"/>
        <v>2025 JAN-MEI DISC 75%</v>
      </c>
      <c r="B33" s="33">
        <f t="shared" si="3"/>
        <v>46121</v>
      </c>
      <c r="C33" s="33">
        <f t="shared" si="3"/>
        <v>46127</v>
      </c>
      <c r="D33" s="44">
        <v>3321</v>
      </c>
      <c r="E33" s="44">
        <v>337</v>
      </c>
      <c r="F33" s="68">
        <v>4</v>
      </c>
      <c r="G33" s="23">
        <v>1</v>
      </c>
      <c r="H33" s="23">
        <v>81588</v>
      </c>
      <c r="I33" s="32" t="s">
        <v>2689</v>
      </c>
      <c r="J33" s="22">
        <v>51606985</v>
      </c>
      <c r="K33" s="22" t="s">
        <v>4434</v>
      </c>
      <c r="L33" s="22" t="s">
        <v>4435</v>
      </c>
      <c r="M33" s="24">
        <v>149900</v>
      </c>
      <c r="N33" s="35">
        <v>0.75</v>
      </c>
      <c r="O33" s="69">
        <f t="shared" si="0"/>
        <v>37475</v>
      </c>
      <c r="P33" s="34" t="str">
        <f t="shared" si="2"/>
        <v>PERCENTAGE</v>
      </c>
    </row>
    <row r="34" spans="1:16" x14ac:dyDescent="0.35">
      <c r="A34" s="32" t="str">
        <f t="shared" si="3"/>
        <v>2025 JAN-MEI DISC 75%</v>
      </c>
      <c r="B34" s="33">
        <f t="shared" si="3"/>
        <v>46121</v>
      </c>
      <c r="C34" s="33">
        <f t="shared" si="3"/>
        <v>46127</v>
      </c>
      <c r="D34" s="44">
        <v>3321</v>
      </c>
      <c r="E34" s="44">
        <v>337</v>
      </c>
      <c r="F34" s="68">
        <v>4</v>
      </c>
      <c r="G34" s="23">
        <v>1</v>
      </c>
      <c r="H34" s="23">
        <v>81588</v>
      </c>
      <c r="I34" s="32" t="s">
        <v>2689</v>
      </c>
      <c r="J34" s="22">
        <v>51606994</v>
      </c>
      <c r="K34" s="22" t="s">
        <v>4434</v>
      </c>
      <c r="L34" s="22" t="s">
        <v>4437</v>
      </c>
      <c r="M34" s="24">
        <v>149900</v>
      </c>
      <c r="N34" s="35">
        <v>0.75</v>
      </c>
      <c r="O34" s="69">
        <f t="shared" si="0"/>
        <v>37475</v>
      </c>
      <c r="P34" s="34" t="str">
        <f t="shared" si="2"/>
        <v>PERCENTAGE</v>
      </c>
    </row>
    <row r="35" spans="1:16" x14ac:dyDescent="0.35">
      <c r="A35" s="32" t="str">
        <f t="shared" si="3"/>
        <v>2025 JAN-MEI DISC 75%</v>
      </c>
      <c r="B35" s="33">
        <f t="shared" si="3"/>
        <v>46121</v>
      </c>
      <c r="C35" s="33">
        <f t="shared" si="3"/>
        <v>46127</v>
      </c>
      <c r="D35" s="44">
        <v>3321</v>
      </c>
      <c r="E35" s="44">
        <v>337</v>
      </c>
      <c r="F35" s="68">
        <v>4</v>
      </c>
      <c r="G35" s="23">
        <v>1</v>
      </c>
      <c r="H35" s="23">
        <v>81588</v>
      </c>
      <c r="I35" s="32" t="s">
        <v>2689</v>
      </c>
      <c r="J35" s="22">
        <v>51607000</v>
      </c>
      <c r="K35" s="22" t="s">
        <v>4434</v>
      </c>
      <c r="L35" s="22" t="s">
        <v>4438</v>
      </c>
      <c r="M35" s="24">
        <v>149900</v>
      </c>
      <c r="N35" s="35">
        <v>0.75</v>
      </c>
      <c r="O35" s="69">
        <f t="shared" si="0"/>
        <v>37475</v>
      </c>
      <c r="P35" s="34" t="str">
        <f t="shared" si="2"/>
        <v>PERCENTAGE</v>
      </c>
    </row>
    <row r="36" spans="1:16" x14ac:dyDescent="0.35">
      <c r="A36" s="32" t="str">
        <f t="shared" ref="A36:C51" si="4">A35</f>
        <v>2025 JAN-MEI DISC 75%</v>
      </c>
      <c r="B36" s="33">
        <f t="shared" si="4"/>
        <v>46121</v>
      </c>
      <c r="C36" s="33">
        <f t="shared" si="4"/>
        <v>46127</v>
      </c>
      <c r="D36" s="44">
        <v>3321</v>
      </c>
      <c r="E36" s="44">
        <v>337</v>
      </c>
      <c r="F36" s="68">
        <v>4</v>
      </c>
      <c r="G36" s="23">
        <v>1</v>
      </c>
      <c r="H36" s="23">
        <v>81588</v>
      </c>
      <c r="I36" s="32" t="s">
        <v>2689</v>
      </c>
      <c r="J36" s="22">
        <v>51606930</v>
      </c>
      <c r="K36" s="22" t="s">
        <v>4429</v>
      </c>
      <c r="L36" s="22" t="s">
        <v>4433</v>
      </c>
      <c r="M36" s="24">
        <v>149900</v>
      </c>
      <c r="N36" s="35">
        <v>0.75</v>
      </c>
      <c r="O36" s="69">
        <f t="shared" si="0"/>
        <v>37475</v>
      </c>
      <c r="P36" s="34" t="str">
        <f t="shared" si="2"/>
        <v>PERCENTAGE</v>
      </c>
    </row>
    <row r="37" spans="1:16" x14ac:dyDescent="0.35">
      <c r="A37" s="32" t="str">
        <f t="shared" si="4"/>
        <v>2025 JAN-MEI DISC 75%</v>
      </c>
      <c r="B37" s="33">
        <f t="shared" si="4"/>
        <v>46121</v>
      </c>
      <c r="C37" s="33">
        <f t="shared" si="4"/>
        <v>46127</v>
      </c>
      <c r="D37" s="44">
        <v>3321</v>
      </c>
      <c r="E37" s="44">
        <v>337</v>
      </c>
      <c r="F37" s="68">
        <v>4</v>
      </c>
      <c r="G37" s="23">
        <v>1</v>
      </c>
      <c r="H37" s="23">
        <v>81588</v>
      </c>
      <c r="I37" s="32" t="s">
        <v>2689</v>
      </c>
      <c r="J37" s="22">
        <v>51606949</v>
      </c>
      <c r="K37" s="22" t="s">
        <v>4429</v>
      </c>
      <c r="L37" s="22" t="s">
        <v>4432</v>
      </c>
      <c r="M37" s="24">
        <v>149900</v>
      </c>
      <c r="N37" s="35">
        <v>0.75</v>
      </c>
      <c r="O37" s="69">
        <f t="shared" si="0"/>
        <v>37475</v>
      </c>
      <c r="P37" s="34" t="str">
        <f t="shared" si="2"/>
        <v>PERCENTAGE</v>
      </c>
    </row>
    <row r="38" spans="1:16" x14ac:dyDescent="0.35">
      <c r="A38" s="32" t="str">
        <f t="shared" si="4"/>
        <v>2025 JAN-MEI DISC 75%</v>
      </c>
      <c r="B38" s="33">
        <f t="shared" si="4"/>
        <v>46121</v>
      </c>
      <c r="C38" s="33">
        <f t="shared" si="4"/>
        <v>46127</v>
      </c>
      <c r="D38" s="44">
        <v>3321</v>
      </c>
      <c r="E38" s="44">
        <v>337</v>
      </c>
      <c r="F38" s="68">
        <v>4</v>
      </c>
      <c r="G38" s="23">
        <v>1</v>
      </c>
      <c r="H38" s="23">
        <v>81588</v>
      </c>
      <c r="I38" s="32" t="s">
        <v>2689</v>
      </c>
      <c r="J38" s="22">
        <v>51606958</v>
      </c>
      <c r="K38" s="22" t="s">
        <v>4429</v>
      </c>
      <c r="L38" s="22" t="s">
        <v>4430</v>
      </c>
      <c r="M38" s="24">
        <v>149900</v>
      </c>
      <c r="N38" s="35">
        <v>0.75</v>
      </c>
      <c r="O38" s="69">
        <f t="shared" si="0"/>
        <v>37475</v>
      </c>
      <c r="P38" s="34" t="str">
        <f t="shared" si="2"/>
        <v>PERCENTAGE</v>
      </c>
    </row>
    <row r="39" spans="1:16" x14ac:dyDescent="0.35">
      <c r="A39" s="32" t="str">
        <f t="shared" si="4"/>
        <v>2025 JAN-MEI DISC 75%</v>
      </c>
      <c r="B39" s="33">
        <f t="shared" si="4"/>
        <v>46121</v>
      </c>
      <c r="C39" s="33">
        <f t="shared" si="4"/>
        <v>46127</v>
      </c>
      <c r="D39" s="44">
        <v>3321</v>
      </c>
      <c r="E39" s="44">
        <v>337</v>
      </c>
      <c r="F39" s="68">
        <v>4</v>
      </c>
      <c r="G39" s="23">
        <v>1</v>
      </c>
      <c r="H39" s="23">
        <v>81588</v>
      </c>
      <c r="I39" s="32" t="s">
        <v>2689</v>
      </c>
      <c r="J39" s="22">
        <v>51606967</v>
      </c>
      <c r="K39" s="22" t="s">
        <v>4429</v>
      </c>
      <c r="L39" s="22" t="s">
        <v>4431</v>
      </c>
      <c r="M39" s="24">
        <v>149900</v>
      </c>
      <c r="N39" s="35">
        <v>0.75</v>
      </c>
      <c r="O39" s="69">
        <f t="shared" si="0"/>
        <v>37475</v>
      </c>
      <c r="P39" s="34" t="str">
        <f t="shared" si="2"/>
        <v>PERCENTAGE</v>
      </c>
    </row>
    <row r="40" spans="1:16" x14ac:dyDescent="0.35">
      <c r="A40" s="32" t="str">
        <f t="shared" si="4"/>
        <v>2025 JAN-MEI DISC 75%</v>
      </c>
      <c r="B40" s="33">
        <f t="shared" si="4"/>
        <v>46121</v>
      </c>
      <c r="C40" s="33">
        <f t="shared" si="4"/>
        <v>46127</v>
      </c>
      <c r="D40" s="44">
        <v>3321</v>
      </c>
      <c r="E40" s="44">
        <v>337</v>
      </c>
      <c r="F40" s="68">
        <v>4</v>
      </c>
      <c r="G40" s="23">
        <v>5</v>
      </c>
      <c r="H40" s="23">
        <v>81146</v>
      </c>
      <c r="I40" s="32" t="s">
        <v>2689</v>
      </c>
      <c r="J40" s="22">
        <v>51837119</v>
      </c>
      <c r="K40" s="22" t="s">
        <v>4444</v>
      </c>
      <c r="L40" s="22" t="s">
        <v>4448</v>
      </c>
      <c r="M40" s="24">
        <v>299900</v>
      </c>
      <c r="N40" s="35">
        <v>0.75</v>
      </c>
      <c r="O40" s="69">
        <f t="shared" si="0"/>
        <v>74975</v>
      </c>
      <c r="P40" s="34" t="str">
        <f t="shared" si="2"/>
        <v>PERCENTAGE</v>
      </c>
    </row>
    <row r="41" spans="1:16" x14ac:dyDescent="0.35">
      <c r="A41" s="32" t="str">
        <f t="shared" si="4"/>
        <v>2025 JAN-MEI DISC 75%</v>
      </c>
      <c r="B41" s="33">
        <f t="shared" si="4"/>
        <v>46121</v>
      </c>
      <c r="C41" s="33">
        <f t="shared" si="4"/>
        <v>46127</v>
      </c>
      <c r="D41" s="44">
        <v>3321</v>
      </c>
      <c r="E41" s="44">
        <v>337</v>
      </c>
      <c r="F41" s="68">
        <v>4</v>
      </c>
      <c r="G41" s="23">
        <v>5</v>
      </c>
      <c r="H41" s="23">
        <v>81146</v>
      </c>
      <c r="I41" s="32" t="s">
        <v>2689</v>
      </c>
      <c r="J41" s="22">
        <v>51837128</v>
      </c>
      <c r="K41" s="22" t="s">
        <v>4444</v>
      </c>
      <c r="L41" s="22" t="s">
        <v>4447</v>
      </c>
      <c r="M41" s="24">
        <v>299900</v>
      </c>
      <c r="N41" s="35">
        <v>0.75</v>
      </c>
      <c r="O41" s="69">
        <f t="shared" si="0"/>
        <v>74975</v>
      </c>
      <c r="P41" s="34" t="str">
        <f t="shared" si="2"/>
        <v>PERCENTAGE</v>
      </c>
    </row>
    <row r="42" spans="1:16" x14ac:dyDescent="0.35">
      <c r="A42" s="32" t="str">
        <f t="shared" si="4"/>
        <v>2025 JAN-MEI DISC 75%</v>
      </c>
      <c r="B42" s="33">
        <f t="shared" si="4"/>
        <v>46121</v>
      </c>
      <c r="C42" s="33">
        <f t="shared" si="4"/>
        <v>46127</v>
      </c>
      <c r="D42" s="44">
        <v>3321</v>
      </c>
      <c r="E42" s="44">
        <v>337</v>
      </c>
      <c r="F42" s="68">
        <v>4</v>
      </c>
      <c r="G42" s="23">
        <v>5</v>
      </c>
      <c r="H42" s="23">
        <v>81146</v>
      </c>
      <c r="I42" s="32" t="s">
        <v>2689</v>
      </c>
      <c r="J42" s="22">
        <v>51837137</v>
      </c>
      <c r="K42" s="22" t="s">
        <v>4444</v>
      </c>
      <c r="L42" s="22" t="s">
        <v>4446</v>
      </c>
      <c r="M42" s="24">
        <v>299900</v>
      </c>
      <c r="N42" s="35">
        <v>0.75</v>
      </c>
      <c r="O42" s="69">
        <f t="shared" si="0"/>
        <v>74975</v>
      </c>
      <c r="P42" s="34" t="str">
        <f t="shared" si="2"/>
        <v>PERCENTAGE</v>
      </c>
    </row>
    <row r="43" spans="1:16" x14ac:dyDescent="0.35">
      <c r="A43" s="32" t="str">
        <f t="shared" si="4"/>
        <v>2025 JAN-MEI DISC 75%</v>
      </c>
      <c r="B43" s="33">
        <f t="shared" si="4"/>
        <v>46121</v>
      </c>
      <c r="C43" s="33">
        <f t="shared" si="4"/>
        <v>46127</v>
      </c>
      <c r="D43" s="44">
        <v>3321</v>
      </c>
      <c r="E43" s="44">
        <v>337</v>
      </c>
      <c r="F43" s="68">
        <v>4</v>
      </c>
      <c r="G43" s="23">
        <v>5</v>
      </c>
      <c r="H43" s="23">
        <v>81146</v>
      </c>
      <c r="I43" s="32" t="s">
        <v>2689</v>
      </c>
      <c r="J43" s="22">
        <v>51837146</v>
      </c>
      <c r="K43" s="22" t="s">
        <v>4444</v>
      </c>
      <c r="L43" s="22" t="s">
        <v>4445</v>
      </c>
      <c r="M43" s="24">
        <v>299900</v>
      </c>
      <c r="N43" s="35">
        <v>0.75</v>
      </c>
      <c r="O43" s="69">
        <f t="shared" si="0"/>
        <v>74975</v>
      </c>
      <c r="P43" s="34" t="str">
        <f t="shared" si="2"/>
        <v>PERCENTAGE</v>
      </c>
    </row>
    <row r="44" spans="1:16" x14ac:dyDescent="0.35">
      <c r="A44" s="32" t="str">
        <f t="shared" si="4"/>
        <v>2025 JAN-MEI DISC 75%</v>
      </c>
      <c r="B44" s="33">
        <f t="shared" si="4"/>
        <v>46121</v>
      </c>
      <c r="C44" s="33">
        <f t="shared" si="4"/>
        <v>46127</v>
      </c>
      <c r="D44" s="44">
        <v>3321</v>
      </c>
      <c r="E44" s="44">
        <v>337</v>
      </c>
      <c r="F44" s="68">
        <v>4</v>
      </c>
      <c r="G44" s="23">
        <v>5</v>
      </c>
      <c r="H44" s="23">
        <v>81146</v>
      </c>
      <c r="I44" s="32" t="s">
        <v>2689</v>
      </c>
      <c r="J44" s="22">
        <v>51607215</v>
      </c>
      <c r="K44" s="22" t="s">
        <v>4439</v>
      </c>
      <c r="L44" s="22" t="s">
        <v>4440</v>
      </c>
      <c r="M44" s="24">
        <v>299900</v>
      </c>
      <c r="N44" s="35">
        <v>0.75</v>
      </c>
      <c r="O44" s="69">
        <f t="shared" si="0"/>
        <v>74975</v>
      </c>
      <c r="P44" s="34" t="str">
        <f t="shared" si="2"/>
        <v>PERCENTAGE</v>
      </c>
    </row>
    <row r="45" spans="1:16" x14ac:dyDescent="0.35">
      <c r="A45" s="32" t="str">
        <f t="shared" si="4"/>
        <v>2025 JAN-MEI DISC 75%</v>
      </c>
      <c r="B45" s="33">
        <f t="shared" si="4"/>
        <v>46121</v>
      </c>
      <c r="C45" s="33">
        <f t="shared" si="4"/>
        <v>46127</v>
      </c>
      <c r="D45" s="44">
        <v>3321</v>
      </c>
      <c r="E45" s="44">
        <v>337</v>
      </c>
      <c r="F45" s="68">
        <v>4</v>
      </c>
      <c r="G45" s="23">
        <v>5</v>
      </c>
      <c r="H45" s="23">
        <v>81146</v>
      </c>
      <c r="I45" s="32" t="s">
        <v>2689</v>
      </c>
      <c r="J45" s="22">
        <v>51607224</v>
      </c>
      <c r="K45" s="22" t="s">
        <v>4439</v>
      </c>
      <c r="L45" s="22" t="s">
        <v>4442</v>
      </c>
      <c r="M45" s="24">
        <v>299900</v>
      </c>
      <c r="N45" s="35">
        <v>0.75</v>
      </c>
      <c r="O45" s="69">
        <f t="shared" si="0"/>
        <v>74975</v>
      </c>
      <c r="P45" s="34" t="str">
        <f t="shared" si="2"/>
        <v>PERCENTAGE</v>
      </c>
    </row>
    <row r="46" spans="1:16" x14ac:dyDescent="0.35">
      <c r="A46" s="32" t="str">
        <f t="shared" si="4"/>
        <v>2025 JAN-MEI DISC 75%</v>
      </c>
      <c r="B46" s="33">
        <f t="shared" si="4"/>
        <v>46121</v>
      </c>
      <c r="C46" s="33">
        <f t="shared" si="4"/>
        <v>46127</v>
      </c>
      <c r="D46" s="44">
        <v>3321</v>
      </c>
      <c r="E46" s="44">
        <v>337</v>
      </c>
      <c r="F46" s="68">
        <v>4</v>
      </c>
      <c r="G46" s="23">
        <v>5</v>
      </c>
      <c r="H46" s="23">
        <v>81146</v>
      </c>
      <c r="I46" s="32" t="s">
        <v>2689</v>
      </c>
      <c r="J46" s="22">
        <v>51607233</v>
      </c>
      <c r="K46" s="22" t="s">
        <v>4439</v>
      </c>
      <c r="L46" s="22" t="s">
        <v>4443</v>
      </c>
      <c r="M46" s="24">
        <v>299900</v>
      </c>
      <c r="N46" s="35">
        <v>0.75</v>
      </c>
      <c r="O46" s="69">
        <f t="shared" si="0"/>
        <v>74975</v>
      </c>
      <c r="P46" s="34" t="str">
        <f t="shared" si="2"/>
        <v>PERCENTAGE</v>
      </c>
    </row>
    <row r="47" spans="1:16" x14ac:dyDescent="0.35">
      <c r="A47" s="32" t="str">
        <f t="shared" si="4"/>
        <v>2025 JAN-MEI DISC 75%</v>
      </c>
      <c r="B47" s="33">
        <f t="shared" si="4"/>
        <v>46121</v>
      </c>
      <c r="C47" s="33">
        <f t="shared" si="4"/>
        <v>46127</v>
      </c>
      <c r="D47" s="44">
        <v>3321</v>
      </c>
      <c r="E47" s="44">
        <v>337</v>
      </c>
      <c r="F47" s="68">
        <v>4</v>
      </c>
      <c r="G47" s="23">
        <v>5</v>
      </c>
      <c r="H47" s="23">
        <v>81146</v>
      </c>
      <c r="I47" s="32" t="s">
        <v>2689</v>
      </c>
      <c r="J47" s="22">
        <v>51607242</v>
      </c>
      <c r="K47" s="22" t="s">
        <v>4439</v>
      </c>
      <c r="L47" s="22" t="s">
        <v>4441</v>
      </c>
      <c r="M47" s="24">
        <v>299900</v>
      </c>
      <c r="N47" s="35">
        <v>0.75</v>
      </c>
      <c r="O47" s="69">
        <f t="shared" si="0"/>
        <v>74975</v>
      </c>
      <c r="P47" s="34" t="str">
        <f t="shared" si="2"/>
        <v>PERCENTAGE</v>
      </c>
    </row>
    <row r="48" spans="1:16" x14ac:dyDescent="0.35">
      <c r="A48" s="32" t="str">
        <f t="shared" si="4"/>
        <v>2025 JAN-MEI DISC 75%</v>
      </c>
      <c r="B48" s="33">
        <f t="shared" si="4"/>
        <v>46121</v>
      </c>
      <c r="C48" s="33">
        <f t="shared" si="4"/>
        <v>46127</v>
      </c>
      <c r="D48" s="44">
        <v>3321</v>
      </c>
      <c r="E48" s="44">
        <v>337</v>
      </c>
      <c r="F48" s="68">
        <v>4</v>
      </c>
      <c r="G48" s="23">
        <v>5</v>
      </c>
      <c r="H48" s="23">
        <v>81146</v>
      </c>
      <c r="I48" s="32" t="s">
        <v>2689</v>
      </c>
      <c r="J48" s="22">
        <v>51837155</v>
      </c>
      <c r="K48" s="22" t="s">
        <v>4412</v>
      </c>
      <c r="L48" s="22" t="s">
        <v>4416</v>
      </c>
      <c r="M48" s="24">
        <v>319900</v>
      </c>
      <c r="N48" s="35">
        <v>0.75</v>
      </c>
      <c r="O48" s="69">
        <f t="shared" si="0"/>
        <v>79975</v>
      </c>
      <c r="P48" s="34" t="str">
        <f t="shared" si="2"/>
        <v>PERCENTAGE</v>
      </c>
    </row>
    <row r="49" spans="1:16" x14ac:dyDescent="0.35">
      <c r="A49" s="32" t="str">
        <f t="shared" si="4"/>
        <v>2025 JAN-MEI DISC 75%</v>
      </c>
      <c r="B49" s="33">
        <f t="shared" si="4"/>
        <v>46121</v>
      </c>
      <c r="C49" s="33">
        <f t="shared" si="4"/>
        <v>46127</v>
      </c>
      <c r="D49" s="44">
        <v>3321</v>
      </c>
      <c r="E49" s="44">
        <v>337</v>
      </c>
      <c r="F49" s="68">
        <v>4</v>
      </c>
      <c r="G49" s="23">
        <v>5</v>
      </c>
      <c r="H49" s="23">
        <v>81146</v>
      </c>
      <c r="I49" s="32" t="s">
        <v>2689</v>
      </c>
      <c r="J49" s="22">
        <v>51837164</v>
      </c>
      <c r="K49" s="22" t="s">
        <v>4412</v>
      </c>
      <c r="L49" s="22" t="s">
        <v>4415</v>
      </c>
      <c r="M49" s="24">
        <v>319900</v>
      </c>
      <c r="N49" s="35">
        <v>0.75</v>
      </c>
      <c r="O49" s="69">
        <f t="shared" si="0"/>
        <v>79975</v>
      </c>
      <c r="P49" s="34" t="str">
        <f t="shared" si="2"/>
        <v>PERCENTAGE</v>
      </c>
    </row>
    <row r="50" spans="1:16" x14ac:dyDescent="0.35">
      <c r="A50" s="32" t="str">
        <f t="shared" si="4"/>
        <v>2025 JAN-MEI DISC 75%</v>
      </c>
      <c r="B50" s="33">
        <f t="shared" si="4"/>
        <v>46121</v>
      </c>
      <c r="C50" s="33">
        <f t="shared" si="4"/>
        <v>46127</v>
      </c>
      <c r="D50" s="44">
        <v>3321</v>
      </c>
      <c r="E50" s="44">
        <v>337</v>
      </c>
      <c r="F50" s="68">
        <v>4</v>
      </c>
      <c r="G50" s="23">
        <v>5</v>
      </c>
      <c r="H50" s="23">
        <v>81146</v>
      </c>
      <c r="I50" s="32" t="s">
        <v>2689</v>
      </c>
      <c r="J50" s="22">
        <v>51837173</v>
      </c>
      <c r="K50" s="22" t="s">
        <v>4412</v>
      </c>
      <c r="L50" s="22" t="s">
        <v>4413</v>
      </c>
      <c r="M50" s="24">
        <v>319900</v>
      </c>
      <c r="N50" s="35">
        <v>0.75</v>
      </c>
      <c r="O50" s="69">
        <f t="shared" si="0"/>
        <v>79975</v>
      </c>
      <c r="P50" s="34" t="str">
        <f t="shared" si="2"/>
        <v>PERCENTAGE</v>
      </c>
    </row>
    <row r="51" spans="1:16" x14ac:dyDescent="0.35">
      <c r="A51" s="32" t="str">
        <f t="shared" si="4"/>
        <v>2025 JAN-MEI DISC 75%</v>
      </c>
      <c r="B51" s="33">
        <f t="shared" si="4"/>
        <v>46121</v>
      </c>
      <c r="C51" s="33">
        <f t="shared" si="4"/>
        <v>46127</v>
      </c>
      <c r="D51" s="44">
        <v>3321</v>
      </c>
      <c r="E51" s="44">
        <v>337</v>
      </c>
      <c r="F51" s="68">
        <v>4</v>
      </c>
      <c r="G51" s="23">
        <v>5</v>
      </c>
      <c r="H51" s="23">
        <v>81146</v>
      </c>
      <c r="I51" s="32" t="s">
        <v>2689</v>
      </c>
      <c r="J51" s="22">
        <v>51837182</v>
      </c>
      <c r="K51" s="22" t="s">
        <v>4412</v>
      </c>
      <c r="L51" s="22" t="s">
        <v>4414</v>
      </c>
      <c r="M51" s="24">
        <v>319900</v>
      </c>
      <c r="N51" s="35">
        <v>0.75</v>
      </c>
      <c r="O51" s="69">
        <f t="shared" si="0"/>
        <v>79975</v>
      </c>
      <c r="P51" s="34" t="str">
        <f t="shared" si="2"/>
        <v>PERCENTAGE</v>
      </c>
    </row>
    <row r="52" spans="1:16" x14ac:dyDescent="0.35">
      <c r="A52" s="32" t="str">
        <f t="shared" ref="A52:C67" si="5">A51</f>
        <v>2025 JAN-MEI DISC 75%</v>
      </c>
      <c r="B52" s="33">
        <f t="shared" si="5"/>
        <v>46121</v>
      </c>
      <c r="C52" s="33">
        <f t="shared" si="5"/>
        <v>46127</v>
      </c>
      <c r="D52" s="44">
        <v>3321</v>
      </c>
      <c r="E52" s="44">
        <v>337</v>
      </c>
      <c r="F52" s="68">
        <v>4</v>
      </c>
      <c r="G52" s="23">
        <v>1</v>
      </c>
      <c r="H52" s="23">
        <v>81676</v>
      </c>
      <c r="I52" s="32" t="s">
        <v>2689</v>
      </c>
      <c r="J52" s="22">
        <v>52133038</v>
      </c>
      <c r="K52" s="22" t="s">
        <v>5212</v>
      </c>
      <c r="L52" s="22" t="s">
        <v>5218</v>
      </c>
      <c r="M52" s="24">
        <v>139900</v>
      </c>
      <c r="N52" s="35">
        <v>0.75</v>
      </c>
      <c r="O52" s="69">
        <f t="shared" si="0"/>
        <v>34975</v>
      </c>
      <c r="P52" s="34" t="str">
        <f t="shared" si="2"/>
        <v>PERCENTAGE</v>
      </c>
    </row>
    <row r="53" spans="1:16" x14ac:dyDescent="0.35">
      <c r="A53" s="32" t="str">
        <f t="shared" si="5"/>
        <v>2025 JAN-MEI DISC 75%</v>
      </c>
      <c r="B53" s="33">
        <f t="shared" si="5"/>
        <v>46121</v>
      </c>
      <c r="C53" s="33">
        <f t="shared" si="5"/>
        <v>46127</v>
      </c>
      <c r="D53" s="44">
        <v>3321</v>
      </c>
      <c r="E53" s="44">
        <v>337</v>
      </c>
      <c r="F53" s="68">
        <v>4</v>
      </c>
      <c r="G53" s="23">
        <v>1</v>
      </c>
      <c r="H53" s="23">
        <v>81676</v>
      </c>
      <c r="I53" s="32" t="s">
        <v>2689</v>
      </c>
      <c r="J53" s="22">
        <v>52133047</v>
      </c>
      <c r="K53" s="22" t="s">
        <v>5212</v>
      </c>
      <c r="L53" s="22" t="s">
        <v>5213</v>
      </c>
      <c r="M53" s="24">
        <v>139900</v>
      </c>
      <c r="N53" s="35">
        <v>0.75</v>
      </c>
      <c r="O53" s="69">
        <f t="shared" si="0"/>
        <v>34975</v>
      </c>
      <c r="P53" s="34" t="str">
        <f t="shared" si="2"/>
        <v>PERCENTAGE</v>
      </c>
    </row>
    <row r="54" spans="1:16" x14ac:dyDescent="0.35">
      <c r="A54" s="32" t="str">
        <f t="shared" si="5"/>
        <v>2025 JAN-MEI DISC 75%</v>
      </c>
      <c r="B54" s="33">
        <f t="shared" si="5"/>
        <v>46121</v>
      </c>
      <c r="C54" s="33">
        <f t="shared" si="5"/>
        <v>46127</v>
      </c>
      <c r="D54" s="44">
        <v>3321</v>
      </c>
      <c r="E54" s="44">
        <v>337</v>
      </c>
      <c r="F54" s="68">
        <v>4</v>
      </c>
      <c r="G54" s="23">
        <v>1</v>
      </c>
      <c r="H54" s="23">
        <v>81676</v>
      </c>
      <c r="I54" s="32" t="s">
        <v>2689</v>
      </c>
      <c r="J54" s="22">
        <v>52133056</v>
      </c>
      <c r="K54" s="22" t="s">
        <v>5212</v>
      </c>
      <c r="L54" s="22" t="s">
        <v>5214</v>
      </c>
      <c r="M54" s="24">
        <v>139900</v>
      </c>
      <c r="N54" s="35">
        <v>0.75</v>
      </c>
      <c r="O54" s="69">
        <f t="shared" si="0"/>
        <v>34975</v>
      </c>
      <c r="P54" s="34" t="str">
        <f t="shared" si="2"/>
        <v>PERCENTAGE</v>
      </c>
    </row>
    <row r="55" spans="1:16" x14ac:dyDescent="0.35">
      <c r="A55" s="32" t="str">
        <f t="shared" si="5"/>
        <v>2025 JAN-MEI DISC 75%</v>
      </c>
      <c r="B55" s="33">
        <f t="shared" si="5"/>
        <v>46121</v>
      </c>
      <c r="C55" s="33">
        <f t="shared" si="5"/>
        <v>46127</v>
      </c>
      <c r="D55" s="44">
        <v>3321</v>
      </c>
      <c r="E55" s="44">
        <v>337</v>
      </c>
      <c r="F55" s="68">
        <v>4</v>
      </c>
      <c r="G55" s="23">
        <v>1</v>
      </c>
      <c r="H55" s="23">
        <v>81676</v>
      </c>
      <c r="I55" s="32" t="s">
        <v>2689</v>
      </c>
      <c r="J55" s="22">
        <v>52133065</v>
      </c>
      <c r="K55" s="22" t="s">
        <v>5212</v>
      </c>
      <c r="L55" s="22" t="s">
        <v>5217</v>
      </c>
      <c r="M55" s="24">
        <v>139900</v>
      </c>
      <c r="N55" s="35">
        <v>0.75</v>
      </c>
      <c r="O55" s="69">
        <f t="shared" si="0"/>
        <v>34975</v>
      </c>
      <c r="P55" s="34" t="str">
        <f t="shared" si="2"/>
        <v>PERCENTAGE</v>
      </c>
    </row>
    <row r="56" spans="1:16" x14ac:dyDescent="0.35">
      <c r="A56" s="32" t="str">
        <f t="shared" si="5"/>
        <v>2025 JAN-MEI DISC 75%</v>
      </c>
      <c r="B56" s="33">
        <f t="shared" si="5"/>
        <v>46121</v>
      </c>
      <c r="C56" s="33">
        <f t="shared" si="5"/>
        <v>46127</v>
      </c>
      <c r="D56" s="44">
        <v>3321</v>
      </c>
      <c r="E56" s="44">
        <v>337</v>
      </c>
      <c r="F56" s="68">
        <v>4</v>
      </c>
      <c r="G56" s="23">
        <v>1</v>
      </c>
      <c r="H56" s="23">
        <v>81676</v>
      </c>
      <c r="I56" s="32" t="s">
        <v>2689</v>
      </c>
      <c r="J56" s="22">
        <v>52133118</v>
      </c>
      <c r="K56" s="22" t="s">
        <v>5215</v>
      </c>
      <c r="L56" s="22" t="s">
        <v>5221</v>
      </c>
      <c r="M56" s="24">
        <v>139900</v>
      </c>
      <c r="N56" s="35">
        <v>0.75</v>
      </c>
      <c r="O56" s="69">
        <f t="shared" si="0"/>
        <v>34975</v>
      </c>
      <c r="P56" s="34" t="str">
        <f t="shared" si="2"/>
        <v>PERCENTAGE</v>
      </c>
    </row>
    <row r="57" spans="1:16" x14ac:dyDescent="0.35">
      <c r="A57" s="32" t="str">
        <f t="shared" si="5"/>
        <v>2025 JAN-MEI DISC 75%</v>
      </c>
      <c r="B57" s="33">
        <f t="shared" si="5"/>
        <v>46121</v>
      </c>
      <c r="C57" s="33">
        <f t="shared" si="5"/>
        <v>46127</v>
      </c>
      <c r="D57" s="44">
        <v>3321</v>
      </c>
      <c r="E57" s="44">
        <v>337</v>
      </c>
      <c r="F57" s="68">
        <v>4</v>
      </c>
      <c r="G57" s="23">
        <v>1</v>
      </c>
      <c r="H57" s="23">
        <v>81676</v>
      </c>
      <c r="I57" s="32" t="s">
        <v>2689</v>
      </c>
      <c r="J57" s="22">
        <v>52133127</v>
      </c>
      <c r="K57" s="22" t="s">
        <v>5215</v>
      </c>
      <c r="L57" s="22" t="s">
        <v>5216</v>
      </c>
      <c r="M57" s="24">
        <v>139900</v>
      </c>
      <c r="N57" s="35">
        <v>0.75</v>
      </c>
      <c r="O57" s="69">
        <f t="shared" si="0"/>
        <v>34975</v>
      </c>
      <c r="P57" s="34" t="str">
        <f t="shared" si="2"/>
        <v>PERCENTAGE</v>
      </c>
    </row>
    <row r="58" spans="1:16" x14ac:dyDescent="0.35">
      <c r="A58" s="32" t="str">
        <f t="shared" si="5"/>
        <v>2025 JAN-MEI DISC 75%</v>
      </c>
      <c r="B58" s="33">
        <f t="shared" si="5"/>
        <v>46121</v>
      </c>
      <c r="C58" s="33">
        <f t="shared" si="5"/>
        <v>46127</v>
      </c>
      <c r="D58" s="44">
        <v>3321</v>
      </c>
      <c r="E58" s="44">
        <v>337</v>
      </c>
      <c r="F58" s="68">
        <v>4</v>
      </c>
      <c r="G58" s="23">
        <v>1</v>
      </c>
      <c r="H58" s="23">
        <v>81676</v>
      </c>
      <c r="I58" s="32" t="s">
        <v>2689</v>
      </c>
      <c r="J58" s="22">
        <v>52133136</v>
      </c>
      <c r="K58" s="22" t="s">
        <v>5215</v>
      </c>
      <c r="L58" s="22" t="s">
        <v>5219</v>
      </c>
      <c r="M58" s="24">
        <v>139900</v>
      </c>
      <c r="N58" s="35">
        <v>0.75</v>
      </c>
      <c r="O58" s="69">
        <f t="shared" si="0"/>
        <v>34975</v>
      </c>
      <c r="P58" s="34" t="str">
        <f t="shared" si="2"/>
        <v>PERCENTAGE</v>
      </c>
    </row>
    <row r="59" spans="1:16" x14ac:dyDescent="0.35">
      <c r="A59" s="32" t="str">
        <f t="shared" si="5"/>
        <v>2025 JAN-MEI DISC 75%</v>
      </c>
      <c r="B59" s="33">
        <f t="shared" si="5"/>
        <v>46121</v>
      </c>
      <c r="C59" s="33">
        <f t="shared" si="5"/>
        <v>46127</v>
      </c>
      <c r="D59" s="44">
        <v>3321</v>
      </c>
      <c r="E59" s="44">
        <v>337</v>
      </c>
      <c r="F59" s="68">
        <v>4</v>
      </c>
      <c r="G59" s="23">
        <v>1</v>
      </c>
      <c r="H59" s="23">
        <v>81676</v>
      </c>
      <c r="I59" s="32" t="s">
        <v>2689</v>
      </c>
      <c r="J59" s="22">
        <v>52133145</v>
      </c>
      <c r="K59" s="22" t="s">
        <v>5215</v>
      </c>
      <c r="L59" s="22" t="s">
        <v>5220</v>
      </c>
      <c r="M59" s="24">
        <v>139900</v>
      </c>
      <c r="N59" s="35">
        <v>0.75</v>
      </c>
      <c r="O59" s="69">
        <f t="shared" si="0"/>
        <v>34975</v>
      </c>
      <c r="P59" s="34" t="str">
        <f t="shared" si="2"/>
        <v>PERCENTAGE</v>
      </c>
    </row>
    <row r="60" spans="1:16" x14ac:dyDescent="0.35">
      <c r="A60" s="32" t="str">
        <f t="shared" si="5"/>
        <v>2025 JAN-MEI DISC 75%</v>
      </c>
      <c r="B60" s="33">
        <f t="shared" si="5"/>
        <v>46121</v>
      </c>
      <c r="C60" s="33">
        <f t="shared" si="5"/>
        <v>46127</v>
      </c>
      <c r="D60" s="44">
        <v>3321</v>
      </c>
      <c r="E60" s="44">
        <v>337</v>
      </c>
      <c r="F60" s="68">
        <v>4</v>
      </c>
      <c r="G60" s="23">
        <v>3</v>
      </c>
      <c r="H60" s="23">
        <v>81588</v>
      </c>
      <c r="I60" s="32" t="s">
        <v>2689</v>
      </c>
      <c r="J60" s="22">
        <v>52555403</v>
      </c>
      <c r="K60" s="22" t="s">
        <v>5234</v>
      </c>
      <c r="L60" s="22" t="s">
        <v>5238</v>
      </c>
      <c r="M60" s="24">
        <v>299900</v>
      </c>
      <c r="N60" s="35">
        <v>0.75</v>
      </c>
      <c r="O60" s="69">
        <f t="shared" si="0"/>
        <v>74975</v>
      </c>
      <c r="P60" s="34" t="str">
        <f t="shared" si="2"/>
        <v>PERCENTAGE</v>
      </c>
    </row>
    <row r="61" spans="1:16" x14ac:dyDescent="0.35">
      <c r="A61" s="32" t="str">
        <f t="shared" si="5"/>
        <v>2025 JAN-MEI DISC 75%</v>
      </c>
      <c r="B61" s="33">
        <f t="shared" si="5"/>
        <v>46121</v>
      </c>
      <c r="C61" s="33">
        <f t="shared" si="5"/>
        <v>46127</v>
      </c>
      <c r="D61" s="44">
        <v>3321</v>
      </c>
      <c r="E61" s="44">
        <v>337</v>
      </c>
      <c r="F61" s="68">
        <v>4</v>
      </c>
      <c r="G61" s="23">
        <v>3</v>
      </c>
      <c r="H61" s="23">
        <v>81588</v>
      </c>
      <c r="I61" s="32" t="s">
        <v>2689</v>
      </c>
      <c r="J61" s="22">
        <v>52555412</v>
      </c>
      <c r="K61" s="22" t="s">
        <v>5234</v>
      </c>
      <c r="L61" s="22" t="s">
        <v>5235</v>
      </c>
      <c r="M61" s="24">
        <v>299900</v>
      </c>
      <c r="N61" s="35">
        <v>0.75</v>
      </c>
      <c r="O61" s="69">
        <f t="shared" si="0"/>
        <v>74975</v>
      </c>
      <c r="P61" s="34" t="str">
        <f t="shared" si="2"/>
        <v>PERCENTAGE</v>
      </c>
    </row>
    <row r="62" spans="1:16" x14ac:dyDescent="0.35">
      <c r="A62" s="32" t="str">
        <f t="shared" si="5"/>
        <v>2025 JAN-MEI DISC 75%</v>
      </c>
      <c r="B62" s="33">
        <f t="shared" si="5"/>
        <v>46121</v>
      </c>
      <c r="C62" s="33">
        <f t="shared" si="5"/>
        <v>46127</v>
      </c>
      <c r="D62" s="44">
        <v>3321</v>
      </c>
      <c r="E62" s="44">
        <v>337</v>
      </c>
      <c r="F62" s="68">
        <v>4</v>
      </c>
      <c r="G62" s="23">
        <v>3</v>
      </c>
      <c r="H62" s="23">
        <v>81588</v>
      </c>
      <c r="I62" s="32" t="s">
        <v>2689</v>
      </c>
      <c r="J62" s="22">
        <v>52555421</v>
      </c>
      <c r="K62" s="22" t="s">
        <v>5234</v>
      </c>
      <c r="L62" s="22" t="s">
        <v>5236</v>
      </c>
      <c r="M62" s="24">
        <v>299900</v>
      </c>
      <c r="N62" s="35">
        <v>0.75</v>
      </c>
      <c r="O62" s="69">
        <f t="shared" si="0"/>
        <v>74975</v>
      </c>
      <c r="P62" s="34" t="str">
        <f t="shared" si="2"/>
        <v>PERCENTAGE</v>
      </c>
    </row>
    <row r="63" spans="1:16" x14ac:dyDescent="0.35">
      <c r="A63" s="32" t="str">
        <f t="shared" si="5"/>
        <v>2025 JAN-MEI DISC 75%</v>
      </c>
      <c r="B63" s="33">
        <f t="shared" si="5"/>
        <v>46121</v>
      </c>
      <c r="C63" s="33">
        <f t="shared" si="5"/>
        <v>46127</v>
      </c>
      <c r="D63" s="44">
        <v>3321</v>
      </c>
      <c r="E63" s="44">
        <v>337</v>
      </c>
      <c r="F63" s="68">
        <v>4</v>
      </c>
      <c r="G63" s="23">
        <v>3</v>
      </c>
      <c r="H63" s="23">
        <v>81588</v>
      </c>
      <c r="I63" s="32" t="s">
        <v>2689</v>
      </c>
      <c r="J63" s="22">
        <v>52555430</v>
      </c>
      <c r="K63" s="22" t="s">
        <v>5234</v>
      </c>
      <c r="L63" s="22" t="s">
        <v>5237</v>
      </c>
      <c r="M63" s="24">
        <v>299900</v>
      </c>
      <c r="N63" s="35">
        <v>0.75</v>
      </c>
      <c r="O63" s="69">
        <f t="shared" si="0"/>
        <v>74975</v>
      </c>
      <c r="P63" s="34" t="str">
        <f t="shared" si="2"/>
        <v>PERCENTAGE</v>
      </c>
    </row>
    <row r="64" spans="1:16" x14ac:dyDescent="0.35">
      <c r="A64" s="32" t="str">
        <f t="shared" si="5"/>
        <v>2025 JAN-MEI DISC 75%</v>
      </c>
      <c r="B64" s="33">
        <f t="shared" si="5"/>
        <v>46121</v>
      </c>
      <c r="C64" s="33">
        <f t="shared" si="5"/>
        <v>46127</v>
      </c>
      <c r="D64" s="44">
        <v>3321</v>
      </c>
      <c r="E64" s="44">
        <v>337</v>
      </c>
      <c r="F64" s="68">
        <v>4</v>
      </c>
      <c r="G64" s="23">
        <v>3</v>
      </c>
      <c r="H64" s="23">
        <v>81588</v>
      </c>
      <c r="I64" s="32" t="s">
        <v>2689</v>
      </c>
      <c r="J64" s="22">
        <v>51607297</v>
      </c>
      <c r="K64" s="22" t="s">
        <v>5239</v>
      </c>
      <c r="L64" s="22" t="s">
        <v>5242</v>
      </c>
      <c r="M64" s="24">
        <v>279900</v>
      </c>
      <c r="N64" s="35">
        <v>0.75</v>
      </c>
      <c r="O64" s="69">
        <f t="shared" si="0"/>
        <v>69975</v>
      </c>
      <c r="P64" s="34" t="str">
        <f t="shared" si="2"/>
        <v>PERCENTAGE</v>
      </c>
    </row>
    <row r="65" spans="1:16" x14ac:dyDescent="0.35">
      <c r="A65" s="32" t="str">
        <f t="shared" si="5"/>
        <v>2025 JAN-MEI DISC 75%</v>
      </c>
      <c r="B65" s="33">
        <f t="shared" si="5"/>
        <v>46121</v>
      </c>
      <c r="C65" s="33">
        <f t="shared" si="5"/>
        <v>46127</v>
      </c>
      <c r="D65" s="44">
        <v>3321</v>
      </c>
      <c r="E65" s="44">
        <v>337</v>
      </c>
      <c r="F65" s="68">
        <v>4</v>
      </c>
      <c r="G65" s="23">
        <v>3</v>
      </c>
      <c r="H65" s="23">
        <v>81588</v>
      </c>
      <c r="I65" s="32" t="s">
        <v>2689</v>
      </c>
      <c r="J65" s="22">
        <v>51607304</v>
      </c>
      <c r="K65" s="22" t="s">
        <v>5239</v>
      </c>
      <c r="L65" s="22" t="s">
        <v>5243</v>
      </c>
      <c r="M65" s="24">
        <v>279900</v>
      </c>
      <c r="N65" s="35">
        <v>0.75</v>
      </c>
      <c r="O65" s="69">
        <f t="shared" si="0"/>
        <v>69975</v>
      </c>
      <c r="P65" s="34" t="str">
        <f t="shared" si="2"/>
        <v>PERCENTAGE</v>
      </c>
    </row>
    <row r="66" spans="1:16" x14ac:dyDescent="0.35">
      <c r="A66" s="32" t="str">
        <f t="shared" si="5"/>
        <v>2025 JAN-MEI DISC 75%</v>
      </c>
      <c r="B66" s="33">
        <f t="shared" si="5"/>
        <v>46121</v>
      </c>
      <c r="C66" s="33">
        <f t="shared" si="5"/>
        <v>46127</v>
      </c>
      <c r="D66" s="44">
        <v>3321</v>
      </c>
      <c r="E66" s="44">
        <v>337</v>
      </c>
      <c r="F66" s="68">
        <v>4</v>
      </c>
      <c r="G66" s="23">
        <v>3</v>
      </c>
      <c r="H66" s="23">
        <v>81588</v>
      </c>
      <c r="I66" s="32" t="s">
        <v>2689</v>
      </c>
      <c r="J66" s="22">
        <v>51607313</v>
      </c>
      <c r="K66" s="22" t="s">
        <v>5239</v>
      </c>
      <c r="L66" s="22" t="s">
        <v>5241</v>
      </c>
      <c r="M66" s="24">
        <v>279900</v>
      </c>
      <c r="N66" s="35">
        <v>0.75</v>
      </c>
      <c r="O66" s="69">
        <f t="shared" si="0"/>
        <v>69975</v>
      </c>
      <c r="P66" s="34" t="str">
        <f t="shared" si="2"/>
        <v>PERCENTAGE</v>
      </c>
    </row>
    <row r="67" spans="1:16" x14ac:dyDescent="0.35">
      <c r="A67" s="32" t="str">
        <f t="shared" si="5"/>
        <v>2025 JAN-MEI DISC 75%</v>
      </c>
      <c r="B67" s="33">
        <f t="shared" si="5"/>
        <v>46121</v>
      </c>
      <c r="C67" s="33">
        <f t="shared" si="5"/>
        <v>46127</v>
      </c>
      <c r="D67" s="44">
        <v>3321</v>
      </c>
      <c r="E67" s="44">
        <v>337</v>
      </c>
      <c r="F67" s="68">
        <v>4</v>
      </c>
      <c r="G67" s="23">
        <v>3</v>
      </c>
      <c r="H67" s="23">
        <v>81588</v>
      </c>
      <c r="I67" s="32" t="s">
        <v>2689</v>
      </c>
      <c r="J67" s="22">
        <v>51607322</v>
      </c>
      <c r="K67" s="22" t="s">
        <v>5239</v>
      </c>
      <c r="L67" s="22" t="s">
        <v>5240</v>
      </c>
      <c r="M67" s="24">
        <v>279900</v>
      </c>
      <c r="N67" s="35">
        <v>0.75</v>
      </c>
      <c r="O67" s="69">
        <f t="shared" ref="O67:O130" si="6">M67-((75*M67)/100)</f>
        <v>69975</v>
      </c>
      <c r="P67" s="34" t="str">
        <f t="shared" si="2"/>
        <v>PERCENTAGE</v>
      </c>
    </row>
    <row r="68" spans="1:16" x14ac:dyDescent="0.35">
      <c r="A68" s="32" t="str">
        <f t="shared" ref="A68:C83" si="7">A67</f>
        <v>2025 JAN-MEI DISC 75%</v>
      </c>
      <c r="B68" s="33">
        <f t="shared" si="7"/>
        <v>46121</v>
      </c>
      <c r="C68" s="33">
        <f t="shared" si="7"/>
        <v>46127</v>
      </c>
      <c r="D68" s="44">
        <v>3321</v>
      </c>
      <c r="E68" s="44">
        <v>337</v>
      </c>
      <c r="F68" s="68">
        <v>4</v>
      </c>
      <c r="G68" s="23">
        <v>3</v>
      </c>
      <c r="H68" s="23">
        <v>81588</v>
      </c>
      <c r="I68" s="32" t="s">
        <v>2689</v>
      </c>
      <c r="J68" s="22">
        <v>51607331</v>
      </c>
      <c r="K68" s="22" t="s">
        <v>5267</v>
      </c>
      <c r="L68" s="22" t="s">
        <v>5271</v>
      </c>
      <c r="M68" s="24">
        <v>279900</v>
      </c>
      <c r="N68" s="35">
        <v>0.75</v>
      </c>
      <c r="O68" s="69">
        <f t="shared" si="6"/>
        <v>69975</v>
      </c>
      <c r="P68" s="34" t="str">
        <f t="shared" ref="P68:P131" si="8">P67</f>
        <v>PERCENTAGE</v>
      </c>
    </row>
    <row r="69" spans="1:16" x14ac:dyDescent="0.35">
      <c r="A69" s="32" t="str">
        <f t="shared" si="7"/>
        <v>2025 JAN-MEI DISC 75%</v>
      </c>
      <c r="B69" s="33">
        <f t="shared" si="7"/>
        <v>46121</v>
      </c>
      <c r="C69" s="33">
        <f t="shared" si="7"/>
        <v>46127</v>
      </c>
      <c r="D69" s="44">
        <v>3321</v>
      </c>
      <c r="E69" s="44">
        <v>337</v>
      </c>
      <c r="F69" s="68">
        <v>4</v>
      </c>
      <c r="G69" s="23">
        <v>3</v>
      </c>
      <c r="H69" s="23">
        <v>81588</v>
      </c>
      <c r="I69" s="32" t="s">
        <v>2689</v>
      </c>
      <c r="J69" s="22">
        <v>51607340</v>
      </c>
      <c r="K69" s="22" t="s">
        <v>5267</v>
      </c>
      <c r="L69" s="22" t="s">
        <v>5268</v>
      </c>
      <c r="M69" s="24">
        <v>279900</v>
      </c>
      <c r="N69" s="35">
        <v>0.75</v>
      </c>
      <c r="O69" s="69">
        <f t="shared" si="6"/>
        <v>69975</v>
      </c>
      <c r="P69" s="34" t="str">
        <f t="shared" si="8"/>
        <v>PERCENTAGE</v>
      </c>
    </row>
    <row r="70" spans="1:16" x14ac:dyDescent="0.35">
      <c r="A70" s="32" t="str">
        <f t="shared" si="7"/>
        <v>2025 JAN-MEI DISC 75%</v>
      </c>
      <c r="B70" s="33">
        <f t="shared" si="7"/>
        <v>46121</v>
      </c>
      <c r="C70" s="33">
        <f t="shared" si="7"/>
        <v>46127</v>
      </c>
      <c r="D70" s="44">
        <v>3321</v>
      </c>
      <c r="E70" s="44">
        <v>337</v>
      </c>
      <c r="F70" s="68">
        <v>4</v>
      </c>
      <c r="G70" s="23">
        <v>3</v>
      </c>
      <c r="H70" s="23">
        <v>81588</v>
      </c>
      <c r="I70" s="32" t="s">
        <v>2689</v>
      </c>
      <c r="J70" s="22">
        <v>51607359</v>
      </c>
      <c r="K70" s="22" t="s">
        <v>5267</v>
      </c>
      <c r="L70" s="22" t="s">
        <v>5270</v>
      </c>
      <c r="M70" s="24">
        <v>279900</v>
      </c>
      <c r="N70" s="35">
        <v>0.75</v>
      </c>
      <c r="O70" s="69">
        <f t="shared" si="6"/>
        <v>69975</v>
      </c>
      <c r="P70" s="34" t="str">
        <f t="shared" si="8"/>
        <v>PERCENTAGE</v>
      </c>
    </row>
    <row r="71" spans="1:16" x14ac:dyDescent="0.35">
      <c r="A71" s="32" t="str">
        <f t="shared" si="7"/>
        <v>2025 JAN-MEI DISC 75%</v>
      </c>
      <c r="B71" s="33">
        <f t="shared" si="7"/>
        <v>46121</v>
      </c>
      <c r="C71" s="33">
        <f t="shared" si="7"/>
        <v>46127</v>
      </c>
      <c r="D71" s="44">
        <v>3321</v>
      </c>
      <c r="E71" s="44">
        <v>337</v>
      </c>
      <c r="F71" s="68">
        <v>4</v>
      </c>
      <c r="G71" s="23">
        <v>3</v>
      </c>
      <c r="H71" s="23">
        <v>81588</v>
      </c>
      <c r="I71" s="32" t="s">
        <v>2689</v>
      </c>
      <c r="J71" s="22">
        <v>51607368</v>
      </c>
      <c r="K71" s="22" t="s">
        <v>5267</v>
      </c>
      <c r="L71" s="22" t="s">
        <v>5269</v>
      </c>
      <c r="M71" s="24">
        <v>279900</v>
      </c>
      <c r="N71" s="35">
        <v>0.75</v>
      </c>
      <c r="O71" s="69">
        <f t="shared" si="6"/>
        <v>69975</v>
      </c>
      <c r="P71" s="34" t="str">
        <f t="shared" si="8"/>
        <v>PERCENTAGE</v>
      </c>
    </row>
    <row r="72" spans="1:16" x14ac:dyDescent="0.35">
      <c r="A72" s="32" t="str">
        <f t="shared" si="7"/>
        <v>2025 JAN-MEI DISC 75%</v>
      </c>
      <c r="B72" s="33">
        <f t="shared" si="7"/>
        <v>46121</v>
      </c>
      <c r="C72" s="33">
        <f t="shared" si="7"/>
        <v>46127</v>
      </c>
      <c r="D72" s="44">
        <v>3321</v>
      </c>
      <c r="E72" s="44">
        <v>337</v>
      </c>
      <c r="F72" s="68">
        <v>4</v>
      </c>
      <c r="G72" s="23">
        <v>4</v>
      </c>
      <c r="H72" s="23">
        <v>81588</v>
      </c>
      <c r="I72" s="32" t="s">
        <v>2689</v>
      </c>
      <c r="J72" s="22">
        <v>52555485</v>
      </c>
      <c r="K72" s="22" t="s">
        <v>5244</v>
      </c>
      <c r="L72" s="22" t="s">
        <v>5245</v>
      </c>
      <c r="M72" s="24">
        <v>249900</v>
      </c>
      <c r="N72" s="35">
        <v>0.75</v>
      </c>
      <c r="O72" s="69">
        <f t="shared" si="6"/>
        <v>62475</v>
      </c>
      <c r="P72" s="34" t="str">
        <f t="shared" si="8"/>
        <v>PERCENTAGE</v>
      </c>
    </row>
    <row r="73" spans="1:16" x14ac:dyDescent="0.35">
      <c r="A73" s="32" t="str">
        <f t="shared" si="7"/>
        <v>2025 JAN-MEI DISC 75%</v>
      </c>
      <c r="B73" s="33">
        <f t="shared" si="7"/>
        <v>46121</v>
      </c>
      <c r="C73" s="33">
        <f t="shared" si="7"/>
        <v>46127</v>
      </c>
      <c r="D73" s="44">
        <v>3321</v>
      </c>
      <c r="E73" s="44">
        <v>337</v>
      </c>
      <c r="F73" s="68">
        <v>4</v>
      </c>
      <c r="G73" s="23">
        <v>4</v>
      </c>
      <c r="H73" s="23">
        <v>81588</v>
      </c>
      <c r="I73" s="32" t="s">
        <v>2689</v>
      </c>
      <c r="J73" s="22">
        <v>52555494</v>
      </c>
      <c r="K73" s="22" t="s">
        <v>5244</v>
      </c>
      <c r="L73" s="22" t="s">
        <v>5247</v>
      </c>
      <c r="M73" s="24">
        <v>249900</v>
      </c>
      <c r="N73" s="35">
        <v>0.75</v>
      </c>
      <c r="O73" s="69">
        <f t="shared" si="6"/>
        <v>62475</v>
      </c>
      <c r="P73" s="34" t="str">
        <f t="shared" si="8"/>
        <v>PERCENTAGE</v>
      </c>
    </row>
    <row r="74" spans="1:16" x14ac:dyDescent="0.35">
      <c r="A74" s="32" t="str">
        <f t="shared" si="7"/>
        <v>2025 JAN-MEI DISC 75%</v>
      </c>
      <c r="B74" s="33">
        <f t="shared" si="7"/>
        <v>46121</v>
      </c>
      <c r="C74" s="33">
        <f t="shared" si="7"/>
        <v>46127</v>
      </c>
      <c r="D74" s="44">
        <v>3321</v>
      </c>
      <c r="E74" s="44">
        <v>337</v>
      </c>
      <c r="F74" s="68">
        <v>4</v>
      </c>
      <c r="G74" s="23">
        <v>4</v>
      </c>
      <c r="H74" s="23">
        <v>81588</v>
      </c>
      <c r="I74" s="32" t="s">
        <v>2689</v>
      </c>
      <c r="J74" s="22">
        <v>52555501</v>
      </c>
      <c r="K74" s="22" t="s">
        <v>5244</v>
      </c>
      <c r="L74" s="22" t="s">
        <v>5246</v>
      </c>
      <c r="M74" s="24">
        <v>249900</v>
      </c>
      <c r="N74" s="35">
        <v>0.75</v>
      </c>
      <c r="O74" s="69">
        <f t="shared" si="6"/>
        <v>62475</v>
      </c>
      <c r="P74" s="34" t="str">
        <f t="shared" si="8"/>
        <v>PERCENTAGE</v>
      </c>
    </row>
    <row r="75" spans="1:16" x14ac:dyDescent="0.35">
      <c r="A75" s="32" t="str">
        <f t="shared" si="7"/>
        <v>2025 JAN-MEI DISC 75%</v>
      </c>
      <c r="B75" s="33">
        <f t="shared" si="7"/>
        <v>46121</v>
      </c>
      <c r="C75" s="33">
        <f t="shared" si="7"/>
        <v>46127</v>
      </c>
      <c r="D75" s="44">
        <v>3321</v>
      </c>
      <c r="E75" s="44">
        <v>337</v>
      </c>
      <c r="F75" s="68">
        <v>4</v>
      </c>
      <c r="G75" s="23">
        <v>4</v>
      </c>
      <c r="H75" s="23">
        <v>81588</v>
      </c>
      <c r="I75" s="32" t="s">
        <v>2689</v>
      </c>
      <c r="J75" s="22">
        <v>52555510</v>
      </c>
      <c r="K75" s="22" t="s">
        <v>5244</v>
      </c>
      <c r="L75" s="22" t="s">
        <v>5248</v>
      </c>
      <c r="M75" s="24">
        <v>249900</v>
      </c>
      <c r="N75" s="35">
        <v>0.75</v>
      </c>
      <c r="O75" s="69">
        <f t="shared" si="6"/>
        <v>62475</v>
      </c>
      <c r="P75" s="34" t="str">
        <f t="shared" si="8"/>
        <v>PERCENTAGE</v>
      </c>
    </row>
    <row r="76" spans="1:16" x14ac:dyDescent="0.35">
      <c r="A76" s="32" t="str">
        <f t="shared" si="7"/>
        <v>2025 JAN-MEI DISC 75%</v>
      </c>
      <c r="B76" s="33">
        <f t="shared" si="7"/>
        <v>46121</v>
      </c>
      <c r="C76" s="33">
        <f t="shared" si="7"/>
        <v>46127</v>
      </c>
      <c r="D76" s="44">
        <v>3321</v>
      </c>
      <c r="E76" s="44">
        <v>337</v>
      </c>
      <c r="F76" s="68">
        <v>4</v>
      </c>
      <c r="G76" s="23">
        <v>5</v>
      </c>
      <c r="H76" s="23">
        <v>81005</v>
      </c>
      <c r="I76" s="32" t="s">
        <v>2689</v>
      </c>
      <c r="J76" s="22">
        <v>52133403</v>
      </c>
      <c r="K76" s="22" t="s">
        <v>5249</v>
      </c>
      <c r="L76" s="22" t="s">
        <v>5252</v>
      </c>
      <c r="M76" s="24">
        <v>299900</v>
      </c>
      <c r="N76" s="35">
        <v>0.75</v>
      </c>
      <c r="O76" s="69">
        <f t="shared" si="6"/>
        <v>74975</v>
      </c>
      <c r="P76" s="34" t="str">
        <f t="shared" si="8"/>
        <v>PERCENTAGE</v>
      </c>
    </row>
    <row r="77" spans="1:16" x14ac:dyDescent="0.35">
      <c r="A77" s="32" t="str">
        <f t="shared" si="7"/>
        <v>2025 JAN-MEI DISC 75%</v>
      </c>
      <c r="B77" s="33">
        <f t="shared" si="7"/>
        <v>46121</v>
      </c>
      <c r="C77" s="33">
        <f t="shared" si="7"/>
        <v>46127</v>
      </c>
      <c r="D77" s="44">
        <v>3321</v>
      </c>
      <c r="E77" s="44">
        <v>337</v>
      </c>
      <c r="F77" s="68">
        <v>4</v>
      </c>
      <c r="G77" s="23">
        <v>5</v>
      </c>
      <c r="H77" s="23">
        <v>81005</v>
      </c>
      <c r="I77" s="32" t="s">
        <v>2689</v>
      </c>
      <c r="J77" s="22">
        <v>52133412</v>
      </c>
      <c r="K77" s="22" t="s">
        <v>5249</v>
      </c>
      <c r="L77" s="22" t="s">
        <v>5251</v>
      </c>
      <c r="M77" s="24">
        <v>299900</v>
      </c>
      <c r="N77" s="35">
        <v>0.75</v>
      </c>
      <c r="O77" s="69">
        <f t="shared" si="6"/>
        <v>74975</v>
      </c>
      <c r="P77" s="34" t="str">
        <f t="shared" si="8"/>
        <v>PERCENTAGE</v>
      </c>
    </row>
    <row r="78" spans="1:16" x14ac:dyDescent="0.35">
      <c r="A78" s="32" t="str">
        <f t="shared" si="7"/>
        <v>2025 JAN-MEI DISC 75%</v>
      </c>
      <c r="B78" s="33">
        <f t="shared" si="7"/>
        <v>46121</v>
      </c>
      <c r="C78" s="33">
        <f t="shared" si="7"/>
        <v>46127</v>
      </c>
      <c r="D78" s="44">
        <v>3321</v>
      </c>
      <c r="E78" s="44">
        <v>337</v>
      </c>
      <c r="F78" s="68">
        <v>4</v>
      </c>
      <c r="G78" s="23">
        <v>5</v>
      </c>
      <c r="H78" s="23">
        <v>81005</v>
      </c>
      <c r="I78" s="32" t="s">
        <v>2689</v>
      </c>
      <c r="J78" s="22">
        <v>52133421</v>
      </c>
      <c r="K78" s="22" t="s">
        <v>5249</v>
      </c>
      <c r="L78" s="22" t="s">
        <v>5255</v>
      </c>
      <c r="M78" s="24">
        <v>299900</v>
      </c>
      <c r="N78" s="35">
        <v>0.75</v>
      </c>
      <c r="O78" s="69">
        <f t="shared" si="6"/>
        <v>74975</v>
      </c>
      <c r="P78" s="34" t="str">
        <f t="shared" si="8"/>
        <v>PERCENTAGE</v>
      </c>
    </row>
    <row r="79" spans="1:16" x14ac:dyDescent="0.35">
      <c r="A79" s="32" t="str">
        <f t="shared" si="7"/>
        <v>2025 JAN-MEI DISC 75%</v>
      </c>
      <c r="B79" s="33">
        <f t="shared" si="7"/>
        <v>46121</v>
      </c>
      <c r="C79" s="33">
        <f t="shared" si="7"/>
        <v>46127</v>
      </c>
      <c r="D79" s="44">
        <v>3321</v>
      </c>
      <c r="E79" s="44">
        <v>337</v>
      </c>
      <c r="F79" s="68">
        <v>4</v>
      </c>
      <c r="G79" s="23">
        <v>5</v>
      </c>
      <c r="H79" s="23">
        <v>81005</v>
      </c>
      <c r="I79" s="32" t="s">
        <v>2689</v>
      </c>
      <c r="J79" s="22">
        <v>52133430</v>
      </c>
      <c r="K79" s="22" t="s">
        <v>5249</v>
      </c>
      <c r="L79" s="22" t="s">
        <v>5254</v>
      </c>
      <c r="M79" s="24">
        <v>299900</v>
      </c>
      <c r="N79" s="35">
        <v>0.75</v>
      </c>
      <c r="O79" s="69">
        <f t="shared" si="6"/>
        <v>74975</v>
      </c>
      <c r="P79" s="34" t="str">
        <f t="shared" si="8"/>
        <v>PERCENTAGE</v>
      </c>
    </row>
    <row r="80" spans="1:16" x14ac:dyDescent="0.35">
      <c r="A80" s="32" t="str">
        <f t="shared" si="7"/>
        <v>2025 JAN-MEI DISC 75%</v>
      </c>
      <c r="B80" s="33">
        <f t="shared" si="7"/>
        <v>46121</v>
      </c>
      <c r="C80" s="33">
        <f t="shared" si="7"/>
        <v>46127</v>
      </c>
      <c r="D80" s="44">
        <v>3321</v>
      </c>
      <c r="E80" s="44">
        <v>337</v>
      </c>
      <c r="F80" s="68">
        <v>4</v>
      </c>
      <c r="G80" s="23">
        <v>5</v>
      </c>
      <c r="H80" s="23">
        <v>81005</v>
      </c>
      <c r="I80" s="32" t="s">
        <v>2689</v>
      </c>
      <c r="J80" s="22">
        <v>52133449</v>
      </c>
      <c r="K80" s="22" t="s">
        <v>5249</v>
      </c>
      <c r="L80" s="22" t="s">
        <v>5250</v>
      </c>
      <c r="M80" s="24">
        <v>299900</v>
      </c>
      <c r="N80" s="35">
        <v>0.75</v>
      </c>
      <c r="O80" s="69">
        <f t="shared" si="6"/>
        <v>74975</v>
      </c>
      <c r="P80" s="34" t="str">
        <f t="shared" si="8"/>
        <v>PERCENTAGE</v>
      </c>
    </row>
    <row r="81" spans="1:16" x14ac:dyDescent="0.35">
      <c r="A81" s="32" t="str">
        <f t="shared" si="7"/>
        <v>2025 JAN-MEI DISC 75%</v>
      </c>
      <c r="B81" s="33">
        <f t="shared" si="7"/>
        <v>46121</v>
      </c>
      <c r="C81" s="33">
        <f t="shared" si="7"/>
        <v>46127</v>
      </c>
      <c r="D81" s="44">
        <v>3321</v>
      </c>
      <c r="E81" s="44">
        <v>337</v>
      </c>
      <c r="F81" s="68">
        <v>4</v>
      </c>
      <c r="G81" s="23">
        <v>5</v>
      </c>
      <c r="H81" s="23">
        <v>81005</v>
      </c>
      <c r="I81" s="32" t="s">
        <v>2689</v>
      </c>
      <c r="J81" s="22">
        <v>52133458</v>
      </c>
      <c r="K81" s="22" t="s">
        <v>5249</v>
      </c>
      <c r="L81" s="22" t="s">
        <v>5253</v>
      </c>
      <c r="M81" s="24">
        <v>299900</v>
      </c>
      <c r="N81" s="35">
        <v>0.75</v>
      </c>
      <c r="O81" s="69">
        <f t="shared" si="6"/>
        <v>74975</v>
      </c>
      <c r="P81" s="34" t="str">
        <f t="shared" si="8"/>
        <v>PERCENTAGE</v>
      </c>
    </row>
    <row r="82" spans="1:16" x14ac:dyDescent="0.35">
      <c r="A82" s="32" t="str">
        <f t="shared" si="7"/>
        <v>2025 JAN-MEI DISC 75%</v>
      </c>
      <c r="B82" s="33">
        <f t="shared" si="7"/>
        <v>46121</v>
      </c>
      <c r="C82" s="33">
        <f t="shared" si="7"/>
        <v>46127</v>
      </c>
      <c r="D82" s="44">
        <v>3321</v>
      </c>
      <c r="E82" s="44">
        <v>337</v>
      </c>
      <c r="F82" s="68">
        <v>4</v>
      </c>
      <c r="G82" s="23">
        <v>5</v>
      </c>
      <c r="H82" s="23">
        <v>81005</v>
      </c>
      <c r="I82" s="32" t="s">
        <v>2689</v>
      </c>
      <c r="J82" s="22">
        <v>52133467</v>
      </c>
      <c r="K82" s="22" t="s">
        <v>5222</v>
      </c>
      <c r="L82" s="22" t="s">
        <v>5224</v>
      </c>
      <c r="M82" s="24">
        <v>299900</v>
      </c>
      <c r="N82" s="35">
        <v>0.75</v>
      </c>
      <c r="O82" s="69">
        <f t="shared" si="6"/>
        <v>74975</v>
      </c>
      <c r="P82" s="34" t="str">
        <f t="shared" si="8"/>
        <v>PERCENTAGE</v>
      </c>
    </row>
    <row r="83" spans="1:16" x14ac:dyDescent="0.35">
      <c r="A83" s="32" t="str">
        <f t="shared" si="7"/>
        <v>2025 JAN-MEI DISC 75%</v>
      </c>
      <c r="B83" s="33">
        <f t="shared" si="7"/>
        <v>46121</v>
      </c>
      <c r="C83" s="33">
        <f t="shared" si="7"/>
        <v>46127</v>
      </c>
      <c r="D83" s="44">
        <v>3321</v>
      </c>
      <c r="E83" s="44">
        <v>337</v>
      </c>
      <c r="F83" s="68">
        <v>4</v>
      </c>
      <c r="G83" s="23">
        <v>5</v>
      </c>
      <c r="H83" s="23">
        <v>81005</v>
      </c>
      <c r="I83" s="32" t="s">
        <v>2689</v>
      </c>
      <c r="J83" s="22">
        <v>52133476</v>
      </c>
      <c r="K83" s="22" t="s">
        <v>5222</v>
      </c>
      <c r="L83" s="22" t="s">
        <v>5223</v>
      </c>
      <c r="M83" s="24">
        <v>299900</v>
      </c>
      <c r="N83" s="35">
        <v>0.75</v>
      </c>
      <c r="O83" s="69">
        <f t="shared" si="6"/>
        <v>74975</v>
      </c>
      <c r="P83" s="34" t="str">
        <f t="shared" si="8"/>
        <v>PERCENTAGE</v>
      </c>
    </row>
    <row r="84" spans="1:16" x14ac:dyDescent="0.35">
      <c r="A84" s="32" t="str">
        <f t="shared" ref="A84:C99" si="9">A83</f>
        <v>2025 JAN-MEI DISC 75%</v>
      </c>
      <c r="B84" s="33">
        <f t="shared" si="9"/>
        <v>46121</v>
      </c>
      <c r="C84" s="33">
        <f t="shared" si="9"/>
        <v>46127</v>
      </c>
      <c r="D84" s="44">
        <v>3321</v>
      </c>
      <c r="E84" s="44">
        <v>337</v>
      </c>
      <c r="F84" s="68">
        <v>4</v>
      </c>
      <c r="G84" s="23">
        <v>5</v>
      </c>
      <c r="H84" s="23">
        <v>81005</v>
      </c>
      <c r="I84" s="32" t="s">
        <v>2689</v>
      </c>
      <c r="J84" s="22">
        <v>52133485</v>
      </c>
      <c r="K84" s="22" t="s">
        <v>5222</v>
      </c>
      <c r="L84" s="22" t="s">
        <v>5225</v>
      </c>
      <c r="M84" s="24">
        <v>299900</v>
      </c>
      <c r="N84" s="35">
        <v>0.75</v>
      </c>
      <c r="O84" s="69">
        <f t="shared" si="6"/>
        <v>74975</v>
      </c>
      <c r="P84" s="34" t="str">
        <f t="shared" si="8"/>
        <v>PERCENTAGE</v>
      </c>
    </row>
    <row r="85" spans="1:16" x14ac:dyDescent="0.35">
      <c r="A85" s="32" t="str">
        <f t="shared" si="9"/>
        <v>2025 JAN-MEI DISC 75%</v>
      </c>
      <c r="B85" s="33">
        <f t="shared" si="9"/>
        <v>46121</v>
      </c>
      <c r="C85" s="33">
        <f t="shared" si="9"/>
        <v>46127</v>
      </c>
      <c r="D85" s="44">
        <v>3321</v>
      </c>
      <c r="E85" s="44">
        <v>337</v>
      </c>
      <c r="F85" s="68">
        <v>4</v>
      </c>
      <c r="G85" s="23">
        <v>5</v>
      </c>
      <c r="H85" s="23">
        <v>81005</v>
      </c>
      <c r="I85" s="32" t="s">
        <v>2689</v>
      </c>
      <c r="J85" s="22">
        <v>52133494</v>
      </c>
      <c r="K85" s="22" t="s">
        <v>5222</v>
      </c>
      <c r="L85" s="22" t="s">
        <v>5228</v>
      </c>
      <c r="M85" s="24">
        <v>299900</v>
      </c>
      <c r="N85" s="35">
        <v>0.75</v>
      </c>
      <c r="O85" s="69">
        <f t="shared" si="6"/>
        <v>74975</v>
      </c>
      <c r="P85" s="34" t="str">
        <f t="shared" si="8"/>
        <v>PERCENTAGE</v>
      </c>
    </row>
    <row r="86" spans="1:16" x14ac:dyDescent="0.35">
      <c r="A86" s="32" t="str">
        <f t="shared" si="9"/>
        <v>2025 JAN-MEI DISC 75%</v>
      </c>
      <c r="B86" s="33">
        <f t="shared" si="9"/>
        <v>46121</v>
      </c>
      <c r="C86" s="33">
        <f t="shared" si="9"/>
        <v>46127</v>
      </c>
      <c r="D86" s="44">
        <v>3321</v>
      </c>
      <c r="E86" s="44">
        <v>337</v>
      </c>
      <c r="F86" s="68">
        <v>4</v>
      </c>
      <c r="G86" s="23">
        <v>5</v>
      </c>
      <c r="H86" s="23">
        <v>81005</v>
      </c>
      <c r="I86" s="32" t="s">
        <v>2689</v>
      </c>
      <c r="J86" s="22">
        <v>52133501</v>
      </c>
      <c r="K86" s="22" t="s">
        <v>5222</v>
      </c>
      <c r="L86" s="22" t="s">
        <v>5226</v>
      </c>
      <c r="M86" s="24">
        <v>299900</v>
      </c>
      <c r="N86" s="35">
        <v>0.75</v>
      </c>
      <c r="O86" s="69">
        <f t="shared" si="6"/>
        <v>74975</v>
      </c>
      <c r="P86" s="34" t="str">
        <f t="shared" si="8"/>
        <v>PERCENTAGE</v>
      </c>
    </row>
    <row r="87" spans="1:16" x14ac:dyDescent="0.35">
      <c r="A87" s="32" t="str">
        <f t="shared" si="9"/>
        <v>2025 JAN-MEI DISC 75%</v>
      </c>
      <c r="B87" s="33">
        <f t="shared" si="9"/>
        <v>46121</v>
      </c>
      <c r="C87" s="33">
        <f t="shared" si="9"/>
        <v>46127</v>
      </c>
      <c r="D87" s="44">
        <v>3321</v>
      </c>
      <c r="E87" s="44">
        <v>337</v>
      </c>
      <c r="F87" s="68">
        <v>4</v>
      </c>
      <c r="G87" s="23">
        <v>5</v>
      </c>
      <c r="H87" s="23">
        <v>81005</v>
      </c>
      <c r="I87" s="32" t="s">
        <v>2689</v>
      </c>
      <c r="J87" s="22">
        <v>52133510</v>
      </c>
      <c r="K87" s="22" t="s">
        <v>5222</v>
      </c>
      <c r="L87" s="22" t="s">
        <v>5227</v>
      </c>
      <c r="M87" s="24">
        <v>299900</v>
      </c>
      <c r="N87" s="35">
        <v>0.75</v>
      </c>
      <c r="O87" s="69">
        <f t="shared" si="6"/>
        <v>74975</v>
      </c>
      <c r="P87" s="34" t="str">
        <f t="shared" si="8"/>
        <v>PERCENTAGE</v>
      </c>
    </row>
    <row r="88" spans="1:16" x14ac:dyDescent="0.35">
      <c r="A88" s="32" t="str">
        <f t="shared" si="9"/>
        <v>2025 JAN-MEI DISC 75%</v>
      </c>
      <c r="B88" s="33">
        <f t="shared" si="9"/>
        <v>46121</v>
      </c>
      <c r="C88" s="33">
        <f t="shared" si="9"/>
        <v>46127</v>
      </c>
      <c r="D88" s="44">
        <v>3321</v>
      </c>
      <c r="E88" s="44">
        <v>337</v>
      </c>
      <c r="F88" s="68">
        <v>4</v>
      </c>
      <c r="G88" s="23">
        <v>5</v>
      </c>
      <c r="H88" s="23">
        <v>81574</v>
      </c>
      <c r="I88" s="32" t="s">
        <v>2689</v>
      </c>
      <c r="J88" s="22">
        <v>52133350</v>
      </c>
      <c r="K88" s="22" t="s">
        <v>5256</v>
      </c>
      <c r="L88" s="22" t="s">
        <v>5257</v>
      </c>
      <c r="M88" s="24">
        <v>339900</v>
      </c>
      <c r="N88" s="35">
        <v>0.75</v>
      </c>
      <c r="O88" s="69">
        <f t="shared" si="6"/>
        <v>84975</v>
      </c>
      <c r="P88" s="34" t="str">
        <f t="shared" si="8"/>
        <v>PERCENTAGE</v>
      </c>
    </row>
    <row r="89" spans="1:16" x14ac:dyDescent="0.35">
      <c r="A89" s="32" t="str">
        <f t="shared" si="9"/>
        <v>2025 JAN-MEI DISC 75%</v>
      </c>
      <c r="B89" s="33">
        <f t="shared" si="9"/>
        <v>46121</v>
      </c>
      <c r="C89" s="33">
        <f t="shared" si="9"/>
        <v>46127</v>
      </c>
      <c r="D89" s="44">
        <v>3321</v>
      </c>
      <c r="E89" s="44">
        <v>337</v>
      </c>
      <c r="F89" s="68">
        <v>4</v>
      </c>
      <c r="G89" s="23">
        <v>5</v>
      </c>
      <c r="H89" s="23">
        <v>81574</v>
      </c>
      <c r="I89" s="32" t="s">
        <v>2689</v>
      </c>
      <c r="J89" s="22">
        <v>52133369</v>
      </c>
      <c r="K89" s="22" t="s">
        <v>5256</v>
      </c>
      <c r="L89" s="22" t="s">
        <v>5258</v>
      </c>
      <c r="M89" s="24">
        <v>339900</v>
      </c>
      <c r="N89" s="35">
        <v>0.75</v>
      </c>
      <c r="O89" s="69">
        <f t="shared" si="6"/>
        <v>84975</v>
      </c>
      <c r="P89" s="34" t="str">
        <f t="shared" si="8"/>
        <v>PERCENTAGE</v>
      </c>
    </row>
    <row r="90" spans="1:16" x14ac:dyDescent="0.35">
      <c r="A90" s="32" t="str">
        <f t="shared" si="9"/>
        <v>2025 JAN-MEI DISC 75%</v>
      </c>
      <c r="B90" s="33">
        <f t="shared" si="9"/>
        <v>46121</v>
      </c>
      <c r="C90" s="33">
        <f t="shared" si="9"/>
        <v>46127</v>
      </c>
      <c r="D90" s="44">
        <v>3321</v>
      </c>
      <c r="E90" s="44">
        <v>337</v>
      </c>
      <c r="F90" s="68">
        <v>4</v>
      </c>
      <c r="G90" s="23">
        <v>5</v>
      </c>
      <c r="H90" s="23">
        <v>81574</v>
      </c>
      <c r="I90" s="32" t="s">
        <v>2689</v>
      </c>
      <c r="J90" s="22">
        <v>52133378</v>
      </c>
      <c r="K90" s="22" t="s">
        <v>5256</v>
      </c>
      <c r="L90" s="22" t="s">
        <v>5259</v>
      </c>
      <c r="M90" s="24">
        <v>339900</v>
      </c>
      <c r="N90" s="35">
        <v>0.75</v>
      </c>
      <c r="O90" s="69">
        <f t="shared" si="6"/>
        <v>84975</v>
      </c>
      <c r="P90" s="34" t="str">
        <f t="shared" si="8"/>
        <v>PERCENTAGE</v>
      </c>
    </row>
    <row r="91" spans="1:16" x14ac:dyDescent="0.35">
      <c r="A91" s="32" t="str">
        <f t="shared" si="9"/>
        <v>2025 JAN-MEI DISC 75%</v>
      </c>
      <c r="B91" s="33">
        <f t="shared" si="9"/>
        <v>46121</v>
      </c>
      <c r="C91" s="33">
        <f t="shared" si="9"/>
        <v>46127</v>
      </c>
      <c r="D91" s="44">
        <v>3321</v>
      </c>
      <c r="E91" s="44">
        <v>337</v>
      </c>
      <c r="F91" s="68">
        <v>4</v>
      </c>
      <c r="G91" s="23">
        <v>5</v>
      </c>
      <c r="H91" s="23">
        <v>81574</v>
      </c>
      <c r="I91" s="32" t="s">
        <v>2689</v>
      </c>
      <c r="J91" s="22">
        <v>52133387</v>
      </c>
      <c r="K91" s="22" t="s">
        <v>5256</v>
      </c>
      <c r="L91" s="22" t="s">
        <v>5260</v>
      </c>
      <c r="M91" s="24">
        <v>339900</v>
      </c>
      <c r="N91" s="35">
        <v>0.75</v>
      </c>
      <c r="O91" s="69">
        <f t="shared" si="6"/>
        <v>84975</v>
      </c>
      <c r="P91" s="34" t="str">
        <f t="shared" si="8"/>
        <v>PERCENTAGE</v>
      </c>
    </row>
    <row r="92" spans="1:16" x14ac:dyDescent="0.35">
      <c r="A92" s="32" t="str">
        <f t="shared" si="9"/>
        <v>2025 JAN-MEI DISC 75%</v>
      </c>
      <c r="B92" s="33">
        <f t="shared" si="9"/>
        <v>46121</v>
      </c>
      <c r="C92" s="33">
        <f t="shared" si="9"/>
        <v>46127</v>
      </c>
      <c r="D92" s="44">
        <v>3321</v>
      </c>
      <c r="E92" s="44">
        <v>337</v>
      </c>
      <c r="F92" s="68">
        <v>4</v>
      </c>
      <c r="G92" s="23">
        <v>5</v>
      </c>
      <c r="H92" s="23">
        <v>81574</v>
      </c>
      <c r="I92" s="32" t="s">
        <v>2689</v>
      </c>
      <c r="J92" s="22">
        <v>52133396</v>
      </c>
      <c r="K92" s="22" t="s">
        <v>5256</v>
      </c>
      <c r="L92" s="22" t="s">
        <v>5261</v>
      </c>
      <c r="M92" s="24">
        <v>339900</v>
      </c>
      <c r="N92" s="35">
        <v>0.75</v>
      </c>
      <c r="O92" s="69">
        <f t="shared" si="6"/>
        <v>84975</v>
      </c>
      <c r="P92" s="34" t="str">
        <f t="shared" si="8"/>
        <v>PERCENTAGE</v>
      </c>
    </row>
    <row r="93" spans="1:16" x14ac:dyDescent="0.35">
      <c r="A93" s="32" t="str">
        <f t="shared" si="9"/>
        <v>2025 JAN-MEI DISC 75%</v>
      </c>
      <c r="B93" s="33">
        <f t="shared" si="9"/>
        <v>46121</v>
      </c>
      <c r="C93" s="33">
        <f t="shared" si="9"/>
        <v>46127</v>
      </c>
      <c r="D93" s="44">
        <v>3321</v>
      </c>
      <c r="E93" s="44">
        <v>337</v>
      </c>
      <c r="F93" s="68">
        <v>4</v>
      </c>
      <c r="G93" s="23">
        <v>3</v>
      </c>
      <c r="H93" s="23">
        <v>81005</v>
      </c>
      <c r="I93" s="32" t="s">
        <v>2689</v>
      </c>
      <c r="J93" s="22">
        <v>52133234</v>
      </c>
      <c r="K93" s="22" t="s">
        <v>5229</v>
      </c>
      <c r="L93" s="22" t="s">
        <v>5230</v>
      </c>
      <c r="M93" s="24">
        <v>229900</v>
      </c>
      <c r="N93" s="35">
        <v>0.75</v>
      </c>
      <c r="O93" s="69">
        <f t="shared" si="6"/>
        <v>57475</v>
      </c>
      <c r="P93" s="34" t="str">
        <f t="shared" si="8"/>
        <v>PERCENTAGE</v>
      </c>
    </row>
    <row r="94" spans="1:16" x14ac:dyDescent="0.35">
      <c r="A94" s="32" t="str">
        <f t="shared" si="9"/>
        <v>2025 JAN-MEI DISC 75%</v>
      </c>
      <c r="B94" s="33">
        <f t="shared" si="9"/>
        <v>46121</v>
      </c>
      <c r="C94" s="33">
        <f t="shared" si="9"/>
        <v>46127</v>
      </c>
      <c r="D94" s="44">
        <v>3321</v>
      </c>
      <c r="E94" s="44">
        <v>337</v>
      </c>
      <c r="F94" s="68">
        <v>4</v>
      </c>
      <c r="G94" s="23">
        <v>3</v>
      </c>
      <c r="H94" s="23">
        <v>81005</v>
      </c>
      <c r="I94" s="32" t="s">
        <v>2689</v>
      </c>
      <c r="J94" s="22">
        <v>52133243</v>
      </c>
      <c r="K94" s="22" t="s">
        <v>5229</v>
      </c>
      <c r="L94" s="22" t="s">
        <v>5233</v>
      </c>
      <c r="M94" s="24">
        <v>229900</v>
      </c>
      <c r="N94" s="35">
        <v>0.75</v>
      </c>
      <c r="O94" s="69">
        <f t="shared" si="6"/>
        <v>57475</v>
      </c>
      <c r="P94" s="34" t="str">
        <f t="shared" si="8"/>
        <v>PERCENTAGE</v>
      </c>
    </row>
    <row r="95" spans="1:16" x14ac:dyDescent="0.35">
      <c r="A95" s="32" t="str">
        <f t="shared" si="9"/>
        <v>2025 JAN-MEI DISC 75%</v>
      </c>
      <c r="B95" s="33">
        <f t="shared" si="9"/>
        <v>46121</v>
      </c>
      <c r="C95" s="33">
        <f t="shared" si="9"/>
        <v>46127</v>
      </c>
      <c r="D95" s="44">
        <v>3321</v>
      </c>
      <c r="E95" s="44">
        <v>337</v>
      </c>
      <c r="F95" s="68">
        <v>4</v>
      </c>
      <c r="G95" s="23">
        <v>3</v>
      </c>
      <c r="H95" s="23">
        <v>81005</v>
      </c>
      <c r="I95" s="32" t="s">
        <v>2689</v>
      </c>
      <c r="J95" s="22">
        <v>52133252</v>
      </c>
      <c r="K95" s="22" t="s">
        <v>5229</v>
      </c>
      <c r="L95" s="22" t="s">
        <v>5231</v>
      </c>
      <c r="M95" s="24">
        <v>229900</v>
      </c>
      <c r="N95" s="35">
        <v>0.75</v>
      </c>
      <c r="O95" s="69">
        <f t="shared" si="6"/>
        <v>57475</v>
      </c>
      <c r="P95" s="34" t="str">
        <f t="shared" si="8"/>
        <v>PERCENTAGE</v>
      </c>
    </row>
    <row r="96" spans="1:16" x14ac:dyDescent="0.35">
      <c r="A96" s="32" t="str">
        <f t="shared" si="9"/>
        <v>2025 JAN-MEI DISC 75%</v>
      </c>
      <c r="B96" s="33">
        <f t="shared" si="9"/>
        <v>46121</v>
      </c>
      <c r="C96" s="33">
        <f t="shared" si="9"/>
        <v>46127</v>
      </c>
      <c r="D96" s="44">
        <v>3321</v>
      </c>
      <c r="E96" s="44">
        <v>337</v>
      </c>
      <c r="F96" s="68">
        <v>4</v>
      </c>
      <c r="G96" s="23">
        <v>3</v>
      </c>
      <c r="H96" s="23">
        <v>81005</v>
      </c>
      <c r="I96" s="32" t="s">
        <v>2689</v>
      </c>
      <c r="J96" s="22">
        <v>52133261</v>
      </c>
      <c r="K96" s="22" t="s">
        <v>5229</v>
      </c>
      <c r="L96" s="22" t="s">
        <v>5232</v>
      </c>
      <c r="M96" s="24">
        <v>229900</v>
      </c>
      <c r="N96" s="35">
        <v>0.75</v>
      </c>
      <c r="O96" s="69">
        <f t="shared" si="6"/>
        <v>57475</v>
      </c>
      <c r="P96" s="34" t="str">
        <f t="shared" si="8"/>
        <v>PERCENTAGE</v>
      </c>
    </row>
    <row r="97" spans="1:16" x14ac:dyDescent="0.35">
      <c r="A97" s="32" t="str">
        <f t="shared" si="9"/>
        <v>2025 JAN-MEI DISC 75%</v>
      </c>
      <c r="B97" s="33">
        <f t="shared" si="9"/>
        <v>46121</v>
      </c>
      <c r="C97" s="33">
        <f t="shared" si="9"/>
        <v>46127</v>
      </c>
      <c r="D97" s="44">
        <v>3321</v>
      </c>
      <c r="E97" s="44">
        <v>337</v>
      </c>
      <c r="F97" s="68">
        <v>4</v>
      </c>
      <c r="G97" s="23">
        <v>1</v>
      </c>
      <c r="H97" s="23">
        <v>81676</v>
      </c>
      <c r="I97" s="32" t="s">
        <v>2689</v>
      </c>
      <c r="J97" s="22">
        <v>52133190</v>
      </c>
      <c r="K97" s="22" t="s">
        <v>5262</v>
      </c>
      <c r="L97" s="22" t="s">
        <v>5263</v>
      </c>
      <c r="M97" s="24">
        <v>139900</v>
      </c>
      <c r="N97" s="35">
        <v>0.75</v>
      </c>
      <c r="O97" s="69">
        <f t="shared" si="6"/>
        <v>34975</v>
      </c>
      <c r="P97" s="34" t="str">
        <f t="shared" si="8"/>
        <v>PERCENTAGE</v>
      </c>
    </row>
    <row r="98" spans="1:16" x14ac:dyDescent="0.35">
      <c r="A98" s="32" t="str">
        <f t="shared" si="9"/>
        <v>2025 JAN-MEI DISC 75%</v>
      </c>
      <c r="B98" s="33">
        <f t="shared" si="9"/>
        <v>46121</v>
      </c>
      <c r="C98" s="33">
        <f t="shared" si="9"/>
        <v>46127</v>
      </c>
      <c r="D98" s="44">
        <v>3321</v>
      </c>
      <c r="E98" s="44">
        <v>337</v>
      </c>
      <c r="F98" s="68">
        <v>4</v>
      </c>
      <c r="G98" s="23">
        <v>1</v>
      </c>
      <c r="H98" s="23">
        <v>81676</v>
      </c>
      <c r="I98" s="32" t="s">
        <v>2689</v>
      </c>
      <c r="J98" s="22">
        <v>52133207</v>
      </c>
      <c r="K98" s="22" t="s">
        <v>5262</v>
      </c>
      <c r="L98" s="22" t="s">
        <v>5266</v>
      </c>
      <c r="M98" s="24">
        <v>139900</v>
      </c>
      <c r="N98" s="35">
        <v>0.75</v>
      </c>
      <c r="O98" s="69">
        <f t="shared" si="6"/>
        <v>34975</v>
      </c>
      <c r="P98" s="34" t="str">
        <f t="shared" si="8"/>
        <v>PERCENTAGE</v>
      </c>
    </row>
    <row r="99" spans="1:16" x14ac:dyDescent="0.35">
      <c r="A99" s="32" t="str">
        <f t="shared" si="9"/>
        <v>2025 JAN-MEI DISC 75%</v>
      </c>
      <c r="B99" s="33">
        <f t="shared" si="9"/>
        <v>46121</v>
      </c>
      <c r="C99" s="33">
        <f t="shared" si="9"/>
        <v>46127</v>
      </c>
      <c r="D99" s="44">
        <v>3321</v>
      </c>
      <c r="E99" s="44">
        <v>337</v>
      </c>
      <c r="F99" s="68">
        <v>4</v>
      </c>
      <c r="G99" s="23">
        <v>1</v>
      </c>
      <c r="H99" s="23">
        <v>81676</v>
      </c>
      <c r="I99" s="32" t="s">
        <v>2689</v>
      </c>
      <c r="J99" s="22">
        <v>52133216</v>
      </c>
      <c r="K99" s="22" t="s">
        <v>5262</v>
      </c>
      <c r="L99" s="22" t="s">
        <v>5265</v>
      </c>
      <c r="M99" s="24">
        <v>139900</v>
      </c>
      <c r="N99" s="35">
        <v>0.75</v>
      </c>
      <c r="O99" s="69">
        <f t="shared" si="6"/>
        <v>34975</v>
      </c>
      <c r="P99" s="34" t="str">
        <f t="shared" si="8"/>
        <v>PERCENTAGE</v>
      </c>
    </row>
    <row r="100" spans="1:16" x14ac:dyDescent="0.35">
      <c r="A100" s="32" t="str">
        <f t="shared" ref="A100:C115" si="10">A99</f>
        <v>2025 JAN-MEI DISC 75%</v>
      </c>
      <c r="B100" s="33">
        <f t="shared" si="10"/>
        <v>46121</v>
      </c>
      <c r="C100" s="33">
        <f t="shared" si="10"/>
        <v>46127</v>
      </c>
      <c r="D100" s="44">
        <v>3321</v>
      </c>
      <c r="E100" s="44">
        <v>337</v>
      </c>
      <c r="F100" s="68">
        <v>4</v>
      </c>
      <c r="G100" s="23">
        <v>1</v>
      </c>
      <c r="H100" s="23">
        <v>81676</v>
      </c>
      <c r="I100" s="32" t="s">
        <v>2689</v>
      </c>
      <c r="J100" s="22">
        <v>52133225</v>
      </c>
      <c r="K100" s="22" t="s">
        <v>5262</v>
      </c>
      <c r="L100" s="22" t="s">
        <v>5264</v>
      </c>
      <c r="M100" s="24">
        <v>139900</v>
      </c>
      <c r="N100" s="35">
        <v>0.75</v>
      </c>
      <c r="O100" s="69">
        <f t="shared" si="6"/>
        <v>34975</v>
      </c>
      <c r="P100" s="34" t="str">
        <f t="shared" si="8"/>
        <v>PERCENTAGE</v>
      </c>
    </row>
    <row r="101" spans="1:16" x14ac:dyDescent="0.35">
      <c r="A101" s="32" t="str">
        <f t="shared" si="10"/>
        <v>2025 JAN-MEI DISC 75%</v>
      </c>
      <c r="B101" s="33">
        <f t="shared" si="10"/>
        <v>46121</v>
      </c>
      <c r="C101" s="33">
        <f t="shared" si="10"/>
        <v>46127</v>
      </c>
      <c r="D101" s="44">
        <v>3321</v>
      </c>
      <c r="E101" s="44">
        <v>337</v>
      </c>
      <c r="F101" s="68">
        <v>4</v>
      </c>
      <c r="G101" s="23">
        <v>1</v>
      </c>
      <c r="H101" s="23">
        <v>81005</v>
      </c>
      <c r="I101" s="32" t="s">
        <v>2689</v>
      </c>
      <c r="J101" s="22">
        <v>52555369</v>
      </c>
      <c r="K101" s="22" t="s">
        <v>5272</v>
      </c>
      <c r="L101" s="22" t="s">
        <v>5273</v>
      </c>
      <c r="M101" s="24">
        <v>189900</v>
      </c>
      <c r="N101" s="35">
        <v>0.75</v>
      </c>
      <c r="O101" s="69">
        <f t="shared" si="6"/>
        <v>47475</v>
      </c>
      <c r="P101" s="34" t="str">
        <f t="shared" si="8"/>
        <v>PERCENTAGE</v>
      </c>
    </row>
    <row r="102" spans="1:16" x14ac:dyDescent="0.35">
      <c r="A102" s="32" t="str">
        <f t="shared" si="10"/>
        <v>2025 JAN-MEI DISC 75%</v>
      </c>
      <c r="B102" s="33">
        <f t="shared" si="10"/>
        <v>46121</v>
      </c>
      <c r="C102" s="33">
        <f t="shared" si="10"/>
        <v>46127</v>
      </c>
      <c r="D102" s="44">
        <v>3321</v>
      </c>
      <c r="E102" s="44">
        <v>337</v>
      </c>
      <c r="F102" s="68">
        <v>4</v>
      </c>
      <c r="G102" s="23">
        <v>1</v>
      </c>
      <c r="H102" s="23">
        <v>81005</v>
      </c>
      <c r="I102" s="32" t="s">
        <v>2689</v>
      </c>
      <c r="J102" s="22">
        <v>52555378</v>
      </c>
      <c r="K102" s="22" t="s">
        <v>5272</v>
      </c>
      <c r="L102" s="22" t="s">
        <v>5274</v>
      </c>
      <c r="M102" s="24">
        <v>189900</v>
      </c>
      <c r="N102" s="35">
        <v>0.75</v>
      </c>
      <c r="O102" s="69">
        <f t="shared" si="6"/>
        <v>47475</v>
      </c>
      <c r="P102" s="34" t="str">
        <f t="shared" si="8"/>
        <v>PERCENTAGE</v>
      </c>
    </row>
    <row r="103" spans="1:16" x14ac:dyDescent="0.35">
      <c r="A103" s="32" t="str">
        <f t="shared" si="10"/>
        <v>2025 JAN-MEI DISC 75%</v>
      </c>
      <c r="B103" s="33">
        <f t="shared" si="10"/>
        <v>46121</v>
      </c>
      <c r="C103" s="33">
        <f t="shared" si="10"/>
        <v>46127</v>
      </c>
      <c r="D103" s="44">
        <v>3321</v>
      </c>
      <c r="E103" s="44">
        <v>337</v>
      </c>
      <c r="F103" s="68">
        <v>4</v>
      </c>
      <c r="G103" s="23">
        <v>1</v>
      </c>
      <c r="H103" s="23">
        <v>81005</v>
      </c>
      <c r="I103" s="32" t="s">
        <v>2689</v>
      </c>
      <c r="J103" s="22">
        <v>52555387</v>
      </c>
      <c r="K103" s="22" t="s">
        <v>5272</v>
      </c>
      <c r="L103" s="22" t="s">
        <v>5276</v>
      </c>
      <c r="M103" s="24">
        <v>189900</v>
      </c>
      <c r="N103" s="35">
        <v>0.75</v>
      </c>
      <c r="O103" s="69">
        <f t="shared" si="6"/>
        <v>47475</v>
      </c>
      <c r="P103" s="34" t="str">
        <f t="shared" si="8"/>
        <v>PERCENTAGE</v>
      </c>
    </row>
    <row r="104" spans="1:16" x14ac:dyDescent="0.35">
      <c r="A104" s="32" t="str">
        <f t="shared" si="10"/>
        <v>2025 JAN-MEI DISC 75%</v>
      </c>
      <c r="B104" s="33">
        <f t="shared" si="10"/>
        <v>46121</v>
      </c>
      <c r="C104" s="33">
        <f t="shared" si="10"/>
        <v>46127</v>
      </c>
      <c r="D104" s="44">
        <v>3321</v>
      </c>
      <c r="E104" s="44">
        <v>337</v>
      </c>
      <c r="F104" s="68">
        <v>4</v>
      </c>
      <c r="G104" s="23">
        <v>1</v>
      </c>
      <c r="H104" s="23">
        <v>81005</v>
      </c>
      <c r="I104" s="32" t="s">
        <v>2689</v>
      </c>
      <c r="J104" s="22">
        <v>52555396</v>
      </c>
      <c r="K104" s="22" t="s">
        <v>5272</v>
      </c>
      <c r="L104" s="22" t="s">
        <v>5275</v>
      </c>
      <c r="M104" s="24">
        <v>189900</v>
      </c>
      <c r="N104" s="35">
        <v>0.75</v>
      </c>
      <c r="O104" s="69">
        <f t="shared" si="6"/>
        <v>47475</v>
      </c>
      <c r="P104" s="34" t="str">
        <f t="shared" si="8"/>
        <v>PERCENTAGE</v>
      </c>
    </row>
    <row r="105" spans="1:16" x14ac:dyDescent="0.35">
      <c r="A105" s="32" t="str">
        <f t="shared" si="10"/>
        <v>2025 JAN-MEI DISC 75%</v>
      </c>
      <c r="B105" s="33">
        <f t="shared" si="10"/>
        <v>46121</v>
      </c>
      <c r="C105" s="33">
        <f t="shared" si="10"/>
        <v>46127</v>
      </c>
      <c r="D105" s="44">
        <v>3321</v>
      </c>
      <c r="E105" s="44">
        <v>337</v>
      </c>
      <c r="F105" s="68">
        <v>4</v>
      </c>
      <c r="G105" s="23">
        <v>3</v>
      </c>
      <c r="H105" s="23">
        <v>81005</v>
      </c>
      <c r="I105" s="32" t="s">
        <v>2689</v>
      </c>
      <c r="J105" s="22">
        <v>52555449</v>
      </c>
      <c r="K105" s="22" t="s">
        <v>5572</v>
      </c>
      <c r="L105" s="22" t="s">
        <v>5575</v>
      </c>
      <c r="M105" s="24">
        <v>229900</v>
      </c>
      <c r="N105" s="35">
        <v>0.75</v>
      </c>
      <c r="O105" s="69">
        <f t="shared" si="6"/>
        <v>57475</v>
      </c>
      <c r="P105" s="34" t="str">
        <f t="shared" si="8"/>
        <v>PERCENTAGE</v>
      </c>
    </row>
    <row r="106" spans="1:16" x14ac:dyDescent="0.35">
      <c r="A106" s="32" t="str">
        <f t="shared" si="10"/>
        <v>2025 JAN-MEI DISC 75%</v>
      </c>
      <c r="B106" s="33">
        <f t="shared" si="10"/>
        <v>46121</v>
      </c>
      <c r="C106" s="33">
        <f t="shared" si="10"/>
        <v>46127</v>
      </c>
      <c r="D106" s="44">
        <v>3321</v>
      </c>
      <c r="E106" s="44">
        <v>337</v>
      </c>
      <c r="F106" s="68">
        <v>4</v>
      </c>
      <c r="G106" s="23">
        <v>3</v>
      </c>
      <c r="H106" s="23">
        <v>81005</v>
      </c>
      <c r="I106" s="32" t="s">
        <v>2689</v>
      </c>
      <c r="J106" s="22">
        <v>52555458</v>
      </c>
      <c r="K106" s="22" t="s">
        <v>5572</v>
      </c>
      <c r="L106" s="22" t="s">
        <v>5576</v>
      </c>
      <c r="M106" s="24">
        <v>229900</v>
      </c>
      <c r="N106" s="35">
        <v>0.75</v>
      </c>
      <c r="O106" s="69">
        <f t="shared" si="6"/>
        <v>57475</v>
      </c>
      <c r="P106" s="34" t="str">
        <f t="shared" si="8"/>
        <v>PERCENTAGE</v>
      </c>
    </row>
    <row r="107" spans="1:16" x14ac:dyDescent="0.35">
      <c r="A107" s="32" t="str">
        <f t="shared" si="10"/>
        <v>2025 JAN-MEI DISC 75%</v>
      </c>
      <c r="B107" s="33">
        <f t="shared" si="10"/>
        <v>46121</v>
      </c>
      <c r="C107" s="33">
        <f t="shared" si="10"/>
        <v>46127</v>
      </c>
      <c r="D107" s="44">
        <v>3321</v>
      </c>
      <c r="E107" s="44">
        <v>337</v>
      </c>
      <c r="F107" s="68">
        <v>4</v>
      </c>
      <c r="G107" s="23">
        <v>3</v>
      </c>
      <c r="H107" s="23">
        <v>81005</v>
      </c>
      <c r="I107" s="32" t="s">
        <v>2689</v>
      </c>
      <c r="J107" s="22">
        <v>52555467</v>
      </c>
      <c r="K107" s="22" t="s">
        <v>5572</v>
      </c>
      <c r="L107" s="22" t="s">
        <v>5573</v>
      </c>
      <c r="M107" s="24">
        <v>229900</v>
      </c>
      <c r="N107" s="35">
        <v>0.75</v>
      </c>
      <c r="O107" s="69">
        <f t="shared" si="6"/>
        <v>57475</v>
      </c>
      <c r="P107" s="34" t="str">
        <f t="shared" si="8"/>
        <v>PERCENTAGE</v>
      </c>
    </row>
    <row r="108" spans="1:16" x14ac:dyDescent="0.35">
      <c r="A108" s="32" t="str">
        <f t="shared" si="10"/>
        <v>2025 JAN-MEI DISC 75%</v>
      </c>
      <c r="B108" s="33">
        <f t="shared" si="10"/>
        <v>46121</v>
      </c>
      <c r="C108" s="33">
        <f t="shared" si="10"/>
        <v>46127</v>
      </c>
      <c r="D108" s="44">
        <v>3321</v>
      </c>
      <c r="E108" s="44">
        <v>337</v>
      </c>
      <c r="F108" s="68">
        <v>4</v>
      </c>
      <c r="G108" s="23">
        <v>3</v>
      </c>
      <c r="H108" s="23">
        <v>81005</v>
      </c>
      <c r="I108" s="32" t="s">
        <v>2689</v>
      </c>
      <c r="J108" s="22">
        <v>52555476</v>
      </c>
      <c r="K108" s="22" t="s">
        <v>5572</v>
      </c>
      <c r="L108" s="22" t="s">
        <v>5574</v>
      </c>
      <c r="M108" s="24">
        <v>229900</v>
      </c>
      <c r="N108" s="35">
        <v>0.75</v>
      </c>
      <c r="O108" s="69">
        <f t="shared" si="6"/>
        <v>57475</v>
      </c>
      <c r="P108" s="34" t="str">
        <f t="shared" si="8"/>
        <v>PERCENTAGE</v>
      </c>
    </row>
    <row r="109" spans="1:16" x14ac:dyDescent="0.35">
      <c r="A109" s="32" t="str">
        <f t="shared" si="10"/>
        <v>2025 JAN-MEI DISC 75%</v>
      </c>
      <c r="B109" s="33">
        <f t="shared" si="10"/>
        <v>46121</v>
      </c>
      <c r="C109" s="33">
        <f t="shared" si="10"/>
        <v>46127</v>
      </c>
      <c r="D109" s="44">
        <v>3321</v>
      </c>
      <c r="E109" s="44">
        <v>337</v>
      </c>
      <c r="F109" s="68">
        <v>4</v>
      </c>
      <c r="G109" s="23">
        <v>5</v>
      </c>
      <c r="H109" s="23">
        <v>81506</v>
      </c>
      <c r="I109" s="32" t="s">
        <v>2689</v>
      </c>
      <c r="J109" s="22">
        <v>53221244</v>
      </c>
      <c r="K109" s="22" t="s">
        <v>5577</v>
      </c>
      <c r="L109" s="22" t="s">
        <v>5580</v>
      </c>
      <c r="M109" s="24">
        <v>279900</v>
      </c>
      <c r="N109" s="35">
        <v>0.75</v>
      </c>
      <c r="O109" s="69">
        <f t="shared" si="6"/>
        <v>69975</v>
      </c>
      <c r="P109" s="34" t="str">
        <f t="shared" si="8"/>
        <v>PERCENTAGE</v>
      </c>
    </row>
    <row r="110" spans="1:16" x14ac:dyDescent="0.35">
      <c r="A110" s="32" t="str">
        <f t="shared" si="10"/>
        <v>2025 JAN-MEI DISC 75%</v>
      </c>
      <c r="B110" s="33">
        <f t="shared" si="10"/>
        <v>46121</v>
      </c>
      <c r="C110" s="33">
        <f t="shared" si="10"/>
        <v>46127</v>
      </c>
      <c r="D110" s="44">
        <v>3321</v>
      </c>
      <c r="E110" s="44">
        <v>337</v>
      </c>
      <c r="F110" s="68">
        <v>4</v>
      </c>
      <c r="G110" s="23">
        <v>5</v>
      </c>
      <c r="H110" s="23">
        <v>81506</v>
      </c>
      <c r="I110" s="32" t="s">
        <v>2689</v>
      </c>
      <c r="J110" s="22">
        <v>53221253</v>
      </c>
      <c r="K110" s="22" t="s">
        <v>5577</v>
      </c>
      <c r="L110" s="22" t="s">
        <v>5579</v>
      </c>
      <c r="M110" s="24">
        <v>279900</v>
      </c>
      <c r="N110" s="35">
        <v>0.75</v>
      </c>
      <c r="O110" s="69">
        <f t="shared" si="6"/>
        <v>69975</v>
      </c>
      <c r="P110" s="34" t="str">
        <f t="shared" si="8"/>
        <v>PERCENTAGE</v>
      </c>
    </row>
    <row r="111" spans="1:16" x14ac:dyDescent="0.35">
      <c r="A111" s="32" t="str">
        <f t="shared" si="10"/>
        <v>2025 JAN-MEI DISC 75%</v>
      </c>
      <c r="B111" s="33">
        <f t="shared" si="10"/>
        <v>46121</v>
      </c>
      <c r="C111" s="33">
        <f t="shared" si="10"/>
        <v>46127</v>
      </c>
      <c r="D111" s="44">
        <v>3321</v>
      </c>
      <c r="E111" s="44">
        <v>337</v>
      </c>
      <c r="F111" s="68">
        <v>4</v>
      </c>
      <c r="G111" s="23">
        <v>5</v>
      </c>
      <c r="H111" s="23">
        <v>81506</v>
      </c>
      <c r="I111" s="32" t="s">
        <v>2689</v>
      </c>
      <c r="J111" s="22">
        <v>53221262</v>
      </c>
      <c r="K111" s="22" t="s">
        <v>5577</v>
      </c>
      <c r="L111" s="22" t="s">
        <v>5578</v>
      </c>
      <c r="M111" s="24">
        <v>279900</v>
      </c>
      <c r="N111" s="35">
        <v>0.75</v>
      </c>
      <c r="O111" s="69">
        <f t="shared" si="6"/>
        <v>69975</v>
      </c>
      <c r="P111" s="34" t="str">
        <f t="shared" si="8"/>
        <v>PERCENTAGE</v>
      </c>
    </row>
    <row r="112" spans="1:16" x14ac:dyDescent="0.35">
      <c r="A112" s="32" t="str">
        <f t="shared" si="10"/>
        <v>2025 JAN-MEI DISC 75%</v>
      </c>
      <c r="B112" s="33">
        <f t="shared" si="10"/>
        <v>46121</v>
      </c>
      <c r="C112" s="33">
        <f t="shared" si="10"/>
        <v>46127</v>
      </c>
      <c r="D112" s="44">
        <v>3321</v>
      </c>
      <c r="E112" s="44">
        <v>337</v>
      </c>
      <c r="F112" s="68">
        <v>4</v>
      </c>
      <c r="G112" s="23">
        <v>5</v>
      </c>
      <c r="H112" s="23">
        <v>81506</v>
      </c>
      <c r="I112" s="32" t="s">
        <v>2689</v>
      </c>
      <c r="J112" s="22">
        <v>53221271</v>
      </c>
      <c r="K112" s="22" t="s">
        <v>5577</v>
      </c>
      <c r="L112" s="22" t="s">
        <v>5581</v>
      </c>
      <c r="M112" s="24">
        <v>279900</v>
      </c>
      <c r="N112" s="35">
        <v>0.75</v>
      </c>
      <c r="O112" s="69">
        <f t="shared" si="6"/>
        <v>69975</v>
      </c>
      <c r="P112" s="34" t="str">
        <f t="shared" si="8"/>
        <v>PERCENTAGE</v>
      </c>
    </row>
    <row r="113" spans="1:16" x14ac:dyDescent="0.35">
      <c r="A113" s="32" t="str">
        <f t="shared" si="10"/>
        <v>2025 JAN-MEI DISC 75%</v>
      </c>
      <c r="B113" s="33">
        <f t="shared" si="10"/>
        <v>46121</v>
      </c>
      <c r="C113" s="33">
        <f t="shared" si="10"/>
        <v>46127</v>
      </c>
      <c r="D113" s="44">
        <v>3321</v>
      </c>
      <c r="E113" s="44">
        <v>337</v>
      </c>
      <c r="F113" s="68">
        <v>4</v>
      </c>
      <c r="G113" s="23">
        <v>1</v>
      </c>
      <c r="H113" s="23">
        <v>81588</v>
      </c>
      <c r="I113" s="32" t="s">
        <v>2689</v>
      </c>
      <c r="J113" s="22">
        <v>53828643</v>
      </c>
      <c r="K113" s="22" t="s">
        <v>5582</v>
      </c>
      <c r="L113" s="22" t="s">
        <v>5591</v>
      </c>
      <c r="M113" s="24">
        <v>149900</v>
      </c>
      <c r="N113" s="35">
        <v>0.75</v>
      </c>
      <c r="O113" s="69">
        <f t="shared" si="6"/>
        <v>37475</v>
      </c>
      <c r="P113" s="34" t="str">
        <f t="shared" si="8"/>
        <v>PERCENTAGE</v>
      </c>
    </row>
    <row r="114" spans="1:16" x14ac:dyDescent="0.35">
      <c r="A114" s="32" t="str">
        <f t="shared" si="10"/>
        <v>2025 JAN-MEI DISC 75%</v>
      </c>
      <c r="B114" s="33">
        <f t="shared" si="10"/>
        <v>46121</v>
      </c>
      <c r="C114" s="33">
        <f t="shared" si="10"/>
        <v>46127</v>
      </c>
      <c r="D114" s="44">
        <v>3321</v>
      </c>
      <c r="E114" s="44">
        <v>337</v>
      </c>
      <c r="F114" s="68">
        <v>4</v>
      </c>
      <c r="G114" s="23">
        <v>1</v>
      </c>
      <c r="H114" s="23">
        <v>81588</v>
      </c>
      <c r="I114" s="32" t="s">
        <v>2689</v>
      </c>
      <c r="J114" s="22">
        <v>53828652</v>
      </c>
      <c r="K114" s="22" t="s">
        <v>5582</v>
      </c>
      <c r="L114" s="22" t="s">
        <v>5588</v>
      </c>
      <c r="M114" s="24">
        <v>149900</v>
      </c>
      <c r="N114" s="35">
        <v>0.75</v>
      </c>
      <c r="O114" s="69">
        <f t="shared" si="6"/>
        <v>37475</v>
      </c>
      <c r="P114" s="34" t="str">
        <f t="shared" si="8"/>
        <v>PERCENTAGE</v>
      </c>
    </row>
    <row r="115" spans="1:16" x14ac:dyDescent="0.35">
      <c r="A115" s="32" t="str">
        <f t="shared" si="10"/>
        <v>2025 JAN-MEI DISC 75%</v>
      </c>
      <c r="B115" s="33">
        <f t="shared" si="10"/>
        <v>46121</v>
      </c>
      <c r="C115" s="33">
        <f t="shared" si="10"/>
        <v>46127</v>
      </c>
      <c r="D115" s="44">
        <v>3321</v>
      </c>
      <c r="E115" s="44">
        <v>337</v>
      </c>
      <c r="F115" s="68">
        <v>4</v>
      </c>
      <c r="G115" s="23">
        <v>1</v>
      </c>
      <c r="H115" s="23">
        <v>81588</v>
      </c>
      <c r="I115" s="32" t="s">
        <v>2689</v>
      </c>
      <c r="J115" s="22">
        <v>53828661</v>
      </c>
      <c r="K115" s="22" t="s">
        <v>5582</v>
      </c>
      <c r="L115" s="22" t="s">
        <v>5605</v>
      </c>
      <c r="M115" s="24">
        <v>149900</v>
      </c>
      <c r="N115" s="35">
        <v>0.75</v>
      </c>
      <c r="O115" s="69">
        <f t="shared" si="6"/>
        <v>37475</v>
      </c>
      <c r="P115" s="34" t="str">
        <f t="shared" si="8"/>
        <v>PERCENTAGE</v>
      </c>
    </row>
    <row r="116" spans="1:16" x14ac:dyDescent="0.35">
      <c r="A116" s="32" t="str">
        <f t="shared" ref="A116:C131" si="11">A115</f>
        <v>2025 JAN-MEI DISC 75%</v>
      </c>
      <c r="B116" s="33">
        <f t="shared" si="11"/>
        <v>46121</v>
      </c>
      <c r="C116" s="33">
        <f t="shared" si="11"/>
        <v>46127</v>
      </c>
      <c r="D116" s="44">
        <v>3321</v>
      </c>
      <c r="E116" s="44">
        <v>337</v>
      </c>
      <c r="F116" s="68">
        <v>4</v>
      </c>
      <c r="G116" s="23">
        <v>1</v>
      </c>
      <c r="H116" s="23">
        <v>81588</v>
      </c>
      <c r="I116" s="32" t="s">
        <v>2689</v>
      </c>
      <c r="J116" s="22">
        <v>53828670</v>
      </c>
      <c r="K116" s="22" t="s">
        <v>5582</v>
      </c>
      <c r="L116" s="22" t="s">
        <v>5583</v>
      </c>
      <c r="M116" s="24">
        <v>149900</v>
      </c>
      <c r="N116" s="35">
        <v>0.75</v>
      </c>
      <c r="O116" s="69">
        <f t="shared" si="6"/>
        <v>37475</v>
      </c>
      <c r="P116" s="34" t="str">
        <f t="shared" si="8"/>
        <v>PERCENTAGE</v>
      </c>
    </row>
    <row r="117" spans="1:16" x14ac:dyDescent="0.35">
      <c r="A117" s="32" t="str">
        <f t="shared" si="11"/>
        <v>2025 JAN-MEI DISC 75%</v>
      </c>
      <c r="B117" s="33">
        <f t="shared" si="11"/>
        <v>46121</v>
      </c>
      <c r="C117" s="33">
        <f t="shared" si="11"/>
        <v>46127</v>
      </c>
      <c r="D117" s="44">
        <v>3321</v>
      </c>
      <c r="E117" s="44">
        <v>337</v>
      </c>
      <c r="F117" s="68">
        <v>4</v>
      </c>
      <c r="G117" s="23">
        <v>1</v>
      </c>
      <c r="H117" s="23">
        <v>81588</v>
      </c>
      <c r="I117" s="32" t="s">
        <v>2689</v>
      </c>
      <c r="J117" s="22">
        <v>53828483</v>
      </c>
      <c r="K117" s="22" t="s">
        <v>5593</v>
      </c>
      <c r="L117" s="22" t="s">
        <v>5600</v>
      </c>
      <c r="M117" s="24">
        <v>149900</v>
      </c>
      <c r="N117" s="35">
        <v>0.75</v>
      </c>
      <c r="O117" s="69">
        <f t="shared" si="6"/>
        <v>37475</v>
      </c>
      <c r="P117" s="34" t="str">
        <f t="shared" si="8"/>
        <v>PERCENTAGE</v>
      </c>
    </row>
    <row r="118" spans="1:16" x14ac:dyDescent="0.35">
      <c r="A118" s="32" t="str">
        <f t="shared" si="11"/>
        <v>2025 JAN-MEI DISC 75%</v>
      </c>
      <c r="B118" s="33">
        <f t="shared" si="11"/>
        <v>46121</v>
      </c>
      <c r="C118" s="33">
        <f t="shared" si="11"/>
        <v>46127</v>
      </c>
      <c r="D118" s="44">
        <v>3321</v>
      </c>
      <c r="E118" s="44">
        <v>337</v>
      </c>
      <c r="F118" s="68">
        <v>4</v>
      </c>
      <c r="G118" s="23">
        <v>1</v>
      </c>
      <c r="H118" s="23">
        <v>81588</v>
      </c>
      <c r="I118" s="32" t="s">
        <v>2689</v>
      </c>
      <c r="J118" s="22">
        <v>53828492</v>
      </c>
      <c r="K118" s="22" t="s">
        <v>5593</v>
      </c>
      <c r="L118" s="22" t="s">
        <v>5594</v>
      </c>
      <c r="M118" s="24">
        <v>149900</v>
      </c>
      <c r="N118" s="35">
        <v>0.75</v>
      </c>
      <c r="O118" s="69">
        <f t="shared" si="6"/>
        <v>37475</v>
      </c>
      <c r="P118" s="34" t="str">
        <f t="shared" si="8"/>
        <v>PERCENTAGE</v>
      </c>
    </row>
    <row r="119" spans="1:16" x14ac:dyDescent="0.35">
      <c r="A119" s="32" t="str">
        <f t="shared" si="11"/>
        <v>2025 JAN-MEI DISC 75%</v>
      </c>
      <c r="B119" s="33">
        <f t="shared" si="11"/>
        <v>46121</v>
      </c>
      <c r="C119" s="33">
        <f t="shared" si="11"/>
        <v>46127</v>
      </c>
      <c r="D119" s="44">
        <v>3321</v>
      </c>
      <c r="E119" s="44">
        <v>337</v>
      </c>
      <c r="F119" s="68">
        <v>4</v>
      </c>
      <c r="G119" s="23">
        <v>1</v>
      </c>
      <c r="H119" s="23">
        <v>81588</v>
      </c>
      <c r="I119" s="32" t="s">
        <v>2689</v>
      </c>
      <c r="J119" s="22">
        <v>53828509</v>
      </c>
      <c r="K119" s="22" t="s">
        <v>5593</v>
      </c>
      <c r="L119" s="22" t="s">
        <v>5595</v>
      </c>
      <c r="M119" s="24">
        <v>149900</v>
      </c>
      <c r="N119" s="35">
        <v>0.75</v>
      </c>
      <c r="O119" s="69">
        <f t="shared" si="6"/>
        <v>37475</v>
      </c>
      <c r="P119" s="34" t="str">
        <f t="shared" si="8"/>
        <v>PERCENTAGE</v>
      </c>
    </row>
    <row r="120" spans="1:16" x14ac:dyDescent="0.35">
      <c r="A120" s="32" t="str">
        <f t="shared" si="11"/>
        <v>2025 JAN-MEI DISC 75%</v>
      </c>
      <c r="B120" s="33">
        <f t="shared" si="11"/>
        <v>46121</v>
      </c>
      <c r="C120" s="33">
        <f t="shared" si="11"/>
        <v>46127</v>
      </c>
      <c r="D120" s="44">
        <v>3321</v>
      </c>
      <c r="E120" s="44">
        <v>337</v>
      </c>
      <c r="F120" s="68">
        <v>4</v>
      </c>
      <c r="G120" s="23">
        <v>1</v>
      </c>
      <c r="H120" s="23">
        <v>81588</v>
      </c>
      <c r="I120" s="32" t="s">
        <v>2689</v>
      </c>
      <c r="J120" s="22">
        <v>53828518</v>
      </c>
      <c r="K120" s="22" t="s">
        <v>5593</v>
      </c>
      <c r="L120" s="22" t="s">
        <v>5599</v>
      </c>
      <c r="M120" s="24">
        <v>149900</v>
      </c>
      <c r="N120" s="35">
        <v>0.75</v>
      </c>
      <c r="O120" s="69">
        <f t="shared" si="6"/>
        <v>37475</v>
      </c>
      <c r="P120" s="34" t="str">
        <f t="shared" si="8"/>
        <v>PERCENTAGE</v>
      </c>
    </row>
    <row r="121" spans="1:16" x14ac:dyDescent="0.35">
      <c r="A121" s="32" t="str">
        <f t="shared" si="11"/>
        <v>2025 JAN-MEI DISC 75%</v>
      </c>
      <c r="B121" s="33">
        <f t="shared" si="11"/>
        <v>46121</v>
      </c>
      <c r="C121" s="33">
        <f t="shared" si="11"/>
        <v>46127</v>
      </c>
      <c r="D121" s="44">
        <v>3321</v>
      </c>
      <c r="E121" s="44">
        <v>337</v>
      </c>
      <c r="F121" s="68">
        <v>4</v>
      </c>
      <c r="G121" s="23">
        <v>1</v>
      </c>
      <c r="H121" s="23">
        <v>81588</v>
      </c>
      <c r="I121" s="32" t="s">
        <v>2689</v>
      </c>
      <c r="J121" s="22">
        <v>53828563</v>
      </c>
      <c r="K121" s="22" t="s">
        <v>5584</v>
      </c>
      <c r="L121" s="22" t="s">
        <v>5602</v>
      </c>
      <c r="M121" s="24">
        <v>119900</v>
      </c>
      <c r="N121" s="35">
        <v>0.75</v>
      </c>
      <c r="O121" s="69">
        <f t="shared" si="6"/>
        <v>29975</v>
      </c>
      <c r="P121" s="34" t="str">
        <f t="shared" si="8"/>
        <v>PERCENTAGE</v>
      </c>
    </row>
    <row r="122" spans="1:16" x14ac:dyDescent="0.35">
      <c r="A122" s="32" t="str">
        <f t="shared" si="11"/>
        <v>2025 JAN-MEI DISC 75%</v>
      </c>
      <c r="B122" s="33">
        <f t="shared" si="11"/>
        <v>46121</v>
      </c>
      <c r="C122" s="33">
        <f t="shared" si="11"/>
        <v>46127</v>
      </c>
      <c r="D122" s="44">
        <v>3321</v>
      </c>
      <c r="E122" s="44">
        <v>337</v>
      </c>
      <c r="F122" s="68">
        <v>4</v>
      </c>
      <c r="G122" s="23">
        <v>1</v>
      </c>
      <c r="H122" s="23">
        <v>81588</v>
      </c>
      <c r="I122" s="32" t="s">
        <v>2689</v>
      </c>
      <c r="J122" s="22">
        <v>53828572</v>
      </c>
      <c r="K122" s="22" t="s">
        <v>5584</v>
      </c>
      <c r="L122" s="22" t="s">
        <v>5601</v>
      </c>
      <c r="M122" s="24">
        <v>119900</v>
      </c>
      <c r="N122" s="35">
        <v>0.75</v>
      </c>
      <c r="O122" s="69">
        <f t="shared" si="6"/>
        <v>29975</v>
      </c>
      <c r="P122" s="34" t="str">
        <f t="shared" si="8"/>
        <v>PERCENTAGE</v>
      </c>
    </row>
    <row r="123" spans="1:16" x14ac:dyDescent="0.35">
      <c r="A123" s="32" t="str">
        <f t="shared" si="11"/>
        <v>2025 JAN-MEI DISC 75%</v>
      </c>
      <c r="B123" s="33">
        <f t="shared" si="11"/>
        <v>46121</v>
      </c>
      <c r="C123" s="33">
        <f t="shared" si="11"/>
        <v>46127</v>
      </c>
      <c r="D123" s="44">
        <v>3321</v>
      </c>
      <c r="E123" s="44">
        <v>337</v>
      </c>
      <c r="F123" s="68">
        <v>4</v>
      </c>
      <c r="G123" s="23">
        <v>1</v>
      </c>
      <c r="H123" s="23">
        <v>81588</v>
      </c>
      <c r="I123" s="32" t="s">
        <v>2689</v>
      </c>
      <c r="J123" s="22">
        <v>53828581</v>
      </c>
      <c r="K123" s="22" t="s">
        <v>5584</v>
      </c>
      <c r="L123" s="22" t="s">
        <v>5604</v>
      </c>
      <c r="M123" s="24">
        <v>119900</v>
      </c>
      <c r="N123" s="35">
        <v>0.75</v>
      </c>
      <c r="O123" s="69">
        <f t="shared" si="6"/>
        <v>29975</v>
      </c>
      <c r="P123" s="34" t="str">
        <f t="shared" si="8"/>
        <v>PERCENTAGE</v>
      </c>
    </row>
    <row r="124" spans="1:16" x14ac:dyDescent="0.35">
      <c r="A124" s="32" t="str">
        <f t="shared" si="11"/>
        <v>2025 JAN-MEI DISC 75%</v>
      </c>
      <c r="B124" s="33">
        <f t="shared" si="11"/>
        <v>46121</v>
      </c>
      <c r="C124" s="33">
        <f t="shared" si="11"/>
        <v>46127</v>
      </c>
      <c r="D124" s="44">
        <v>3321</v>
      </c>
      <c r="E124" s="44">
        <v>337</v>
      </c>
      <c r="F124" s="68">
        <v>4</v>
      </c>
      <c r="G124" s="23">
        <v>1</v>
      </c>
      <c r="H124" s="23">
        <v>81588</v>
      </c>
      <c r="I124" s="32" t="s">
        <v>2689</v>
      </c>
      <c r="J124" s="22">
        <v>53828590</v>
      </c>
      <c r="K124" s="22" t="s">
        <v>5584</v>
      </c>
      <c r="L124" s="22" t="s">
        <v>5585</v>
      </c>
      <c r="M124" s="24">
        <v>119900</v>
      </c>
      <c r="N124" s="35">
        <v>0.75</v>
      </c>
      <c r="O124" s="69">
        <f t="shared" si="6"/>
        <v>29975</v>
      </c>
      <c r="P124" s="34" t="str">
        <f t="shared" si="8"/>
        <v>PERCENTAGE</v>
      </c>
    </row>
    <row r="125" spans="1:16" x14ac:dyDescent="0.35">
      <c r="A125" s="32" t="str">
        <f t="shared" si="11"/>
        <v>2025 JAN-MEI DISC 75%</v>
      </c>
      <c r="B125" s="33">
        <f t="shared" si="11"/>
        <v>46121</v>
      </c>
      <c r="C125" s="33">
        <f t="shared" si="11"/>
        <v>46127</v>
      </c>
      <c r="D125" s="44">
        <v>3321</v>
      </c>
      <c r="E125" s="44">
        <v>337</v>
      </c>
      <c r="F125" s="68">
        <v>4</v>
      </c>
      <c r="G125" s="23">
        <v>1</v>
      </c>
      <c r="H125" s="23">
        <v>81588</v>
      </c>
      <c r="I125" s="32" t="s">
        <v>2689</v>
      </c>
      <c r="J125" s="22">
        <v>53828607</v>
      </c>
      <c r="K125" s="22" t="s">
        <v>5586</v>
      </c>
      <c r="L125" s="22" t="s">
        <v>5587</v>
      </c>
      <c r="M125" s="24">
        <v>149900</v>
      </c>
      <c r="N125" s="35">
        <v>0.75</v>
      </c>
      <c r="O125" s="69">
        <f t="shared" si="6"/>
        <v>37475</v>
      </c>
      <c r="P125" s="34" t="str">
        <f t="shared" si="8"/>
        <v>PERCENTAGE</v>
      </c>
    </row>
    <row r="126" spans="1:16" x14ac:dyDescent="0.35">
      <c r="A126" s="32" t="str">
        <f t="shared" si="11"/>
        <v>2025 JAN-MEI DISC 75%</v>
      </c>
      <c r="B126" s="33">
        <f t="shared" si="11"/>
        <v>46121</v>
      </c>
      <c r="C126" s="33">
        <f t="shared" si="11"/>
        <v>46127</v>
      </c>
      <c r="D126" s="44">
        <v>3321</v>
      </c>
      <c r="E126" s="44">
        <v>337</v>
      </c>
      <c r="F126" s="68">
        <v>4</v>
      </c>
      <c r="G126" s="23">
        <v>1</v>
      </c>
      <c r="H126" s="23">
        <v>81588</v>
      </c>
      <c r="I126" s="32" t="s">
        <v>2689</v>
      </c>
      <c r="J126" s="22">
        <v>53828616</v>
      </c>
      <c r="K126" s="22" t="s">
        <v>5586</v>
      </c>
      <c r="L126" s="22" t="s">
        <v>5598</v>
      </c>
      <c r="M126" s="24">
        <v>149900</v>
      </c>
      <c r="N126" s="35">
        <v>0.75</v>
      </c>
      <c r="O126" s="69">
        <f t="shared" si="6"/>
        <v>37475</v>
      </c>
      <c r="P126" s="34" t="str">
        <f t="shared" si="8"/>
        <v>PERCENTAGE</v>
      </c>
    </row>
    <row r="127" spans="1:16" x14ac:dyDescent="0.35">
      <c r="A127" s="32" t="str">
        <f t="shared" si="11"/>
        <v>2025 JAN-MEI DISC 75%</v>
      </c>
      <c r="B127" s="33">
        <f t="shared" si="11"/>
        <v>46121</v>
      </c>
      <c r="C127" s="33">
        <f t="shared" si="11"/>
        <v>46127</v>
      </c>
      <c r="D127" s="44">
        <v>3321</v>
      </c>
      <c r="E127" s="44">
        <v>337</v>
      </c>
      <c r="F127" s="68">
        <v>4</v>
      </c>
      <c r="G127" s="23">
        <v>1</v>
      </c>
      <c r="H127" s="23">
        <v>81588</v>
      </c>
      <c r="I127" s="32" t="s">
        <v>2689</v>
      </c>
      <c r="J127" s="22">
        <v>53828625</v>
      </c>
      <c r="K127" s="22" t="s">
        <v>5586</v>
      </c>
      <c r="L127" s="22" t="s">
        <v>5596</v>
      </c>
      <c r="M127" s="24">
        <v>149900</v>
      </c>
      <c r="N127" s="35">
        <v>0.75</v>
      </c>
      <c r="O127" s="69">
        <f t="shared" si="6"/>
        <v>37475</v>
      </c>
      <c r="P127" s="34" t="str">
        <f t="shared" si="8"/>
        <v>PERCENTAGE</v>
      </c>
    </row>
    <row r="128" spans="1:16" x14ac:dyDescent="0.35">
      <c r="A128" s="32" t="str">
        <f t="shared" si="11"/>
        <v>2025 JAN-MEI DISC 75%</v>
      </c>
      <c r="B128" s="33">
        <f t="shared" si="11"/>
        <v>46121</v>
      </c>
      <c r="C128" s="33">
        <f t="shared" si="11"/>
        <v>46127</v>
      </c>
      <c r="D128" s="44">
        <v>3321</v>
      </c>
      <c r="E128" s="44">
        <v>337</v>
      </c>
      <c r="F128" s="68">
        <v>4</v>
      </c>
      <c r="G128" s="23">
        <v>1</v>
      </c>
      <c r="H128" s="23">
        <v>81588</v>
      </c>
      <c r="I128" s="32" t="s">
        <v>2689</v>
      </c>
      <c r="J128" s="22">
        <v>53828634</v>
      </c>
      <c r="K128" s="22" t="s">
        <v>5586</v>
      </c>
      <c r="L128" s="22" t="s">
        <v>5592</v>
      </c>
      <c r="M128" s="24">
        <v>149900</v>
      </c>
      <c r="N128" s="35">
        <v>0.75</v>
      </c>
      <c r="O128" s="69">
        <f t="shared" si="6"/>
        <v>37475</v>
      </c>
      <c r="P128" s="34" t="str">
        <f t="shared" si="8"/>
        <v>PERCENTAGE</v>
      </c>
    </row>
    <row r="129" spans="1:16" x14ac:dyDescent="0.35">
      <c r="A129" s="32" t="str">
        <f t="shared" si="11"/>
        <v>2025 JAN-MEI DISC 75%</v>
      </c>
      <c r="B129" s="33">
        <f t="shared" si="11"/>
        <v>46121</v>
      </c>
      <c r="C129" s="33">
        <f t="shared" si="11"/>
        <v>46127</v>
      </c>
      <c r="D129" s="44">
        <v>3321</v>
      </c>
      <c r="E129" s="44">
        <v>337</v>
      </c>
      <c r="F129" s="68">
        <v>4</v>
      </c>
      <c r="G129" s="23">
        <v>1</v>
      </c>
      <c r="H129" s="23">
        <v>81588</v>
      </c>
      <c r="I129" s="32" t="s">
        <v>2689</v>
      </c>
      <c r="J129" s="22">
        <v>53828527</v>
      </c>
      <c r="K129" s="22" t="s">
        <v>5589</v>
      </c>
      <c r="L129" s="22" t="s">
        <v>5603</v>
      </c>
      <c r="M129" s="24">
        <v>149900</v>
      </c>
      <c r="N129" s="35">
        <v>0.75</v>
      </c>
      <c r="O129" s="69">
        <f t="shared" si="6"/>
        <v>37475</v>
      </c>
      <c r="P129" s="34" t="str">
        <f t="shared" si="8"/>
        <v>PERCENTAGE</v>
      </c>
    </row>
    <row r="130" spans="1:16" x14ac:dyDescent="0.35">
      <c r="A130" s="32" t="str">
        <f t="shared" si="11"/>
        <v>2025 JAN-MEI DISC 75%</v>
      </c>
      <c r="B130" s="33">
        <f t="shared" si="11"/>
        <v>46121</v>
      </c>
      <c r="C130" s="33">
        <f t="shared" si="11"/>
        <v>46127</v>
      </c>
      <c r="D130" s="44">
        <v>3321</v>
      </c>
      <c r="E130" s="44">
        <v>337</v>
      </c>
      <c r="F130" s="68">
        <v>4</v>
      </c>
      <c r="G130" s="23">
        <v>1</v>
      </c>
      <c r="H130" s="23">
        <v>81588</v>
      </c>
      <c r="I130" s="32" t="s">
        <v>2689</v>
      </c>
      <c r="J130" s="22">
        <v>53828536</v>
      </c>
      <c r="K130" s="22" t="s">
        <v>5589</v>
      </c>
      <c r="L130" s="22" t="s">
        <v>5590</v>
      </c>
      <c r="M130" s="24">
        <v>149900</v>
      </c>
      <c r="N130" s="35">
        <v>0.75</v>
      </c>
      <c r="O130" s="69">
        <f t="shared" si="6"/>
        <v>37475</v>
      </c>
      <c r="P130" s="34" t="str">
        <f t="shared" si="8"/>
        <v>PERCENTAGE</v>
      </c>
    </row>
    <row r="131" spans="1:16" x14ac:dyDescent="0.35">
      <c r="A131" s="32" t="str">
        <f t="shared" si="11"/>
        <v>2025 JAN-MEI DISC 75%</v>
      </c>
      <c r="B131" s="33">
        <f t="shared" si="11"/>
        <v>46121</v>
      </c>
      <c r="C131" s="33">
        <f t="shared" si="11"/>
        <v>46127</v>
      </c>
      <c r="D131" s="44">
        <v>3321</v>
      </c>
      <c r="E131" s="44">
        <v>337</v>
      </c>
      <c r="F131" s="68">
        <v>4</v>
      </c>
      <c r="G131" s="23">
        <v>1</v>
      </c>
      <c r="H131" s="23">
        <v>81588</v>
      </c>
      <c r="I131" s="32" t="s">
        <v>2689</v>
      </c>
      <c r="J131" s="22">
        <v>53828545</v>
      </c>
      <c r="K131" s="22" t="s">
        <v>5589</v>
      </c>
      <c r="L131" s="22" t="s">
        <v>5597</v>
      </c>
      <c r="M131" s="24">
        <v>149900</v>
      </c>
      <c r="N131" s="35">
        <v>0.75</v>
      </c>
      <c r="O131" s="69">
        <f t="shared" ref="O131:O192" si="12">M131-((75*M131)/100)</f>
        <v>37475</v>
      </c>
      <c r="P131" s="34" t="str">
        <f t="shared" si="8"/>
        <v>PERCENTAGE</v>
      </c>
    </row>
    <row r="132" spans="1:16" x14ac:dyDescent="0.35">
      <c r="A132" s="32" t="str">
        <f t="shared" ref="A132:C147" si="13">A131</f>
        <v>2025 JAN-MEI DISC 75%</v>
      </c>
      <c r="B132" s="33">
        <f t="shared" si="13"/>
        <v>46121</v>
      </c>
      <c r="C132" s="33">
        <f t="shared" si="13"/>
        <v>46127</v>
      </c>
      <c r="D132" s="44">
        <v>3321</v>
      </c>
      <c r="E132" s="44">
        <v>337</v>
      </c>
      <c r="F132" s="68">
        <v>4</v>
      </c>
      <c r="G132" s="23">
        <v>1</v>
      </c>
      <c r="H132" s="23">
        <v>81588</v>
      </c>
      <c r="I132" s="32" t="s">
        <v>2689</v>
      </c>
      <c r="J132" s="22">
        <v>53828554</v>
      </c>
      <c r="K132" s="22" t="s">
        <v>5589</v>
      </c>
      <c r="L132" s="22" t="s">
        <v>5606</v>
      </c>
      <c r="M132" s="24">
        <v>149900</v>
      </c>
      <c r="N132" s="35">
        <v>0.75</v>
      </c>
      <c r="O132" s="69">
        <f t="shared" si="12"/>
        <v>37475</v>
      </c>
      <c r="P132" s="34" t="str">
        <f t="shared" ref="P132:P176" si="14">P131</f>
        <v>PERCENTAGE</v>
      </c>
    </row>
    <row r="133" spans="1:16" x14ac:dyDescent="0.35">
      <c r="A133" s="32" t="str">
        <f t="shared" si="13"/>
        <v>2025 JAN-MEI DISC 75%</v>
      </c>
      <c r="B133" s="33">
        <f t="shared" si="13"/>
        <v>46121</v>
      </c>
      <c r="C133" s="33">
        <f t="shared" si="13"/>
        <v>46127</v>
      </c>
      <c r="D133" s="44">
        <v>3321</v>
      </c>
      <c r="E133" s="44">
        <v>337</v>
      </c>
      <c r="F133" s="68">
        <v>4</v>
      </c>
      <c r="G133" s="23">
        <v>3</v>
      </c>
      <c r="H133" s="23">
        <v>81588</v>
      </c>
      <c r="I133" s="32" t="s">
        <v>2689</v>
      </c>
      <c r="J133" s="22">
        <v>53828689</v>
      </c>
      <c r="K133" s="22" t="s">
        <v>5672</v>
      </c>
      <c r="L133" s="22" t="s">
        <v>5674</v>
      </c>
      <c r="M133" s="24">
        <v>279900</v>
      </c>
      <c r="N133" s="35">
        <v>0.75</v>
      </c>
      <c r="O133" s="69">
        <f t="shared" si="12"/>
        <v>69975</v>
      </c>
      <c r="P133" s="34" t="str">
        <f t="shared" si="14"/>
        <v>PERCENTAGE</v>
      </c>
    </row>
    <row r="134" spans="1:16" x14ac:dyDescent="0.35">
      <c r="A134" s="32" t="str">
        <f t="shared" si="13"/>
        <v>2025 JAN-MEI DISC 75%</v>
      </c>
      <c r="B134" s="33">
        <f t="shared" si="13"/>
        <v>46121</v>
      </c>
      <c r="C134" s="33">
        <f t="shared" si="13"/>
        <v>46127</v>
      </c>
      <c r="D134" s="44">
        <v>3321</v>
      </c>
      <c r="E134" s="44">
        <v>337</v>
      </c>
      <c r="F134" s="68">
        <v>4</v>
      </c>
      <c r="G134" s="23">
        <v>3</v>
      </c>
      <c r="H134" s="23">
        <v>81588</v>
      </c>
      <c r="I134" s="32" t="s">
        <v>2689</v>
      </c>
      <c r="J134" s="22">
        <v>53828698</v>
      </c>
      <c r="K134" s="22" t="s">
        <v>5672</v>
      </c>
      <c r="L134" s="22" t="s">
        <v>5675</v>
      </c>
      <c r="M134" s="24">
        <v>279900</v>
      </c>
      <c r="N134" s="35">
        <v>0.75</v>
      </c>
      <c r="O134" s="69">
        <f t="shared" si="12"/>
        <v>69975</v>
      </c>
      <c r="P134" s="34" t="str">
        <f t="shared" si="14"/>
        <v>PERCENTAGE</v>
      </c>
    </row>
    <row r="135" spans="1:16" x14ac:dyDescent="0.35">
      <c r="A135" s="32" t="str">
        <f t="shared" si="13"/>
        <v>2025 JAN-MEI DISC 75%</v>
      </c>
      <c r="B135" s="33">
        <f t="shared" si="13"/>
        <v>46121</v>
      </c>
      <c r="C135" s="33">
        <f t="shared" si="13"/>
        <v>46127</v>
      </c>
      <c r="D135" s="44">
        <v>3321</v>
      </c>
      <c r="E135" s="44">
        <v>337</v>
      </c>
      <c r="F135" s="68">
        <v>4</v>
      </c>
      <c r="G135" s="23">
        <v>3</v>
      </c>
      <c r="H135" s="23">
        <v>81588</v>
      </c>
      <c r="I135" s="32" t="s">
        <v>2689</v>
      </c>
      <c r="J135" s="22">
        <v>53828705</v>
      </c>
      <c r="K135" s="22" t="s">
        <v>5672</v>
      </c>
      <c r="L135" s="22" t="s">
        <v>5673</v>
      </c>
      <c r="M135" s="24">
        <v>279900</v>
      </c>
      <c r="N135" s="35">
        <v>0.75</v>
      </c>
      <c r="O135" s="69">
        <f t="shared" si="12"/>
        <v>69975</v>
      </c>
      <c r="P135" s="34" t="str">
        <f t="shared" si="14"/>
        <v>PERCENTAGE</v>
      </c>
    </row>
    <row r="136" spans="1:16" x14ac:dyDescent="0.35">
      <c r="A136" s="32" t="str">
        <f t="shared" si="13"/>
        <v>2025 JAN-MEI DISC 75%</v>
      </c>
      <c r="B136" s="33">
        <f t="shared" si="13"/>
        <v>46121</v>
      </c>
      <c r="C136" s="33">
        <f t="shared" si="13"/>
        <v>46127</v>
      </c>
      <c r="D136" s="44">
        <v>3321</v>
      </c>
      <c r="E136" s="44">
        <v>337</v>
      </c>
      <c r="F136" s="68">
        <v>4</v>
      </c>
      <c r="G136" s="23">
        <v>3</v>
      </c>
      <c r="H136" s="23">
        <v>81588</v>
      </c>
      <c r="I136" s="32" t="s">
        <v>2689</v>
      </c>
      <c r="J136" s="22">
        <v>53828714</v>
      </c>
      <c r="K136" s="22" t="s">
        <v>5672</v>
      </c>
      <c r="L136" s="22" t="s">
        <v>5676</v>
      </c>
      <c r="M136" s="24">
        <v>279900</v>
      </c>
      <c r="N136" s="35">
        <v>0.75</v>
      </c>
      <c r="O136" s="69">
        <f t="shared" si="12"/>
        <v>69975</v>
      </c>
      <c r="P136" s="34" t="str">
        <f t="shared" si="14"/>
        <v>PERCENTAGE</v>
      </c>
    </row>
    <row r="137" spans="1:16" x14ac:dyDescent="0.35">
      <c r="A137" s="32" t="str">
        <f t="shared" si="13"/>
        <v>2025 JAN-MEI DISC 75%</v>
      </c>
      <c r="B137" s="33">
        <f t="shared" si="13"/>
        <v>46121</v>
      </c>
      <c r="C137" s="33">
        <f t="shared" si="13"/>
        <v>46127</v>
      </c>
      <c r="D137" s="44">
        <v>3321</v>
      </c>
      <c r="E137" s="44">
        <v>337</v>
      </c>
      <c r="F137" s="68">
        <v>4</v>
      </c>
      <c r="G137" s="23">
        <v>4</v>
      </c>
      <c r="H137" s="23">
        <v>81588</v>
      </c>
      <c r="I137" s="32" t="s">
        <v>2689</v>
      </c>
      <c r="J137" s="22">
        <v>53828723</v>
      </c>
      <c r="K137" s="22" t="s">
        <v>5677</v>
      </c>
      <c r="L137" s="22" t="s">
        <v>5680</v>
      </c>
      <c r="M137" s="24">
        <v>199900</v>
      </c>
      <c r="N137" s="35">
        <v>0.75</v>
      </c>
      <c r="O137" s="69">
        <f t="shared" si="12"/>
        <v>49975</v>
      </c>
      <c r="P137" s="34" t="str">
        <f t="shared" si="14"/>
        <v>PERCENTAGE</v>
      </c>
    </row>
    <row r="138" spans="1:16" x14ac:dyDescent="0.35">
      <c r="A138" s="32" t="str">
        <f t="shared" si="13"/>
        <v>2025 JAN-MEI DISC 75%</v>
      </c>
      <c r="B138" s="33">
        <f t="shared" si="13"/>
        <v>46121</v>
      </c>
      <c r="C138" s="33">
        <f t="shared" si="13"/>
        <v>46127</v>
      </c>
      <c r="D138" s="44">
        <v>3321</v>
      </c>
      <c r="E138" s="44">
        <v>337</v>
      </c>
      <c r="F138" s="68">
        <v>4</v>
      </c>
      <c r="G138" s="23">
        <v>4</v>
      </c>
      <c r="H138" s="23">
        <v>81588</v>
      </c>
      <c r="I138" s="32" t="s">
        <v>2689</v>
      </c>
      <c r="J138" s="22">
        <v>53828732</v>
      </c>
      <c r="K138" s="22" t="s">
        <v>5677</v>
      </c>
      <c r="L138" s="22" t="s">
        <v>5679</v>
      </c>
      <c r="M138" s="24">
        <v>199900</v>
      </c>
      <c r="N138" s="35">
        <v>0.75</v>
      </c>
      <c r="O138" s="69">
        <f t="shared" si="12"/>
        <v>49975</v>
      </c>
      <c r="P138" s="34" t="str">
        <f t="shared" si="14"/>
        <v>PERCENTAGE</v>
      </c>
    </row>
    <row r="139" spans="1:16" x14ac:dyDescent="0.35">
      <c r="A139" s="32" t="str">
        <f t="shared" si="13"/>
        <v>2025 JAN-MEI DISC 75%</v>
      </c>
      <c r="B139" s="33">
        <f t="shared" si="13"/>
        <v>46121</v>
      </c>
      <c r="C139" s="33">
        <f t="shared" si="13"/>
        <v>46127</v>
      </c>
      <c r="D139" s="44">
        <v>3321</v>
      </c>
      <c r="E139" s="44">
        <v>337</v>
      </c>
      <c r="F139" s="68">
        <v>4</v>
      </c>
      <c r="G139" s="23">
        <v>4</v>
      </c>
      <c r="H139" s="23">
        <v>81588</v>
      </c>
      <c r="I139" s="32" t="s">
        <v>2689</v>
      </c>
      <c r="J139" s="22">
        <v>53828741</v>
      </c>
      <c r="K139" s="22" t="s">
        <v>5677</v>
      </c>
      <c r="L139" s="22" t="s">
        <v>5678</v>
      </c>
      <c r="M139" s="24">
        <v>199900</v>
      </c>
      <c r="N139" s="35">
        <v>0.75</v>
      </c>
      <c r="O139" s="69">
        <f t="shared" si="12"/>
        <v>49975</v>
      </c>
      <c r="P139" s="34" t="str">
        <f t="shared" si="14"/>
        <v>PERCENTAGE</v>
      </c>
    </row>
    <row r="140" spans="1:16" x14ac:dyDescent="0.35">
      <c r="A140" s="32" t="str">
        <f t="shared" si="13"/>
        <v>2025 JAN-MEI DISC 75%</v>
      </c>
      <c r="B140" s="33">
        <f t="shared" si="13"/>
        <v>46121</v>
      </c>
      <c r="C140" s="33">
        <f t="shared" si="13"/>
        <v>46127</v>
      </c>
      <c r="D140" s="44">
        <v>3321</v>
      </c>
      <c r="E140" s="44">
        <v>337</v>
      </c>
      <c r="F140" s="68">
        <v>4</v>
      </c>
      <c r="G140" s="23">
        <v>4</v>
      </c>
      <c r="H140" s="23">
        <v>81588</v>
      </c>
      <c r="I140" s="32" t="s">
        <v>2689</v>
      </c>
      <c r="J140" s="22">
        <v>53828750</v>
      </c>
      <c r="K140" s="22" t="s">
        <v>5677</v>
      </c>
      <c r="L140" s="22" t="s">
        <v>5681</v>
      </c>
      <c r="M140" s="24">
        <v>199900</v>
      </c>
      <c r="N140" s="35">
        <v>0.75</v>
      </c>
      <c r="O140" s="69">
        <f t="shared" si="12"/>
        <v>49975</v>
      </c>
      <c r="P140" s="34" t="str">
        <f t="shared" si="14"/>
        <v>PERCENTAGE</v>
      </c>
    </row>
    <row r="141" spans="1:16" x14ac:dyDescent="0.35">
      <c r="A141" s="32" t="str">
        <f t="shared" si="13"/>
        <v>2025 JAN-MEI DISC 75%</v>
      </c>
      <c r="B141" s="33">
        <f t="shared" si="13"/>
        <v>46121</v>
      </c>
      <c r="C141" s="33">
        <f t="shared" si="13"/>
        <v>46127</v>
      </c>
      <c r="D141" s="44">
        <v>3321</v>
      </c>
      <c r="E141" s="44">
        <v>337</v>
      </c>
      <c r="F141" s="68">
        <v>4</v>
      </c>
      <c r="G141" s="23">
        <v>5</v>
      </c>
      <c r="H141" s="23">
        <v>81588</v>
      </c>
      <c r="I141" s="32" t="s">
        <v>2689</v>
      </c>
      <c r="J141" s="22">
        <v>53828769</v>
      </c>
      <c r="K141" s="22" t="s">
        <v>5682</v>
      </c>
      <c r="L141" s="22" t="s">
        <v>5683</v>
      </c>
      <c r="M141" s="24">
        <v>259900</v>
      </c>
      <c r="N141" s="35">
        <v>0.75</v>
      </c>
      <c r="O141" s="69">
        <f t="shared" si="12"/>
        <v>64975</v>
      </c>
      <c r="P141" s="34" t="str">
        <f t="shared" si="14"/>
        <v>PERCENTAGE</v>
      </c>
    </row>
    <row r="142" spans="1:16" x14ac:dyDescent="0.35">
      <c r="A142" s="32" t="str">
        <f t="shared" si="13"/>
        <v>2025 JAN-MEI DISC 75%</v>
      </c>
      <c r="B142" s="33">
        <f t="shared" si="13"/>
        <v>46121</v>
      </c>
      <c r="C142" s="33">
        <f t="shared" si="13"/>
        <v>46127</v>
      </c>
      <c r="D142" s="44">
        <v>3321</v>
      </c>
      <c r="E142" s="44">
        <v>337</v>
      </c>
      <c r="F142" s="68">
        <v>4</v>
      </c>
      <c r="G142" s="23">
        <v>5</v>
      </c>
      <c r="H142" s="23">
        <v>81588</v>
      </c>
      <c r="I142" s="32" t="s">
        <v>2689</v>
      </c>
      <c r="J142" s="22">
        <v>53828778</v>
      </c>
      <c r="K142" s="22" t="s">
        <v>5682</v>
      </c>
      <c r="L142" s="22" t="s">
        <v>5686</v>
      </c>
      <c r="M142" s="24">
        <v>259900</v>
      </c>
      <c r="N142" s="35">
        <v>0.75</v>
      </c>
      <c r="O142" s="69">
        <f t="shared" si="12"/>
        <v>64975</v>
      </c>
      <c r="P142" s="34" t="str">
        <f t="shared" si="14"/>
        <v>PERCENTAGE</v>
      </c>
    </row>
    <row r="143" spans="1:16" x14ac:dyDescent="0.35">
      <c r="A143" s="32" t="str">
        <f t="shared" si="13"/>
        <v>2025 JAN-MEI DISC 75%</v>
      </c>
      <c r="B143" s="33">
        <f t="shared" si="13"/>
        <v>46121</v>
      </c>
      <c r="C143" s="33">
        <f t="shared" si="13"/>
        <v>46127</v>
      </c>
      <c r="D143" s="44">
        <v>3321</v>
      </c>
      <c r="E143" s="44">
        <v>337</v>
      </c>
      <c r="F143" s="68">
        <v>4</v>
      </c>
      <c r="G143" s="23">
        <v>5</v>
      </c>
      <c r="H143" s="23">
        <v>81588</v>
      </c>
      <c r="I143" s="32" t="s">
        <v>2689</v>
      </c>
      <c r="J143" s="22">
        <v>53828787</v>
      </c>
      <c r="K143" s="22" t="s">
        <v>5682</v>
      </c>
      <c r="L143" s="22" t="s">
        <v>5685</v>
      </c>
      <c r="M143" s="24">
        <v>259900</v>
      </c>
      <c r="N143" s="35">
        <v>0.75</v>
      </c>
      <c r="O143" s="69">
        <f t="shared" si="12"/>
        <v>64975</v>
      </c>
      <c r="P143" s="34" t="str">
        <f t="shared" si="14"/>
        <v>PERCENTAGE</v>
      </c>
    </row>
    <row r="144" spans="1:16" x14ac:dyDescent="0.35">
      <c r="A144" s="32" t="str">
        <f t="shared" si="13"/>
        <v>2025 JAN-MEI DISC 75%</v>
      </c>
      <c r="B144" s="33">
        <f t="shared" si="13"/>
        <v>46121</v>
      </c>
      <c r="C144" s="33">
        <f t="shared" si="13"/>
        <v>46127</v>
      </c>
      <c r="D144" s="44">
        <v>3321</v>
      </c>
      <c r="E144" s="44">
        <v>337</v>
      </c>
      <c r="F144" s="68">
        <v>4</v>
      </c>
      <c r="G144" s="23">
        <v>5</v>
      </c>
      <c r="H144" s="23">
        <v>81588</v>
      </c>
      <c r="I144" s="32" t="s">
        <v>2689</v>
      </c>
      <c r="J144" s="22">
        <v>53828796</v>
      </c>
      <c r="K144" s="22" t="s">
        <v>5682</v>
      </c>
      <c r="L144" s="22" t="s">
        <v>5684</v>
      </c>
      <c r="M144" s="24">
        <v>259900</v>
      </c>
      <c r="N144" s="35">
        <v>0.75</v>
      </c>
      <c r="O144" s="69">
        <f t="shared" si="12"/>
        <v>64975</v>
      </c>
      <c r="P144" s="34" t="str">
        <f t="shared" si="14"/>
        <v>PERCENTAGE</v>
      </c>
    </row>
    <row r="145" spans="1:16" x14ac:dyDescent="0.35">
      <c r="A145" s="32" t="str">
        <f t="shared" si="13"/>
        <v>2025 JAN-MEI DISC 75%</v>
      </c>
      <c r="B145" s="33">
        <f t="shared" si="13"/>
        <v>46121</v>
      </c>
      <c r="C145" s="33">
        <f t="shared" si="13"/>
        <v>46127</v>
      </c>
      <c r="D145" s="44">
        <v>3321</v>
      </c>
      <c r="E145" s="44">
        <v>337</v>
      </c>
      <c r="F145" s="68">
        <v>4</v>
      </c>
      <c r="G145" s="23">
        <v>1</v>
      </c>
      <c r="H145" s="23">
        <v>4953</v>
      </c>
      <c r="I145" s="32" t="s">
        <v>2689</v>
      </c>
      <c r="J145" s="22">
        <v>54390953</v>
      </c>
      <c r="K145" s="22" t="s">
        <v>5700</v>
      </c>
      <c r="L145" s="22" t="s">
        <v>5702</v>
      </c>
      <c r="M145" s="24">
        <v>119900</v>
      </c>
      <c r="N145" s="35">
        <v>0.75</v>
      </c>
      <c r="O145" s="69">
        <f t="shared" si="12"/>
        <v>29975</v>
      </c>
      <c r="P145" s="34" t="str">
        <f t="shared" si="14"/>
        <v>PERCENTAGE</v>
      </c>
    </row>
    <row r="146" spans="1:16" x14ac:dyDescent="0.35">
      <c r="A146" s="32" t="str">
        <f t="shared" si="13"/>
        <v>2025 JAN-MEI DISC 75%</v>
      </c>
      <c r="B146" s="33">
        <f t="shared" si="13"/>
        <v>46121</v>
      </c>
      <c r="C146" s="33">
        <f t="shared" si="13"/>
        <v>46127</v>
      </c>
      <c r="D146" s="44">
        <v>3321</v>
      </c>
      <c r="E146" s="44">
        <v>337</v>
      </c>
      <c r="F146" s="68">
        <v>4</v>
      </c>
      <c r="G146" s="23">
        <v>1</v>
      </c>
      <c r="H146" s="23">
        <v>4953</v>
      </c>
      <c r="I146" s="32" t="s">
        <v>2689</v>
      </c>
      <c r="J146" s="22">
        <v>54390962</v>
      </c>
      <c r="K146" s="22" t="s">
        <v>5700</v>
      </c>
      <c r="L146" s="22" t="s">
        <v>5703</v>
      </c>
      <c r="M146" s="24">
        <v>119900</v>
      </c>
      <c r="N146" s="35">
        <v>0.75</v>
      </c>
      <c r="O146" s="69">
        <f t="shared" si="12"/>
        <v>29975</v>
      </c>
      <c r="P146" s="34" t="str">
        <f t="shared" si="14"/>
        <v>PERCENTAGE</v>
      </c>
    </row>
    <row r="147" spans="1:16" x14ac:dyDescent="0.35">
      <c r="A147" s="32" t="str">
        <f t="shared" si="13"/>
        <v>2025 JAN-MEI DISC 75%</v>
      </c>
      <c r="B147" s="33">
        <f t="shared" si="13"/>
        <v>46121</v>
      </c>
      <c r="C147" s="33">
        <f t="shared" si="13"/>
        <v>46127</v>
      </c>
      <c r="D147" s="44">
        <v>3321</v>
      </c>
      <c r="E147" s="44">
        <v>337</v>
      </c>
      <c r="F147" s="68">
        <v>4</v>
      </c>
      <c r="G147" s="23">
        <v>1</v>
      </c>
      <c r="H147" s="23">
        <v>4953</v>
      </c>
      <c r="I147" s="32" t="s">
        <v>2689</v>
      </c>
      <c r="J147" s="22">
        <v>54390971</v>
      </c>
      <c r="K147" s="22" t="s">
        <v>5700</v>
      </c>
      <c r="L147" s="22" t="s">
        <v>5709</v>
      </c>
      <c r="M147" s="24">
        <v>119900</v>
      </c>
      <c r="N147" s="35">
        <v>0.75</v>
      </c>
      <c r="O147" s="69">
        <f t="shared" si="12"/>
        <v>29975</v>
      </c>
      <c r="P147" s="34" t="str">
        <f t="shared" si="14"/>
        <v>PERCENTAGE</v>
      </c>
    </row>
    <row r="148" spans="1:16" x14ac:dyDescent="0.35">
      <c r="A148" s="32" t="str">
        <f t="shared" ref="A148:C163" si="15">A147</f>
        <v>2025 JAN-MEI DISC 75%</v>
      </c>
      <c r="B148" s="33">
        <f t="shared" si="15"/>
        <v>46121</v>
      </c>
      <c r="C148" s="33">
        <f t="shared" si="15"/>
        <v>46127</v>
      </c>
      <c r="D148" s="44">
        <v>3321</v>
      </c>
      <c r="E148" s="44">
        <v>337</v>
      </c>
      <c r="F148" s="68">
        <v>4</v>
      </c>
      <c r="G148" s="23">
        <v>1</v>
      </c>
      <c r="H148" s="23">
        <v>4953</v>
      </c>
      <c r="I148" s="32" t="s">
        <v>2689</v>
      </c>
      <c r="J148" s="22">
        <v>54390980</v>
      </c>
      <c r="K148" s="22" t="s">
        <v>5700</v>
      </c>
      <c r="L148" s="22" t="s">
        <v>5707</v>
      </c>
      <c r="M148" s="24">
        <v>119900</v>
      </c>
      <c r="N148" s="35">
        <v>0.75</v>
      </c>
      <c r="O148" s="69">
        <f t="shared" si="12"/>
        <v>29975</v>
      </c>
      <c r="P148" s="34" t="str">
        <f t="shared" si="14"/>
        <v>PERCENTAGE</v>
      </c>
    </row>
    <row r="149" spans="1:16" x14ac:dyDescent="0.35">
      <c r="A149" s="32" t="str">
        <f t="shared" si="15"/>
        <v>2025 JAN-MEI DISC 75%</v>
      </c>
      <c r="B149" s="33">
        <f t="shared" si="15"/>
        <v>46121</v>
      </c>
      <c r="C149" s="33">
        <f t="shared" si="15"/>
        <v>46127</v>
      </c>
      <c r="D149" s="44">
        <v>3321</v>
      </c>
      <c r="E149" s="44">
        <v>337</v>
      </c>
      <c r="F149" s="68">
        <v>4</v>
      </c>
      <c r="G149" s="23">
        <v>1</v>
      </c>
      <c r="H149" s="23">
        <v>4953</v>
      </c>
      <c r="I149" s="32" t="s">
        <v>2689</v>
      </c>
      <c r="J149" s="22">
        <v>54390999</v>
      </c>
      <c r="K149" s="22" t="s">
        <v>5700</v>
      </c>
      <c r="L149" s="22" t="s">
        <v>5701</v>
      </c>
      <c r="M149" s="24">
        <v>119900</v>
      </c>
      <c r="N149" s="35">
        <v>0.75</v>
      </c>
      <c r="O149" s="69">
        <f t="shared" si="12"/>
        <v>29975</v>
      </c>
      <c r="P149" s="34" t="str">
        <f t="shared" si="14"/>
        <v>PERCENTAGE</v>
      </c>
    </row>
    <row r="150" spans="1:16" x14ac:dyDescent="0.35">
      <c r="A150" s="32" t="str">
        <f t="shared" si="15"/>
        <v>2025 JAN-MEI DISC 75%</v>
      </c>
      <c r="B150" s="33">
        <f t="shared" si="15"/>
        <v>46121</v>
      </c>
      <c r="C150" s="33">
        <f t="shared" si="15"/>
        <v>46127</v>
      </c>
      <c r="D150" s="44">
        <v>3321</v>
      </c>
      <c r="E150" s="44">
        <v>337</v>
      </c>
      <c r="F150" s="68">
        <v>4</v>
      </c>
      <c r="G150" s="23">
        <v>1</v>
      </c>
      <c r="H150" s="23">
        <v>4953</v>
      </c>
      <c r="I150" s="32" t="s">
        <v>2689</v>
      </c>
      <c r="J150" s="22">
        <v>54408345</v>
      </c>
      <c r="K150" s="22" t="s">
        <v>5700</v>
      </c>
      <c r="L150" s="22" t="s">
        <v>5705</v>
      </c>
      <c r="M150" s="24">
        <v>119900</v>
      </c>
      <c r="N150" s="35">
        <v>0.75</v>
      </c>
      <c r="O150" s="69">
        <f t="shared" si="12"/>
        <v>29975</v>
      </c>
      <c r="P150" s="34" t="str">
        <f t="shared" si="14"/>
        <v>PERCENTAGE</v>
      </c>
    </row>
    <row r="151" spans="1:16" x14ac:dyDescent="0.35">
      <c r="A151" s="32" t="str">
        <f t="shared" si="15"/>
        <v>2025 JAN-MEI DISC 75%</v>
      </c>
      <c r="B151" s="33">
        <f t="shared" si="15"/>
        <v>46121</v>
      </c>
      <c r="C151" s="33">
        <f t="shared" si="15"/>
        <v>46127</v>
      </c>
      <c r="D151" s="44">
        <v>3321</v>
      </c>
      <c r="E151" s="44">
        <v>337</v>
      </c>
      <c r="F151" s="68">
        <v>4</v>
      </c>
      <c r="G151" s="23">
        <v>1</v>
      </c>
      <c r="H151" s="23">
        <v>4953</v>
      </c>
      <c r="I151" s="32" t="s">
        <v>2689</v>
      </c>
      <c r="J151" s="22">
        <v>54391005</v>
      </c>
      <c r="K151" s="22" t="s">
        <v>5697</v>
      </c>
      <c r="L151" s="22" t="s">
        <v>5699</v>
      </c>
      <c r="M151" s="24">
        <v>119900</v>
      </c>
      <c r="N151" s="35">
        <v>0.75</v>
      </c>
      <c r="O151" s="69">
        <f t="shared" si="12"/>
        <v>29975</v>
      </c>
      <c r="P151" s="34" t="str">
        <f t="shared" si="14"/>
        <v>PERCENTAGE</v>
      </c>
    </row>
    <row r="152" spans="1:16" x14ac:dyDescent="0.35">
      <c r="A152" s="32" t="str">
        <f t="shared" si="15"/>
        <v>2025 JAN-MEI DISC 75%</v>
      </c>
      <c r="B152" s="33">
        <f t="shared" si="15"/>
        <v>46121</v>
      </c>
      <c r="C152" s="33">
        <f t="shared" si="15"/>
        <v>46127</v>
      </c>
      <c r="D152" s="44">
        <v>3321</v>
      </c>
      <c r="E152" s="44">
        <v>337</v>
      </c>
      <c r="F152" s="68">
        <v>4</v>
      </c>
      <c r="G152" s="23">
        <v>1</v>
      </c>
      <c r="H152" s="23">
        <v>4953</v>
      </c>
      <c r="I152" s="32" t="s">
        <v>2689</v>
      </c>
      <c r="J152" s="22">
        <v>54391014</v>
      </c>
      <c r="K152" s="22" t="s">
        <v>5697</v>
      </c>
      <c r="L152" s="22" t="s">
        <v>5710</v>
      </c>
      <c r="M152" s="24">
        <v>119900</v>
      </c>
      <c r="N152" s="35">
        <v>0.75</v>
      </c>
      <c r="O152" s="69">
        <f t="shared" si="12"/>
        <v>29975</v>
      </c>
      <c r="P152" s="34" t="str">
        <f t="shared" si="14"/>
        <v>PERCENTAGE</v>
      </c>
    </row>
    <row r="153" spans="1:16" x14ac:dyDescent="0.35">
      <c r="A153" s="32" t="str">
        <f t="shared" si="15"/>
        <v>2025 JAN-MEI DISC 75%</v>
      </c>
      <c r="B153" s="33">
        <f t="shared" si="15"/>
        <v>46121</v>
      </c>
      <c r="C153" s="33">
        <f t="shared" si="15"/>
        <v>46127</v>
      </c>
      <c r="D153" s="44">
        <v>3321</v>
      </c>
      <c r="E153" s="44">
        <v>337</v>
      </c>
      <c r="F153" s="68">
        <v>4</v>
      </c>
      <c r="G153" s="23">
        <v>1</v>
      </c>
      <c r="H153" s="23">
        <v>4953</v>
      </c>
      <c r="I153" s="32" t="s">
        <v>2689</v>
      </c>
      <c r="J153" s="22">
        <v>54391023</v>
      </c>
      <c r="K153" s="22" t="s">
        <v>5697</v>
      </c>
      <c r="L153" s="22" t="s">
        <v>5706</v>
      </c>
      <c r="M153" s="24">
        <v>119900</v>
      </c>
      <c r="N153" s="35">
        <v>0.75</v>
      </c>
      <c r="O153" s="69">
        <f t="shared" si="12"/>
        <v>29975</v>
      </c>
      <c r="P153" s="34" t="str">
        <f t="shared" si="14"/>
        <v>PERCENTAGE</v>
      </c>
    </row>
    <row r="154" spans="1:16" x14ac:dyDescent="0.35">
      <c r="A154" s="32" t="str">
        <f t="shared" si="15"/>
        <v>2025 JAN-MEI DISC 75%</v>
      </c>
      <c r="B154" s="33">
        <f t="shared" si="15"/>
        <v>46121</v>
      </c>
      <c r="C154" s="33">
        <f t="shared" si="15"/>
        <v>46127</v>
      </c>
      <c r="D154" s="44">
        <v>3321</v>
      </c>
      <c r="E154" s="44">
        <v>337</v>
      </c>
      <c r="F154" s="68">
        <v>4</v>
      </c>
      <c r="G154" s="23">
        <v>1</v>
      </c>
      <c r="H154" s="23">
        <v>4953</v>
      </c>
      <c r="I154" s="32" t="s">
        <v>2689</v>
      </c>
      <c r="J154" s="22">
        <v>54391032</v>
      </c>
      <c r="K154" s="22" t="s">
        <v>5697</v>
      </c>
      <c r="L154" s="22" t="s">
        <v>5704</v>
      </c>
      <c r="M154" s="24">
        <v>119900</v>
      </c>
      <c r="N154" s="35">
        <v>0.75</v>
      </c>
      <c r="O154" s="69">
        <f t="shared" si="12"/>
        <v>29975</v>
      </c>
      <c r="P154" s="34" t="str">
        <f t="shared" si="14"/>
        <v>PERCENTAGE</v>
      </c>
    </row>
    <row r="155" spans="1:16" x14ac:dyDescent="0.35">
      <c r="A155" s="32" t="str">
        <f t="shared" si="15"/>
        <v>2025 JAN-MEI DISC 75%</v>
      </c>
      <c r="B155" s="33">
        <f t="shared" si="15"/>
        <v>46121</v>
      </c>
      <c r="C155" s="33">
        <f t="shared" si="15"/>
        <v>46127</v>
      </c>
      <c r="D155" s="44">
        <v>3321</v>
      </c>
      <c r="E155" s="44">
        <v>337</v>
      </c>
      <c r="F155" s="68">
        <v>4</v>
      </c>
      <c r="G155" s="23">
        <v>1</v>
      </c>
      <c r="H155" s="23">
        <v>4953</v>
      </c>
      <c r="I155" s="32" t="s">
        <v>2689</v>
      </c>
      <c r="J155" s="22">
        <v>54391041</v>
      </c>
      <c r="K155" s="22" t="s">
        <v>5697</v>
      </c>
      <c r="L155" s="22" t="s">
        <v>5698</v>
      </c>
      <c r="M155" s="24">
        <v>119900</v>
      </c>
      <c r="N155" s="35">
        <v>0.75</v>
      </c>
      <c r="O155" s="69">
        <f t="shared" si="12"/>
        <v>29975</v>
      </c>
      <c r="P155" s="34" t="str">
        <f t="shared" si="14"/>
        <v>PERCENTAGE</v>
      </c>
    </row>
    <row r="156" spans="1:16" x14ac:dyDescent="0.35">
      <c r="A156" s="32" t="str">
        <f t="shared" si="15"/>
        <v>2025 JAN-MEI DISC 75%</v>
      </c>
      <c r="B156" s="33">
        <f t="shared" si="15"/>
        <v>46121</v>
      </c>
      <c r="C156" s="33">
        <f t="shared" si="15"/>
        <v>46127</v>
      </c>
      <c r="D156" s="44">
        <v>3321</v>
      </c>
      <c r="E156" s="44">
        <v>337</v>
      </c>
      <c r="F156" s="68">
        <v>4</v>
      </c>
      <c r="G156" s="23">
        <v>1</v>
      </c>
      <c r="H156" s="23">
        <v>4953</v>
      </c>
      <c r="I156" s="32" t="s">
        <v>2689</v>
      </c>
      <c r="J156" s="22">
        <v>54408354</v>
      </c>
      <c r="K156" s="22" t="s">
        <v>5697</v>
      </c>
      <c r="L156" s="22" t="s">
        <v>5708</v>
      </c>
      <c r="M156" s="24">
        <v>119900</v>
      </c>
      <c r="N156" s="35">
        <v>0.75</v>
      </c>
      <c r="O156" s="69">
        <f t="shared" si="12"/>
        <v>29975</v>
      </c>
      <c r="P156" s="34" t="str">
        <f t="shared" si="14"/>
        <v>PERCENTAGE</v>
      </c>
    </row>
    <row r="157" spans="1:16" x14ac:dyDescent="0.35">
      <c r="A157" s="32" t="str">
        <f t="shared" si="15"/>
        <v>2025 JAN-MEI DISC 75%</v>
      </c>
      <c r="B157" s="33">
        <f t="shared" si="15"/>
        <v>46121</v>
      </c>
      <c r="C157" s="33">
        <f t="shared" si="15"/>
        <v>46127</v>
      </c>
      <c r="D157" s="44">
        <v>3321</v>
      </c>
      <c r="E157" s="44">
        <v>337</v>
      </c>
      <c r="F157" s="68">
        <v>4</v>
      </c>
      <c r="G157" s="23">
        <v>1</v>
      </c>
      <c r="H157" s="23">
        <v>190</v>
      </c>
      <c r="I157" s="32" t="s">
        <v>2689</v>
      </c>
      <c r="J157" s="22">
        <v>54391050</v>
      </c>
      <c r="K157" s="22" t="s">
        <v>5711</v>
      </c>
      <c r="L157" s="22" t="s">
        <v>5712</v>
      </c>
      <c r="M157" s="24">
        <v>169900</v>
      </c>
      <c r="N157" s="35">
        <v>0.75</v>
      </c>
      <c r="O157" s="69">
        <f t="shared" si="12"/>
        <v>42475</v>
      </c>
      <c r="P157" s="34" t="str">
        <f t="shared" si="14"/>
        <v>PERCENTAGE</v>
      </c>
    </row>
    <row r="158" spans="1:16" x14ac:dyDescent="0.35">
      <c r="A158" s="32" t="str">
        <f t="shared" si="15"/>
        <v>2025 JAN-MEI DISC 75%</v>
      </c>
      <c r="B158" s="33">
        <f t="shared" si="15"/>
        <v>46121</v>
      </c>
      <c r="C158" s="33">
        <f t="shared" si="15"/>
        <v>46127</v>
      </c>
      <c r="D158" s="44">
        <v>3321</v>
      </c>
      <c r="E158" s="44">
        <v>337</v>
      </c>
      <c r="F158" s="68">
        <v>4</v>
      </c>
      <c r="G158" s="23">
        <v>1</v>
      </c>
      <c r="H158" s="23">
        <v>190</v>
      </c>
      <c r="I158" s="32" t="s">
        <v>2689</v>
      </c>
      <c r="J158" s="22">
        <v>54391069</v>
      </c>
      <c r="K158" s="22" t="s">
        <v>5711</v>
      </c>
      <c r="L158" s="22" t="s">
        <v>5713</v>
      </c>
      <c r="M158" s="24">
        <v>169900</v>
      </c>
      <c r="N158" s="35">
        <v>0.75</v>
      </c>
      <c r="O158" s="69">
        <f t="shared" si="12"/>
        <v>42475</v>
      </c>
      <c r="P158" s="34" t="str">
        <f t="shared" si="14"/>
        <v>PERCENTAGE</v>
      </c>
    </row>
    <row r="159" spans="1:16" x14ac:dyDescent="0.35">
      <c r="A159" s="32" t="str">
        <f t="shared" si="15"/>
        <v>2025 JAN-MEI DISC 75%</v>
      </c>
      <c r="B159" s="33">
        <f t="shared" si="15"/>
        <v>46121</v>
      </c>
      <c r="C159" s="33">
        <f t="shared" si="15"/>
        <v>46127</v>
      </c>
      <c r="D159" s="44">
        <v>3321</v>
      </c>
      <c r="E159" s="44">
        <v>337</v>
      </c>
      <c r="F159" s="68">
        <v>4</v>
      </c>
      <c r="G159" s="23">
        <v>1</v>
      </c>
      <c r="H159" s="23">
        <v>190</v>
      </c>
      <c r="I159" s="32" t="s">
        <v>2689</v>
      </c>
      <c r="J159" s="22">
        <v>54391078</v>
      </c>
      <c r="K159" s="22" t="s">
        <v>5711</v>
      </c>
      <c r="L159" s="22" t="s">
        <v>5715</v>
      </c>
      <c r="M159" s="24">
        <v>169900</v>
      </c>
      <c r="N159" s="35">
        <v>0.75</v>
      </c>
      <c r="O159" s="69">
        <f t="shared" si="12"/>
        <v>42475</v>
      </c>
      <c r="P159" s="34" t="str">
        <f t="shared" si="14"/>
        <v>PERCENTAGE</v>
      </c>
    </row>
    <row r="160" spans="1:16" x14ac:dyDescent="0.35">
      <c r="A160" s="32" t="str">
        <f t="shared" si="15"/>
        <v>2025 JAN-MEI DISC 75%</v>
      </c>
      <c r="B160" s="33">
        <f t="shared" si="15"/>
        <v>46121</v>
      </c>
      <c r="C160" s="33">
        <f t="shared" si="15"/>
        <v>46127</v>
      </c>
      <c r="D160" s="44">
        <v>3321</v>
      </c>
      <c r="E160" s="44">
        <v>337</v>
      </c>
      <c r="F160" s="68">
        <v>4</v>
      </c>
      <c r="G160" s="23">
        <v>1</v>
      </c>
      <c r="H160" s="23">
        <v>190</v>
      </c>
      <c r="I160" s="32" t="s">
        <v>2689</v>
      </c>
      <c r="J160" s="22">
        <v>54391087</v>
      </c>
      <c r="K160" s="22" t="s">
        <v>5711</v>
      </c>
      <c r="L160" s="22" t="s">
        <v>5714</v>
      </c>
      <c r="M160" s="24">
        <v>169900</v>
      </c>
      <c r="N160" s="35">
        <v>0.75</v>
      </c>
      <c r="O160" s="69">
        <f t="shared" si="12"/>
        <v>42475</v>
      </c>
      <c r="P160" s="34" t="str">
        <f t="shared" si="14"/>
        <v>PERCENTAGE</v>
      </c>
    </row>
    <row r="161" spans="1:16" x14ac:dyDescent="0.35">
      <c r="A161" s="32" t="str">
        <f t="shared" si="15"/>
        <v>2025 JAN-MEI DISC 75%</v>
      </c>
      <c r="B161" s="33">
        <f t="shared" si="15"/>
        <v>46121</v>
      </c>
      <c r="C161" s="33">
        <f t="shared" si="15"/>
        <v>46127</v>
      </c>
      <c r="D161" s="44">
        <v>3321</v>
      </c>
      <c r="E161" s="44">
        <v>337</v>
      </c>
      <c r="F161" s="68">
        <v>4</v>
      </c>
      <c r="G161" s="23">
        <v>5</v>
      </c>
      <c r="H161" s="23">
        <v>190</v>
      </c>
      <c r="I161" s="32" t="s">
        <v>2689</v>
      </c>
      <c r="J161" s="22">
        <v>54391292</v>
      </c>
      <c r="K161" s="22" t="s">
        <v>5687</v>
      </c>
      <c r="L161" s="22" t="s">
        <v>5688</v>
      </c>
      <c r="M161" s="24">
        <v>249900</v>
      </c>
      <c r="N161" s="35">
        <v>0.75</v>
      </c>
      <c r="O161" s="69">
        <f t="shared" si="12"/>
        <v>62475</v>
      </c>
      <c r="P161" s="34" t="str">
        <f t="shared" si="14"/>
        <v>PERCENTAGE</v>
      </c>
    </row>
    <row r="162" spans="1:16" x14ac:dyDescent="0.35">
      <c r="A162" s="32" t="str">
        <f t="shared" si="15"/>
        <v>2025 JAN-MEI DISC 75%</v>
      </c>
      <c r="B162" s="33">
        <f t="shared" si="15"/>
        <v>46121</v>
      </c>
      <c r="C162" s="33">
        <f t="shared" si="15"/>
        <v>46127</v>
      </c>
      <c r="D162" s="44">
        <v>3321</v>
      </c>
      <c r="E162" s="44">
        <v>337</v>
      </c>
      <c r="F162" s="68">
        <v>4</v>
      </c>
      <c r="G162" s="23">
        <v>5</v>
      </c>
      <c r="H162" s="23">
        <v>190</v>
      </c>
      <c r="I162" s="32" t="s">
        <v>2689</v>
      </c>
      <c r="J162" s="22">
        <v>54391309</v>
      </c>
      <c r="K162" s="22" t="s">
        <v>5687</v>
      </c>
      <c r="L162" s="22" t="s">
        <v>5692</v>
      </c>
      <c r="M162" s="24">
        <v>249900</v>
      </c>
      <c r="N162" s="35">
        <v>0.75</v>
      </c>
      <c r="O162" s="69">
        <f t="shared" si="12"/>
        <v>62475</v>
      </c>
      <c r="P162" s="34" t="str">
        <f t="shared" si="14"/>
        <v>PERCENTAGE</v>
      </c>
    </row>
    <row r="163" spans="1:16" x14ac:dyDescent="0.35">
      <c r="A163" s="32" t="str">
        <f t="shared" si="15"/>
        <v>2025 JAN-MEI DISC 75%</v>
      </c>
      <c r="B163" s="33">
        <f t="shared" si="15"/>
        <v>46121</v>
      </c>
      <c r="C163" s="33">
        <f t="shared" si="15"/>
        <v>46127</v>
      </c>
      <c r="D163" s="44">
        <v>3321</v>
      </c>
      <c r="E163" s="44">
        <v>337</v>
      </c>
      <c r="F163" s="68">
        <v>4</v>
      </c>
      <c r="G163" s="23">
        <v>5</v>
      </c>
      <c r="H163" s="23">
        <v>190</v>
      </c>
      <c r="I163" s="32" t="s">
        <v>2689</v>
      </c>
      <c r="J163" s="22">
        <v>54391318</v>
      </c>
      <c r="K163" s="22" t="s">
        <v>5687</v>
      </c>
      <c r="L163" s="22" t="s">
        <v>5694</v>
      </c>
      <c r="M163" s="24">
        <v>249900</v>
      </c>
      <c r="N163" s="35">
        <v>0.75</v>
      </c>
      <c r="O163" s="69">
        <f t="shared" si="12"/>
        <v>62475</v>
      </c>
      <c r="P163" s="34" t="str">
        <f t="shared" si="14"/>
        <v>PERCENTAGE</v>
      </c>
    </row>
    <row r="164" spans="1:16" x14ac:dyDescent="0.35">
      <c r="A164" s="32" t="str">
        <f t="shared" ref="A164:C176" si="16">A163</f>
        <v>2025 JAN-MEI DISC 75%</v>
      </c>
      <c r="B164" s="33">
        <f t="shared" si="16"/>
        <v>46121</v>
      </c>
      <c r="C164" s="33">
        <f t="shared" si="16"/>
        <v>46127</v>
      </c>
      <c r="D164" s="44">
        <v>3321</v>
      </c>
      <c r="E164" s="44">
        <v>337</v>
      </c>
      <c r="F164" s="68">
        <v>4</v>
      </c>
      <c r="G164" s="23">
        <v>5</v>
      </c>
      <c r="H164" s="23">
        <v>190</v>
      </c>
      <c r="I164" s="32" t="s">
        <v>2689</v>
      </c>
      <c r="J164" s="22">
        <v>54391327</v>
      </c>
      <c r="K164" s="22" t="s">
        <v>5687</v>
      </c>
      <c r="L164" s="22" t="s">
        <v>5693</v>
      </c>
      <c r="M164" s="24">
        <v>249900</v>
      </c>
      <c r="N164" s="35">
        <v>0.75</v>
      </c>
      <c r="O164" s="69">
        <f t="shared" si="12"/>
        <v>62475</v>
      </c>
      <c r="P164" s="34" t="str">
        <f t="shared" si="14"/>
        <v>PERCENTAGE</v>
      </c>
    </row>
    <row r="165" spans="1:16" x14ac:dyDescent="0.35">
      <c r="A165" s="32" t="str">
        <f t="shared" si="16"/>
        <v>2025 JAN-MEI DISC 75%</v>
      </c>
      <c r="B165" s="33">
        <f t="shared" si="16"/>
        <v>46121</v>
      </c>
      <c r="C165" s="33">
        <f t="shared" si="16"/>
        <v>46127</v>
      </c>
      <c r="D165" s="44">
        <v>3321</v>
      </c>
      <c r="E165" s="44">
        <v>337</v>
      </c>
      <c r="F165" s="68">
        <v>4</v>
      </c>
      <c r="G165" s="23">
        <v>5</v>
      </c>
      <c r="H165" s="23">
        <v>190</v>
      </c>
      <c r="I165" s="32" t="s">
        <v>2689</v>
      </c>
      <c r="J165" s="22">
        <v>54391256</v>
      </c>
      <c r="K165" s="22" t="s">
        <v>5689</v>
      </c>
      <c r="L165" s="22" t="s">
        <v>5690</v>
      </c>
      <c r="M165" s="24">
        <v>279900</v>
      </c>
      <c r="N165" s="35">
        <v>0.75</v>
      </c>
      <c r="O165" s="69">
        <f t="shared" si="12"/>
        <v>69975</v>
      </c>
      <c r="P165" s="34" t="str">
        <f t="shared" si="14"/>
        <v>PERCENTAGE</v>
      </c>
    </row>
    <row r="166" spans="1:16" x14ac:dyDescent="0.35">
      <c r="A166" s="32" t="str">
        <f t="shared" si="16"/>
        <v>2025 JAN-MEI DISC 75%</v>
      </c>
      <c r="B166" s="33">
        <f t="shared" si="16"/>
        <v>46121</v>
      </c>
      <c r="C166" s="33">
        <f t="shared" si="16"/>
        <v>46127</v>
      </c>
      <c r="D166" s="44">
        <v>3321</v>
      </c>
      <c r="E166" s="44">
        <v>337</v>
      </c>
      <c r="F166" s="68">
        <v>4</v>
      </c>
      <c r="G166" s="23">
        <v>5</v>
      </c>
      <c r="H166" s="23">
        <v>190</v>
      </c>
      <c r="I166" s="32" t="s">
        <v>2689</v>
      </c>
      <c r="J166" s="22">
        <v>54391265</v>
      </c>
      <c r="K166" s="22" t="s">
        <v>5689</v>
      </c>
      <c r="L166" s="22" t="s">
        <v>5696</v>
      </c>
      <c r="M166" s="24">
        <v>279900</v>
      </c>
      <c r="N166" s="35">
        <v>0.75</v>
      </c>
      <c r="O166" s="69">
        <f t="shared" si="12"/>
        <v>69975</v>
      </c>
      <c r="P166" s="34" t="str">
        <f t="shared" si="14"/>
        <v>PERCENTAGE</v>
      </c>
    </row>
    <row r="167" spans="1:16" x14ac:dyDescent="0.35">
      <c r="A167" s="32" t="str">
        <f t="shared" si="16"/>
        <v>2025 JAN-MEI DISC 75%</v>
      </c>
      <c r="B167" s="33">
        <f t="shared" si="16"/>
        <v>46121</v>
      </c>
      <c r="C167" s="33">
        <f t="shared" si="16"/>
        <v>46127</v>
      </c>
      <c r="D167" s="44">
        <v>3321</v>
      </c>
      <c r="E167" s="44">
        <v>337</v>
      </c>
      <c r="F167" s="68">
        <v>4</v>
      </c>
      <c r="G167" s="23">
        <v>5</v>
      </c>
      <c r="H167" s="23">
        <v>190</v>
      </c>
      <c r="I167" s="32" t="s">
        <v>2689</v>
      </c>
      <c r="J167" s="22">
        <v>54391274</v>
      </c>
      <c r="K167" s="22" t="s">
        <v>5689</v>
      </c>
      <c r="L167" s="22" t="s">
        <v>5695</v>
      </c>
      <c r="M167" s="24">
        <v>279900</v>
      </c>
      <c r="N167" s="35">
        <v>0.75</v>
      </c>
      <c r="O167" s="69">
        <f t="shared" si="12"/>
        <v>69975</v>
      </c>
      <c r="P167" s="34" t="str">
        <f t="shared" si="14"/>
        <v>PERCENTAGE</v>
      </c>
    </row>
    <row r="168" spans="1:16" x14ac:dyDescent="0.35">
      <c r="A168" s="32" t="str">
        <f t="shared" si="16"/>
        <v>2025 JAN-MEI DISC 75%</v>
      </c>
      <c r="B168" s="33">
        <f t="shared" si="16"/>
        <v>46121</v>
      </c>
      <c r="C168" s="33">
        <f t="shared" si="16"/>
        <v>46127</v>
      </c>
      <c r="D168" s="44">
        <v>3321</v>
      </c>
      <c r="E168" s="44">
        <v>337</v>
      </c>
      <c r="F168" s="68">
        <v>4</v>
      </c>
      <c r="G168" s="23">
        <v>5</v>
      </c>
      <c r="H168" s="23">
        <v>190</v>
      </c>
      <c r="I168" s="32" t="s">
        <v>2689</v>
      </c>
      <c r="J168" s="22">
        <v>54391283</v>
      </c>
      <c r="K168" s="22" t="s">
        <v>5689</v>
      </c>
      <c r="L168" s="22" t="s">
        <v>5691</v>
      </c>
      <c r="M168" s="24">
        <v>279900</v>
      </c>
      <c r="N168" s="35">
        <v>0.75</v>
      </c>
      <c r="O168" s="69">
        <f t="shared" si="12"/>
        <v>69975</v>
      </c>
      <c r="P168" s="34" t="str">
        <f t="shared" si="14"/>
        <v>PERCENTAGE</v>
      </c>
    </row>
    <row r="169" spans="1:16" x14ac:dyDescent="0.35">
      <c r="A169" s="32" t="str">
        <f t="shared" si="16"/>
        <v>2025 JAN-MEI DISC 75%</v>
      </c>
      <c r="B169" s="33">
        <f t="shared" si="16"/>
        <v>46121</v>
      </c>
      <c r="C169" s="33">
        <f t="shared" si="16"/>
        <v>46127</v>
      </c>
      <c r="D169" s="44">
        <v>3321</v>
      </c>
      <c r="E169" s="44">
        <v>337</v>
      </c>
      <c r="F169" s="68">
        <v>4</v>
      </c>
      <c r="G169" s="23">
        <v>1</v>
      </c>
      <c r="H169" s="23">
        <v>81676</v>
      </c>
      <c r="I169" s="32" t="s">
        <v>2689</v>
      </c>
      <c r="J169" s="22">
        <v>54462330</v>
      </c>
      <c r="K169" s="22" t="s">
        <v>5716</v>
      </c>
      <c r="L169" s="22" t="s">
        <v>5720</v>
      </c>
      <c r="M169" s="24">
        <v>119900</v>
      </c>
      <c r="N169" s="35">
        <v>0.75</v>
      </c>
      <c r="O169" s="69">
        <f t="shared" si="12"/>
        <v>29975</v>
      </c>
      <c r="P169" s="34" t="str">
        <f t="shared" si="14"/>
        <v>PERCENTAGE</v>
      </c>
    </row>
    <row r="170" spans="1:16" x14ac:dyDescent="0.35">
      <c r="A170" s="32" t="str">
        <f t="shared" si="16"/>
        <v>2025 JAN-MEI DISC 75%</v>
      </c>
      <c r="B170" s="33">
        <f t="shared" si="16"/>
        <v>46121</v>
      </c>
      <c r="C170" s="33">
        <f t="shared" si="16"/>
        <v>46127</v>
      </c>
      <c r="D170" s="44">
        <v>3321</v>
      </c>
      <c r="E170" s="44">
        <v>337</v>
      </c>
      <c r="F170" s="68">
        <v>4</v>
      </c>
      <c r="G170" s="23">
        <v>1</v>
      </c>
      <c r="H170" s="23">
        <v>81676</v>
      </c>
      <c r="I170" s="32" t="s">
        <v>2689</v>
      </c>
      <c r="J170" s="22">
        <v>54462349</v>
      </c>
      <c r="K170" s="22" t="s">
        <v>5716</v>
      </c>
      <c r="L170" s="22" t="s">
        <v>5717</v>
      </c>
      <c r="M170" s="24">
        <v>119900</v>
      </c>
      <c r="N170" s="35">
        <v>0.75</v>
      </c>
      <c r="O170" s="69">
        <f t="shared" si="12"/>
        <v>29975</v>
      </c>
      <c r="P170" s="34" t="str">
        <f t="shared" si="14"/>
        <v>PERCENTAGE</v>
      </c>
    </row>
    <row r="171" spans="1:16" x14ac:dyDescent="0.35">
      <c r="A171" s="32" t="str">
        <f t="shared" si="16"/>
        <v>2025 JAN-MEI DISC 75%</v>
      </c>
      <c r="B171" s="33">
        <f t="shared" si="16"/>
        <v>46121</v>
      </c>
      <c r="C171" s="33">
        <f t="shared" si="16"/>
        <v>46127</v>
      </c>
      <c r="D171" s="44">
        <v>3321</v>
      </c>
      <c r="E171" s="44">
        <v>337</v>
      </c>
      <c r="F171" s="68">
        <v>4</v>
      </c>
      <c r="G171" s="23">
        <v>1</v>
      </c>
      <c r="H171" s="23">
        <v>81676</v>
      </c>
      <c r="I171" s="32" t="s">
        <v>2689</v>
      </c>
      <c r="J171" s="22">
        <v>54462358</v>
      </c>
      <c r="K171" s="22" t="s">
        <v>5716</v>
      </c>
      <c r="L171" s="22" t="s">
        <v>5719</v>
      </c>
      <c r="M171" s="24">
        <v>119900</v>
      </c>
      <c r="N171" s="35">
        <v>0.75</v>
      </c>
      <c r="O171" s="69">
        <f t="shared" si="12"/>
        <v>29975</v>
      </c>
      <c r="P171" s="34" t="str">
        <f t="shared" si="14"/>
        <v>PERCENTAGE</v>
      </c>
    </row>
    <row r="172" spans="1:16" x14ac:dyDescent="0.35">
      <c r="A172" s="32" t="str">
        <f t="shared" si="16"/>
        <v>2025 JAN-MEI DISC 75%</v>
      </c>
      <c r="B172" s="33">
        <f t="shared" si="16"/>
        <v>46121</v>
      </c>
      <c r="C172" s="33">
        <f t="shared" si="16"/>
        <v>46127</v>
      </c>
      <c r="D172" s="44">
        <v>3321</v>
      </c>
      <c r="E172" s="44">
        <v>337</v>
      </c>
      <c r="F172" s="68">
        <v>4</v>
      </c>
      <c r="G172" s="23">
        <v>1</v>
      </c>
      <c r="H172" s="23">
        <v>81676</v>
      </c>
      <c r="I172" s="32" t="s">
        <v>2689</v>
      </c>
      <c r="J172" s="22">
        <v>54462367</v>
      </c>
      <c r="K172" s="22" t="s">
        <v>5716</v>
      </c>
      <c r="L172" s="22" t="s">
        <v>5718</v>
      </c>
      <c r="M172" s="24">
        <v>119900</v>
      </c>
      <c r="N172" s="35">
        <v>0.75</v>
      </c>
      <c r="O172" s="69">
        <f t="shared" si="12"/>
        <v>29975</v>
      </c>
      <c r="P172" s="34" t="str">
        <f t="shared" si="14"/>
        <v>PERCENTAGE</v>
      </c>
    </row>
    <row r="173" spans="1:16" x14ac:dyDescent="0.35">
      <c r="A173" s="32" t="str">
        <f t="shared" si="16"/>
        <v>2025 JAN-MEI DISC 75%</v>
      </c>
      <c r="B173" s="33">
        <f t="shared" si="16"/>
        <v>46121</v>
      </c>
      <c r="C173" s="33">
        <f t="shared" si="16"/>
        <v>46127</v>
      </c>
      <c r="D173" s="44">
        <v>3321</v>
      </c>
      <c r="E173" s="44">
        <v>337</v>
      </c>
      <c r="F173" s="68">
        <v>4</v>
      </c>
      <c r="G173" s="23">
        <v>4</v>
      </c>
      <c r="H173" s="23">
        <v>81005</v>
      </c>
      <c r="I173" s="32" t="s">
        <v>2689</v>
      </c>
      <c r="J173" s="22">
        <v>54391210</v>
      </c>
      <c r="K173" s="22" t="s">
        <v>5721</v>
      </c>
      <c r="L173" s="22" t="s">
        <v>5725</v>
      </c>
      <c r="M173" s="24">
        <v>199900</v>
      </c>
      <c r="N173" s="35">
        <v>0.75</v>
      </c>
      <c r="O173" s="69">
        <f t="shared" si="12"/>
        <v>49975</v>
      </c>
      <c r="P173" s="34" t="str">
        <f t="shared" si="14"/>
        <v>PERCENTAGE</v>
      </c>
    </row>
    <row r="174" spans="1:16" x14ac:dyDescent="0.35">
      <c r="A174" s="32" t="str">
        <f t="shared" si="16"/>
        <v>2025 JAN-MEI DISC 75%</v>
      </c>
      <c r="B174" s="33">
        <f t="shared" si="16"/>
        <v>46121</v>
      </c>
      <c r="C174" s="33">
        <f t="shared" si="16"/>
        <v>46127</v>
      </c>
      <c r="D174" s="44">
        <v>3321</v>
      </c>
      <c r="E174" s="44">
        <v>337</v>
      </c>
      <c r="F174" s="68">
        <v>4</v>
      </c>
      <c r="G174" s="23">
        <v>4</v>
      </c>
      <c r="H174" s="23">
        <v>81005</v>
      </c>
      <c r="I174" s="32" t="s">
        <v>2689</v>
      </c>
      <c r="J174" s="22">
        <v>54391229</v>
      </c>
      <c r="K174" s="22" t="s">
        <v>5721</v>
      </c>
      <c r="L174" s="22" t="s">
        <v>5722</v>
      </c>
      <c r="M174" s="24">
        <v>199900</v>
      </c>
      <c r="N174" s="35">
        <v>0.75</v>
      </c>
      <c r="O174" s="69">
        <f t="shared" si="12"/>
        <v>49975</v>
      </c>
      <c r="P174" s="34" t="str">
        <f t="shared" si="14"/>
        <v>PERCENTAGE</v>
      </c>
    </row>
    <row r="175" spans="1:16" x14ac:dyDescent="0.35">
      <c r="A175" s="32" t="str">
        <f t="shared" si="16"/>
        <v>2025 JAN-MEI DISC 75%</v>
      </c>
      <c r="B175" s="33">
        <f t="shared" si="16"/>
        <v>46121</v>
      </c>
      <c r="C175" s="33">
        <f t="shared" si="16"/>
        <v>46127</v>
      </c>
      <c r="D175" s="44">
        <v>3321</v>
      </c>
      <c r="E175" s="44">
        <v>337</v>
      </c>
      <c r="F175" s="68">
        <v>4</v>
      </c>
      <c r="G175" s="23">
        <v>4</v>
      </c>
      <c r="H175" s="23">
        <v>81005</v>
      </c>
      <c r="I175" s="32" t="s">
        <v>2689</v>
      </c>
      <c r="J175" s="22">
        <v>54391238</v>
      </c>
      <c r="K175" s="22" t="s">
        <v>5721</v>
      </c>
      <c r="L175" s="22" t="s">
        <v>5723</v>
      </c>
      <c r="M175" s="24">
        <v>199900</v>
      </c>
      <c r="N175" s="35">
        <v>0.75</v>
      </c>
      <c r="O175" s="69">
        <f t="shared" si="12"/>
        <v>49975</v>
      </c>
      <c r="P175" s="34" t="str">
        <f t="shared" si="14"/>
        <v>PERCENTAGE</v>
      </c>
    </row>
    <row r="176" spans="1:16" x14ac:dyDescent="0.35">
      <c r="A176" s="32" t="str">
        <f t="shared" si="16"/>
        <v>2025 JAN-MEI DISC 75%</v>
      </c>
      <c r="B176" s="33">
        <f t="shared" si="16"/>
        <v>46121</v>
      </c>
      <c r="C176" s="33">
        <f t="shared" si="16"/>
        <v>46127</v>
      </c>
      <c r="D176" s="44">
        <v>3321</v>
      </c>
      <c r="E176" s="44">
        <v>337</v>
      </c>
      <c r="F176" s="68">
        <v>4</v>
      </c>
      <c r="G176" s="23">
        <v>4</v>
      </c>
      <c r="H176" s="23">
        <v>81005</v>
      </c>
      <c r="I176" s="32" t="s">
        <v>2689</v>
      </c>
      <c r="J176" s="22">
        <v>54391247</v>
      </c>
      <c r="K176" s="22" t="s">
        <v>5721</v>
      </c>
      <c r="L176" s="22" t="s">
        <v>5724</v>
      </c>
      <c r="M176" s="24">
        <v>199900</v>
      </c>
      <c r="N176" s="35">
        <v>0.75</v>
      </c>
      <c r="O176" s="69">
        <f t="shared" si="12"/>
        <v>49975</v>
      </c>
      <c r="P176" s="34" t="str">
        <f t="shared" si="14"/>
        <v>PERCENTAGE</v>
      </c>
    </row>
    <row r="177" spans="1:16" s="31" customFormat="1" x14ac:dyDescent="0.35">
      <c r="A177" s="14" t="str">
        <f t="shared" ref="A177:A204" si="17">A176</f>
        <v>2025 JAN-MEI DISC 75%</v>
      </c>
      <c r="B177" s="33">
        <f t="shared" ref="B177:B204" si="18">B176</f>
        <v>46121</v>
      </c>
      <c r="C177" s="33">
        <f t="shared" ref="C177:C204" si="19">C176</f>
        <v>46127</v>
      </c>
      <c r="D177" s="32">
        <v>3321</v>
      </c>
      <c r="E177" s="14">
        <v>337</v>
      </c>
      <c r="F177" s="14">
        <v>4</v>
      </c>
      <c r="G177" s="23">
        <v>1</v>
      </c>
      <c r="H177" s="23">
        <v>81676</v>
      </c>
      <c r="I177" s="32" t="s">
        <v>2689</v>
      </c>
      <c r="J177" s="22">
        <v>54462474</v>
      </c>
      <c r="K177" s="22" t="s">
        <v>5736</v>
      </c>
      <c r="L177" s="22" t="s">
        <v>5749</v>
      </c>
      <c r="M177" s="24">
        <v>149900</v>
      </c>
      <c r="N177" s="35">
        <v>0.75</v>
      </c>
      <c r="O177" s="69">
        <f t="shared" si="12"/>
        <v>37475</v>
      </c>
      <c r="P177" s="34" t="s">
        <v>16</v>
      </c>
    </row>
    <row r="178" spans="1:16" s="31" customFormat="1" x14ac:dyDescent="0.35">
      <c r="A178" s="14" t="str">
        <f t="shared" si="17"/>
        <v>2025 JAN-MEI DISC 75%</v>
      </c>
      <c r="B178" s="33">
        <f t="shared" si="18"/>
        <v>46121</v>
      </c>
      <c r="C178" s="33">
        <f t="shared" si="19"/>
        <v>46127</v>
      </c>
      <c r="D178" s="32">
        <v>3321</v>
      </c>
      <c r="E178" s="14">
        <v>337</v>
      </c>
      <c r="F178" s="14">
        <v>4</v>
      </c>
      <c r="G178" s="23">
        <v>1</v>
      </c>
      <c r="H178" s="23">
        <v>81676</v>
      </c>
      <c r="I178" s="32" t="s">
        <v>2689</v>
      </c>
      <c r="J178" s="22">
        <v>54462483</v>
      </c>
      <c r="K178" s="22" t="s">
        <v>5736</v>
      </c>
      <c r="L178" s="22" t="s">
        <v>5742</v>
      </c>
      <c r="M178" s="24">
        <v>149900</v>
      </c>
      <c r="N178" s="35">
        <v>0.75</v>
      </c>
      <c r="O178" s="69">
        <f t="shared" si="12"/>
        <v>37475</v>
      </c>
      <c r="P178" s="34" t="s">
        <v>16</v>
      </c>
    </row>
    <row r="179" spans="1:16" s="31" customFormat="1" x14ac:dyDescent="0.35">
      <c r="A179" s="14" t="str">
        <f t="shared" si="17"/>
        <v>2025 JAN-MEI DISC 75%</v>
      </c>
      <c r="B179" s="33">
        <f t="shared" si="18"/>
        <v>46121</v>
      </c>
      <c r="C179" s="33">
        <f t="shared" si="19"/>
        <v>46127</v>
      </c>
      <c r="D179" s="32">
        <v>3321</v>
      </c>
      <c r="E179" s="14">
        <v>337</v>
      </c>
      <c r="F179" s="14">
        <v>4</v>
      </c>
      <c r="G179" s="23">
        <v>1</v>
      </c>
      <c r="H179" s="23">
        <v>81676</v>
      </c>
      <c r="I179" s="32" t="s">
        <v>2689</v>
      </c>
      <c r="J179" s="22">
        <v>54462492</v>
      </c>
      <c r="K179" s="22" t="s">
        <v>5736</v>
      </c>
      <c r="L179" s="22" t="s">
        <v>5737</v>
      </c>
      <c r="M179" s="24">
        <v>149900</v>
      </c>
      <c r="N179" s="35">
        <v>0.75</v>
      </c>
      <c r="O179" s="69">
        <f t="shared" si="12"/>
        <v>37475</v>
      </c>
      <c r="P179" s="34" t="s">
        <v>16</v>
      </c>
    </row>
    <row r="180" spans="1:16" s="31" customFormat="1" x14ac:dyDescent="0.35">
      <c r="A180" s="14" t="str">
        <f t="shared" si="17"/>
        <v>2025 JAN-MEI DISC 75%</v>
      </c>
      <c r="B180" s="33">
        <f t="shared" si="18"/>
        <v>46121</v>
      </c>
      <c r="C180" s="33">
        <f t="shared" si="19"/>
        <v>46127</v>
      </c>
      <c r="D180" s="32">
        <v>3321</v>
      </c>
      <c r="E180" s="14">
        <v>337</v>
      </c>
      <c r="F180" s="14">
        <v>4</v>
      </c>
      <c r="G180" s="23">
        <v>1</v>
      </c>
      <c r="H180" s="23">
        <v>81676</v>
      </c>
      <c r="I180" s="32" t="s">
        <v>2689</v>
      </c>
      <c r="J180" s="22">
        <v>54462509</v>
      </c>
      <c r="K180" s="22" t="s">
        <v>5736</v>
      </c>
      <c r="L180" s="22" t="s">
        <v>5744</v>
      </c>
      <c r="M180" s="24">
        <v>149900</v>
      </c>
      <c r="N180" s="35">
        <v>0.75</v>
      </c>
      <c r="O180" s="69">
        <f t="shared" si="12"/>
        <v>37475</v>
      </c>
      <c r="P180" s="34" t="s">
        <v>16</v>
      </c>
    </row>
    <row r="181" spans="1:16" s="31" customFormat="1" x14ac:dyDescent="0.35">
      <c r="A181" s="14" t="str">
        <f t="shared" si="17"/>
        <v>2025 JAN-MEI DISC 75%</v>
      </c>
      <c r="B181" s="33">
        <f t="shared" si="18"/>
        <v>46121</v>
      </c>
      <c r="C181" s="33">
        <f t="shared" si="19"/>
        <v>46127</v>
      </c>
      <c r="D181" s="32">
        <v>3321</v>
      </c>
      <c r="E181" s="14">
        <v>337</v>
      </c>
      <c r="F181" s="14">
        <v>4</v>
      </c>
      <c r="G181" s="23">
        <v>1</v>
      </c>
      <c r="H181" s="23">
        <v>81676</v>
      </c>
      <c r="I181" s="32" t="s">
        <v>2689</v>
      </c>
      <c r="J181" s="22">
        <v>54462518</v>
      </c>
      <c r="K181" s="22" t="s">
        <v>5736</v>
      </c>
      <c r="L181" s="22" t="s">
        <v>5747</v>
      </c>
      <c r="M181" s="24">
        <v>149900</v>
      </c>
      <c r="N181" s="35">
        <v>0.75</v>
      </c>
      <c r="O181" s="69">
        <f t="shared" si="12"/>
        <v>37475</v>
      </c>
      <c r="P181" s="34" t="s">
        <v>16</v>
      </c>
    </row>
    <row r="182" spans="1:16" s="31" customFormat="1" x14ac:dyDescent="0.35">
      <c r="A182" s="14" t="str">
        <f t="shared" si="17"/>
        <v>2025 JAN-MEI DISC 75%</v>
      </c>
      <c r="B182" s="33">
        <f t="shared" si="18"/>
        <v>46121</v>
      </c>
      <c r="C182" s="33">
        <f t="shared" si="19"/>
        <v>46127</v>
      </c>
      <c r="D182" s="32">
        <v>3321</v>
      </c>
      <c r="E182" s="14">
        <v>337</v>
      </c>
      <c r="F182" s="14">
        <v>4</v>
      </c>
      <c r="G182" s="23">
        <v>1</v>
      </c>
      <c r="H182" s="23">
        <v>81676</v>
      </c>
      <c r="I182" s="32" t="s">
        <v>2689</v>
      </c>
      <c r="J182" s="22">
        <v>54462527</v>
      </c>
      <c r="K182" s="22" t="s">
        <v>5736</v>
      </c>
      <c r="L182" s="22" t="s">
        <v>5741</v>
      </c>
      <c r="M182" s="24">
        <v>149900</v>
      </c>
      <c r="N182" s="35">
        <v>0.75</v>
      </c>
      <c r="O182" s="69">
        <f t="shared" si="12"/>
        <v>37475</v>
      </c>
      <c r="P182" s="34" t="s">
        <v>16</v>
      </c>
    </row>
    <row r="183" spans="1:16" s="31" customFormat="1" x14ac:dyDescent="0.35">
      <c r="A183" s="14" t="str">
        <f t="shared" si="17"/>
        <v>2025 JAN-MEI DISC 75%</v>
      </c>
      <c r="B183" s="33">
        <f t="shared" si="18"/>
        <v>46121</v>
      </c>
      <c r="C183" s="33">
        <f t="shared" si="19"/>
        <v>46127</v>
      </c>
      <c r="D183" s="32">
        <v>3321</v>
      </c>
      <c r="E183" s="14">
        <v>337</v>
      </c>
      <c r="F183" s="14">
        <v>4</v>
      </c>
      <c r="G183" s="23">
        <v>1</v>
      </c>
      <c r="H183" s="23">
        <v>81676</v>
      </c>
      <c r="I183" s="32" t="s">
        <v>2689</v>
      </c>
      <c r="J183" s="22">
        <v>54462410</v>
      </c>
      <c r="K183" s="22" t="s">
        <v>5738</v>
      </c>
      <c r="L183" s="22" t="s">
        <v>5743</v>
      </c>
      <c r="M183" s="24">
        <v>149900</v>
      </c>
      <c r="N183" s="35">
        <v>0.75</v>
      </c>
      <c r="O183" s="69">
        <f t="shared" si="12"/>
        <v>37475</v>
      </c>
      <c r="P183" s="34" t="s">
        <v>16</v>
      </c>
    </row>
    <row r="184" spans="1:16" s="31" customFormat="1" x14ac:dyDescent="0.35">
      <c r="A184" s="14" t="str">
        <f t="shared" si="17"/>
        <v>2025 JAN-MEI DISC 75%</v>
      </c>
      <c r="B184" s="33">
        <f t="shared" si="18"/>
        <v>46121</v>
      </c>
      <c r="C184" s="33">
        <f t="shared" si="19"/>
        <v>46127</v>
      </c>
      <c r="D184" s="32">
        <v>3321</v>
      </c>
      <c r="E184" s="14">
        <v>337</v>
      </c>
      <c r="F184" s="14">
        <v>4</v>
      </c>
      <c r="G184" s="23">
        <v>1</v>
      </c>
      <c r="H184" s="23">
        <v>81676</v>
      </c>
      <c r="I184" s="32" t="s">
        <v>2689</v>
      </c>
      <c r="J184" s="22">
        <v>54462429</v>
      </c>
      <c r="K184" s="22" t="s">
        <v>5738</v>
      </c>
      <c r="L184" s="22" t="s">
        <v>5745</v>
      </c>
      <c r="M184" s="24">
        <v>149900</v>
      </c>
      <c r="N184" s="35">
        <v>0.75</v>
      </c>
      <c r="O184" s="69">
        <f t="shared" si="12"/>
        <v>37475</v>
      </c>
      <c r="P184" s="34" t="s">
        <v>16</v>
      </c>
    </row>
    <row r="185" spans="1:16" s="31" customFormat="1" x14ac:dyDescent="0.35">
      <c r="A185" s="14" t="str">
        <f t="shared" si="17"/>
        <v>2025 JAN-MEI DISC 75%</v>
      </c>
      <c r="B185" s="33">
        <f t="shared" si="18"/>
        <v>46121</v>
      </c>
      <c r="C185" s="33">
        <f t="shared" si="19"/>
        <v>46127</v>
      </c>
      <c r="D185" s="32">
        <v>3321</v>
      </c>
      <c r="E185" s="14">
        <v>337</v>
      </c>
      <c r="F185" s="14">
        <v>4</v>
      </c>
      <c r="G185" s="23">
        <v>1</v>
      </c>
      <c r="H185" s="23">
        <v>81676</v>
      </c>
      <c r="I185" s="32" t="s">
        <v>2689</v>
      </c>
      <c r="J185" s="22">
        <v>54462438</v>
      </c>
      <c r="K185" s="22" t="s">
        <v>5738</v>
      </c>
      <c r="L185" s="22" t="s">
        <v>5739</v>
      </c>
      <c r="M185" s="24">
        <v>149900</v>
      </c>
      <c r="N185" s="35">
        <v>0.75</v>
      </c>
      <c r="O185" s="69">
        <f t="shared" si="12"/>
        <v>37475</v>
      </c>
      <c r="P185" s="34" t="s">
        <v>16</v>
      </c>
    </row>
    <row r="186" spans="1:16" s="31" customFormat="1" x14ac:dyDescent="0.35">
      <c r="A186" s="14" t="str">
        <f t="shared" si="17"/>
        <v>2025 JAN-MEI DISC 75%</v>
      </c>
      <c r="B186" s="33">
        <f t="shared" si="18"/>
        <v>46121</v>
      </c>
      <c r="C186" s="33">
        <f t="shared" si="19"/>
        <v>46127</v>
      </c>
      <c r="D186" s="32">
        <v>3321</v>
      </c>
      <c r="E186" s="14">
        <v>337</v>
      </c>
      <c r="F186" s="14">
        <v>4</v>
      </c>
      <c r="G186" s="23">
        <v>1</v>
      </c>
      <c r="H186" s="23">
        <v>81676</v>
      </c>
      <c r="I186" s="32" t="s">
        <v>2689</v>
      </c>
      <c r="J186" s="22">
        <v>54462447</v>
      </c>
      <c r="K186" s="22" t="s">
        <v>5738</v>
      </c>
      <c r="L186" s="22" t="s">
        <v>5746</v>
      </c>
      <c r="M186" s="24">
        <v>149900</v>
      </c>
      <c r="N186" s="35">
        <v>0.75</v>
      </c>
      <c r="O186" s="69">
        <f t="shared" si="12"/>
        <v>37475</v>
      </c>
      <c r="P186" s="34" t="s">
        <v>16</v>
      </c>
    </row>
    <row r="187" spans="1:16" s="31" customFormat="1" x14ac:dyDescent="0.35">
      <c r="A187" s="14" t="str">
        <f t="shared" si="17"/>
        <v>2025 JAN-MEI DISC 75%</v>
      </c>
      <c r="B187" s="33">
        <f t="shared" si="18"/>
        <v>46121</v>
      </c>
      <c r="C187" s="33">
        <f t="shared" si="19"/>
        <v>46127</v>
      </c>
      <c r="D187" s="32">
        <v>3321</v>
      </c>
      <c r="E187" s="14">
        <v>337</v>
      </c>
      <c r="F187" s="14">
        <v>4</v>
      </c>
      <c r="G187" s="23">
        <v>1</v>
      </c>
      <c r="H187" s="23">
        <v>81676</v>
      </c>
      <c r="I187" s="32" t="s">
        <v>2689</v>
      </c>
      <c r="J187" s="22">
        <v>54462456</v>
      </c>
      <c r="K187" s="22" t="s">
        <v>5738</v>
      </c>
      <c r="L187" s="22" t="s">
        <v>5748</v>
      </c>
      <c r="M187" s="24">
        <v>149900</v>
      </c>
      <c r="N187" s="35">
        <v>0.75</v>
      </c>
      <c r="O187" s="69">
        <f t="shared" si="12"/>
        <v>37475</v>
      </c>
      <c r="P187" s="34" t="s">
        <v>16</v>
      </c>
    </row>
    <row r="188" spans="1:16" s="31" customFormat="1" x14ac:dyDescent="0.35">
      <c r="A188" s="14" t="str">
        <f t="shared" si="17"/>
        <v>2025 JAN-MEI DISC 75%</v>
      </c>
      <c r="B188" s="33">
        <f t="shared" si="18"/>
        <v>46121</v>
      </c>
      <c r="C188" s="33">
        <f t="shared" si="19"/>
        <v>46127</v>
      </c>
      <c r="D188" s="32">
        <v>3321</v>
      </c>
      <c r="E188" s="14">
        <v>337</v>
      </c>
      <c r="F188" s="14">
        <v>4</v>
      </c>
      <c r="G188" s="23">
        <v>1</v>
      </c>
      <c r="H188" s="23">
        <v>81676</v>
      </c>
      <c r="I188" s="32" t="s">
        <v>2689</v>
      </c>
      <c r="J188" s="22">
        <v>54462465</v>
      </c>
      <c r="K188" s="22" t="s">
        <v>5738</v>
      </c>
      <c r="L188" s="22" t="s">
        <v>5740</v>
      </c>
      <c r="M188" s="24">
        <v>149900</v>
      </c>
      <c r="N188" s="35">
        <v>0.75</v>
      </c>
      <c r="O188" s="69">
        <f t="shared" si="12"/>
        <v>37475</v>
      </c>
      <c r="P188" s="34" t="s">
        <v>16</v>
      </c>
    </row>
    <row r="189" spans="1:16" s="31" customFormat="1" x14ac:dyDescent="0.35">
      <c r="A189" s="14" t="str">
        <f t="shared" si="17"/>
        <v>2025 JAN-MEI DISC 75%</v>
      </c>
      <c r="B189" s="33">
        <f t="shared" si="18"/>
        <v>46121</v>
      </c>
      <c r="C189" s="33">
        <f t="shared" si="19"/>
        <v>46127</v>
      </c>
      <c r="D189" s="32">
        <v>3321</v>
      </c>
      <c r="E189" s="14">
        <v>337</v>
      </c>
      <c r="F189" s="14">
        <v>4</v>
      </c>
      <c r="G189" s="23">
        <v>3</v>
      </c>
      <c r="H189" s="23">
        <v>81005</v>
      </c>
      <c r="I189" s="32" t="s">
        <v>2689</v>
      </c>
      <c r="J189" s="22">
        <v>54391176</v>
      </c>
      <c r="K189" s="22" t="s">
        <v>5726</v>
      </c>
      <c r="L189" s="22" t="s">
        <v>5730</v>
      </c>
      <c r="M189" s="24">
        <v>229900</v>
      </c>
      <c r="N189" s="35">
        <v>0.75</v>
      </c>
      <c r="O189" s="69">
        <f t="shared" si="12"/>
        <v>57475</v>
      </c>
      <c r="P189" s="34" t="s">
        <v>16</v>
      </c>
    </row>
    <row r="190" spans="1:16" s="31" customFormat="1" x14ac:dyDescent="0.35">
      <c r="A190" s="14" t="str">
        <f t="shared" si="17"/>
        <v>2025 JAN-MEI DISC 75%</v>
      </c>
      <c r="B190" s="33">
        <f t="shared" si="18"/>
        <v>46121</v>
      </c>
      <c r="C190" s="33">
        <f t="shared" si="19"/>
        <v>46127</v>
      </c>
      <c r="D190" s="32">
        <v>3321</v>
      </c>
      <c r="E190" s="14">
        <v>337</v>
      </c>
      <c r="F190" s="14">
        <v>4</v>
      </c>
      <c r="G190" s="23">
        <v>3</v>
      </c>
      <c r="H190" s="23">
        <v>81005</v>
      </c>
      <c r="I190" s="32" t="s">
        <v>2689</v>
      </c>
      <c r="J190" s="22">
        <v>54391185</v>
      </c>
      <c r="K190" s="22" t="s">
        <v>5726</v>
      </c>
      <c r="L190" s="22" t="s">
        <v>5727</v>
      </c>
      <c r="M190" s="24">
        <v>229900</v>
      </c>
      <c r="N190" s="35">
        <v>0.75</v>
      </c>
      <c r="O190" s="69">
        <f t="shared" si="12"/>
        <v>57475</v>
      </c>
      <c r="P190" s="34" t="s">
        <v>16</v>
      </c>
    </row>
    <row r="191" spans="1:16" s="31" customFormat="1" x14ac:dyDescent="0.35">
      <c r="A191" s="14" t="str">
        <f t="shared" si="17"/>
        <v>2025 JAN-MEI DISC 75%</v>
      </c>
      <c r="B191" s="33">
        <f t="shared" si="18"/>
        <v>46121</v>
      </c>
      <c r="C191" s="33">
        <f t="shared" si="19"/>
        <v>46127</v>
      </c>
      <c r="D191" s="32">
        <v>3321</v>
      </c>
      <c r="E191" s="14">
        <v>337</v>
      </c>
      <c r="F191" s="14">
        <v>4</v>
      </c>
      <c r="G191" s="23">
        <v>3</v>
      </c>
      <c r="H191" s="23">
        <v>81005</v>
      </c>
      <c r="I191" s="32" t="s">
        <v>2689</v>
      </c>
      <c r="J191" s="22">
        <v>54391194</v>
      </c>
      <c r="K191" s="22" t="s">
        <v>5726</v>
      </c>
      <c r="L191" s="22" t="s">
        <v>5728</v>
      </c>
      <c r="M191" s="24">
        <v>229900</v>
      </c>
      <c r="N191" s="35">
        <v>0.75</v>
      </c>
      <c r="O191" s="69">
        <f t="shared" si="12"/>
        <v>57475</v>
      </c>
      <c r="P191" s="34" t="s">
        <v>16</v>
      </c>
    </row>
    <row r="192" spans="1:16" s="31" customFormat="1" x14ac:dyDescent="0.35">
      <c r="A192" s="14" t="str">
        <f t="shared" si="17"/>
        <v>2025 JAN-MEI DISC 75%</v>
      </c>
      <c r="B192" s="33">
        <f t="shared" si="18"/>
        <v>46121</v>
      </c>
      <c r="C192" s="33">
        <f t="shared" si="19"/>
        <v>46127</v>
      </c>
      <c r="D192" s="32">
        <v>3321</v>
      </c>
      <c r="E192" s="14">
        <v>337</v>
      </c>
      <c r="F192" s="14">
        <v>4</v>
      </c>
      <c r="G192" s="23">
        <v>3</v>
      </c>
      <c r="H192" s="23">
        <v>81005</v>
      </c>
      <c r="I192" s="32" t="s">
        <v>2689</v>
      </c>
      <c r="J192" s="22">
        <v>54391201</v>
      </c>
      <c r="K192" s="22" t="s">
        <v>5726</v>
      </c>
      <c r="L192" s="22" t="s">
        <v>5729</v>
      </c>
      <c r="M192" s="24">
        <v>229900</v>
      </c>
      <c r="N192" s="35">
        <v>0.75</v>
      </c>
      <c r="O192" s="69">
        <f t="shared" si="12"/>
        <v>57475</v>
      </c>
      <c r="P192" s="34" t="s">
        <v>16</v>
      </c>
    </row>
    <row r="193" spans="1:16" s="31" customFormat="1" x14ac:dyDescent="0.35">
      <c r="A193" s="14" t="str">
        <f t="shared" si="17"/>
        <v>2025 JAN-MEI DISC 75%</v>
      </c>
      <c r="B193" s="33">
        <f t="shared" si="18"/>
        <v>46121</v>
      </c>
      <c r="C193" s="33">
        <f t="shared" si="19"/>
        <v>46127</v>
      </c>
      <c r="D193" s="32">
        <v>3321</v>
      </c>
      <c r="E193" s="14">
        <v>337</v>
      </c>
      <c r="F193" s="14">
        <v>4</v>
      </c>
      <c r="G193" s="23">
        <v>1</v>
      </c>
      <c r="H193" s="23">
        <v>81462</v>
      </c>
      <c r="I193" s="32" t="s">
        <v>2689</v>
      </c>
      <c r="J193" s="22">
        <v>54391130</v>
      </c>
      <c r="K193" s="22" t="s">
        <v>6316</v>
      </c>
      <c r="L193" s="22" t="s">
        <v>6317</v>
      </c>
      <c r="M193" s="24">
        <v>119900</v>
      </c>
      <c r="N193" s="35">
        <v>0.75</v>
      </c>
      <c r="O193" s="69">
        <f t="shared" ref="O193:O204" si="20">M193-((75*M193)/100)</f>
        <v>29975</v>
      </c>
      <c r="P193" s="34" t="s">
        <v>16</v>
      </c>
    </row>
    <row r="194" spans="1:16" s="31" customFormat="1" x14ac:dyDescent="0.35">
      <c r="A194" s="14" t="str">
        <f t="shared" si="17"/>
        <v>2025 JAN-MEI DISC 75%</v>
      </c>
      <c r="B194" s="33">
        <f t="shared" si="18"/>
        <v>46121</v>
      </c>
      <c r="C194" s="33">
        <f t="shared" si="19"/>
        <v>46127</v>
      </c>
      <c r="D194" s="32">
        <v>3321</v>
      </c>
      <c r="E194" s="14">
        <v>337</v>
      </c>
      <c r="F194" s="14">
        <v>4</v>
      </c>
      <c r="G194" s="23">
        <v>1</v>
      </c>
      <c r="H194" s="23">
        <v>81462</v>
      </c>
      <c r="I194" s="32" t="s">
        <v>2689</v>
      </c>
      <c r="J194" s="22">
        <v>54391149</v>
      </c>
      <c r="K194" s="22" t="s">
        <v>6316</v>
      </c>
      <c r="L194" s="22" t="s">
        <v>6318</v>
      </c>
      <c r="M194" s="24">
        <v>119900</v>
      </c>
      <c r="N194" s="35">
        <v>0.75</v>
      </c>
      <c r="O194" s="69">
        <f t="shared" si="20"/>
        <v>29975</v>
      </c>
      <c r="P194" s="34" t="s">
        <v>16</v>
      </c>
    </row>
    <row r="195" spans="1:16" s="31" customFormat="1" x14ac:dyDescent="0.35">
      <c r="A195" s="14" t="str">
        <f t="shared" si="17"/>
        <v>2025 JAN-MEI DISC 75%</v>
      </c>
      <c r="B195" s="33">
        <f t="shared" si="18"/>
        <v>46121</v>
      </c>
      <c r="C195" s="33">
        <f t="shared" si="19"/>
        <v>46127</v>
      </c>
      <c r="D195" s="32">
        <v>3321</v>
      </c>
      <c r="E195" s="14">
        <v>337</v>
      </c>
      <c r="F195" s="14">
        <v>4</v>
      </c>
      <c r="G195" s="23">
        <v>1</v>
      </c>
      <c r="H195" s="23">
        <v>81462</v>
      </c>
      <c r="I195" s="32" t="s">
        <v>2689</v>
      </c>
      <c r="J195" s="22">
        <v>54391158</v>
      </c>
      <c r="K195" s="22" t="s">
        <v>6316</v>
      </c>
      <c r="L195" s="22" t="s">
        <v>6319</v>
      </c>
      <c r="M195" s="24">
        <v>119900</v>
      </c>
      <c r="N195" s="35">
        <v>0.75</v>
      </c>
      <c r="O195" s="69">
        <f t="shared" si="20"/>
        <v>29975</v>
      </c>
      <c r="P195" s="34" t="s">
        <v>16</v>
      </c>
    </row>
    <row r="196" spans="1:16" s="31" customFormat="1" x14ac:dyDescent="0.35">
      <c r="A196" s="14" t="str">
        <f t="shared" si="17"/>
        <v>2025 JAN-MEI DISC 75%</v>
      </c>
      <c r="B196" s="33">
        <f t="shared" si="18"/>
        <v>46121</v>
      </c>
      <c r="C196" s="33">
        <f t="shared" si="19"/>
        <v>46127</v>
      </c>
      <c r="D196" s="32">
        <v>3321</v>
      </c>
      <c r="E196" s="14">
        <v>337</v>
      </c>
      <c r="F196" s="14">
        <v>4</v>
      </c>
      <c r="G196" s="23">
        <v>1</v>
      </c>
      <c r="H196" s="23">
        <v>81462</v>
      </c>
      <c r="I196" s="32" t="s">
        <v>2689</v>
      </c>
      <c r="J196" s="22">
        <v>54391167</v>
      </c>
      <c r="K196" s="22" t="s">
        <v>6316</v>
      </c>
      <c r="L196" s="22" t="s">
        <v>6320</v>
      </c>
      <c r="M196" s="24">
        <v>119900</v>
      </c>
      <c r="N196" s="35">
        <v>0.75</v>
      </c>
      <c r="O196" s="69">
        <f t="shared" si="20"/>
        <v>29975</v>
      </c>
      <c r="P196" s="34" t="s">
        <v>16</v>
      </c>
    </row>
    <row r="197" spans="1:16" s="31" customFormat="1" x14ac:dyDescent="0.35">
      <c r="A197" s="14" t="str">
        <f t="shared" si="17"/>
        <v>2025 JAN-MEI DISC 75%</v>
      </c>
      <c r="B197" s="33">
        <f t="shared" si="18"/>
        <v>46121</v>
      </c>
      <c r="C197" s="33">
        <f t="shared" si="19"/>
        <v>46127</v>
      </c>
      <c r="D197" s="32">
        <v>3321</v>
      </c>
      <c r="E197" s="14">
        <v>337</v>
      </c>
      <c r="F197" s="14">
        <v>4</v>
      </c>
      <c r="G197" s="23">
        <v>1</v>
      </c>
      <c r="H197" s="23">
        <v>81462</v>
      </c>
      <c r="I197" s="32" t="s">
        <v>2689</v>
      </c>
      <c r="J197" s="22">
        <v>54391096</v>
      </c>
      <c r="K197" s="22" t="s">
        <v>6321</v>
      </c>
      <c r="L197" s="22" t="s">
        <v>6322</v>
      </c>
      <c r="M197" s="24">
        <v>119900</v>
      </c>
      <c r="N197" s="35">
        <v>0.75</v>
      </c>
      <c r="O197" s="69">
        <f t="shared" si="20"/>
        <v>29975</v>
      </c>
      <c r="P197" s="34" t="s">
        <v>16</v>
      </c>
    </row>
    <row r="198" spans="1:16" s="31" customFormat="1" x14ac:dyDescent="0.35">
      <c r="A198" s="14" t="str">
        <f t="shared" si="17"/>
        <v>2025 JAN-MEI DISC 75%</v>
      </c>
      <c r="B198" s="33">
        <f t="shared" si="18"/>
        <v>46121</v>
      </c>
      <c r="C198" s="33">
        <f t="shared" si="19"/>
        <v>46127</v>
      </c>
      <c r="D198" s="32">
        <v>3321</v>
      </c>
      <c r="E198" s="14">
        <v>337</v>
      </c>
      <c r="F198" s="14">
        <v>4</v>
      </c>
      <c r="G198" s="23">
        <v>1</v>
      </c>
      <c r="H198" s="23">
        <v>81462</v>
      </c>
      <c r="I198" s="32" t="s">
        <v>2689</v>
      </c>
      <c r="J198" s="22">
        <v>54391103</v>
      </c>
      <c r="K198" s="22" t="s">
        <v>6321</v>
      </c>
      <c r="L198" s="22" t="s">
        <v>6323</v>
      </c>
      <c r="M198" s="24">
        <v>119900</v>
      </c>
      <c r="N198" s="35">
        <v>0.75</v>
      </c>
      <c r="O198" s="69">
        <f t="shared" si="20"/>
        <v>29975</v>
      </c>
      <c r="P198" s="34" t="s">
        <v>16</v>
      </c>
    </row>
    <row r="199" spans="1:16" s="31" customFormat="1" x14ac:dyDescent="0.35">
      <c r="A199" s="14" t="str">
        <f t="shared" si="17"/>
        <v>2025 JAN-MEI DISC 75%</v>
      </c>
      <c r="B199" s="33">
        <f t="shared" si="18"/>
        <v>46121</v>
      </c>
      <c r="C199" s="33">
        <f t="shared" si="19"/>
        <v>46127</v>
      </c>
      <c r="D199" s="32">
        <v>3321</v>
      </c>
      <c r="E199" s="14">
        <v>337</v>
      </c>
      <c r="F199" s="14">
        <v>4</v>
      </c>
      <c r="G199" s="23">
        <v>1</v>
      </c>
      <c r="H199" s="23">
        <v>81462</v>
      </c>
      <c r="I199" s="32" t="s">
        <v>2689</v>
      </c>
      <c r="J199" s="22">
        <v>54391112</v>
      </c>
      <c r="K199" s="22" t="s">
        <v>6321</v>
      </c>
      <c r="L199" s="22" t="s">
        <v>6324</v>
      </c>
      <c r="M199" s="24">
        <v>119900</v>
      </c>
      <c r="N199" s="35">
        <v>0.75</v>
      </c>
      <c r="O199" s="69">
        <f t="shared" si="20"/>
        <v>29975</v>
      </c>
      <c r="P199" s="34" t="s">
        <v>16</v>
      </c>
    </row>
    <row r="200" spans="1:16" s="31" customFormat="1" x14ac:dyDescent="0.35">
      <c r="A200" s="14" t="str">
        <f t="shared" si="17"/>
        <v>2025 JAN-MEI DISC 75%</v>
      </c>
      <c r="B200" s="33">
        <f t="shared" si="18"/>
        <v>46121</v>
      </c>
      <c r="C200" s="33">
        <f t="shared" si="19"/>
        <v>46127</v>
      </c>
      <c r="D200" s="32">
        <v>3321</v>
      </c>
      <c r="E200" s="14">
        <v>337</v>
      </c>
      <c r="F200" s="14">
        <v>4</v>
      </c>
      <c r="G200" s="23">
        <v>1</v>
      </c>
      <c r="H200" s="23">
        <v>81462</v>
      </c>
      <c r="I200" s="32" t="s">
        <v>2689</v>
      </c>
      <c r="J200" s="22">
        <v>54391121</v>
      </c>
      <c r="K200" s="22" t="s">
        <v>6321</v>
      </c>
      <c r="L200" s="22" t="s">
        <v>6325</v>
      </c>
      <c r="M200" s="24">
        <v>119900</v>
      </c>
      <c r="N200" s="35">
        <v>0.75</v>
      </c>
      <c r="O200" s="69">
        <f t="shared" si="20"/>
        <v>29975</v>
      </c>
      <c r="P200" s="34" t="s">
        <v>16</v>
      </c>
    </row>
    <row r="201" spans="1:16" s="31" customFormat="1" x14ac:dyDescent="0.35">
      <c r="A201" s="14" t="str">
        <f t="shared" si="17"/>
        <v>2025 JAN-MEI DISC 75%</v>
      </c>
      <c r="B201" s="33">
        <f t="shared" si="18"/>
        <v>46121</v>
      </c>
      <c r="C201" s="33">
        <f t="shared" si="19"/>
        <v>46127</v>
      </c>
      <c r="D201" s="32">
        <v>3321</v>
      </c>
      <c r="E201" s="14">
        <v>337</v>
      </c>
      <c r="F201" s="14">
        <v>4</v>
      </c>
      <c r="G201" s="23">
        <v>1</v>
      </c>
      <c r="H201" s="23">
        <v>81462</v>
      </c>
      <c r="I201" s="32" t="s">
        <v>2689</v>
      </c>
      <c r="J201" s="22">
        <v>54462376</v>
      </c>
      <c r="K201" s="22" t="s">
        <v>6326</v>
      </c>
      <c r="L201" s="22" t="s">
        <v>6327</v>
      </c>
      <c r="M201" s="24">
        <v>119900</v>
      </c>
      <c r="N201" s="35">
        <v>0.75</v>
      </c>
      <c r="O201" s="69">
        <f t="shared" si="20"/>
        <v>29975</v>
      </c>
      <c r="P201" s="34" t="s">
        <v>16</v>
      </c>
    </row>
    <row r="202" spans="1:16" s="31" customFormat="1" x14ac:dyDescent="0.35">
      <c r="A202" s="14" t="str">
        <f t="shared" si="17"/>
        <v>2025 JAN-MEI DISC 75%</v>
      </c>
      <c r="B202" s="33">
        <f t="shared" si="18"/>
        <v>46121</v>
      </c>
      <c r="C202" s="33">
        <f t="shared" si="19"/>
        <v>46127</v>
      </c>
      <c r="D202" s="32">
        <v>3321</v>
      </c>
      <c r="E202" s="14">
        <v>337</v>
      </c>
      <c r="F202" s="14">
        <v>4</v>
      </c>
      <c r="G202" s="23">
        <v>1</v>
      </c>
      <c r="H202" s="23">
        <v>81462</v>
      </c>
      <c r="I202" s="32" t="s">
        <v>2689</v>
      </c>
      <c r="J202" s="22">
        <v>54462385</v>
      </c>
      <c r="K202" s="22" t="s">
        <v>6326</v>
      </c>
      <c r="L202" s="22" t="s">
        <v>6328</v>
      </c>
      <c r="M202" s="24">
        <v>119900</v>
      </c>
      <c r="N202" s="35">
        <v>0.75</v>
      </c>
      <c r="O202" s="69">
        <f t="shared" si="20"/>
        <v>29975</v>
      </c>
      <c r="P202" s="34" t="s">
        <v>16</v>
      </c>
    </row>
    <row r="203" spans="1:16" s="31" customFormat="1" x14ac:dyDescent="0.35">
      <c r="A203" s="14" t="str">
        <f t="shared" si="17"/>
        <v>2025 JAN-MEI DISC 75%</v>
      </c>
      <c r="B203" s="33">
        <f t="shared" si="18"/>
        <v>46121</v>
      </c>
      <c r="C203" s="33">
        <f t="shared" si="19"/>
        <v>46127</v>
      </c>
      <c r="D203" s="32">
        <v>3321</v>
      </c>
      <c r="E203" s="14">
        <v>337</v>
      </c>
      <c r="F203" s="14">
        <v>4</v>
      </c>
      <c r="G203" s="23">
        <v>1</v>
      </c>
      <c r="H203" s="23">
        <v>81462</v>
      </c>
      <c r="I203" s="32" t="s">
        <v>2689</v>
      </c>
      <c r="J203" s="22">
        <v>54462394</v>
      </c>
      <c r="K203" s="22" t="s">
        <v>6326</v>
      </c>
      <c r="L203" s="22" t="s">
        <v>6329</v>
      </c>
      <c r="M203" s="24">
        <v>119900</v>
      </c>
      <c r="N203" s="35">
        <v>0.75</v>
      </c>
      <c r="O203" s="69">
        <f t="shared" si="20"/>
        <v>29975</v>
      </c>
      <c r="P203" s="34" t="s">
        <v>16</v>
      </c>
    </row>
    <row r="204" spans="1:16" s="31" customFormat="1" x14ac:dyDescent="0.35">
      <c r="A204" s="14" t="str">
        <f t="shared" si="17"/>
        <v>2025 JAN-MEI DISC 75%</v>
      </c>
      <c r="B204" s="33">
        <f t="shared" si="18"/>
        <v>46121</v>
      </c>
      <c r="C204" s="33">
        <f t="shared" si="19"/>
        <v>46127</v>
      </c>
      <c r="D204" s="32">
        <v>3321</v>
      </c>
      <c r="E204" s="14">
        <v>337</v>
      </c>
      <c r="F204" s="14">
        <v>4</v>
      </c>
      <c r="G204" s="23">
        <v>1</v>
      </c>
      <c r="H204" s="23">
        <v>81462</v>
      </c>
      <c r="I204" s="32" t="s">
        <v>2689</v>
      </c>
      <c r="J204" s="22">
        <v>54462401</v>
      </c>
      <c r="K204" s="22" t="s">
        <v>6326</v>
      </c>
      <c r="L204" s="22" t="s">
        <v>6330</v>
      </c>
      <c r="M204" s="24">
        <v>119900</v>
      </c>
      <c r="N204" s="35">
        <v>0.75</v>
      </c>
      <c r="O204" s="69">
        <f t="shared" si="20"/>
        <v>29975</v>
      </c>
      <c r="P204" s="34" t="s">
        <v>16</v>
      </c>
    </row>
  </sheetData>
  <phoneticPr fontId="8" type="noConversion"/>
  <conditionalFormatting sqref="J1 J177:J1048576">
    <cfRule type="duplicateValues" dxfId="31" priority="4"/>
    <cfRule type="duplicateValues" dxfId="30" priority="5"/>
  </conditionalFormatting>
  <conditionalFormatting sqref="J1:J1048576">
    <cfRule type="duplicateValues" dxfId="29" priority="1"/>
  </conditionalFormatting>
  <conditionalFormatting sqref="J2:J176">
    <cfRule type="duplicateValues" dxfId="28" priority="2"/>
    <cfRule type="duplicateValues" dxfId="27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AFC0-2FB1-44B5-B8A2-51D502F7F487}">
  <dimension ref="A1:P29"/>
  <sheetViews>
    <sheetView zoomScale="85" zoomScaleNormal="85" workbookViewId="0">
      <pane ySplit="1" topLeftCell="A2" activePane="bottomLeft" state="frozen"/>
      <selection activeCell="M23" sqref="M23"/>
      <selection pane="bottomLeft" activeCell="M13" sqref="M13"/>
    </sheetView>
  </sheetViews>
  <sheetFormatPr defaultColWidth="8.6328125" defaultRowHeight="14.5" x14ac:dyDescent="0.35"/>
  <cols>
    <col min="1" max="1" width="26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81640625" style="17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6176</v>
      </c>
      <c r="B2" s="33">
        <f>'2025 JUNSEPT B1G1 - 3321'!B6</f>
        <v>46121</v>
      </c>
      <c r="C2" s="33">
        <f>'2025 JUNSEPT B1G1 - 3321'!C6</f>
        <v>46127</v>
      </c>
      <c r="D2" s="32">
        <v>3321</v>
      </c>
      <c r="E2" s="32">
        <v>337</v>
      </c>
      <c r="F2" s="32">
        <v>4</v>
      </c>
      <c r="G2" s="32">
        <v>3</v>
      </c>
      <c r="H2" s="32">
        <v>81005</v>
      </c>
      <c r="I2" s="32" t="s">
        <v>2689</v>
      </c>
      <c r="J2" s="32">
        <v>52133270</v>
      </c>
      <c r="K2" s="32" t="s">
        <v>4653</v>
      </c>
      <c r="L2" s="38" t="s">
        <v>4656</v>
      </c>
      <c r="M2" s="34">
        <v>229900</v>
      </c>
      <c r="N2" s="35">
        <v>0.8</v>
      </c>
      <c r="O2" s="34">
        <f>M2-((80*M2)/100)</f>
        <v>45980</v>
      </c>
      <c r="P2" s="32" t="s">
        <v>16</v>
      </c>
    </row>
    <row r="3" spans="1:16" x14ac:dyDescent="0.35">
      <c r="A3" s="32" t="s">
        <v>6176</v>
      </c>
      <c r="B3" s="33">
        <f>B2</f>
        <v>46121</v>
      </c>
      <c r="C3" s="33">
        <f>C2</f>
        <v>46127</v>
      </c>
      <c r="D3" s="32">
        <v>3321</v>
      </c>
      <c r="E3" s="32">
        <v>337</v>
      </c>
      <c r="F3" s="32">
        <v>4</v>
      </c>
      <c r="G3" s="32">
        <v>3</v>
      </c>
      <c r="H3" s="32">
        <v>81005</v>
      </c>
      <c r="I3" s="32" t="s">
        <v>2689</v>
      </c>
      <c r="J3" s="32">
        <v>52133289</v>
      </c>
      <c r="K3" s="32" t="s">
        <v>4653</v>
      </c>
      <c r="L3" s="38" t="s">
        <v>4654</v>
      </c>
      <c r="M3" s="34">
        <v>229900</v>
      </c>
      <c r="N3" s="35">
        <v>0.8</v>
      </c>
      <c r="O3" s="34">
        <f>M3-((80*M3)/100)</f>
        <v>45980</v>
      </c>
      <c r="P3" s="32" t="s">
        <v>16</v>
      </c>
    </row>
    <row r="4" spans="1:16" x14ac:dyDescent="0.35">
      <c r="A4" s="32" t="s">
        <v>6176</v>
      </c>
      <c r="B4" s="33">
        <f t="shared" ref="B4:C19" si="0">B3</f>
        <v>46121</v>
      </c>
      <c r="C4" s="33">
        <f t="shared" si="0"/>
        <v>46127</v>
      </c>
      <c r="D4" s="32">
        <v>3321</v>
      </c>
      <c r="E4" s="32">
        <v>337</v>
      </c>
      <c r="F4" s="32">
        <v>4</v>
      </c>
      <c r="G4" s="32">
        <v>3</v>
      </c>
      <c r="H4" s="32">
        <v>81005</v>
      </c>
      <c r="I4" s="32" t="s">
        <v>2689</v>
      </c>
      <c r="J4" s="32">
        <v>52133298</v>
      </c>
      <c r="K4" s="32" t="s">
        <v>4653</v>
      </c>
      <c r="L4" s="38" t="s">
        <v>4657</v>
      </c>
      <c r="M4" s="34">
        <v>229900</v>
      </c>
      <c r="N4" s="35">
        <v>0.8</v>
      </c>
      <c r="O4" s="34">
        <f t="shared" ref="O4:O29" si="1">M4-((80*M4)/100)</f>
        <v>45980</v>
      </c>
      <c r="P4" s="32" t="s">
        <v>16</v>
      </c>
    </row>
    <row r="5" spans="1:16" x14ac:dyDescent="0.35">
      <c r="A5" s="32" t="s">
        <v>6176</v>
      </c>
      <c r="B5" s="33">
        <f t="shared" si="0"/>
        <v>46121</v>
      </c>
      <c r="C5" s="33">
        <f t="shared" si="0"/>
        <v>46127</v>
      </c>
      <c r="D5" s="32">
        <v>3321</v>
      </c>
      <c r="E5" s="32">
        <v>337</v>
      </c>
      <c r="F5" s="32">
        <v>4</v>
      </c>
      <c r="G5" s="32">
        <v>3</v>
      </c>
      <c r="H5" s="32">
        <v>81005</v>
      </c>
      <c r="I5" s="32" t="s">
        <v>2689</v>
      </c>
      <c r="J5" s="32">
        <v>52133305</v>
      </c>
      <c r="K5" s="32" t="s">
        <v>4653</v>
      </c>
      <c r="L5" s="38" t="s">
        <v>4655</v>
      </c>
      <c r="M5" s="34">
        <v>229900</v>
      </c>
      <c r="N5" s="35">
        <v>0.8</v>
      </c>
      <c r="O5" s="34">
        <f t="shared" si="1"/>
        <v>45980</v>
      </c>
      <c r="P5" s="32" t="s">
        <v>16</v>
      </c>
    </row>
    <row r="6" spans="1:16" x14ac:dyDescent="0.35">
      <c r="A6" s="32" t="s">
        <v>6176</v>
      </c>
      <c r="B6" s="33">
        <f t="shared" si="0"/>
        <v>46121</v>
      </c>
      <c r="C6" s="33">
        <f t="shared" si="0"/>
        <v>46127</v>
      </c>
      <c r="D6" s="32">
        <v>3321</v>
      </c>
      <c r="E6" s="32">
        <v>337</v>
      </c>
      <c r="F6" s="32">
        <v>4</v>
      </c>
      <c r="G6" s="32">
        <v>3</v>
      </c>
      <c r="H6" s="32">
        <v>81005</v>
      </c>
      <c r="I6" s="32" t="s">
        <v>2689</v>
      </c>
      <c r="J6" s="32">
        <v>52133314</v>
      </c>
      <c r="K6" s="32" t="s">
        <v>5207</v>
      </c>
      <c r="L6" s="38" t="s">
        <v>5208</v>
      </c>
      <c r="M6" s="34">
        <v>229900</v>
      </c>
      <c r="N6" s="35">
        <v>0.8</v>
      </c>
      <c r="O6" s="34">
        <f t="shared" si="1"/>
        <v>45980</v>
      </c>
      <c r="P6" s="32" t="s">
        <v>16</v>
      </c>
    </row>
    <row r="7" spans="1:16" x14ac:dyDescent="0.35">
      <c r="A7" s="32" t="s">
        <v>6176</v>
      </c>
      <c r="B7" s="33">
        <f t="shared" si="0"/>
        <v>46121</v>
      </c>
      <c r="C7" s="33">
        <f t="shared" si="0"/>
        <v>46127</v>
      </c>
      <c r="D7" s="32">
        <v>3321</v>
      </c>
      <c r="E7" s="32">
        <v>337</v>
      </c>
      <c r="F7" s="32">
        <v>4</v>
      </c>
      <c r="G7" s="32">
        <v>3</v>
      </c>
      <c r="H7" s="32">
        <v>81005</v>
      </c>
      <c r="I7" s="32" t="s">
        <v>2689</v>
      </c>
      <c r="J7" s="32">
        <v>52133323</v>
      </c>
      <c r="K7" s="32" t="s">
        <v>5207</v>
      </c>
      <c r="L7" s="38" t="s">
        <v>5209</v>
      </c>
      <c r="M7" s="34">
        <v>229900</v>
      </c>
      <c r="N7" s="35">
        <v>0.8</v>
      </c>
      <c r="O7" s="34">
        <f t="shared" si="1"/>
        <v>45980</v>
      </c>
      <c r="P7" s="32" t="s">
        <v>16</v>
      </c>
    </row>
    <row r="8" spans="1:16" x14ac:dyDescent="0.35">
      <c r="A8" s="32" t="s">
        <v>6176</v>
      </c>
      <c r="B8" s="33">
        <f t="shared" si="0"/>
        <v>46121</v>
      </c>
      <c r="C8" s="33">
        <f t="shared" si="0"/>
        <v>46127</v>
      </c>
      <c r="D8" s="32">
        <v>3321</v>
      </c>
      <c r="E8" s="32">
        <v>337</v>
      </c>
      <c r="F8" s="32">
        <v>4</v>
      </c>
      <c r="G8" s="32">
        <v>3</v>
      </c>
      <c r="H8" s="32">
        <v>81005</v>
      </c>
      <c r="I8" s="32" t="s">
        <v>2689</v>
      </c>
      <c r="J8" s="32">
        <v>52133332</v>
      </c>
      <c r="K8" s="32" t="s">
        <v>5207</v>
      </c>
      <c r="L8" s="38" t="s">
        <v>5210</v>
      </c>
      <c r="M8" s="34">
        <v>229900</v>
      </c>
      <c r="N8" s="35">
        <v>0.8</v>
      </c>
      <c r="O8" s="34">
        <f t="shared" si="1"/>
        <v>45980</v>
      </c>
      <c r="P8" s="32" t="s">
        <v>16</v>
      </c>
    </row>
    <row r="9" spans="1:16" x14ac:dyDescent="0.35">
      <c r="A9" s="32" t="s">
        <v>6176</v>
      </c>
      <c r="B9" s="33">
        <f t="shared" si="0"/>
        <v>46121</v>
      </c>
      <c r="C9" s="33">
        <f t="shared" si="0"/>
        <v>46127</v>
      </c>
      <c r="D9" s="32">
        <v>3321</v>
      </c>
      <c r="E9" s="32">
        <v>337</v>
      </c>
      <c r="F9" s="32">
        <v>4</v>
      </c>
      <c r="G9" s="32">
        <v>3</v>
      </c>
      <c r="H9" s="32">
        <v>81005</v>
      </c>
      <c r="I9" s="32" t="s">
        <v>2689</v>
      </c>
      <c r="J9" s="32">
        <v>52133341</v>
      </c>
      <c r="K9" s="32" t="s">
        <v>5207</v>
      </c>
      <c r="L9" s="38" t="s">
        <v>5211</v>
      </c>
      <c r="M9" s="34">
        <v>229900</v>
      </c>
      <c r="N9" s="35">
        <v>0.8</v>
      </c>
      <c r="O9" s="34">
        <f t="shared" si="1"/>
        <v>45980</v>
      </c>
      <c r="P9" s="32" t="s">
        <v>16</v>
      </c>
    </row>
    <row r="10" spans="1:16" x14ac:dyDescent="0.35">
      <c r="A10" s="32" t="s">
        <v>6176</v>
      </c>
      <c r="B10" s="33">
        <f t="shared" si="0"/>
        <v>46121</v>
      </c>
      <c r="C10" s="33">
        <f t="shared" si="0"/>
        <v>46127</v>
      </c>
      <c r="D10" s="32">
        <v>3321</v>
      </c>
      <c r="E10" s="32">
        <v>337</v>
      </c>
      <c r="F10" s="32">
        <v>4</v>
      </c>
      <c r="G10" s="32">
        <v>3</v>
      </c>
      <c r="H10" s="32">
        <v>81005</v>
      </c>
      <c r="I10" s="32" t="s">
        <v>2689</v>
      </c>
      <c r="J10" s="32">
        <v>52133529</v>
      </c>
      <c r="K10" s="32" t="s">
        <v>4639</v>
      </c>
      <c r="L10" s="38" t="s">
        <v>4645</v>
      </c>
      <c r="M10" s="34">
        <v>299900</v>
      </c>
      <c r="N10" s="35">
        <v>0.8</v>
      </c>
      <c r="O10" s="34">
        <f t="shared" si="1"/>
        <v>59980</v>
      </c>
      <c r="P10" s="32" t="s">
        <v>16</v>
      </c>
    </row>
    <row r="11" spans="1:16" x14ac:dyDescent="0.35">
      <c r="A11" s="32" t="s">
        <v>6176</v>
      </c>
      <c r="B11" s="33">
        <f t="shared" si="0"/>
        <v>46121</v>
      </c>
      <c r="C11" s="33">
        <f t="shared" si="0"/>
        <v>46127</v>
      </c>
      <c r="D11" s="32">
        <v>3321</v>
      </c>
      <c r="E11" s="32">
        <v>337</v>
      </c>
      <c r="F11" s="32">
        <v>4</v>
      </c>
      <c r="G11" s="32">
        <v>3</v>
      </c>
      <c r="H11" s="32">
        <v>81005</v>
      </c>
      <c r="I11" s="32" t="s">
        <v>2689</v>
      </c>
      <c r="J11" s="32">
        <v>52133538</v>
      </c>
      <c r="K11" s="32" t="s">
        <v>4639</v>
      </c>
      <c r="L11" s="38" t="s">
        <v>4643</v>
      </c>
      <c r="M11" s="34">
        <v>299900</v>
      </c>
      <c r="N11" s="35">
        <v>0.8</v>
      </c>
      <c r="O11" s="34">
        <f t="shared" si="1"/>
        <v>59980</v>
      </c>
      <c r="P11" s="32" t="s">
        <v>16</v>
      </c>
    </row>
    <row r="12" spans="1:16" x14ac:dyDescent="0.35">
      <c r="A12" s="32" t="s">
        <v>6176</v>
      </c>
      <c r="B12" s="33">
        <f t="shared" si="0"/>
        <v>46121</v>
      </c>
      <c r="C12" s="33">
        <f t="shared" si="0"/>
        <v>46127</v>
      </c>
      <c r="D12" s="32">
        <v>3321</v>
      </c>
      <c r="E12" s="32">
        <v>337</v>
      </c>
      <c r="F12" s="32">
        <v>4</v>
      </c>
      <c r="G12" s="32">
        <v>3</v>
      </c>
      <c r="H12" s="32">
        <v>81005</v>
      </c>
      <c r="I12" s="32" t="s">
        <v>2689</v>
      </c>
      <c r="J12" s="32">
        <v>52133547</v>
      </c>
      <c r="K12" s="32" t="s">
        <v>4639</v>
      </c>
      <c r="L12" s="38" t="s">
        <v>4640</v>
      </c>
      <c r="M12" s="34">
        <v>299900</v>
      </c>
      <c r="N12" s="35">
        <v>0.8</v>
      </c>
      <c r="O12" s="34">
        <f t="shared" si="1"/>
        <v>59980</v>
      </c>
      <c r="P12" s="32" t="s">
        <v>16</v>
      </c>
    </row>
    <row r="13" spans="1:16" x14ac:dyDescent="0.35">
      <c r="A13" s="32" t="s">
        <v>6176</v>
      </c>
      <c r="B13" s="33">
        <f t="shared" si="0"/>
        <v>46121</v>
      </c>
      <c r="C13" s="33">
        <f t="shared" si="0"/>
        <v>46127</v>
      </c>
      <c r="D13" s="32">
        <v>3321</v>
      </c>
      <c r="E13" s="32">
        <v>337</v>
      </c>
      <c r="F13" s="32">
        <v>4</v>
      </c>
      <c r="G13" s="32">
        <v>3</v>
      </c>
      <c r="H13" s="32">
        <v>81005</v>
      </c>
      <c r="I13" s="32" t="s">
        <v>2689</v>
      </c>
      <c r="J13" s="32">
        <v>52133556</v>
      </c>
      <c r="K13" s="32" t="s">
        <v>4639</v>
      </c>
      <c r="L13" s="38" t="s">
        <v>4641</v>
      </c>
      <c r="M13" s="34">
        <v>299900</v>
      </c>
      <c r="N13" s="35">
        <v>0.8</v>
      </c>
      <c r="O13" s="34">
        <f t="shared" si="1"/>
        <v>59980</v>
      </c>
      <c r="P13" s="32" t="s">
        <v>16</v>
      </c>
    </row>
    <row r="14" spans="1:16" x14ac:dyDescent="0.35">
      <c r="A14" s="32" t="s">
        <v>6176</v>
      </c>
      <c r="B14" s="33">
        <f t="shared" si="0"/>
        <v>46121</v>
      </c>
      <c r="C14" s="33">
        <f t="shared" si="0"/>
        <v>46127</v>
      </c>
      <c r="D14" s="32">
        <v>3321</v>
      </c>
      <c r="E14" s="32">
        <v>337</v>
      </c>
      <c r="F14" s="32">
        <v>4</v>
      </c>
      <c r="G14" s="32">
        <v>3</v>
      </c>
      <c r="H14" s="32">
        <v>81005</v>
      </c>
      <c r="I14" s="32" t="s">
        <v>2689</v>
      </c>
      <c r="J14" s="32">
        <v>52133565</v>
      </c>
      <c r="K14" s="32" t="s">
        <v>4639</v>
      </c>
      <c r="L14" s="38" t="s">
        <v>4644</v>
      </c>
      <c r="M14" s="34">
        <v>299900</v>
      </c>
      <c r="N14" s="35">
        <v>0.8</v>
      </c>
      <c r="O14" s="34">
        <f t="shared" si="1"/>
        <v>59980</v>
      </c>
      <c r="P14" s="32" t="s">
        <v>16</v>
      </c>
    </row>
    <row r="15" spans="1:16" x14ac:dyDescent="0.35">
      <c r="A15" s="32" t="s">
        <v>6176</v>
      </c>
      <c r="B15" s="33">
        <f t="shared" si="0"/>
        <v>46121</v>
      </c>
      <c r="C15" s="33">
        <f t="shared" si="0"/>
        <v>46127</v>
      </c>
      <c r="D15" s="32">
        <v>3321</v>
      </c>
      <c r="E15" s="32">
        <v>337</v>
      </c>
      <c r="F15" s="32">
        <v>4</v>
      </c>
      <c r="G15" s="32">
        <v>3</v>
      </c>
      <c r="H15" s="32">
        <v>81005</v>
      </c>
      <c r="I15" s="32" t="s">
        <v>2689</v>
      </c>
      <c r="J15" s="32">
        <v>52133574</v>
      </c>
      <c r="K15" s="32" t="s">
        <v>4639</v>
      </c>
      <c r="L15" s="38" t="s">
        <v>4642</v>
      </c>
      <c r="M15" s="34">
        <v>299900</v>
      </c>
      <c r="N15" s="35">
        <v>0.8</v>
      </c>
      <c r="O15" s="34">
        <f t="shared" si="1"/>
        <v>59980</v>
      </c>
      <c r="P15" s="32" t="s">
        <v>16</v>
      </c>
    </row>
    <row r="16" spans="1:16" x14ac:dyDescent="0.35">
      <c r="A16" s="32" t="s">
        <v>6176</v>
      </c>
      <c r="B16" s="33">
        <f t="shared" si="0"/>
        <v>46121</v>
      </c>
      <c r="C16" s="33">
        <f t="shared" si="0"/>
        <v>46127</v>
      </c>
      <c r="D16" s="32">
        <v>3321</v>
      </c>
      <c r="E16" s="32">
        <v>337</v>
      </c>
      <c r="F16" s="32">
        <v>4</v>
      </c>
      <c r="G16" s="32">
        <v>3</v>
      </c>
      <c r="H16" s="32">
        <v>81005</v>
      </c>
      <c r="I16" s="32" t="s">
        <v>2689</v>
      </c>
      <c r="J16" s="32">
        <v>52133583</v>
      </c>
      <c r="K16" s="32" t="s">
        <v>4646</v>
      </c>
      <c r="L16" s="38" t="s">
        <v>4650</v>
      </c>
      <c r="M16" s="34">
        <v>299900</v>
      </c>
      <c r="N16" s="35">
        <v>0.8</v>
      </c>
      <c r="O16" s="34">
        <f t="shared" si="1"/>
        <v>59980</v>
      </c>
      <c r="P16" s="32" t="s">
        <v>16</v>
      </c>
    </row>
    <row r="17" spans="1:16" x14ac:dyDescent="0.35">
      <c r="A17" s="32" t="s">
        <v>6176</v>
      </c>
      <c r="B17" s="33">
        <f t="shared" si="0"/>
        <v>46121</v>
      </c>
      <c r="C17" s="33">
        <f t="shared" si="0"/>
        <v>46127</v>
      </c>
      <c r="D17" s="32">
        <v>3321</v>
      </c>
      <c r="E17" s="32">
        <v>337</v>
      </c>
      <c r="F17" s="32">
        <v>4</v>
      </c>
      <c r="G17" s="32">
        <v>3</v>
      </c>
      <c r="H17" s="32">
        <v>81005</v>
      </c>
      <c r="I17" s="32" t="s">
        <v>2689</v>
      </c>
      <c r="J17" s="32">
        <v>52133592</v>
      </c>
      <c r="K17" s="32" t="s">
        <v>4646</v>
      </c>
      <c r="L17" s="38" t="s">
        <v>4652</v>
      </c>
      <c r="M17" s="34">
        <v>299900</v>
      </c>
      <c r="N17" s="35">
        <v>0.8</v>
      </c>
      <c r="O17" s="34">
        <f t="shared" si="1"/>
        <v>59980</v>
      </c>
      <c r="P17" s="32" t="s">
        <v>16</v>
      </c>
    </row>
    <row r="18" spans="1:16" x14ac:dyDescent="0.35">
      <c r="A18" s="32" t="s">
        <v>6176</v>
      </c>
      <c r="B18" s="33">
        <f t="shared" si="0"/>
        <v>46121</v>
      </c>
      <c r="C18" s="33">
        <f t="shared" si="0"/>
        <v>46127</v>
      </c>
      <c r="D18" s="32">
        <v>3321</v>
      </c>
      <c r="E18" s="32">
        <v>337</v>
      </c>
      <c r="F18" s="32">
        <v>4</v>
      </c>
      <c r="G18" s="32">
        <v>3</v>
      </c>
      <c r="H18" s="32">
        <v>81005</v>
      </c>
      <c r="I18" s="32" t="s">
        <v>2689</v>
      </c>
      <c r="J18" s="32">
        <v>52133609</v>
      </c>
      <c r="K18" s="32" t="s">
        <v>4646</v>
      </c>
      <c r="L18" s="38" t="s">
        <v>4649</v>
      </c>
      <c r="M18" s="34">
        <v>299900</v>
      </c>
      <c r="N18" s="35">
        <v>0.8</v>
      </c>
      <c r="O18" s="34">
        <f t="shared" si="1"/>
        <v>59980</v>
      </c>
      <c r="P18" s="32" t="s">
        <v>16</v>
      </c>
    </row>
    <row r="19" spans="1:16" x14ac:dyDescent="0.35">
      <c r="A19" s="32" t="s">
        <v>6176</v>
      </c>
      <c r="B19" s="33">
        <f t="shared" si="0"/>
        <v>46121</v>
      </c>
      <c r="C19" s="33">
        <f t="shared" si="0"/>
        <v>46127</v>
      </c>
      <c r="D19" s="32">
        <v>3321</v>
      </c>
      <c r="E19" s="32">
        <v>337</v>
      </c>
      <c r="F19" s="32">
        <v>4</v>
      </c>
      <c r="G19" s="32">
        <v>3</v>
      </c>
      <c r="H19" s="32">
        <v>81005</v>
      </c>
      <c r="I19" s="32" t="s">
        <v>2689</v>
      </c>
      <c r="J19" s="32">
        <v>52133618</v>
      </c>
      <c r="K19" s="32" t="s">
        <v>4646</v>
      </c>
      <c r="L19" s="38" t="s">
        <v>4648</v>
      </c>
      <c r="M19" s="34">
        <v>299900</v>
      </c>
      <c r="N19" s="35">
        <v>0.8</v>
      </c>
      <c r="O19" s="34">
        <f t="shared" si="1"/>
        <v>59980</v>
      </c>
      <c r="P19" s="32" t="s">
        <v>16</v>
      </c>
    </row>
    <row r="20" spans="1:16" x14ac:dyDescent="0.35">
      <c r="A20" s="32" t="s">
        <v>6176</v>
      </c>
      <c r="B20" s="33">
        <f t="shared" ref="B20:C29" si="2">B19</f>
        <v>46121</v>
      </c>
      <c r="C20" s="33">
        <f t="shared" si="2"/>
        <v>46127</v>
      </c>
      <c r="D20" s="32">
        <v>3321</v>
      </c>
      <c r="E20" s="32">
        <v>337</v>
      </c>
      <c r="F20" s="32">
        <v>4</v>
      </c>
      <c r="G20" s="32">
        <v>3</v>
      </c>
      <c r="H20" s="32">
        <v>81005</v>
      </c>
      <c r="I20" s="32" t="s">
        <v>2689</v>
      </c>
      <c r="J20" s="32">
        <v>52133627</v>
      </c>
      <c r="K20" s="32" t="s">
        <v>4646</v>
      </c>
      <c r="L20" s="38" t="s">
        <v>4651</v>
      </c>
      <c r="M20" s="34">
        <v>299900</v>
      </c>
      <c r="N20" s="35">
        <v>0.8</v>
      </c>
      <c r="O20" s="34">
        <f t="shared" si="1"/>
        <v>59980</v>
      </c>
      <c r="P20" s="32" t="s">
        <v>16</v>
      </c>
    </row>
    <row r="21" spans="1:16" x14ac:dyDescent="0.35">
      <c r="A21" s="32" t="s">
        <v>6176</v>
      </c>
      <c r="B21" s="33">
        <f t="shared" si="2"/>
        <v>46121</v>
      </c>
      <c r="C21" s="33">
        <f t="shared" si="2"/>
        <v>46127</v>
      </c>
      <c r="D21" s="32">
        <v>3321</v>
      </c>
      <c r="E21" s="32">
        <v>337</v>
      </c>
      <c r="F21" s="32">
        <v>4</v>
      </c>
      <c r="G21" s="32">
        <v>3</v>
      </c>
      <c r="H21" s="32">
        <v>81005</v>
      </c>
      <c r="I21" s="32" t="s">
        <v>2689</v>
      </c>
      <c r="J21" s="32">
        <v>52133636</v>
      </c>
      <c r="K21" s="32" t="s">
        <v>4646</v>
      </c>
      <c r="L21" s="38" t="s">
        <v>4647</v>
      </c>
      <c r="M21" s="34">
        <v>299900</v>
      </c>
      <c r="N21" s="35">
        <v>0.8</v>
      </c>
      <c r="O21" s="34">
        <f t="shared" si="1"/>
        <v>59980</v>
      </c>
      <c r="P21" s="32" t="s">
        <v>16</v>
      </c>
    </row>
    <row r="22" spans="1:16" x14ac:dyDescent="0.35">
      <c r="A22" s="32" t="s">
        <v>6176</v>
      </c>
      <c r="B22" s="33">
        <f t="shared" si="2"/>
        <v>46121</v>
      </c>
      <c r="C22" s="33">
        <f t="shared" si="2"/>
        <v>46127</v>
      </c>
      <c r="D22" s="32">
        <v>3321</v>
      </c>
      <c r="E22" s="32">
        <v>337</v>
      </c>
      <c r="F22" s="32">
        <v>4</v>
      </c>
      <c r="G22" s="32">
        <v>3</v>
      </c>
      <c r="H22" s="32">
        <v>81698</v>
      </c>
      <c r="I22" s="32" t="s">
        <v>2689</v>
      </c>
      <c r="J22" s="32">
        <v>51607251</v>
      </c>
      <c r="K22" s="32" t="s">
        <v>4417</v>
      </c>
      <c r="L22" s="38" t="s">
        <v>4420</v>
      </c>
      <c r="M22" s="34">
        <v>339900</v>
      </c>
      <c r="N22" s="35">
        <v>0.8</v>
      </c>
      <c r="O22" s="34">
        <f t="shared" si="1"/>
        <v>67980</v>
      </c>
      <c r="P22" s="32" t="s">
        <v>16</v>
      </c>
    </row>
    <row r="23" spans="1:16" x14ac:dyDescent="0.35">
      <c r="A23" s="32" t="s">
        <v>6176</v>
      </c>
      <c r="B23" s="33">
        <f t="shared" si="2"/>
        <v>46121</v>
      </c>
      <c r="C23" s="33">
        <f t="shared" si="2"/>
        <v>46127</v>
      </c>
      <c r="D23" s="32">
        <v>3321</v>
      </c>
      <c r="E23" s="32">
        <v>337</v>
      </c>
      <c r="F23" s="32">
        <v>4</v>
      </c>
      <c r="G23" s="32">
        <v>3</v>
      </c>
      <c r="H23" s="32">
        <v>81698</v>
      </c>
      <c r="I23" s="32" t="s">
        <v>2689</v>
      </c>
      <c r="J23" s="32">
        <v>51607260</v>
      </c>
      <c r="K23" s="32" t="s">
        <v>4417</v>
      </c>
      <c r="L23" s="38" t="s">
        <v>4421</v>
      </c>
      <c r="M23" s="34">
        <v>339900</v>
      </c>
      <c r="N23" s="35">
        <v>0.8</v>
      </c>
      <c r="O23" s="34">
        <f t="shared" si="1"/>
        <v>67980</v>
      </c>
      <c r="P23" s="32" t="s">
        <v>16</v>
      </c>
    </row>
    <row r="24" spans="1:16" x14ac:dyDescent="0.35">
      <c r="A24" s="32" t="s">
        <v>6176</v>
      </c>
      <c r="B24" s="33">
        <f t="shared" si="2"/>
        <v>46121</v>
      </c>
      <c r="C24" s="33">
        <f t="shared" si="2"/>
        <v>46127</v>
      </c>
      <c r="D24" s="32">
        <v>3321</v>
      </c>
      <c r="E24" s="32">
        <v>337</v>
      </c>
      <c r="F24" s="32">
        <v>4</v>
      </c>
      <c r="G24" s="32">
        <v>3</v>
      </c>
      <c r="H24" s="32">
        <v>81698</v>
      </c>
      <c r="I24" s="32" t="s">
        <v>2689</v>
      </c>
      <c r="J24" s="32">
        <v>51607279</v>
      </c>
      <c r="K24" s="32" t="s">
        <v>4417</v>
      </c>
      <c r="L24" s="38" t="s">
        <v>4418</v>
      </c>
      <c r="M24" s="34">
        <v>339900</v>
      </c>
      <c r="N24" s="35">
        <v>0.8</v>
      </c>
      <c r="O24" s="34">
        <f t="shared" si="1"/>
        <v>67980</v>
      </c>
      <c r="P24" s="32" t="s">
        <v>16</v>
      </c>
    </row>
    <row r="25" spans="1:16" x14ac:dyDescent="0.35">
      <c r="A25" s="32" t="s">
        <v>6176</v>
      </c>
      <c r="B25" s="33">
        <f t="shared" si="2"/>
        <v>46121</v>
      </c>
      <c r="C25" s="33">
        <f t="shared" si="2"/>
        <v>46127</v>
      </c>
      <c r="D25" s="32">
        <v>3321</v>
      </c>
      <c r="E25" s="32">
        <v>337</v>
      </c>
      <c r="F25" s="32">
        <v>4</v>
      </c>
      <c r="G25" s="32">
        <v>3</v>
      </c>
      <c r="H25" s="32">
        <v>81698</v>
      </c>
      <c r="I25" s="32" t="s">
        <v>2689</v>
      </c>
      <c r="J25" s="32">
        <v>51607288</v>
      </c>
      <c r="K25" s="32" t="s">
        <v>4417</v>
      </c>
      <c r="L25" s="38" t="s">
        <v>4419</v>
      </c>
      <c r="M25" s="34">
        <v>339900</v>
      </c>
      <c r="N25" s="35">
        <v>0.8</v>
      </c>
      <c r="O25" s="34">
        <f t="shared" si="1"/>
        <v>67980</v>
      </c>
      <c r="P25" s="32" t="s">
        <v>16</v>
      </c>
    </row>
    <row r="26" spans="1:16" x14ac:dyDescent="0.35">
      <c r="A26" s="32" t="s">
        <v>6176</v>
      </c>
      <c r="B26" s="33">
        <f t="shared" si="2"/>
        <v>46121</v>
      </c>
      <c r="C26" s="33">
        <f t="shared" si="2"/>
        <v>46127</v>
      </c>
      <c r="D26" s="32">
        <v>3321</v>
      </c>
      <c r="E26" s="32">
        <v>337</v>
      </c>
      <c r="F26" s="32">
        <v>4</v>
      </c>
      <c r="G26" s="32">
        <v>3</v>
      </c>
      <c r="H26" s="32">
        <v>81698</v>
      </c>
      <c r="I26" s="32" t="s">
        <v>2689</v>
      </c>
      <c r="J26" s="32">
        <v>52133663</v>
      </c>
      <c r="K26" s="32" t="s">
        <v>4658</v>
      </c>
      <c r="L26" s="38" t="s">
        <v>4659</v>
      </c>
      <c r="M26" s="34">
        <v>339900</v>
      </c>
      <c r="N26" s="35">
        <v>0.8</v>
      </c>
      <c r="O26" s="34">
        <f t="shared" si="1"/>
        <v>67980</v>
      </c>
      <c r="P26" s="32" t="s">
        <v>16</v>
      </c>
    </row>
    <row r="27" spans="1:16" x14ac:dyDescent="0.35">
      <c r="A27" s="32" t="s">
        <v>6176</v>
      </c>
      <c r="B27" s="33">
        <f t="shared" si="2"/>
        <v>46121</v>
      </c>
      <c r="C27" s="33">
        <f t="shared" si="2"/>
        <v>46127</v>
      </c>
      <c r="D27" s="32">
        <v>3321</v>
      </c>
      <c r="E27" s="32">
        <v>337</v>
      </c>
      <c r="F27" s="32">
        <v>4</v>
      </c>
      <c r="G27" s="32">
        <v>3</v>
      </c>
      <c r="H27" s="32">
        <v>81698</v>
      </c>
      <c r="I27" s="32" t="s">
        <v>2689</v>
      </c>
      <c r="J27" s="32">
        <v>52296845</v>
      </c>
      <c r="K27" s="32" t="s">
        <v>4658</v>
      </c>
      <c r="L27" s="38" t="s">
        <v>4661</v>
      </c>
      <c r="M27" s="34">
        <v>339900</v>
      </c>
      <c r="N27" s="35">
        <v>0.8</v>
      </c>
      <c r="O27" s="34">
        <f t="shared" si="1"/>
        <v>67980</v>
      </c>
      <c r="P27" s="32" t="s">
        <v>16</v>
      </c>
    </row>
    <row r="28" spans="1:16" x14ac:dyDescent="0.35">
      <c r="A28" s="32" t="s">
        <v>6176</v>
      </c>
      <c r="B28" s="33">
        <f t="shared" si="2"/>
        <v>46121</v>
      </c>
      <c r="C28" s="33">
        <f t="shared" si="2"/>
        <v>46127</v>
      </c>
      <c r="D28" s="32">
        <v>3321</v>
      </c>
      <c r="E28" s="32">
        <v>337</v>
      </c>
      <c r="F28" s="32">
        <v>4</v>
      </c>
      <c r="G28" s="32">
        <v>3</v>
      </c>
      <c r="H28" s="32">
        <v>81698</v>
      </c>
      <c r="I28" s="32" t="s">
        <v>2689</v>
      </c>
      <c r="J28" s="32">
        <v>52296854</v>
      </c>
      <c r="K28" s="32" t="s">
        <v>4658</v>
      </c>
      <c r="L28" s="38" t="s">
        <v>4660</v>
      </c>
      <c r="M28" s="34">
        <v>339900</v>
      </c>
      <c r="N28" s="35">
        <v>0.8</v>
      </c>
      <c r="O28" s="34">
        <f t="shared" si="1"/>
        <v>67980</v>
      </c>
      <c r="P28" s="32" t="s">
        <v>16</v>
      </c>
    </row>
    <row r="29" spans="1:16" x14ac:dyDescent="0.35">
      <c r="A29" s="32" t="s">
        <v>6176</v>
      </c>
      <c r="B29" s="33">
        <f t="shared" si="2"/>
        <v>46121</v>
      </c>
      <c r="C29" s="33">
        <f t="shared" si="2"/>
        <v>46127</v>
      </c>
      <c r="D29" s="32">
        <v>3321</v>
      </c>
      <c r="E29" s="32">
        <v>337</v>
      </c>
      <c r="F29" s="32">
        <v>4</v>
      </c>
      <c r="G29" s="32">
        <v>3</v>
      </c>
      <c r="H29" s="32">
        <v>81698</v>
      </c>
      <c r="I29" s="32" t="s">
        <v>2689</v>
      </c>
      <c r="J29" s="32">
        <v>52296863</v>
      </c>
      <c r="K29" s="32" t="s">
        <v>4658</v>
      </c>
      <c r="L29" s="38" t="s">
        <v>4662</v>
      </c>
      <c r="M29" s="34">
        <v>339900</v>
      </c>
      <c r="N29" s="35">
        <v>0.8</v>
      </c>
      <c r="O29" s="34">
        <f t="shared" si="1"/>
        <v>67980</v>
      </c>
      <c r="P29" s="32" t="s">
        <v>16</v>
      </c>
    </row>
  </sheetData>
  <autoFilter ref="A1:P1" xr:uid="{00000000-0009-0000-0000-000000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650D-964D-44D1-8D04-1AF0AA8C841C}">
  <dimension ref="A1:P512"/>
  <sheetViews>
    <sheetView zoomScale="72" zoomScaleNormal="100" workbookViewId="0">
      <pane ySplit="1" topLeftCell="A497" activePane="bottomLeft" state="frozen"/>
      <selection activeCell="I231" sqref="I231"/>
      <selection pane="bottomLeft" activeCell="H506" sqref="H506"/>
    </sheetView>
  </sheetViews>
  <sheetFormatPr defaultColWidth="8.7265625" defaultRowHeight="14.5" x14ac:dyDescent="0.35"/>
  <cols>
    <col min="1" max="1" width="24.81640625" style="31" customWidth="1"/>
    <col min="2" max="2" width="16.1796875" style="36" bestFit="1" customWidth="1"/>
    <col min="3" max="3" width="13.26953125" style="36" bestFit="1" customWidth="1"/>
    <col min="4" max="4" width="10" style="31" bestFit="1" customWidth="1"/>
    <col min="5" max="5" width="12.26953125" style="31" bestFit="1" customWidth="1"/>
    <col min="6" max="6" width="13.7265625" style="31" bestFit="1" customWidth="1"/>
    <col min="7" max="7" width="10.81640625" style="31" bestFit="1" customWidth="1"/>
    <col min="8" max="8" width="13.81640625" style="31" bestFit="1" customWidth="1"/>
    <col min="9" max="9" width="16.54296875" style="31" bestFit="1" customWidth="1"/>
    <col min="10" max="10" width="9.54296875" style="31" bestFit="1" customWidth="1"/>
    <col min="11" max="11" width="10.26953125" style="31" customWidth="1"/>
    <col min="12" max="12" width="75.54296875" style="17" customWidth="1"/>
    <col min="13" max="13" width="16.26953125" style="37" customWidth="1"/>
    <col min="14" max="14" width="11" style="5" customWidth="1"/>
    <col min="15" max="15" width="16.1796875" style="37" customWidth="1"/>
    <col min="16" max="16" width="16.1796875" style="31" customWidth="1"/>
    <col min="17" max="16384" width="8.7265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x14ac:dyDescent="0.35">
      <c r="A2" s="32" t="s">
        <v>6997</v>
      </c>
      <c r="B2" s="33">
        <f>'2025 JUNSEPT B1G1 - 3321'!B6</f>
        <v>46121</v>
      </c>
      <c r="C2" s="33">
        <f>'2025 JUNSEPT B1G1 - 3321'!C6</f>
        <v>46127</v>
      </c>
      <c r="D2" s="32">
        <v>3321</v>
      </c>
      <c r="E2" s="32">
        <v>337</v>
      </c>
      <c r="F2" s="32">
        <v>4</v>
      </c>
      <c r="G2" s="32">
        <v>1</v>
      </c>
      <c r="H2" s="32">
        <v>81421</v>
      </c>
      <c r="I2" s="32" t="s">
        <v>2689</v>
      </c>
      <c r="J2" s="32">
        <v>15928526</v>
      </c>
      <c r="K2" s="32" t="s">
        <v>2741</v>
      </c>
      <c r="L2" s="38" t="s">
        <v>2742</v>
      </c>
      <c r="M2" s="34">
        <v>159900</v>
      </c>
      <c r="N2" s="35">
        <v>0.75</v>
      </c>
      <c r="O2" s="34">
        <f>M2-((75*M2))/100</f>
        <v>39975</v>
      </c>
      <c r="P2" s="32" t="s">
        <v>16</v>
      </c>
    </row>
    <row r="3" spans="1:16" x14ac:dyDescent="0.35">
      <c r="A3" s="32" t="str">
        <f>A2</f>
        <v>2024 JAN-DEC DISC 75</v>
      </c>
      <c r="B3" s="33">
        <f>B2</f>
        <v>46121</v>
      </c>
      <c r="C3" s="33">
        <f>C2</f>
        <v>46127</v>
      </c>
      <c r="D3" s="32">
        <v>3321</v>
      </c>
      <c r="E3" s="32">
        <v>337</v>
      </c>
      <c r="F3" s="32">
        <v>4</v>
      </c>
      <c r="G3" s="32">
        <v>1</v>
      </c>
      <c r="H3" s="32">
        <v>81421</v>
      </c>
      <c r="I3" s="32" t="s">
        <v>2689</v>
      </c>
      <c r="J3" s="32">
        <v>15928535</v>
      </c>
      <c r="K3" s="32" t="s">
        <v>2741</v>
      </c>
      <c r="L3" s="38" t="s">
        <v>2743</v>
      </c>
      <c r="M3" s="34">
        <v>159900</v>
      </c>
      <c r="N3" s="35">
        <f>N2</f>
        <v>0.75</v>
      </c>
      <c r="O3" s="34">
        <f t="shared" ref="O3:O66" si="0">M3-((70*M3))/100</f>
        <v>47970</v>
      </c>
      <c r="P3" s="32" t="s">
        <v>16</v>
      </c>
    </row>
    <row r="4" spans="1:16" x14ac:dyDescent="0.35">
      <c r="A4" s="32" t="str">
        <f t="shared" ref="A4:C67" si="1">A3</f>
        <v>2024 JAN-DEC DISC 75</v>
      </c>
      <c r="B4" s="33">
        <f t="shared" si="1"/>
        <v>46121</v>
      </c>
      <c r="C4" s="33">
        <f t="shared" si="1"/>
        <v>46127</v>
      </c>
      <c r="D4" s="32">
        <v>3321</v>
      </c>
      <c r="E4" s="32">
        <v>337</v>
      </c>
      <c r="F4" s="32">
        <v>4</v>
      </c>
      <c r="G4" s="32">
        <v>1</v>
      </c>
      <c r="H4" s="32">
        <v>81421</v>
      </c>
      <c r="I4" s="32" t="s">
        <v>2689</v>
      </c>
      <c r="J4" s="32">
        <v>15928553</v>
      </c>
      <c r="K4" s="32" t="s">
        <v>2741</v>
      </c>
      <c r="L4" s="38" t="s">
        <v>2744</v>
      </c>
      <c r="M4" s="34">
        <v>159900</v>
      </c>
      <c r="N4" s="35">
        <f t="shared" ref="N4:N67" si="2">N3</f>
        <v>0.75</v>
      </c>
      <c r="O4" s="34">
        <f t="shared" si="0"/>
        <v>47970</v>
      </c>
      <c r="P4" s="32" t="s">
        <v>16</v>
      </c>
    </row>
    <row r="5" spans="1:16" x14ac:dyDescent="0.35">
      <c r="A5" s="32" t="str">
        <f t="shared" si="1"/>
        <v>2024 JAN-DEC DISC 75</v>
      </c>
      <c r="B5" s="33">
        <f t="shared" si="1"/>
        <v>46121</v>
      </c>
      <c r="C5" s="33">
        <f t="shared" si="1"/>
        <v>46127</v>
      </c>
      <c r="D5" s="32">
        <v>3321</v>
      </c>
      <c r="E5" s="32">
        <v>337</v>
      </c>
      <c r="F5" s="32">
        <v>4</v>
      </c>
      <c r="G5" s="32">
        <v>1</v>
      </c>
      <c r="H5" s="32">
        <v>81421</v>
      </c>
      <c r="I5" s="32" t="s">
        <v>2689</v>
      </c>
      <c r="J5" s="32">
        <v>15928562</v>
      </c>
      <c r="K5" s="32" t="s">
        <v>2745</v>
      </c>
      <c r="L5" s="38" t="s">
        <v>2746</v>
      </c>
      <c r="M5" s="34">
        <v>149900</v>
      </c>
      <c r="N5" s="35">
        <f t="shared" si="2"/>
        <v>0.75</v>
      </c>
      <c r="O5" s="34">
        <f t="shared" si="0"/>
        <v>44970</v>
      </c>
      <c r="P5" s="32" t="s">
        <v>16</v>
      </c>
    </row>
    <row r="6" spans="1:16" x14ac:dyDescent="0.35">
      <c r="A6" s="32" t="str">
        <f t="shared" si="1"/>
        <v>2024 JAN-DEC DISC 75</v>
      </c>
      <c r="B6" s="33">
        <f t="shared" si="1"/>
        <v>46121</v>
      </c>
      <c r="C6" s="33">
        <f t="shared" si="1"/>
        <v>46127</v>
      </c>
      <c r="D6" s="32">
        <v>3321</v>
      </c>
      <c r="E6" s="32">
        <v>337</v>
      </c>
      <c r="F6" s="32">
        <v>4</v>
      </c>
      <c r="G6" s="32">
        <v>1</v>
      </c>
      <c r="H6" s="32">
        <v>81421</v>
      </c>
      <c r="I6" s="32" t="s">
        <v>2689</v>
      </c>
      <c r="J6" s="32">
        <v>15928571</v>
      </c>
      <c r="K6" s="32" t="s">
        <v>2745</v>
      </c>
      <c r="L6" s="38" t="s">
        <v>2747</v>
      </c>
      <c r="M6" s="34">
        <v>149900</v>
      </c>
      <c r="N6" s="35">
        <f t="shared" si="2"/>
        <v>0.75</v>
      </c>
      <c r="O6" s="34">
        <f t="shared" si="0"/>
        <v>44970</v>
      </c>
      <c r="P6" s="32" t="s">
        <v>16</v>
      </c>
    </row>
    <row r="7" spans="1:16" x14ac:dyDescent="0.35">
      <c r="A7" s="32" t="str">
        <f t="shared" si="1"/>
        <v>2024 JAN-DEC DISC 75</v>
      </c>
      <c r="B7" s="33">
        <f t="shared" si="1"/>
        <v>46121</v>
      </c>
      <c r="C7" s="33">
        <f t="shared" si="1"/>
        <v>46127</v>
      </c>
      <c r="D7" s="32">
        <v>3321</v>
      </c>
      <c r="E7" s="32">
        <v>337</v>
      </c>
      <c r="F7" s="32">
        <v>4</v>
      </c>
      <c r="G7" s="32">
        <v>1</v>
      </c>
      <c r="H7" s="32">
        <v>81421</v>
      </c>
      <c r="I7" s="32" t="s">
        <v>2689</v>
      </c>
      <c r="J7" s="32">
        <v>15928580</v>
      </c>
      <c r="K7" s="32" t="s">
        <v>2745</v>
      </c>
      <c r="L7" s="38" t="s">
        <v>2748</v>
      </c>
      <c r="M7" s="34">
        <v>149900</v>
      </c>
      <c r="N7" s="35">
        <f t="shared" si="2"/>
        <v>0.75</v>
      </c>
      <c r="O7" s="34">
        <f t="shared" si="0"/>
        <v>44970</v>
      </c>
      <c r="P7" s="32" t="s">
        <v>16</v>
      </c>
    </row>
    <row r="8" spans="1:16" x14ac:dyDescent="0.35">
      <c r="A8" s="32" t="str">
        <f t="shared" si="1"/>
        <v>2024 JAN-DEC DISC 75</v>
      </c>
      <c r="B8" s="33">
        <f t="shared" si="1"/>
        <v>46121</v>
      </c>
      <c r="C8" s="33">
        <f t="shared" si="1"/>
        <v>46127</v>
      </c>
      <c r="D8" s="32">
        <v>3321</v>
      </c>
      <c r="E8" s="32">
        <v>337</v>
      </c>
      <c r="F8" s="32">
        <v>4</v>
      </c>
      <c r="G8" s="32">
        <v>1</v>
      </c>
      <c r="H8" s="32">
        <v>81421</v>
      </c>
      <c r="I8" s="32" t="s">
        <v>2689</v>
      </c>
      <c r="J8" s="32">
        <v>15928599</v>
      </c>
      <c r="K8" s="32" t="s">
        <v>2745</v>
      </c>
      <c r="L8" s="38" t="s">
        <v>2749</v>
      </c>
      <c r="M8" s="34">
        <v>149900</v>
      </c>
      <c r="N8" s="35">
        <f t="shared" si="2"/>
        <v>0.75</v>
      </c>
      <c r="O8" s="34">
        <f t="shared" si="0"/>
        <v>44970</v>
      </c>
      <c r="P8" s="32" t="s">
        <v>16</v>
      </c>
    </row>
    <row r="9" spans="1:16" x14ac:dyDescent="0.35">
      <c r="A9" s="32" t="str">
        <f t="shared" si="1"/>
        <v>2024 JAN-DEC DISC 75</v>
      </c>
      <c r="B9" s="33">
        <f t="shared" si="1"/>
        <v>46121</v>
      </c>
      <c r="C9" s="33">
        <f t="shared" si="1"/>
        <v>46127</v>
      </c>
      <c r="D9" s="32">
        <v>3321</v>
      </c>
      <c r="E9" s="32">
        <v>337</v>
      </c>
      <c r="F9" s="32">
        <v>4</v>
      </c>
      <c r="G9" s="32">
        <v>1</v>
      </c>
      <c r="H9" s="32">
        <v>81421</v>
      </c>
      <c r="I9" s="32" t="s">
        <v>2689</v>
      </c>
      <c r="J9" s="32">
        <v>15928606</v>
      </c>
      <c r="K9" s="32" t="s">
        <v>2750</v>
      </c>
      <c r="L9" s="38" t="s">
        <v>2751</v>
      </c>
      <c r="M9" s="34">
        <v>149900</v>
      </c>
      <c r="N9" s="35">
        <f t="shared" si="2"/>
        <v>0.75</v>
      </c>
      <c r="O9" s="34">
        <f t="shared" si="0"/>
        <v>44970</v>
      </c>
      <c r="P9" s="32" t="s">
        <v>16</v>
      </c>
    </row>
    <row r="10" spans="1:16" x14ac:dyDescent="0.35">
      <c r="A10" s="32" t="str">
        <f t="shared" si="1"/>
        <v>2024 JAN-DEC DISC 75</v>
      </c>
      <c r="B10" s="33">
        <f t="shared" si="1"/>
        <v>46121</v>
      </c>
      <c r="C10" s="33">
        <f t="shared" si="1"/>
        <v>46127</v>
      </c>
      <c r="D10" s="32">
        <v>3321</v>
      </c>
      <c r="E10" s="32">
        <v>337</v>
      </c>
      <c r="F10" s="32">
        <v>4</v>
      </c>
      <c r="G10" s="32">
        <v>1</v>
      </c>
      <c r="H10" s="32">
        <v>81421</v>
      </c>
      <c r="I10" s="32" t="s">
        <v>2689</v>
      </c>
      <c r="J10" s="32">
        <v>15928615</v>
      </c>
      <c r="K10" s="32" t="s">
        <v>2750</v>
      </c>
      <c r="L10" s="38" t="s">
        <v>2752</v>
      </c>
      <c r="M10" s="34">
        <v>149900</v>
      </c>
      <c r="N10" s="35">
        <f t="shared" si="2"/>
        <v>0.75</v>
      </c>
      <c r="O10" s="34">
        <f t="shared" si="0"/>
        <v>44970</v>
      </c>
      <c r="P10" s="32" t="s">
        <v>16</v>
      </c>
    </row>
    <row r="11" spans="1:16" x14ac:dyDescent="0.35">
      <c r="A11" s="32" t="str">
        <f t="shared" si="1"/>
        <v>2024 JAN-DEC DISC 75</v>
      </c>
      <c r="B11" s="33">
        <f t="shared" si="1"/>
        <v>46121</v>
      </c>
      <c r="C11" s="33">
        <f t="shared" si="1"/>
        <v>46127</v>
      </c>
      <c r="D11" s="32">
        <v>3321</v>
      </c>
      <c r="E11" s="32">
        <v>337</v>
      </c>
      <c r="F11" s="32">
        <v>4</v>
      </c>
      <c r="G11" s="32">
        <v>1</v>
      </c>
      <c r="H11" s="32">
        <v>81421</v>
      </c>
      <c r="I11" s="32" t="s">
        <v>2689</v>
      </c>
      <c r="J11" s="32">
        <v>15928624</v>
      </c>
      <c r="K11" s="32" t="s">
        <v>2750</v>
      </c>
      <c r="L11" s="38" t="s">
        <v>2753</v>
      </c>
      <c r="M11" s="34">
        <v>149900</v>
      </c>
      <c r="N11" s="35">
        <f t="shared" si="2"/>
        <v>0.75</v>
      </c>
      <c r="O11" s="34">
        <f t="shared" si="0"/>
        <v>44970</v>
      </c>
      <c r="P11" s="32" t="s">
        <v>16</v>
      </c>
    </row>
    <row r="12" spans="1:16" x14ac:dyDescent="0.35">
      <c r="A12" s="32" t="str">
        <f t="shared" si="1"/>
        <v>2024 JAN-DEC DISC 75</v>
      </c>
      <c r="B12" s="33">
        <f t="shared" si="1"/>
        <v>46121</v>
      </c>
      <c r="C12" s="33">
        <f t="shared" si="1"/>
        <v>46127</v>
      </c>
      <c r="D12" s="32">
        <v>3321</v>
      </c>
      <c r="E12" s="32">
        <v>337</v>
      </c>
      <c r="F12" s="32">
        <v>4</v>
      </c>
      <c r="G12" s="32">
        <v>1</v>
      </c>
      <c r="H12" s="32">
        <v>81421</v>
      </c>
      <c r="I12" s="32" t="s">
        <v>2689</v>
      </c>
      <c r="J12" s="32">
        <v>15928633</v>
      </c>
      <c r="K12" s="32" t="s">
        <v>2750</v>
      </c>
      <c r="L12" s="38" t="s">
        <v>2754</v>
      </c>
      <c r="M12" s="34">
        <v>149900</v>
      </c>
      <c r="N12" s="35">
        <f t="shared" si="2"/>
        <v>0.75</v>
      </c>
      <c r="O12" s="34">
        <f t="shared" si="0"/>
        <v>44970</v>
      </c>
      <c r="P12" s="32" t="s">
        <v>16</v>
      </c>
    </row>
    <row r="13" spans="1:16" x14ac:dyDescent="0.35">
      <c r="A13" s="32" t="str">
        <f t="shared" si="1"/>
        <v>2024 JAN-DEC DISC 75</v>
      </c>
      <c r="B13" s="33">
        <f t="shared" si="1"/>
        <v>46121</v>
      </c>
      <c r="C13" s="33">
        <f t="shared" si="1"/>
        <v>46127</v>
      </c>
      <c r="D13" s="32">
        <v>3321</v>
      </c>
      <c r="E13" s="32">
        <v>337</v>
      </c>
      <c r="F13" s="32">
        <v>4</v>
      </c>
      <c r="G13" s="32">
        <v>1</v>
      </c>
      <c r="H13" s="32">
        <v>81421</v>
      </c>
      <c r="I13" s="32" t="s">
        <v>2689</v>
      </c>
      <c r="J13" s="32">
        <v>16130706</v>
      </c>
      <c r="K13" s="32" t="s">
        <v>2755</v>
      </c>
      <c r="L13" s="38" t="s">
        <v>2756</v>
      </c>
      <c r="M13" s="34">
        <v>179900</v>
      </c>
      <c r="N13" s="35">
        <f t="shared" si="2"/>
        <v>0.75</v>
      </c>
      <c r="O13" s="34">
        <f t="shared" si="0"/>
        <v>53970</v>
      </c>
      <c r="P13" s="32" t="s">
        <v>16</v>
      </c>
    </row>
    <row r="14" spans="1:16" x14ac:dyDescent="0.35">
      <c r="A14" s="32" t="str">
        <f t="shared" si="1"/>
        <v>2024 JAN-DEC DISC 75</v>
      </c>
      <c r="B14" s="33">
        <f t="shared" si="1"/>
        <v>46121</v>
      </c>
      <c r="C14" s="33">
        <f t="shared" si="1"/>
        <v>46127</v>
      </c>
      <c r="D14" s="32">
        <v>3321</v>
      </c>
      <c r="E14" s="32">
        <v>337</v>
      </c>
      <c r="F14" s="32">
        <v>4</v>
      </c>
      <c r="G14" s="32">
        <v>1</v>
      </c>
      <c r="H14" s="32">
        <v>81421</v>
      </c>
      <c r="I14" s="32" t="s">
        <v>2689</v>
      </c>
      <c r="J14" s="32">
        <v>16130715</v>
      </c>
      <c r="K14" s="32" t="s">
        <v>2755</v>
      </c>
      <c r="L14" s="38" t="s">
        <v>2757</v>
      </c>
      <c r="M14" s="34">
        <v>179900</v>
      </c>
      <c r="N14" s="35">
        <f t="shared" si="2"/>
        <v>0.75</v>
      </c>
      <c r="O14" s="34">
        <f t="shared" si="0"/>
        <v>53970</v>
      </c>
      <c r="P14" s="32" t="s">
        <v>16</v>
      </c>
    </row>
    <row r="15" spans="1:16" x14ac:dyDescent="0.35">
      <c r="A15" s="32" t="str">
        <f t="shared" si="1"/>
        <v>2024 JAN-DEC DISC 75</v>
      </c>
      <c r="B15" s="33">
        <f t="shared" si="1"/>
        <v>46121</v>
      </c>
      <c r="C15" s="33">
        <f t="shared" si="1"/>
        <v>46127</v>
      </c>
      <c r="D15" s="32">
        <v>3321</v>
      </c>
      <c r="E15" s="32">
        <v>337</v>
      </c>
      <c r="F15" s="32">
        <v>4</v>
      </c>
      <c r="G15" s="32">
        <v>1</v>
      </c>
      <c r="H15" s="32">
        <v>81421</v>
      </c>
      <c r="I15" s="32" t="s">
        <v>2689</v>
      </c>
      <c r="J15" s="32">
        <v>16130724</v>
      </c>
      <c r="K15" s="32" t="s">
        <v>2755</v>
      </c>
      <c r="L15" s="38" t="s">
        <v>2758</v>
      </c>
      <c r="M15" s="34">
        <v>179900</v>
      </c>
      <c r="N15" s="35">
        <f t="shared" si="2"/>
        <v>0.75</v>
      </c>
      <c r="O15" s="34">
        <f t="shared" si="0"/>
        <v>53970</v>
      </c>
      <c r="P15" s="32" t="s">
        <v>16</v>
      </c>
    </row>
    <row r="16" spans="1:16" x14ac:dyDescent="0.35">
      <c r="A16" s="32" t="str">
        <f t="shared" si="1"/>
        <v>2024 JAN-DEC DISC 75</v>
      </c>
      <c r="B16" s="33">
        <f t="shared" si="1"/>
        <v>46121</v>
      </c>
      <c r="C16" s="33">
        <f t="shared" si="1"/>
        <v>46127</v>
      </c>
      <c r="D16" s="32">
        <v>3321</v>
      </c>
      <c r="E16" s="32">
        <v>337</v>
      </c>
      <c r="F16" s="32">
        <v>4</v>
      </c>
      <c r="G16" s="32">
        <v>1</v>
      </c>
      <c r="H16" s="32">
        <v>81421</v>
      </c>
      <c r="I16" s="32" t="s">
        <v>2689</v>
      </c>
      <c r="J16" s="32">
        <v>16265357</v>
      </c>
      <c r="K16" s="32" t="s">
        <v>2759</v>
      </c>
      <c r="L16" s="38" t="s">
        <v>2760</v>
      </c>
      <c r="M16" s="34">
        <v>149900</v>
      </c>
      <c r="N16" s="35">
        <f t="shared" si="2"/>
        <v>0.75</v>
      </c>
      <c r="O16" s="34">
        <f t="shared" si="0"/>
        <v>44970</v>
      </c>
      <c r="P16" s="32" t="s">
        <v>16</v>
      </c>
    </row>
    <row r="17" spans="1:16" x14ac:dyDescent="0.35">
      <c r="A17" s="32" t="str">
        <f t="shared" si="1"/>
        <v>2024 JAN-DEC DISC 75</v>
      </c>
      <c r="B17" s="33">
        <f t="shared" si="1"/>
        <v>46121</v>
      </c>
      <c r="C17" s="33">
        <f t="shared" si="1"/>
        <v>46127</v>
      </c>
      <c r="D17" s="32">
        <v>3321</v>
      </c>
      <c r="E17" s="32">
        <v>337</v>
      </c>
      <c r="F17" s="32">
        <v>4</v>
      </c>
      <c r="G17" s="32">
        <v>1</v>
      </c>
      <c r="H17" s="32">
        <v>81421</v>
      </c>
      <c r="I17" s="32" t="s">
        <v>2689</v>
      </c>
      <c r="J17" s="32">
        <v>16265366</v>
      </c>
      <c r="K17" s="32" t="s">
        <v>2759</v>
      </c>
      <c r="L17" s="38" t="s">
        <v>2761</v>
      </c>
      <c r="M17" s="34">
        <v>149900</v>
      </c>
      <c r="N17" s="35">
        <f t="shared" si="2"/>
        <v>0.75</v>
      </c>
      <c r="O17" s="34">
        <f t="shared" si="0"/>
        <v>44970</v>
      </c>
      <c r="P17" s="32" t="s">
        <v>16</v>
      </c>
    </row>
    <row r="18" spans="1:16" x14ac:dyDescent="0.35">
      <c r="A18" s="32" t="str">
        <f t="shared" si="1"/>
        <v>2024 JAN-DEC DISC 75</v>
      </c>
      <c r="B18" s="33">
        <f t="shared" si="1"/>
        <v>46121</v>
      </c>
      <c r="C18" s="33">
        <f t="shared" si="1"/>
        <v>46127</v>
      </c>
      <c r="D18" s="32">
        <v>3321</v>
      </c>
      <c r="E18" s="32">
        <v>337</v>
      </c>
      <c r="F18" s="32">
        <v>4</v>
      </c>
      <c r="G18" s="32">
        <v>1</v>
      </c>
      <c r="H18" s="32">
        <v>81421</v>
      </c>
      <c r="I18" s="32" t="s">
        <v>2689</v>
      </c>
      <c r="J18" s="32">
        <v>16265375</v>
      </c>
      <c r="K18" s="32" t="s">
        <v>2759</v>
      </c>
      <c r="L18" s="38" t="s">
        <v>2762</v>
      </c>
      <c r="M18" s="34">
        <v>149900</v>
      </c>
      <c r="N18" s="35">
        <f t="shared" si="2"/>
        <v>0.75</v>
      </c>
      <c r="O18" s="34">
        <f t="shared" si="0"/>
        <v>44970</v>
      </c>
      <c r="P18" s="32" t="s">
        <v>16</v>
      </c>
    </row>
    <row r="19" spans="1:16" x14ac:dyDescent="0.35">
      <c r="A19" s="32" t="str">
        <f t="shared" si="1"/>
        <v>2024 JAN-DEC DISC 75</v>
      </c>
      <c r="B19" s="33">
        <f t="shared" si="1"/>
        <v>46121</v>
      </c>
      <c r="C19" s="33">
        <f t="shared" si="1"/>
        <v>46127</v>
      </c>
      <c r="D19" s="32">
        <v>3321</v>
      </c>
      <c r="E19" s="32">
        <v>337</v>
      </c>
      <c r="F19" s="32">
        <v>4</v>
      </c>
      <c r="G19" s="32">
        <v>1</v>
      </c>
      <c r="H19" s="32">
        <v>81421</v>
      </c>
      <c r="I19" s="32" t="s">
        <v>2689</v>
      </c>
      <c r="J19" s="32">
        <v>16265384</v>
      </c>
      <c r="K19" s="32" t="s">
        <v>2759</v>
      </c>
      <c r="L19" s="38" t="s">
        <v>2763</v>
      </c>
      <c r="M19" s="34">
        <v>149900</v>
      </c>
      <c r="N19" s="35">
        <f t="shared" si="2"/>
        <v>0.75</v>
      </c>
      <c r="O19" s="34">
        <f t="shared" si="0"/>
        <v>44970</v>
      </c>
      <c r="P19" s="32" t="s">
        <v>16</v>
      </c>
    </row>
    <row r="20" spans="1:16" x14ac:dyDescent="0.35">
      <c r="A20" s="32" t="str">
        <f t="shared" si="1"/>
        <v>2024 JAN-DEC DISC 75</v>
      </c>
      <c r="B20" s="33">
        <f t="shared" si="1"/>
        <v>46121</v>
      </c>
      <c r="C20" s="33">
        <f t="shared" si="1"/>
        <v>46127</v>
      </c>
      <c r="D20" s="32">
        <v>3321</v>
      </c>
      <c r="E20" s="32">
        <v>337</v>
      </c>
      <c r="F20" s="32">
        <v>4</v>
      </c>
      <c r="G20" s="32">
        <v>1</v>
      </c>
      <c r="H20" s="32">
        <v>81506</v>
      </c>
      <c r="I20" s="32" t="s">
        <v>2689</v>
      </c>
      <c r="J20" s="32">
        <v>16572195</v>
      </c>
      <c r="K20" s="32" t="s">
        <v>2764</v>
      </c>
      <c r="L20" s="38" t="s">
        <v>2765</v>
      </c>
      <c r="M20" s="34">
        <v>159900</v>
      </c>
      <c r="N20" s="35">
        <f t="shared" si="2"/>
        <v>0.75</v>
      </c>
      <c r="O20" s="34">
        <f t="shared" si="0"/>
        <v>47970</v>
      </c>
      <c r="P20" s="32" t="s">
        <v>16</v>
      </c>
    </row>
    <row r="21" spans="1:16" x14ac:dyDescent="0.35">
      <c r="A21" s="32" t="str">
        <f t="shared" si="1"/>
        <v>2024 JAN-DEC DISC 75</v>
      </c>
      <c r="B21" s="33">
        <f t="shared" si="1"/>
        <v>46121</v>
      </c>
      <c r="C21" s="33">
        <f t="shared" si="1"/>
        <v>46127</v>
      </c>
      <c r="D21" s="32">
        <v>3321</v>
      </c>
      <c r="E21" s="32">
        <v>337</v>
      </c>
      <c r="F21" s="32">
        <v>4</v>
      </c>
      <c r="G21" s="32">
        <v>1</v>
      </c>
      <c r="H21" s="32">
        <v>81506</v>
      </c>
      <c r="I21" s="32" t="s">
        <v>2689</v>
      </c>
      <c r="J21" s="32">
        <v>16572202</v>
      </c>
      <c r="K21" s="32" t="s">
        <v>2764</v>
      </c>
      <c r="L21" s="38" t="s">
        <v>2766</v>
      </c>
      <c r="M21" s="34">
        <v>159900</v>
      </c>
      <c r="N21" s="35">
        <f t="shared" si="2"/>
        <v>0.75</v>
      </c>
      <c r="O21" s="34">
        <f t="shared" si="0"/>
        <v>47970</v>
      </c>
      <c r="P21" s="32" t="s">
        <v>16</v>
      </c>
    </row>
    <row r="22" spans="1:16" x14ac:dyDescent="0.35">
      <c r="A22" s="32" t="str">
        <f t="shared" si="1"/>
        <v>2024 JAN-DEC DISC 75</v>
      </c>
      <c r="B22" s="33">
        <f t="shared" si="1"/>
        <v>46121</v>
      </c>
      <c r="C22" s="33">
        <f t="shared" si="1"/>
        <v>46127</v>
      </c>
      <c r="D22" s="32">
        <v>3321</v>
      </c>
      <c r="E22" s="32">
        <v>337</v>
      </c>
      <c r="F22" s="32">
        <v>4</v>
      </c>
      <c r="G22" s="32">
        <v>1</v>
      </c>
      <c r="H22" s="32">
        <v>81506</v>
      </c>
      <c r="I22" s="32" t="s">
        <v>2689</v>
      </c>
      <c r="J22" s="32">
        <v>16572211</v>
      </c>
      <c r="K22" s="32" t="s">
        <v>2764</v>
      </c>
      <c r="L22" s="38" t="s">
        <v>2767</v>
      </c>
      <c r="M22" s="34">
        <v>159900</v>
      </c>
      <c r="N22" s="35">
        <f t="shared" si="2"/>
        <v>0.75</v>
      </c>
      <c r="O22" s="34">
        <f t="shared" si="0"/>
        <v>47970</v>
      </c>
      <c r="P22" s="32" t="s">
        <v>16</v>
      </c>
    </row>
    <row r="23" spans="1:16" x14ac:dyDescent="0.35">
      <c r="A23" s="32" t="str">
        <f t="shared" si="1"/>
        <v>2024 JAN-DEC DISC 75</v>
      </c>
      <c r="B23" s="33">
        <f t="shared" si="1"/>
        <v>46121</v>
      </c>
      <c r="C23" s="33">
        <f t="shared" si="1"/>
        <v>46127</v>
      </c>
      <c r="D23" s="32">
        <v>3321</v>
      </c>
      <c r="E23" s="32">
        <v>337</v>
      </c>
      <c r="F23" s="32">
        <v>4</v>
      </c>
      <c r="G23" s="32">
        <v>1</v>
      </c>
      <c r="H23" s="32">
        <v>81506</v>
      </c>
      <c r="I23" s="32" t="s">
        <v>2689</v>
      </c>
      <c r="J23" s="32">
        <v>16572220</v>
      </c>
      <c r="K23" s="32" t="s">
        <v>2764</v>
      </c>
      <c r="L23" s="38" t="s">
        <v>2768</v>
      </c>
      <c r="M23" s="34">
        <v>159900</v>
      </c>
      <c r="N23" s="35">
        <f t="shared" si="2"/>
        <v>0.75</v>
      </c>
      <c r="O23" s="34">
        <f t="shared" si="0"/>
        <v>47970</v>
      </c>
      <c r="P23" s="32" t="s">
        <v>16</v>
      </c>
    </row>
    <row r="24" spans="1:16" x14ac:dyDescent="0.35">
      <c r="A24" s="32" t="str">
        <f t="shared" si="1"/>
        <v>2024 JAN-DEC DISC 75</v>
      </c>
      <c r="B24" s="33">
        <f t="shared" si="1"/>
        <v>46121</v>
      </c>
      <c r="C24" s="33">
        <f t="shared" si="1"/>
        <v>46127</v>
      </c>
      <c r="D24" s="32">
        <v>3321</v>
      </c>
      <c r="E24" s="32">
        <v>337</v>
      </c>
      <c r="F24" s="32">
        <v>4</v>
      </c>
      <c r="G24" s="32">
        <v>1</v>
      </c>
      <c r="H24" s="32">
        <v>81676</v>
      </c>
      <c r="I24" s="32" t="s">
        <v>2689</v>
      </c>
      <c r="J24" s="32">
        <v>16047520</v>
      </c>
      <c r="K24" s="32" t="s">
        <v>2605</v>
      </c>
      <c r="L24" s="38" t="s">
        <v>2769</v>
      </c>
      <c r="M24" s="34">
        <v>149900</v>
      </c>
      <c r="N24" s="35">
        <f t="shared" si="2"/>
        <v>0.75</v>
      </c>
      <c r="O24" s="34">
        <f t="shared" si="0"/>
        <v>44970</v>
      </c>
      <c r="P24" s="32" t="s">
        <v>16</v>
      </c>
    </row>
    <row r="25" spans="1:16" x14ac:dyDescent="0.35">
      <c r="A25" s="32" t="str">
        <f t="shared" si="1"/>
        <v>2024 JAN-DEC DISC 75</v>
      </c>
      <c r="B25" s="33">
        <f t="shared" si="1"/>
        <v>46121</v>
      </c>
      <c r="C25" s="33">
        <f t="shared" si="1"/>
        <v>46127</v>
      </c>
      <c r="D25" s="32">
        <v>3321</v>
      </c>
      <c r="E25" s="32">
        <v>337</v>
      </c>
      <c r="F25" s="32">
        <v>4</v>
      </c>
      <c r="G25" s="32">
        <v>1</v>
      </c>
      <c r="H25" s="32">
        <v>81676</v>
      </c>
      <c r="I25" s="32" t="s">
        <v>2689</v>
      </c>
      <c r="J25" s="32">
        <v>16047566</v>
      </c>
      <c r="K25" s="32" t="s">
        <v>2606</v>
      </c>
      <c r="L25" s="38" t="s">
        <v>2770</v>
      </c>
      <c r="M25" s="34">
        <v>149900</v>
      </c>
      <c r="N25" s="35">
        <f t="shared" si="2"/>
        <v>0.75</v>
      </c>
      <c r="O25" s="34">
        <f t="shared" si="0"/>
        <v>44970</v>
      </c>
      <c r="P25" s="32" t="s">
        <v>16</v>
      </c>
    </row>
    <row r="26" spans="1:16" x14ac:dyDescent="0.35">
      <c r="A26" s="32" t="str">
        <f t="shared" si="1"/>
        <v>2024 JAN-DEC DISC 75</v>
      </c>
      <c r="B26" s="33">
        <f t="shared" si="1"/>
        <v>46121</v>
      </c>
      <c r="C26" s="33">
        <f t="shared" si="1"/>
        <v>46127</v>
      </c>
      <c r="D26" s="32">
        <v>3321</v>
      </c>
      <c r="E26" s="32">
        <v>337</v>
      </c>
      <c r="F26" s="32">
        <v>4</v>
      </c>
      <c r="G26" s="32">
        <v>1</v>
      </c>
      <c r="H26" s="32">
        <v>81676</v>
      </c>
      <c r="I26" s="32" t="s">
        <v>2689</v>
      </c>
      <c r="J26" s="32">
        <v>16047682</v>
      </c>
      <c r="K26" s="32" t="s">
        <v>6519</v>
      </c>
      <c r="L26" s="38" t="s">
        <v>6520</v>
      </c>
      <c r="M26" s="34">
        <v>149900</v>
      </c>
      <c r="N26" s="35">
        <f t="shared" si="2"/>
        <v>0.75</v>
      </c>
      <c r="O26" s="34">
        <f t="shared" si="0"/>
        <v>44970</v>
      </c>
      <c r="P26" s="32" t="s">
        <v>16</v>
      </c>
    </row>
    <row r="27" spans="1:16" x14ac:dyDescent="0.35">
      <c r="A27" s="32" t="str">
        <f t="shared" si="1"/>
        <v>2024 JAN-DEC DISC 75</v>
      </c>
      <c r="B27" s="33">
        <f t="shared" si="1"/>
        <v>46121</v>
      </c>
      <c r="C27" s="33">
        <f t="shared" si="1"/>
        <v>46127</v>
      </c>
      <c r="D27" s="32">
        <v>3321</v>
      </c>
      <c r="E27" s="32">
        <v>337</v>
      </c>
      <c r="F27" s="32">
        <v>4</v>
      </c>
      <c r="G27" s="32">
        <v>1</v>
      </c>
      <c r="H27" s="32">
        <v>81676</v>
      </c>
      <c r="I27" s="32" t="s">
        <v>2689</v>
      </c>
      <c r="J27" s="32">
        <v>16047726</v>
      </c>
      <c r="K27" s="32" t="s">
        <v>2614</v>
      </c>
      <c r="L27" s="38" t="s">
        <v>2771</v>
      </c>
      <c r="M27" s="34">
        <v>149900</v>
      </c>
      <c r="N27" s="35">
        <f t="shared" si="2"/>
        <v>0.75</v>
      </c>
      <c r="O27" s="34">
        <f t="shared" si="0"/>
        <v>44970</v>
      </c>
      <c r="P27" s="32" t="s">
        <v>16</v>
      </c>
    </row>
    <row r="28" spans="1:16" x14ac:dyDescent="0.35">
      <c r="A28" s="32" t="str">
        <f t="shared" si="1"/>
        <v>2024 JAN-DEC DISC 75</v>
      </c>
      <c r="B28" s="33">
        <f t="shared" si="1"/>
        <v>46121</v>
      </c>
      <c r="C28" s="33">
        <f t="shared" si="1"/>
        <v>46127</v>
      </c>
      <c r="D28" s="32">
        <v>3321</v>
      </c>
      <c r="E28" s="32">
        <v>337</v>
      </c>
      <c r="F28" s="32">
        <v>4</v>
      </c>
      <c r="G28" s="32">
        <v>1</v>
      </c>
      <c r="H28" s="32">
        <v>81676</v>
      </c>
      <c r="I28" s="32" t="s">
        <v>2689</v>
      </c>
      <c r="J28" s="32">
        <v>16130742</v>
      </c>
      <c r="K28" s="32" t="s">
        <v>2772</v>
      </c>
      <c r="L28" s="38" t="s">
        <v>2773</v>
      </c>
      <c r="M28" s="34">
        <v>149900</v>
      </c>
      <c r="N28" s="35">
        <f t="shared" si="2"/>
        <v>0.75</v>
      </c>
      <c r="O28" s="34">
        <f t="shared" si="0"/>
        <v>44970</v>
      </c>
      <c r="P28" s="32" t="s">
        <v>16</v>
      </c>
    </row>
    <row r="29" spans="1:16" x14ac:dyDescent="0.35">
      <c r="A29" s="32" t="str">
        <f t="shared" si="1"/>
        <v>2024 JAN-DEC DISC 75</v>
      </c>
      <c r="B29" s="33">
        <f t="shared" si="1"/>
        <v>46121</v>
      </c>
      <c r="C29" s="33">
        <f t="shared" si="1"/>
        <v>46127</v>
      </c>
      <c r="D29" s="32">
        <v>3321</v>
      </c>
      <c r="E29" s="32">
        <v>337</v>
      </c>
      <c r="F29" s="32">
        <v>4</v>
      </c>
      <c r="G29" s="32">
        <v>1</v>
      </c>
      <c r="H29" s="32">
        <v>81676</v>
      </c>
      <c r="I29" s="32" t="s">
        <v>2689</v>
      </c>
      <c r="J29" s="32">
        <v>16130751</v>
      </c>
      <c r="K29" s="32" t="s">
        <v>2772</v>
      </c>
      <c r="L29" s="38" t="s">
        <v>2774</v>
      </c>
      <c r="M29" s="34">
        <v>149900</v>
      </c>
      <c r="N29" s="35">
        <f t="shared" si="2"/>
        <v>0.75</v>
      </c>
      <c r="O29" s="34">
        <f t="shared" si="0"/>
        <v>44970</v>
      </c>
      <c r="P29" s="32" t="s">
        <v>16</v>
      </c>
    </row>
    <row r="30" spans="1:16" x14ac:dyDescent="0.35">
      <c r="A30" s="32" t="str">
        <f t="shared" si="1"/>
        <v>2024 JAN-DEC DISC 75</v>
      </c>
      <c r="B30" s="33">
        <f t="shared" si="1"/>
        <v>46121</v>
      </c>
      <c r="C30" s="33">
        <f t="shared" si="1"/>
        <v>46127</v>
      </c>
      <c r="D30" s="32">
        <v>3321</v>
      </c>
      <c r="E30" s="32">
        <v>337</v>
      </c>
      <c r="F30" s="32">
        <v>4</v>
      </c>
      <c r="G30" s="32">
        <v>1</v>
      </c>
      <c r="H30" s="32">
        <v>81676</v>
      </c>
      <c r="I30" s="32" t="s">
        <v>2689</v>
      </c>
      <c r="J30" s="32">
        <v>16130779</v>
      </c>
      <c r="K30" s="32" t="s">
        <v>2772</v>
      </c>
      <c r="L30" s="38" t="s">
        <v>2775</v>
      </c>
      <c r="M30" s="34">
        <v>149900</v>
      </c>
      <c r="N30" s="35">
        <f t="shared" si="2"/>
        <v>0.75</v>
      </c>
      <c r="O30" s="34">
        <f t="shared" si="0"/>
        <v>44970</v>
      </c>
      <c r="P30" s="32" t="s">
        <v>16</v>
      </c>
    </row>
    <row r="31" spans="1:16" x14ac:dyDescent="0.35">
      <c r="A31" s="32" t="str">
        <f t="shared" si="1"/>
        <v>2024 JAN-DEC DISC 75</v>
      </c>
      <c r="B31" s="33">
        <f t="shared" si="1"/>
        <v>46121</v>
      </c>
      <c r="C31" s="33">
        <f t="shared" si="1"/>
        <v>46127</v>
      </c>
      <c r="D31" s="32">
        <v>3321</v>
      </c>
      <c r="E31" s="32">
        <v>337</v>
      </c>
      <c r="F31" s="32">
        <v>4</v>
      </c>
      <c r="G31" s="32">
        <v>1</v>
      </c>
      <c r="H31" s="32">
        <v>81676</v>
      </c>
      <c r="I31" s="32" t="s">
        <v>2689</v>
      </c>
      <c r="J31" s="32">
        <v>16130788</v>
      </c>
      <c r="K31" s="32" t="s">
        <v>2776</v>
      </c>
      <c r="L31" s="38" t="s">
        <v>2777</v>
      </c>
      <c r="M31" s="34">
        <v>149900</v>
      </c>
      <c r="N31" s="35">
        <f t="shared" si="2"/>
        <v>0.75</v>
      </c>
      <c r="O31" s="34">
        <f t="shared" si="0"/>
        <v>44970</v>
      </c>
      <c r="P31" s="32" t="s">
        <v>16</v>
      </c>
    </row>
    <row r="32" spans="1:16" x14ac:dyDescent="0.35">
      <c r="A32" s="32" t="str">
        <f t="shared" si="1"/>
        <v>2024 JAN-DEC DISC 75</v>
      </c>
      <c r="B32" s="33">
        <f t="shared" si="1"/>
        <v>46121</v>
      </c>
      <c r="C32" s="33">
        <f t="shared" si="1"/>
        <v>46127</v>
      </c>
      <c r="D32" s="32">
        <v>3321</v>
      </c>
      <c r="E32" s="32">
        <v>337</v>
      </c>
      <c r="F32" s="32">
        <v>4</v>
      </c>
      <c r="G32" s="32">
        <v>1</v>
      </c>
      <c r="H32" s="32">
        <v>81676</v>
      </c>
      <c r="I32" s="32" t="s">
        <v>2689</v>
      </c>
      <c r="J32" s="32">
        <v>16130797</v>
      </c>
      <c r="K32" s="32" t="s">
        <v>2776</v>
      </c>
      <c r="L32" s="38" t="s">
        <v>2778</v>
      </c>
      <c r="M32" s="34">
        <v>149900</v>
      </c>
      <c r="N32" s="35">
        <f t="shared" si="2"/>
        <v>0.75</v>
      </c>
      <c r="O32" s="34">
        <f t="shared" si="0"/>
        <v>44970</v>
      </c>
      <c r="P32" s="32" t="s">
        <v>16</v>
      </c>
    </row>
    <row r="33" spans="1:16" x14ac:dyDescent="0.35">
      <c r="A33" s="32" t="str">
        <f t="shared" si="1"/>
        <v>2024 JAN-DEC DISC 75</v>
      </c>
      <c r="B33" s="33">
        <f t="shared" si="1"/>
        <v>46121</v>
      </c>
      <c r="C33" s="33">
        <f t="shared" si="1"/>
        <v>46127</v>
      </c>
      <c r="D33" s="32">
        <v>3321</v>
      </c>
      <c r="E33" s="32">
        <v>337</v>
      </c>
      <c r="F33" s="32">
        <v>4</v>
      </c>
      <c r="G33" s="32">
        <v>1</v>
      </c>
      <c r="H33" s="32">
        <v>81676</v>
      </c>
      <c r="I33" s="32" t="s">
        <v>2689</v>
      </c>
      <c r="J33" s="32">
        <v>16130813</v>
      </c>
      <c r="K33" s="32" t="s">
        <v>2776</v>
      </c>
      <c r="L33" s="38" t="s">
        <v>2779</v>
      </c>
      <c r="M33" s="34">
        <v>149900</v>
      </c>
      <c r="N33" s="35">
        <f t="shared" si="2"/>
        <v>0.75</v>
      </c>
      <c r="O33" s="34">
        <f t="shared" si="0"/>
        <v>44970</v>
      </c>
      <c r="P33" s="32" t="s">
        <v>16</v>
      </c>
    </row>
    <row r="34" spans="1:16" x14ac:dyDescent="0.35">
      <c r="A34" s="32" t="str">
        <f t="shared" si="1"/>
        <v>2024 JAN-DEC DISC 75</v>
      </c>
      <c r="B34" s="33">
        <f t="shared" si="1"/>
        <v>46121</v>
      </c>
      <c r="C34" s="33">
        <f t="shared" si="1"/>
        <v>46127</v>
      </c>
      <c r="D34" s="32">
        <v>3321</v>
      </c>
      <c r="E34" s="32">
        <v>337</v>
      </c>
      <c r="F34" s="32">
        <v>4</v>
      </c>
      <c r="G34" s="32">
        <v>1</v>
      </c>
      <c r="H34" s="32">
        <v>81800</v>
      </c>
      <c r="I34" s="32" t="s">
        <v>2689</v>
      </c>
      <c r="J34" s="32">
        <v>16022547</v>
      </c>
      <c r="K34" s="32" t="s">
        <v>2780</v>
      </c>
      <c r="L34" s="38" t="s">
        <v>2781</v>
      </c>
      <c r="M34" s="34">
        <v>169900</v>
      </c>
      <c r="N34" s="35">
        <f t="shared" si="2"/>
        <v>0.75</v>
      </c>
      <c r="O34" s="34">
        <f t="shared" si="0"/>
        <v>50970</v>
      </c>
      <c r="P34" s="32" t="s">
        <v>16</v>
      </c>
    </row>
    <row r="35" spans="1:16" x14ac:dyDescent="0.35">
      <c r="A35" s="32" t="str">
        <f t="shared" si="1"/>
        <v>2024 JAN-DEC DISC 75</v>
      </c>
      <c r="B35" s="33">
        <f t="shared" si="1"/>
        <v>46121</v>
      </c>
      <c r="C35" s="33">
        <f t="shared" si="1"/>
        <v>46127</v>
      </c>
      <c r="D35" s="32">
        <v>3321</v>
      </c>
      <c r="E35" s="32">
        <v>337</v>
      </c>
      <c r="F35" s="32">
        <v>4</v>
      </c>
      <c r="G35" s="32">
        <v>1</v>
      </c>
      <c r="H35" s="32">
        <v>81800</v>
      </c>
      <c r="I35" s="32" t="s">
        <v>2689</v>
      </c>
      <c r="J35" s="32">
        <v>16022556</v>
      </c>
      <c r="K35" s="32" t="s">
        <v>2780</v>
      </c>
      <c r="L35" s="38" t="s">
        <v>2782</v>
      </c>
      <c r="M35" s="34">
        <v>169900</v>
      </c>
      <c r="N35" s="35">
        <f t="shared" si="2"/>
        <v>0.75</v>
      </c>
      <c r="O35" s="34">
        <f t="shared" si="0"/>
        <v>50970</v>
      </c>
      <c r="P35" s="32" t="s">
        <v>16</v>
      </c>
    </row>
    <row r="36" spans="1:16" x14ac:dyDescent="0.35">
      <c r="A36" s="32" t="str">
        <f t="shared" si="1"/>
        <v>2024 JAN-DEC DISC 75</v>
      </c>
      <c r="B36" s="33">
        <f t="shared" si="1"/>
        <v>46121</v>
      </c>
      <c r="C36" s="33">
        <f t="shared" si="1"/>
        <v>46127</v>
      </c>
      <c r="D36" s="32">
        <v>3321</v>
      </c>
      <c r="E36" s="32">
        <v>337</v>
      </c>
      <c r="F36" s="32">
        <v>4</v>
      </c>
      <c r="G36" s="32">
        <v>1</v>
      </c>
      <c r="H36" s="32">
        <v>81800</v>
      </c>
      <c r="I36" s="32" t="s">
        <v>2689</v>
      </c>
      <c r="J36" s="32">
        <v>16022565</v>
      </c>
      <c r="K36" s="32" t="s">
        <v>2780</v>
      </c>
      <c r="L36" s="38" t="s">
        <v>2783</v>
      </c>
      <c r="M36" s="34">
        <v>169900</v>
      </c>
      <c r="N36" s="35">
        <f t="shared" si="2"/>
        <v>0.75</v>
      </c>
      <c r="O36" s="34">
        <f t="shared" si="0"/>
        <v>50970</v>
      </c>
      <c r="P36" s="32" t="s">
        <v>16</v>
      </c>
    </row>
    <row r="37" spans="1:16" x14ac:dyDescent="0.35">
      <c r="A37" s="32" t="str">
        <f t="shared" si="1"/>
        <v>2024 JAN-DEC DISC 75</v>
      </c>
      <c r="B37" s="33">
        <f t="shared" si="1"/>
        <v>46121</v>
      </c>
      <c r="C37" s="33">
        <f t="shared" si="1"/>
        <v>46127</v>
      </c>
      <c r="D37" s="32">
        <v>3321</v>
      </c>
      <c r="E37" s="32">
        <v>337</v>
      </c>
      <c r="F37" s="32">
        <v>4</v>
      </c>
      <c r="G37" s="32">
        <v>1</v>
      </c>
      <c r="H37" s="32">
        <v>81800</v>
      </c>
      <c r="I37" s="32" t="s">
        <v>2689</v>
      </c>
      <c r="J37" s="32">
        <v>16022574</v>
      </c>
      <c r="K37" s="32" t="s">
        <v>2780</v>
      </c>
      <c r="L37" s="38" t="s">
        <v>2784</v>
      </c>
      <c r="M37" s="34">
        <v>169900</v>
      </c>
      <c r="N37" s="35">
        <f t="shared" si="2"/>
        <v>0.75</v>
      </c>
      <c r="O37" s="34">
        <f t="shared" si="0"/>
        <v>50970</v>
      </c>
      <c r="P37" s="32" t="s">
        <v>16</v>
      </c>
    </row>
    <row r="38" spans="1:16" x14ac:dyDescent="0.35">
      <c r="A38" s="32" t="str">
        <f t="shared" si="1"/>
        <v>2024 JAN-DEC DISC 75</v>
      </c>
      <c r="B38" s="33">
        <f t="shared" si="1"/>
        <v>46121</v>
      </c>
      <c r="C38" s="33">
        <f t="shared" si="1"/>
        <v>46127</v>
      </c>
      <c r="D38" s="32">
        <v>3321</v>
      </c>
      <c r="E38" s="32">
        <v>337</v>
      </c>
      <c r="F38" s="32">
        <v>4</v>
      </c>
      <c r="G38" s="32">
        <v>1</v>
      </c>
      <c r="H38" s="32">
        <v>81800</v>
      </c>
      <c r="I38" s="32" t="s">
        <v>2689</v>
      </c>
      <c r="J38" s="32">
        <v>16022583</v>
      </c>
      <c r="K38" s="32" t="s">
        <v>2785</v>
      </c>
      <c r="L38" s="38" t="s">
        <v>2786</v>
      </c>
      <c r="M38" s="34">
        <v>169900</v>
      </c>
      <c r="N38" s="35">
        <f t="shared" si="2"/>
        <v>0.75</v>
      </c>
      <c r="O38" s="34">
        <f t="shared" si="0"/>
        <v>50970</v>
      </c>
      <c r="P38" s="32" t="s">
        <v>16</v>
      </c>
    </row>
    <row r="39" spans="1:16" x14ac:dyDescent="0.35">
      <c r="A39" s="32" t="str">
        <f t="shared" si="1"/>
        <v>2024 JAN-DEC DISC 75</v>
      </c>
      <c r="B39" s="33">
        <f t="shared" si="1"/>
        <v>46121</v>
      </c>
      <c r="C39" s="33">
        <f t="shared" si="1"/>
        <v>46127</v>
      </c>
      <c r="D39" s="32">
        <v>3321</v>
      </c>
      <c r="E39" s="32">
        <v>337</v>
      </c>
      <c r="F39" s="32">
        <v>4</v>
      </c>
      <c r="G39" s="32">
        <v>1</v>
      </c>
      <c r="H39" s="32">
        <v>81800</v>
      </c>
      <c r="I39" s="32" t="s">
        <v>2689</v>
      </c>
      <c r="J39" s="32">
        <v>16022592</v>
      </c>
      <c r="K39" s="32" t="s">
        <v>2785</v>
      </c>
      <c r="L39" s="38" t="s">
        <v>2787</v>
      </c>
      <c r="M39" s="34">
        <v>169900</v>
      </c>
      <c r="N39" s="35">
        <f t="shared" si="2"/>
        <v>0.75</v>
      </c>
      <c r="O39" s="34">
        <f t="shared" si="0"/>
        <v>50970</v>
      </c>
      <c r="P39" s="32" t="s">
        <v>16</v>
      </c>
    </row>
    <row r="40" spans="1:16" x14ac:dyDescent="0.35">
      <c r="A40" s="32" t="str">
        <f t="shared" si="1"/>
        <v>2024 JAN-DEC DISC 75</v>
      </c>
      <c r="B40" s="33">
        <f t="shared" si="1"/>
        <v>46121</v>
      </c>
      <c r="C40" s="33">
        <f t="shared" si="1"/>
        <v>46127</v>
      </c>
      <c r="D40" s="32">
        <v>3321</v>
      </c>
      <c r="E40" s="32">
        <v>337</v>
      </c>
      <c r="F40" s="32">
        <v>4</v>
      </c>
      <c r="G40" s="32">
        <v>1</v>
      </c>
      <c r="H40" s="32">
        <v>81800</v>
      </c>
      <c r="I40" s="32" t="s">
        <v>2689</v>
      </c>
      <c r="J40" s="32">
        <v>16022609</v>
      </c>
      <c r="K40" s="32" t="s">
        <v>2785</v>
      </c>
      <c r="L40" s="38" t="s">
        <v>2788</v>
      </c>
      <c r="M40" s="34">
        <v>169900</v>
      </c>
      <c r="N40" s="35">
        <f t="shared" si="2"/>
        <v>0.75</v>
      </c>
      <c r="O40" s="34">
        <f t="shared" si="0"/>
        <v>50970</v>
      </c>
      <c r="P40" s="32" t="s">
        <v>16</v>
      </c>
    </row>
    <row r="41" spans="1:16" x14ac:dyDescent="0.35">
      <c r="A41" s="32" t="str">
        <f t="shared" si="1"/>
        <v>2024 JAN-DEC DISC 75</v>
      </c>
      <c r="B41" s="33">
        <f t="shared" si="1"/>
        <v>46121</v>
      </c>
      <c r="C41" s="33">
        <f t="shared" si="1"/>
        <v>46127</v>
      </c>
      <c r="D41" s="32">
        <v>3321</v>
      </c>
      <c r="E41" s="32">
        <v>337</v>
      </c>
      <c r="F41" s="32">
        <v>4</v>
      </c>
      <c r="G41" s="32">
        <v>1</v>
      </c>
      <c r="H41" s="32">
        <v>81800</v>
      </c>
      <c r="I41" s="32" t="s">
        <v>2689</v>
      </c>
      <c r="J41" s="32">
        <v>16022618</v>
      </c>
      <c r="K41" s="32" t="s">
        <v>2785</v>
      </c>
      <c r="L41" s="38" t="s">
        <v>2789</v>
      </c>
      <c r="M41" s="34">
        <v>169900</v>
      </c>
      <c r="N41" s="35">
        <f t="shared" si="2"/>
        <v>0.75</v>
      </c>
      <c r="O41" s="34">
        <f t="shared" si="0"/>
        <v>50970</v>
      </c>
      <c r="P41" s="32" t="s">
        <v>16</v>
      </c>
    </row>
    <row r="42" spans="1:16" x14ac:dyDescent="0.35">
      <c r="A42" s="32" t="str">
        <f t="shared" si="1"/>
        <v>2024 JAN-DEC DISC 75</v>
      </c>
      <c r="B42" s="33">
        <f t="shared" si="1"/>
        <v>46121</v>
      </c>
      <c r="C42" s="33">
        <f t="shared" si="1"/>
        <v>46127</v>
      </c>
      <c r="D42" s="32">
        <v>3321</v>
      </c>
      <c r="E42" s="32">
        <v>337</v>
      </c>
      <c r="F42" s="32">
        <v>4</v>
      </c>
      <c r="G42" s="32">
        <v>1</v>
      </c>
      <c r="H42" s="32">
        <v>81800</v>
      </c>
      <c r="I42" s="32" t="s">
        <v>2689</v>
      </c>
      <c r="J42" s="32">
        <v>16022627</v>
      </c>
      <c r="K42" s="32" t="s">
        <v>2790</v>
      </c>
      <c r="L42" s="38" t="s">
        <v>2791</v>
      </c>
      <c r="M42" s="34">
        <v>169900</v>
      </c>
      <c r="N42" s="35">
        <f t="shared" si="2"/>
        <v>0.75</v>
      </c>
      <c r="O42" s="34">
        <f t="shared" si="0"/>
        <v>50970</v>
      </c>
      <c r="P42" s="32" t="s">
        <v>16</v>
      </c>
    </row>
    <row r="43" spans="1:16" x14ac:dyDescent="0.35">
      <c r="A43" s="32" t="str">
        <f t="shared" si="1"/>
        <v>2024 JAN-DEC DISC 75</v>
      </c>
      <c r="B43" s="33">
        <f t="shared" si="1"/>
        <v>46121</v>
      </c>
      <c r="C43" s="33">
        <f t="shared" si="1"/>
        <v>46127</v>
      </c>
      <c r="D43" s="32">
        <v>3321</v>
      </c>
      <c r="E43" s="32">
        <v>337</v>
      </c>
      <c r="F43" s="32">
        <v>4</v>
      </c>
      <c r="G43" s="32">
        <v>1</v>
      </c>
      <c r="H43" s="32">
        <v>81800</v>
      </c>
      <c r="I43" s="32" t="s">
        <v>2689</v>
      </c>
      <c r="J43" s="32">
        <v>16022636</v>
      </c>
      <c r="K43" s="32" t="s">
        <v>2790</v>
      </c>
      <c r="L43" s="38" t="s">
        <v>2792</v>
      </c>
      <c r="M43" s="34">
        <v>169900</v>
      </c>
      <c r="N43" s="35">
        <f t="shared" si="2"/>
        <v>0.75</v>
      </c>
      <c r="O43" s="34">
        <f t="shared" si="0"/>
        <v>50970</v>
      </c>
      <c r="P43" s="32" t="s">
        <v>16</v>
      </c>
    </row>
    <row r="44" spans="1:16" x14ac:dyDescent="0.35">
      <c r="A44" s="32" t="str">
        <f t="shared" si="1"/>
        <v>2024 JAN-DEC DISC 75</v>
      </c>
      <c r="B44" s="33">
        <f t="shared" si="1"/>
        <v>46121</v>
      </c>
      <c r="C44" s="33">
        <f t="shared" si="1"/>
        <v>46127</v>
      </c>
      <c r="D44" s="32">
        <v>3321</v>
      </c>
      <c r="E44" s="32">
        <v>337</v>
      </c>
      <c r="F44" s="32">
        <v>4</v>
      </c>
      <c r="G44" s="32">
        <v>1</v>
      </c>
      <c r="H44" s="32">
        <v>81800</v>
      </c>
      <c r="I44" s="32" t="s">
        <v>2689</v>
      </c>
      <c r="J44" s="32">
        <v>16022645</v>
      </c>
      <c r="K44" s="32" t="s">
        <v>2790</v>
      </c>
      <c r="L44" s="38" t="s">
        <v>2793</v>
      </c>
      <c r="M44" s="34">
        <v>169900</v>
      </c>
      <c r="N44" s="35">
        <f t="shared" si="2"/>
        <v>0.75</v>
      </c>
      <c r="O44" s="34">
        <f t="shared" si="0"/>
        <v>50970</v>
      </c>
      <c r="P44" s="32" t="s">
        <v>16</v>
      </c>
    </row>
    <row r="45" spans="1:16" x14ac:dyDescent="0.35">
      <c r="A45" s="32" t="str">
        <f t="shared" si="1"/>
        <v>2024 JAN-DEC DISC 75</v>
      </c>
      <c r="B45" s="33">
        <f t="shared" si="1"/>
        <v>46121</v>
      </c>
      <c r="C45" s="33">
        <f t="shared" si="1"/>
        <v>46127</v>
      </c>
      <c r="D45" s="32">
        <v>3321</v>
      </c>
      <c r="E45" s="32">
        <v>337</v>
      </c>
      <c r="F45" s="32">
        <v>4</v>
      </c>
      <c r="G45" s="32">
        <v>1</v>
      </c>
      <c r="H45" s="32">
        <v>81800</v>
      </c>
      <c r="I45" s="32" t="s">
        <v>2689</v>
      </c>
      <c r="J45" s="32">
        <v>16022654</v>
      </c>
      <c r="K45" s="32" t="s">
        <v>2790</v>
      </c>
      <c r="L45" s="38" t="s">
        <v>2794</v>
      </c>
      <c r="M45" s="34">
        <v>169900</v>
      </c>
      <c r="N45" s="35">
        <f t="shared" si="2"/>
        <v>0.75</v>
      </c>
      <c r="O45" s="34">
        <f t="shared" si="0"/>
        <v>50970</v>
      </c>
      <c r="P45" s="32" t="s">
        <v>16</v>
      </c>
    </row>
    <row r="46" spans="1:16" x14ac:dyDescent="0.35">
      <c r="A46" s="32" t="str">
        <f t="shared" si="1"/>
        <v>2024 JAN-DEC DISC 75</v>
      </c>
      <c r="B46" s="33">
        <f t="shared" si="1"/>
        <v>46121</v>
      </c>
      <c r="C46" s="33">
        <f t="shared" si="1"/>
        <v>46127</v>
      </c>
      <c r="D46" s="32">
        <v>3321</v>
      </c>
      <c r="E46" s="32">
        <v>337</v>
      </c>
      <c r="F46" s="32">
        <v>4</v>
      </c>
      <c r="G46" s="32">
        <v>1</v>
      </c>
      <c r="H46" s="32">
        <v>81800</v>
      </c>
      <c r="I46" s="32" t="s">
        <v>2689</v>
      </c>
      <c r="J46" s="32">
        <v>16022707</v>
      </c>
      <c r="K46" s="32" t="s">
        <v>2795</v>
      </c>
      <c r="L46" s="38" t="s">
        <v>2796</v>
      </c>
      <c r="M46" s="34">
        <v>159900</v>
      </c>
      <c r="N46" s="35">
        <f t="shared" si="2"/>
        <v>0.75</v>
      </c>
      <c r="O46" s="34">
        <f t="shared" si="0"/>
        <v>47970</v>
      </c>
      <c r="P46" s="32" t="s">
        <v>16</v>
      </c>
    </row>
    <row r="47" spans="1:16" x14ac:dyDescent="0.35">
      <c r="A47" s="32" t="str">
        <f t="shared" si="1"/>
        <v>2024 JAN-DEC DISC 75</v>
      </c>
      <c r="B47" s="33">
        <f t="shared" si="1"/>
        <v>46121</v>
      </c>
      <c r="C47" s="33">
        <f t="shared" si="1"/>
        <v>46127</v>
      </c>
      <c r="D47" s="32">
        <v>3321</v>
      </c>
      <c r="E47" s="32">
        <v>337</v>
      </c>
      <c r="F47" s="32">
        <v>4</v>
      </c>
      <c r="G47" s="32">
        <v>1</v>
      </c>
      <c r="H47" s="32">
        <v>81800</v>
      </c>
      <c r="I47" s="32" t="s">
        <v>2689</v>
      </c>
      <c r="J47" s="32">
        <v>16022716</v>
      </c>
      <c r="K47" s="32" t="s">
        <v>2795</v>
      </c>
      <c r="L47" s="38" t="s">
        <v>2797</v>
      </c>
      <c r="M47" s="34">
        <v>159900</v>
      </c>
      <c r="N47" s="35">
        <f t="shared" si="2"/>
        <v>0.75</v>
      </c>
      <c r="O47" s="34">
        <f t="shared" si="0"/>
        <v>47970</v>
      </c>
      <c r="P47" s="32" t="s">
        <v>16</v>
      </c>
    </row>
    <row r="48" spans="1:16" x14ac:dyDescent="0.35">
      <c r="A48" s="32" t="str">
        <f t="shared" si="1"/>
        <v>2024 JAN-DEC DISC 75</v>
      </c>
      <c r="B48" s="33">
        <f t="shared" si="1"/>
        <v>46121</v>
      </c>
      <c r="C48" s="33">
        <f t="shared" si="1"/>
        <v>46127</v>
      </c>
      <c r="D48" s="32">
        <v>3321</v>
      </c>
      <c r="E48" s="32">
        <v>337</v>
      </c>
      <c r="F48" s="32">
        <v>4</v>
      </c>
      <c r="G48" s="32">
        <v>1</v>
      </c>
      <c r="H48" s="32">
        <v>81800</v>
      </c>
      <c r="I48" s="32" t="s">
        <v>2689</v>
      </c>
      <c r="J48" s="32">
        <v>16022725</v>
      </c>
      <c r="K48" s="32" t="s">
        <v>2795</v>
      </c>
      <c r="L48" s="38" t="s">
        <v>2798</v>
      </c>
      <c r="M48" s="34">
        <v>159900</v>
      </c>
      <c r="N48" s="35">
        <f t="shared" si="2"/>
        <v>0.75</v>
      </c>
      <c r="O48" s="34">
        <f t="shared" si="0"/>
        <v>47970</v>
      </c>
      <c r="P48" s="32" t="s">
        <v>16</v>
      </c>
    </row>
    <row r="49" spans="1:16" x14ac:dyDescent="0.35">
      <c r="A49" s="32" t="str">
        <f t="shared" si="1"/>
        <v>2024 JAN-DEC DISC 75</v>
      </c>
      <c r="B49" s="33">
        <f t="shared" si="1"/>
        <v>46121</v>
      </c>
      <c r="C49" s="33">
        <f t="shared" si="1"/>
        <v>46127</v>
      </c>
      <c r="D49" s="32">
        <v>3321</v>
      </c>
      <c r="E49" s="32">
        <v>337</v>
      </c>
      <c r="F49" s="32">
        <v>4</v>
      </c>
      <c r="G49" s="32">
        <v>1</v>
      </c>
      <c r="H49" s="32">
        <v>81800</v>
      </c>
      <c r="I49" s="32" t="s">
        <v>2689</v>
      </c>
      <c r="J49" s="32">
        <v>16022734</v>
      </c>
      <c r="K49" s="32" t="s">
        <v>2795</v>
      </c>
      <c r="L49" s="38" t="s">
        <v>2799</v>
      </c>
      <c r="M49" s="34">
        <v>159900</v>
      </c>
      <c r="N49" s="35">
        <f t="shared" si="2"/>
        <v>0.75</v>
      </c>
      <c r="O49" s="34">
        <f t="shared" si="0"/>
        <v>47970</v>
      </c>
      <c r="P49" s="32" t="s">
        <v>16</v>
      </c>
    </row>
    <row r="50" spans="1:16" x14ac:dyDescent="0.35">
      <c r="A50" s="32" t="str">
        <f t="shared" si="1"/>
        <v>2024 JAN-DEC DISC 75</v>
      </c>
      <c r="B50" s="33">
        <f t="shared" si="1"/>
        <v>46121</v>
      </c>
      <c r="C50" s="33">
        <f t="shared" si="1"/>
        <v>46127</v>
      </c>
      <c r="D50" s="32">
        <v>3321</v>
      </c>
      <c r="E50" s="32">
        <v>337</v>
      </c>
      <c r="F50" s="32">
        <v>4</v>
      </c>
      <c r="G50" s="32">
        <v>1</v>
      </c>
      <c r="H50" s="32">
        <v>81800</v>
      </c>
      <c r="I50" s="32" t="s">
        <v>2689</v>
      </c>
      <c r="J50" s="32">
        <v>16265437</v>
      </c>
      <c r="K50" s="32" t="s">
        <v>2800</v>
      </c>
      <c r="L50" s="38" t="s">
        <v>2801</v>
      </c>
      <c r="M50" s="34">
        <v>189900</v>
      </c>
      <c r="N50" s="35">
        <f t="shared" si="2"/>
        <v>0.75</v>
      </c>
      <c r="O50" s="34">
        <f t="shared" si="0"/>
        <v>56970</v>
      </c>
      <c r="P50" s="32" t="s">
        <v>16</v>
      </c>
    </row>
    <row r="51" spans="1:16" x14ac:dyDescent="0.35">
      <c r="A51" s="32" t="str">
        <f t="shared" si="1"/>
        <v>2024 JAN-DEC DISC 75</v>
      </c>
      <c r="B51" s="33">
        <f t="shared" si="1"/>
        <v>46121</v>
      </c>
      <c r="C51" s="33">
        <f t="shared" si="1"/>
        <v>46127</v>
      </c>
      <c r="D51" s="32">
        <v>3321</v>
      </c>
      <c r="E51" s="32">
        <v>337</v>
      </c>
      <c r="F51" s="32">
        <v>4</v>
      </c>
      <c r="G51" s="32">
        <v>1</v>
      </c>
      <c r="H51" s="32">
        <v>81800</v>
      </c>
      <c r="I51" s="32" t="s">
        <v>2689</v>
      </c>
      <c r="J51" s="32">
        <v>16265455</v>
      </c>
      <c r="K51" s="32" t="s">
        <v>2800</v>
      </c>
      <c r="L51" s="38" t="s">
        <v>2802</v>
      </c>
      <c r="M51" s="34">
        <v>189900</v>
      </c>
      <c r="N51" s="35">
        <f t="shared" si="2"/>
        <v>0.75</v>
      </c>
      <c r="O51" s="34">
        <f t="shared" si="0"/>
        <v>56970</v>
      </c>
      <c r="P51" s="32" t="s">
        <v>16</v>
      </c>
    </row>
    <row r="52" spans="1:16" x14ac:dyDescent="0.35">
      <c r="A52" s="32" t="str">
        <f t="shared" si="1"/>
        <v>2024 JAN-DEC DISC 75</v>
      </c>
      <c r="B52" s="33">
        <f t="shared" si="1"/>
        <v>46121</v>
      </c>
      <c r="C52" s="33">
        <f t="shared" si="1"/>
        <v>46127</v>
      </c>
      <c r="D52" s="32">
        <v>3321</v>
      </c>
      <c r="E52" s="32">
        <v>337</v>
      </c>
      <c r="F52" s="32">
        <v>4</v>
      </c>
      <c r="G52" s="32">
        <v>1</v>
      </c>
      <c r="H52" s="32">
        <v>81800</v>
      </c>
      <c r="I52" s="32" t="s">
        <v>2689</v>
      </c>
      <c r="J52" s="32">
        <v>16265464</v>
      </c>
      <c r="K52" s="32" t="s">
        <v>2800</v>
      </c>
      <c r="L52" s="38" t="s">
        <v>2803</v>
      </c>
      <c r="M52" s="34">
        <v>189900</v>
      </c>
      <c r="N52" s="35">
        <f t="shared" si="2"/>
        <v>0.75</v>
      </c>
      <c r="O52" s="34">
        <f t="shared" si="0"/>
        <v>56970</v>
      </c>
      <c r="P52" s="32" t="s">
        <v>16</v>
      </c>
    </row>
    <row r="53" spans="1:16" x14ac:dyDescent="0.35">
      <c r="A53" s="32" t="str">
        <f t="shared" si="1"/>
        <v>2024 JAN-DEC DISC 75</v>
      </c>
      <c r="B53" s="33">
        <f t="shared" si="1"/>
        <v>46121</v>
      </c>
      <c r="C53" s="33">
        <f t="shared" si="1"/>
        <v>46127</v>
      </c>
      <c r="D53" s="32">
        <v>3321</v>
      </c>
      <c r="E53" s="32">
        <v>337</v>
      </c>
      <c r="F53" s="32">
        <v>4</v>
      </c>
      <c r="G53" s="32">
        <v>1</v>
      </c>
      <c r="H53" s="32">
        <v>81800</v>
      </c>
      <c r="I53" s="32" t="s">
        <v>2689</v>
      </c>
      <c r="J53" s="32">
        <v>16265473</v>
      </c>
      <c r="K53" s="32" t="s">
        <v>2800</v>
      </c>
      <c r="L53" s="38" t="s">
        <v>2804</v>
      </c>
      <c r="M53" s="34">
        <v>189900</v>
      </c>
      <c r="N53" s="35">
        <f t="shared" si="2"/>
        <v>0.75</v>
      </c>
      <c r="O53" s="34">
        <f t="shared" si="0"/>
        <v>56970</v>
      </c>
      <c r="P53" s="32" t="s">
        <v>16</v>
      </c>
    </row>
    <row r="54" spans="1:16" x14ac:dyDescent="0.35">
      <c r="A54" s="32" t="str">
        <f t="shared" si="1"/>
        <v>2024 JAN-DEC DISC 75</v>
      </c>
      <c r="B54" s="33">
        <f t="shared" si="1"/>
        <v>46121</v>
      </c>
      <c r="C54" s="33">
        <f t="shared" si="1"/>
        <v>46127</v>
      </c>
      <c r="D54" s="32">
        <v>3321</v>
      </c>
      <c r="E54" s="32">
        <v>337</v>
      </c>
      <c r="F54" s="32">
        <v>4</v>
      </c>
      <c r="G54" s="32">
        <v>3</v>
      </c>
      <c r="H54" s="32">
        <v>81421</v>
      </c>
      <c r="I54" s="32" t="s">
        <v>2689</v>
      </c>
      <c r="J54" s="32">
        <v>16130868</v>
      </c>
      <c r="K54" s="32" t="s">
        <v>2805</v>
      </c>
      <c r="L54" s="38" t="s">
        <v>2806</v>
      </c>
      <c r="M54" s="34">
        <v>259900</v>
      </c>
      <c r="N54" s="35">
        <f t="shared" si="2"/>
        <v>0.75</v>
      </c>
      <c r="O54" s="34">
        <f t="shared" si="0"/>
        <v>77970</v>
      </c>
      <c r="P54" s="32" t="s">
        <v>16</v>
      </c>
    </row>
    <row r="55" spans="1:16" x14ac:dyDescent="0.35">
      <c r="A55" s="32" t="str">
        <f t="shared" si="1"/>
        <v>2024 JAN-DEC DISC 75</v>
      </c>
      <c r="B55" s="33">
        <f t="shared" si="1"/>
        <v>46121</v>
      </c>
      <c r="C55" s="33">
        <f t="shared" si="1"/>
        <v>46127</v>
      </c>
      <c r="D55" s="32">
        <v>3321</v>
      </c>
      <c r="E55" s="32">
        <v>337</v>
      </c>
      <c r="F55" s="32">
        <v>4</v>
      </c>
      <c r="G55" s="32">
        <v>3</v>
      </c>
      <c r="H55" s="32">
        <v>81421</v>
      </c>
      <c r="I55" s="32" t="s">
        <v>2689</v>
      </c>
      <c r="J55" s="32">
        <v>16130877</v>
      </c>
      <c r="K55" s="32" t="s">
        <v>2805</v>
      </c>
      <c r="L55" s="38" t="s">
        <v>2807</v>
      </c>
      <c r="M55" s="34">
        <v>259900</v>
      </c>
      <c r="N55" s="35">
        <f t="shared" si="2"/>
        <v>0.75</v>
      </c>
      <c r="O55" s="34">
        <f t="shared" si="0"/>
        <v>77970</v>
      </c>
      <c r="P55" s="32" t="s">
        <v>16</v>
      </c>
    </row>
    <row r="56" spans="1:16" x14ac:dyDescent="0.35">
      <c r="A56" s="32" t="str">
        <f t="shared" si="1"/>
        <v>2024 JAN-DEC DISC 75</v>
      </c>
      <c r="B56" s="33">
        <f t="shared" si="1"/>
        <v>46121</v>
      </c>
      <c r="C56" s="33">
        <f t="shared" si="1"/>
        <v>46127</v>
      </c>
      <c r="D56" s="32">
        <v>3321</v>
      </c>
      <c r="E56" s="32">
        <v>337</v>
      </c>
      <c r="F56" s="32">
        <v>4</v>
      </c>
      <c r="G56" s="32">
        <v>3</v>
      </c>
      <c r="H56" s="32">
        <v>81421</v>
      </c>
      <c r="I56" s="32" t="s">
        <v>2689</v>
      </c>
      <c r="J56" s="32">
        <v>16130886</v>
      </c>
      <c r="K56" s="32" t="s">
        <v>2805</v>
      </c>
      <c r="L56" s="38" t="s">
        <v>2808</v>
      </c>
      <c r="M56" s="34">
        <v>259900</v>
      </c>
      <c r="N56" s="35">
        <f t="shared" si="2"/>
        <v>0.75</v>
      </c>
      <c r="O56" s="34">
        <f t="shared" si="0"/>
        <v>77970</v>
      </c>
      <c r="P56" s="32" t="s">
        <v>16</v>
      </c>
    </row>
    <row r="57" spans="1:16" x14ac:dyDescent="0.35">
      <c r="A57" s="32" t="str">
        <f t="shared" si="1"/>
        <v>2024 JAN-DEC DISC 75</v>
      </c>
      <c r="B57" s="33">
        <f t="shared" si="1"/>
        <v>46121</v>
      </c>
      <c r="C57" s="33">
        <f t="shared" si="1"/>
        <v>46127</v>
      </c>
      <c r="D57" s="32">
        <v>3321</v>
      </c>
      <c r="E57" s="32">
        <v>337</v>
      </c>
      <c r="F57" s="32">
        <v>4</v>
      </c>
      <c r="G57" s="32">
        <v>3</v>
      </c>
      <c r="H57" s="32">
        <v>81421</v>
      </c>
      <c r="I57" s="32" t="s">
        <v>2689</v>
      </c>
      <c r="J57" s="32">
        <v>16130902</v>
      </c>
      <c r="K57" s="32" t="s">
        <v>2809</v>
      </c>
      <c r="L57" s="38" t="s">
        <v>2810</v>
      </c>
      <c r="M57" s="34">
        <v>219900</v>
      </c>
      <c r="N57" s="35">
        <f t="shared" si="2"/>
        <v>0.75</v>
      </c>
      <c r="O57" s="34">
        <f t="shared" si="0"/>
        <v>65970</v>
      </c>
      <c r="P57" s="32" t="s">
        <v>16</v>
      </c>
    </row>
    <row r="58" spans="1:16" x14ac:dyDescent="0.35">
      <c r="A58" s="32" t="str">
        <f t="shared" si="1"/>
        <v>2024 JAN-DEC DISC 75</v>
      </c>
      <c r="B58" s="33">
        <f t="shared" si="1"/>
        <v>46121</v>
      </c>
      <c r="C58" s="33">
        <f t="shared" si="1"/>
        <v>46127</v>
      </c>
      <c r="D58" s="32">
        <v>3321</v>
      </c>
      <c r="E58" s="32">
        <v>337</v>
      </c>
      <c r="F58" s="32">
        <v>4</v>
      </c>
      <c r="G58" s="32">
        <v>3</v>
      </c>
      <c r="H58" s="32">
        <v>81421</v>
      </c>
      <c r="I58" s="32" t="s">
        <v>2689</v>
      </c>
      <c r="J58" s="32">
        <v>16130911</v>
      </c>
      <c r="K58" s="32" t="s">
        <v>2809</v>
      </c>
      <c r="L58" s="38" t="s">
        <v>2811</v>
      </c>
      <c r="M58" s="34">
        <v>219900</v>
      </c>
      <c r="N58" s="35">
        <f t="shared" si="2"/>
        <v>0.75</v>
      </c>
      <c r="O58" s="34">
        <f t="shared" si="0"/>
        <v>65970</v>
      </c>
      <c r="P58" s="32" t="s">
        <v>16</v>
      </c>
    </row>
    <row r="59" spans="1:16" x14ac:dyDescent="0.35">
      <c r="A59" s="32" t="str">
        <f t="shared" si="1"/>
        <v>2024 JAN-DEC DISC 75</v>
      </c>
      <c r="B59" s="33">
        <f t="shared" si="1"/>
        <v>46121</v>
      </c>
      <c r="C59" s="33">
        <f t="shared" si="1"/>
        <v>46127</v>
      </c>
      <c r="D59" s="32">
        <v>3321</v>
      </c>
      <c r="E59" s="32">
        <v>337</v>
      </c>
      <c r="F59" s="32">
        <v>4</v>
      </c>
      <c r="G59" s="32">
        <v>3</v>
      </c>
      <c r="H59" s="32">
        <v>81421</v>
      </c>
      <c r="I59" s="32" t="s">
        <v>2689</v>
      </c>
      <c r="J59" s="32">
        <v>16130920</v>
      </c>
      <c r="K59" s="32" t="s">
        <v>2809</v>
      </c>
      <c r="L59" s="38" t="s">
        <v>2812</v>
      </c>
      <c r="M59" s="34">
        <v>219900</v>
      </c>
      <c r="N59" s="35">
        <f t="shared" si="2"/>
        <v>0.75</v>
      </c>
      <c r="O59" s="34">
        <f t="shared" si="0"/>
        <v>65970</v>
      </c>
      <c r="P59" s="32" t="s">
        <v>16</v>
      </c>
    </row>
    <row r="60" spans="1:16" x14ac:dyDescent="0.35">
      <c r="A60" s="32" t="str">
        <f t="shared" si="1"/>
        <v>2024 JAN-DEC DISC 75</v>
      </c>
      <c r="B60" s="33">
        <f t="shared" si="1"/>
        <v>46121</v>
      </c>
      <c r="C60" s="33">
        <f t="shared" si="1"/>
        <v>46127</v>
      </c>
      <c r="D60" s="32">
        <v>3321</v>
      </c>
      <c r="E60" s="32">
        <v>337</v>
      </c>
      <c r="F60" s="32">
        <v>4</v>
      </c>
      <c r="G60" s="32">
        <v>3</v>
      </c>
      <c r="H60" s="32">
        <v>81800</v>
      </c>
      <c r="I60" s="32" t="s">
        <v>2689</v>
      </c>
      <c r="J60" s="32">
        <v>16572239</v>
      </c>
      <c r="K60" s="32" t="s">
        <v>2813</v>
      </c>
      <c r="L60" s="38" t="s">
        <v>2814</v>
      </c>
      <c r="M60" s="34">
        <v>239900</v>
      </c>
      <c r="N60" s="35">
        <f t="shared" si="2"/>
        <v>0.75</v>
      </c>
      <c r="O60" s="34">
        <f t="shared" si="0"/>
        <v>71970</v>
      </c>
      <c r="P60" s="32" t="s">
        <v>16</v>
      </c>
    </row>
    <row r="61" spans="1:16" x14ac:dyDescent="0.35">
      <c r="A61" s="32" t="str">
        <f t="shared" si="1"/>
        <v>2024 JAN-DEC DISC 75</v>
      </c>
      <c r="B61" s="33">
        <f t="shared" si="1"/>
        <v>46121</v>
      </c>
      <c r="C61" s="33">
        <f t="shared" si="1"/>
        <v>46127</v>
      </c>
      <c r="D61" s="32">
        <v>3321</v>
      </c>
      <c r="E61" s="32">
        <v>337</v>
      </c>
      <c r="F61" s="32">
        <v>4</v>
      </c>
      <c r="G61" s="32">
        <v>3</v>
      </c>
      <c r="H61" s="32">
        <v>81800</v>
      </c>
      <c r="I61" s="32" t="s">
        <v>2689</v>
      </c>
      <c r="J61" s="32">
        <v>16572248</v>
      </c>
      <c r="K61" s="32" t="s">
        <v>2813</v>
      </c>
      <c r="L61" s="38" t="s">
        <v>2815</v>
      </c>
      <c r="M61" s="34">
        <v>239900</v>
      </c>
      <c r="N61" s="35">
        <f t="shared" si="2"/>
        <v>0.75</v>
      </c>
      <c r="O61" s="34">
        <f t="shared" si="0"/>
        <v>71970</v>
      </c>
      <c r="P61" s="32" t="s">
        <v>16</v>
      </c>
    </row>
    <row r="62" spans="1:16" x14ac:dyDescent="0.35">
      <c r="A62" s="32" t="str">
        <f t="shared" si="1"/>
        <v>2024 JAN-DEC DISC 75</v>
      </c>
      <c r="B62" s="33">
        <f t="shared" si="1"/>
        <v>46121</v>
      </c>
      <c r="C62" s="33">
        <f t="shared" si="1"/>
        <v>46127</v>
      </c>
      <c r="D62" s="32">
        <v>3321</v>
      </c>
      <c r="E62" s="32">
        <v>337</v>
      </c>
      <c r="F62" s="32">
        <v>4</v>
      </c>
      <c r="G62" s="32">
        <v>3</v>
      </c>
      <c r="H62" s="32">
        <v>81800</v>
      </c>
      <c r="I62" s="32" t="s">
        <v>2689</v>
      </c>
      <c r="J62" s="32">
        <v>16572257</v>
      </c>
      <c r="K62" s="32" t="s">
        <v>2813</v>
      </c>
      <c r="L62" s="38" t="s">
        <v>2816</v>
      </c>
      <c r="M62" s="34">
        <v>239900</v>
      </c>
      <c r="N62" s="35">
        <f t="shared" si="2"/>
        <v>0.75</v>
      </c>
      <c r="O62" s="34">
        <f t="shared" si="0"/>
        <v>71970</v>
      </c>
      <c r="P62" s="32" t="s">
        <v>16</v>
      </c>
    </row>
    <row r="63" spans="1:16" x14ac:dyDescent="0.35">
      <c r="A63" s="32" t="str">
        <f t="shared" si="1"/>
        <v>2024 JAN-DEC DISC 75</v>
      </c>
      <c r="B63" s="33">
        <f t="shared" si="1"/>
        <v>46121</v>
      </c>
      <c r="C63" s="33">
        <f t="shared" si="1"/>
        <v>46127</v>
      </c>
      <c r="D63" s="32">
        <v>3321</v>
      </c>
      <c r="E63" s="32">
        <v>337</v>
      </c>
      <c r="F63" s="32">
        <v>4</v>
      </c>
      <c r="G63" s="32">
        <v>3</v>
      </c>
      <c r="H63" s="32">
        <v>81800</v>
      </c>
      <c r="I63" s="32" t="s">
        <v>2689</v>
      </c>
      <c r="J63" s="32">
        <v>16572266</v>
      </c>
      <c r="K63" s="32" t="s">
        <v>2813</v>
      </c>
      <c r="L63" s="38" t="s">
        <v>2817</v>
      </c>
      <c r="M63" s="34">
        <v>239900</v>
      </c>
      <c r="N63" s="35">
        <f t="shared" si="2"/>
        <v>0.75</v>
      </c>
      <c r="O63" s="34">
        <f t="shared" si="0"/>
        <v>71970</v>
      </c>
      <c r="P63" s="32" t="s">
        <v>16</v>
      </c>
    </row>
    <row r="64" spans="1:16" x14ac:dyDescent="0.35">
      <c r="A64" s="32" t="str">
        <f t="shared" si="1"/>
        <v>2024 JAN-DEC DISC 75</v>
      </c>
      <c r="B64" s="33">
        <f t="shared" si="1"/>
        <v>46121</v>
      </c>
      <c r="C64" s="33">
        <f t="shared" si="1"/>
        <v>46127</v>
      </c>
      <c r="D64" s="32">
        <v>3321</v>
      </c>
      <c r="E64" s="32">
        <v>337</v>
      </c>
      <c r="F64" s="32">
        <v>4</v>
      </c>
      <c r="G64" s="32">
        <v>4</v>
      </c>
      <c r="H64" s="32">
        <v>81421</v>
      </c>
      <c r="I64" s="32" t="s">
        <v>2689</v>
      </c>
      <c r="J64" s="32">
        <v>16130948</v>
      </c>
      <c r="K64" s="32" t="s">
        <v>2818</v>
      </c>
      <c r="L64" s="38" t="s">
        <v>2819</v>
      </c>
      <c r="M64" s="34">
        <v>179900</v>
      </c>
      <c r="N64" s="35">
        <f t="shared" si="2"/>
        <v>0.75</v>
      </c>
      <c r="O64" s="34">
        <f t="shared" si="0"/>
        <v>53970</v>
      </c>
      <c r="P64" s="32" t="s">
        <v>16</v>
      </c>
    </row>
    <row r="65" spans="1:16" x14ac:dyDescent="0.35">
      <c r="A65" s="32" t="str">
        <f t="shared" si="1"/>
        <v>2024 JAN-DEC DISC 75</v>
      </c>
      <c r="B65" s="33">
        <f t="shared" si="1"/>
        <v>46121</v>
      </c>
      <c r="C65" s="33">
        <f t="shared" si="1"/>
        <v>46127</v>
      </c>
      <c r="D65" s="32">
        <v>3321</v>
      </c>
      <c r="E65" s="32">
        <v>337</v>
      </c>
      <c r="F65" s="32">
        <v>4</v>
      </c>
      <c r="G65" s="32">
        <v>4</v>
      </c>
      <c r="H65" s="32">
        <v>81421</v>
      </c>
      <c r="I65" s="32" t="s">
        <v>2689</v>
      </c>
      <c r="J65" s="32">
        <v>16130957</v>
      </c>
      <c r="K65" s="32" t="s">
        <v>2818</v>
      </c>
      <c r="L65" s="38" t="s">
        <v>2820</v>
      </c>
      <c r="M65" s="34">
        <v>179900</v>
      </c>
      <c r="N65" s="35">
        <f t="shared" si="2"/>
        <v>0.75</v>
      </c>
      <c r="O65" s="34">
        <f t="shared" si="0"/>
        <v>53970</v>
      </c>
      <c r="P65" s="32" t="s">
        <v>16</v>
      </c>
    </row>
    <row r="66" spans="1:16" x14ac:dyDescent="0.35">
      <c r="A66" s="32" t="str">
        <f t="shared" si="1"/>
        <v>2024 JAN-DEC DISC 75</v>
      </c>
      <c r="B66" s="33">
        <f t="shared" si="1"/>
        <v>46121</v>
      </c>
      <c r="C66" s="33">
        <f t="shared" si="1"/>
        <v>46127</v>
      </c>
      <c r="D66" s="32">
        <v>3321</v>
      </c>
      <c r="E66" s="32">
        <v>337</v>
      </c>
      <c r="F66" s="32">
        <v>4</v>
      </c>
      <c r="G66" s="32">
        <v>4</v>
      </c>
      <c r="H66" s="32">
        <v>81421</v>
      </c>
      <c r="I66" s="32" t="s">
        <v>2689</v>
      </c>
      <c r="J66" s="32">
        <v>16130966</v>
      </c>
      <c r="K66" s="32" t="s">
        <v>2818</v>
      </c>
      <c r="L66" s="38" t="s">
        <v>2821</v>
      </c>
      <c r="M66" s="34">
        <v>179900</v>
      </c>
      <c r="N66" s="35">
        <f t="shared" si="2"/>
        <v>0.75</v>
      </c>
      <c r="O66" s="34">
        <f t="shared" si="0"/>
        <v>53970</v>
      </c>
      <c r="P66" s="32" t="s">
        <v>16</v>
      </c>
    </row>
    <row r="67" spans="1:16" x14ac:dyDescent="0.35">
      <c r="A67" s="32" t="str">
        <f t="shared" si="1"/>
        <v>2024 JAN-DEC DISC 75</v>
      </c>
      <c r="B67" s="33">
        <f t="shared" si="1"/>
        <v>46121</v>
      </c>
      <c r="C67" s="33">
        <f t="shared" si="1"/>
        <v>46127</v>
      </c>
      <c r="D67" s="32">
        <v>3321</v>
      </c>
      <c r="E67" s="32">
        <v>337</v>
      </c>
      <c r="F67" s="32">
        <v>4</v>
      </c>
      <c r="G67" s="32">
        <v>4</v>
      </c>
      <c r="H67" s="32">
        <v>81421</v>
      </c>
      <c r="I67" s="32" t="s">
        <v>2689</v>
      </c>
      <c r="J67" s="32">
        <v>16130984</v>
      </c>
      <c r="K67" s="32" t="s">
        <v>2822</v>
      </c>
      <c r="L67" s="38" t="s">
        <v>2823</v>
      </c>
      <c r="M67" s="34">
        <v>219900</v>
      </c>
      <c r="N67" s="35">
        <f t="shared" si="2"/>
        <v>0.75</v>
      </c>
      <c r="O67" s="34">
        <f t="shared" ref="O67:O130" si="3">M67-((70*M67))/100</f>
        <v>65970</v>
      </c>
      <c r="P67" s="32" t="s">
        <v>16</v>
      </c>
    </row>
    <row r="68" spans="1:16" x14ac:dyDescent="0.35">
      <c r="A68" s="32" t="str">
        <f t="shared" ref="A68:C131" si="4">A67</f>
        <v>2024 JAN-DEC DISC 75</v>
      </c>
      <c r="B68" s="33">
        <f t="shared" si="4"/>
        <v>46121</v>
      </c>
      <c r="C68" s="33">
        <f t="shared" si="4"/>
        <v>46127</v>
      </c>
      <c r="D68" s="32">
        <v>3321</v>
      </c>
      <c r="E68" s="32">
        <v>337</v>
      </c>
      <c r="F68" s="32">
        <v>4</v>
      </c>
      <c r="G68" s="32">
        <v>4</v>
      </c>
      <c r="H68" s="32">
        <v>81421</v>
      </c>
      <c r="I68" s="32" t="s">
        <v>2689</v>
      </c>
      <c r="J68" s="32">
        <v>16130993</v>
      </c>
      <c r="K68" s="32" t="s">
        <v>2822</v>
      </c>
      <c r="L68" s="38" t="s">
        <v>2824</v>
      </c>
      <c r="M68" s="34">
        <v>219900</v>
      </c>
      <c r="N68" s="35">
        <f t="shared" ref="N68:N131" si="5">N67</f>
        <v>0.75</v>
      </c>
      <c r="O68" s="34">
        <f t="shared" si="3"/>
        <v>65970</v>
      </c>
      <c r="P68" s="32" t="s">
        <v>16</v>
      </c>
    </row>
    <row r="69" spans="1:16" x14ac:dyDescent="0.35">
      <c r="A69" s="32" t="str">
        <f t="shared" si="4"/>
        <v>2024 JAN-DEC DISC 75</v>
      </c>
      <c r="B69" s="33">
        <f t="shared" si="4"/>
        <v>46121</v>
      </c>
      <c r="C69" s="33">
        <f t="shared" si="4"/>
        <v>46127</v>
      </c>
      <c r="D69" s="32">
        <v>3321</v>
      </c>
      <c r="E69" s="32">
        <v>337</v>
      </c>
      <c r="F69" s="32">
        <v>4</v>
      </c>
      <c r="G69" s="32">
        <v>4</v>
      </c>
      <c r="H69" s="32">
        <v>81421</v>
      </c>
      <c r="I69" s="32" t="s">
        <v>2689</v>
      </c>
      <c r="J69" s="32">
        <v>16131009</v>
      </c>
      <c r="K69" s="32" t="s">
        <v>2822</v>
      </c>
      <c r="L69" s="38" t="s">
        <v>2825</v>
      </c>
      <c r="M69" s="34">
        <v>219900</v>
      </c>
      <c r="N69" s="35">
        <f t="shared" si="5"/>
        <v>0.75</v>
      </c>
      <c r="O69" s="34">
        <f t="shared" si="3"/>
        <v>65970</v>
      </c>
      <c r="P69" s="32" t="s">
        <v>16</v>
      </c>
    </row>
    <row r="70" spans="1:16" x14ac:dyDescent="0.35">
      <c r="A70" s="32" t="str">
        <f t="shared" si="4"/>
        <v>2024 JAN-DEC DISC 75</v>
      </c>
      <c r="B70" s="33">
        <f t="shared" si="4"/>
        <v>46121</v>
      </c>
      <c r="C70" s="33">
        <f t="shared" si="4"/>
        <v>46127</v>
      </c>
      <c r="D70" s="32">
        <v>3321</v>
      </c>
      <c r="E70" s="32">
        <v>337</v>
      </c>
      <c r="F70" s="32">
        <v>4</v>
      </c>
      <c r="G70" s="32">
        <v>4</v>
      </c>
      <c r="H70" s="32">
        <v>81574</v>
      </c>
      <c r="I70" s="32" t="s">
        <v>2689</v>
      </c>
      <c r="J70" s="32">
        <v>16131063</v>
      </c>
      <c r="K70" s="32" t="s">
        <v>2826</v>
      </c>
      <c r="L70" s="38" t="s">
        <v>2827</v>
      </c>
      <c r="M70" s="34">
        <v>259900</v>
      </c>
      <c r="N70" s="35">
        <f t="shared" si="5"/>
        <v>0.75</v>
      </c>
      <c r="O70" s="34">
        <f t="shared" si="3"/>
        <v>77970</v>
      </c>
      <c r="P70" s="32" t="s">
        <v>16</v>
      </c>
    </row>
    <row r="71" spans="1:16" x14ac:dyDescent="0.35">
      <c r="A71" s="32" t="str">
        <f t="shared" si="4"/>
        <v>2024 JAN-DEC DISC 75</v>
      </c>
      <c r="B71" s="33">
        <f t="shared" si="4"/>
        <v>46121</v>
      </c>
      <c r="C71" s="33">
        <f t="shared" si="4"/>
        <v>46127</v>
      </c>
      <c r="D71" s="32">
        <v>3321</v>
      </c>
      <c r="E71" s="32">
        <v>337</v>
      </c>
      <c r="F71" s="32">
        <v>4</v>
      </c>
      <c r="G71" s="32">
        <v>4</v>
      </c>
      <c r="H71" s="32">
        <v>81574</v>
      </c>
      <c r="I71" s="32" t="s">
        <v>2689</v>
      </c>
      <c r="J71" s="32">
        <v>16131072</v>
      </c>
      <c r="K71" s="32" t="s">
        <v>2826</v>
      </c>
      <c r="L71" s="38" t="s">
        <v>2828</v>
      </c>
      <c r="M71" s="34">
        <v>259900</v>
      </c>
      <c r="N71" s="35">
        <f t="shared" si="5"/>
        <v>0.75</v>
      </c>
      <c r="O71" s="34">
        <f t="shared" si="3"/>
        <v>77970</v>
      </c>
      <c r="P71" s="32" t="s">
        <v>16</v>
      </c>
    </row>
    <row r="72" spans="1:16" x14ac:dyDescent="0.35">
      <c r="A72" s="32" t="str">
        <f t="shared" si="4"/>
        <v>2024 JAN-DEC DISC 75</v>
      </c>
      <c r="B72" s="33">
        <f t="shared" si="4"/>
        <v>46121</v>
      </c>
      <c r="C72" s="33">
        <f t="shared" si="4"/>
        <v>46127</v>
      </c>
      <c r="D72" s="32">
        <v>3321</v>
      </c>
      <c r="E72" s="32">
        <v>337</v>
      </c>
      <c r="F72" s="32">
        <v>4</v>
      </c>
      <c r="G72" s="32">
        <v>4</v>
      </c>
      <c r="H72" s="32">
        <v>81574</v>
      </c>
      <c r="I72" s="32" t="s">
        <v>2689</v>
      </c>
      <c r="J72" s="32">
        <v>16131090</v>
      </c>
      <c r="K72" s="32" t="s">
        <v>2826</v>
      </c>
      <c r="L72" s="38" t="s">
        <v>2829</v>
      </c>
      <c r="M72" s="34">
        <v>259900</v>
      </c>
      <c r="N72" s="35">
        <f t="shared" si="5"/>
        <v>0.75</v>
      </c>
      <c r="O72" s="34">
        <f t="shared" si="3"/>
        <v>77970</v>
      </c>
      <c r="P72" s="32" t="s">
        <v>16</v>
      </c>
    </row>
    <row r="73" spans="1:16" x14ac:dyDescent="0.35">
      <c r="A73" s="32" t="str">
        <f t="shared" si="4"/>
        <v>2024 JAN-DEC DISC 75</v>
      </c>
      <c r="B73" s="33">
        <f t="shared" si="4"/>
        <v>46121</v>
      </c>
      <c r="C73" s="33">
        <f t="shared" si="4"/>
        <v>46127</v>
      </c>
      <c r="D73" s="32">
        <v>3321</v>
      </c>
      <c r="E73" s="32">
        <v>337</v>
      </c>
      <c r="F73" s="32">
        <v>4</v>
      </c>
      <c r="G73" s="32">
        <v>5</v>
      </c>
      <c r="H73" s="32">
        <v>81421</v>
      </c>
      <c r="I73" s="32" t="s">
        <v>2689</v>
      </c>
      <c r="J73" s="32">
        <v>16131027</v>
      </c>
      <c r="K73" s="32" t="s">
        <v>2830</v>
      </c>
      <c r="L73" s="38" t="s">
        <v>2831</v>
      </c>
      <c r="M73" s="34">
        <v>249900</v>
      </c>
      <c r="N73" s="35">
        <f t="shared" si="5"/>
        <v>0.75</v>
      </c>
      <c r="O73" s="34">
        <f t="shared" si="3"/>
        <v>74970</v>
      </c>
      <c r="P73" s="32" t="s">
        <v>16</v>
      </c>
    </row>
    <row r="74" spans="1:16" x14ac:dyDescent="0.35">
      <c r="A74" s="32" t="str">
        <f t="shared" si="4"/>
        <v>2024 JAN-DEC DISC 75</v>
      </c>
      <c r="B74" s="33">
        <f t="shared" si="4"/>
        <v>46121</v>
      </c>
      <c r="C74" s="33">
        <f t="shared" si="4"/>
        <v>46127</v>
      </c>
      <c r="D74" s="32">
        <v>3321</v>
      </c>
      <c r="E74" s="32">
        <v>337</v>
      </c>
      <c r="F74" s="32">
        <v>4</v>
      </c>
      <c r="G74" s="32">
        <v>5</v>
      </c>
      <c r="H74" s="32">
        <v>81421</v>
      </c>
      <c r="I74" s="32" t="s">
        <v>2689</v>
      </c>
      <c r="J74" s="32">
        <v>16131036</v>
      </c>
      <c r="K74" s="32" t="s">
        <v>2830</v>
      </c>
      <c r="L74" s="38" t="s">
        <v>2832</v>
      </c>
      <c r="M74" s="34">
        <v>249900</v>
      </c>
      <c r="N74" s="35">
        <f t="shared" si="5"/>
        <v>0.75</v>
      </c>
      <c r="O74" s="34">
        <f t="shared" si="3"/>
        <v>74970</v>
      </c>
      <c r="P74" s="32" t="s">
        <v>16</v>
      </c>
    </row>
    <row r="75" spans="1:16" x14ac:dyDescent="0.35">
      <c r="A75" s="32" t="str">
        <f t="shared" si="4"/>
        <v>2024 JAN-DEC DISC 75</v>
      </c>
      <c r="B75" s="33">
        <f t="shared" si="4"/>
        <v>46121</v>
      </c>
      <c r="C75" s="33">
        <f t="shared" si="4"/>
        <v>46127</v>
      </c>
      <c r="D75" s="32">
        <v>3321</v>
      </c>
      <c r="E75" s="32">
        <v>337</v>
      </c>
      <c r="F75" s="32">
        <v>4</v>
      </c>
      <c r="G75" s="32">
        <v>5</v>
      </c>
      <c r="H75" s="32">
        <v>81421</v>
      </c>
      <c r="I75" s="32" t="s">
        <v>2689</v>
      </c>
      <c r="J75" s="32">
        <v>16131045</v>
      </c>
      <c r="K75" s="32" t="s">
        <v>2830</v>
      </c>
      <c r="L75" s="38" t="s">
        <v>2833</v>
      </c>
      <c r="M75" s="34">
        <v>249900</v>
      </c>
      <c r="N75" s="35">
        <f t="shared" si="5"/>
        <v>0.75</v>
      </c>
      <c r="O75" s="34">
        <f t="shared" si="3"/>
        <v>74970</v>
      </c>
      <c r="P75" s="32" t="s">
        <v>16</v>
      </c>
    </row>
    <row r="76" spans="1:16" x14ac:dyDescent="0.35">
      <c r="A76" s="32" t="str">
        <f t="shared" si="4"/>
        <v>2024 JAN-DEC DISC 75</v>
      </c>
      <c r="B76" s="33">
        <f t="shared" si="4"/>
        <v>46121</v>
      </c>
      <c r="C76" s="33">
        <f t="shared" si="4"/>
        <v>46127</v>
      </c>
      <c r="D76" s="32">
        <v>3321</v>
      </c>
      <c r="E76" s="32">
        <v>337</v>
      </c>
      <c r="F76" s="32">
        <v>4</v>
      </c>
      <c r="G76" s="32">
        <v>5</v>
      </c>
      <c r="H76" s="32">
        <v>81421</v>
      </c>
      <c r="I76" s="32" t="s">
        <v>2689</v>
      </c>
      <c r="J76" s="32">
        <v>16131107</v>
      </c>
      <c r="K76" s="32" t="s">
        <v>2834</v>
      </c>
      <c r="L76" s="38" t="s">
        <v>2835</v>
      </c>
      <c r="M76" s="34">
        <v>239900</v>
      </c>
      <c r="N76" s="35">
        <f t="shared" si="5"/>
        <v>0.75</v>
      </c>
      <c r="O76" s="34">
        <f t="shared" si="3"/>
        <v>71970</v>
      </c>
      <c r="P76" s="32" t="s">
        <v>16</v>
      </c>
    </row>
    <row r="77" spans="1:16" x14ac:dyDescent="0.35">
      <c r="A77" s="32" t="str">
        <f t="shared" si="4"/>
        <v>2024 JAN-DEC DISC 75</v>
      </c>
      <c r="B77" s="33">
        <f t="shared" si="4"/>
        <v>46121</v>
      </c>
      <c r="C77" s="33">
        <f t="shared" si="4"/>
        <v>46127</v>
      </c>
      <c r="D77" s="32">
        <v>3321</v>
      </c>
      <c r="E77" s="32">
        <v>337</v>
      </c>
      <c r="F77" s="32">
        <v>4</v>
      </c>
      <c r="G77" s="32">
        <v>5</v>
      </c>
      <c r="H77" s="32">
        <v>81421</v>
      </c>
      <c r="I77" s="32" t="s">
        <v>2689</v>
      </c>
      <c r="J77" s="32">
        <v>16131116</v>
      </c>
      <c r="K77" s="32" t="s">
        <v>2834</v>
      </c>
      <c r="L77" s="38" t="s">
        <v>2836</v>
      </c>
      <c r="M77" s="34">
        <v>239900</v>
      </c>
      <c r="N77" s="35">
        <f t="shared" si="5"/>
        <v>0.75</v>
      </c>
      <c r="O77" s="34">
        <f t="shared" si="3"/>
        <v>71970</v>
      </c>
      <c r="P77" s="32" t="s">
        <v>16</v>
      </c>
    </row>
    <row r="78" spans="1:16" x14ac:dyDescent="0.35">
      <c r="A78" s="32" t="str">
        <f t="shared" si="4"/>
        <v>2024 JAN-DEC DISC 75</v>
      </c>
      <c r="B78" s="33">
        <f t="shared" si="4"/>
        <v>46121</v>
      </c>
      <c r="C78" s="33">
        <f t="shared" si="4"/>
        <v>46127</v>
      </c>
      <c r="D78" s="32">
        <v>3321</v>
      </c>
      <c r="E78" s="32">
        <v>337</v>
      </c>
      <c r="F78" s="32">
        <v>4</v>
      </c>
      <c r="G78" s="32">
        <v>5</v>
      </c>
      <c r="H78" s="32">
        <v>81421</v>
      </c>
      <c r="I78" s="32" t="s">
        <v>2689</v>
      </c>
      <c r="J78" s="32">
        <v>16131125</v>
      </c>
      <c r="K78" s="32" t="s">
        <v>2834</v>
      </c>
      <c r="L78" s="38" t="s">
        <v>2837</v>
      </c>
      <c r="M78" s="34">
        <v>239900</v>
      </c>
      <c r="N78" s="35">
        <f t="shared" si="5"/>
        <v>0.75</v>
      </c>
      <c r="O78" s="34">
        <f t="shared" si="3"/>
        <v>71970</v>
      </c>
      <c r="P78" s="32" t="s">
        <v>16</v>
      </c>
    </row>
    <row r="79" spans="1:16" x14ac:dyDescent="0.35">
      <c r="A79" s="32" t="str">
        <f t="shared" si="4"/>
        <v>2024 JAN-DEC DISC 75</v>
      </c>
      <c r="B79" s="33">
        <f t="shared" si="4"/>
        <v>46121</v>
      </c>
      <c r="C79" s="33">
        <f t="shared" si="4"/>
        <v>46127</v>
      </c>
      <c r="D79" s="32">
        <v>3321</v>
      </c>
      <c r="E79" s="32">
        <v>337</v>
      </c>
      <c r="F79" s="32">
        <v>4</v>
      </c>
      <c r="G79" s="32">
        <v>5</v>
      </c>
      <c r="H79" s="32">
        <v>81506</v>
      </c>
      <c r="I79" s="32" t="s">
        <v>2689</v>
      </c>
      <c r="J79" s="32">
        <v>16265482</v>
      </c>
      <c r="K79" s="32" t="s">
        <v>2838</v>
      </c>
      <c r="L79" s="38" t="s">
        <v>2839</v>
      </c>
      <c r="M79" s="34">
        <v>239900</v>
      </c>
      <c r="N79" s="35">
        <f t="shared" si="5"/>
        <v>0.75</v>
      </c>
      <c r="O79" s="34">
        <f t="shared" si="3"/>
        <v>71970</v>
      </c>
      <c r="P79" s="32" t="s">
        <v>16</v>
      </c>
    </row>
    <row r="80" spans="1:16" x14ac:dyDescent="0.35">
      <c r="A80" s="32" t="str">
        <f t="shared" si="4"/>
        <v>2024 JAN-DEC DISC 75</v>
      </c>
      <c r="B80" s="33">
        <f t="shared" si="4"/>
        <v>46121</v>
      </c>
      <c r="C80" s="33">
        <f t="shared" si="4"/>
        <v>46127</v>
      </c>
      <c r="D80" s="32">
        <v>3321</v>
      </c>
      <c r="E80" s="32">
        <v>337</v>
      </c>
      <c r="F80" s="32">
        <v>4</v>
      </c>
      <c r="G80" s="32">
        <v>5</v>
      </c>
      <c r="H80" s="32">
        <v>81506</v>
      </c>
      <c r="I80" s="32" t="s">
        <v>2689</v>
      </c>
      <c r="J80" s="32">
        <v>16265491</v>
      </c>
      <c r="K80" s="32" t="s">
        <v>2838</v>
      </c>
      <c r="L80" s="38" t="s">
        <v>2840</v>
      </c>
      <c r="M80" s="34">
        <v>239900</v>
      </c>
      <c r="N80" s="35">
        <f t="shared" si="5"/>
        <v>0.75</v>
      </c>
      <c r="O80" s="34">
        <f t="shared" si="3"/>
        <v>71970</v>
      </c>
      <c r="P80" s="32" t="s">
        <v>16</v>
      </c>
    </row>
    <row r="81" spans="1:16" x14ac:dyDescent="0.35">
      <c r="A81" s="32" t="str">
        <f t="shared" si="4"/>
        <v>2024 JAN-DEC DISC 75</v>
      </c>
      <c r="B81" s="33">
        <f t="shared" si="4"/>
        <v>46121</v>
      </c>
      <c r="C81" s="33">
        <f t="shared" si="4"/>
        <v>46127</v>
      </c>
      <c r="D81" s="32">
        <v>3321</v>
      </c>
      <c r="E81" s="32">
        <v>337</v>
      </c>
      <c r="F81" s="32">
        <v>4</v>
      </c>
      <c r="G81" s="32">
        <v>5</v>
      </c>
      <c r="H81" s="32">
        <v>81506</v>
      </c>
      <c r="I81" s="32" t="s">
        <v>2689</v>
      </c>
      <c r="J81" s="32">
        <v>16265508</v>
      </c>
      <c r="K81" s="32" t="s">
        <v>2838</v>
      </c>
      <c r="L81" s="38" t="s">
        <v>2841</v>
      </c>
      <c r="M81" s="34">
        <v>239900</v>
      </c>
      <c r="N81" s="35">
        <f t="shared" si="5"/>
        <v>0.75</v>
      </c>
      <c r="O81" s="34">
        <f t="shared" si="3"/>
        <v>71970</v>
      </c>
      <c r="P81" s="32" t="s">
        <v>16</v>
      </c>
    </row>
    <row r="82" spans="1:16" x14ac:dyDescent="0.35">
      <c r="A82" s="32" t="str">
        <f t="shared" si="4"/>
        <v>2024 JAN-DEC DISC 75</v>
      </c>
      <c r="B82" s="33">
        <f t="shared" si="4"/>
        <v>46121</v>
      </c>
      <c r="C82" s="33">
        <f t="shared" si="4"/>
        <v>46127</v>
      </c>
      <c r="D82" s="32">
        <v>3321</v>
      </c>
      <c r="E82" s="32">
        <v>337</v>
      </c>
      <c r="F82" s="32">
        <v>4</v>
      </c>
      <c r="G82" s="32">
        <v>5</v>
      </c>
      <c r="H82" s="32">
        <v>81506</v>
      </c>
      <c r="I82" s="32" t="s">
        <v>2689</v>
      </c>
      <c r="J82" s="32">
        <v>16265517</v>
      </c>
      <c r="K82" s="32" t="s">
        <v>2838</v>
      </c>
      <c r="L82" s="38" t="s">
        <v>2842</v>
      </c>
      <c r="M82" s="34">
        <v>239900</v>
      </c>
      <c r="N82" s="35">
        <f t="shared" si="5"/>
        <v>0.75</v>
      </c>
      <c r="O82" s="34">
        <f t="shared" si="3"/>
        <v>71970</v>
      </c>
      <c r="P82" s="32" t="s">
        <v>16</v>
      </c>
    </row>
    <row r="83" spans="1:16" x14ac:dyDescent="0.35">
      <c r="A83" s="32" t="str">
        <f t="shared" si="4"/>
        <v>2024 JAN-DEC DISC 75</v>
      </c>
      <c r="B83" s="33">
        <f t="shared" si="4"/>
        <v>46121</v>
      </c>
      <c r="C83" s="33">
        <f t="shared" si="4"/>
        <v>46127</v>
      </c>
      <c r="D83" s="32">
        <v>3321</v>
      </c>
      <c r="E83" s="32">
        <v>337</v>
      </c>
      <c r="F83" s="32">
        <v>4</v>
      </c>
      <c r="G83" s="32">
        <v>5</v>
      </c>
      <c r="H83" s="32">
        <v>81506</v>
      </c>
      <c r="I83" s="32" t="s">
        <v>2689</v>
      </c>
      <c r="J83" s="32">
        <v>16265526</v>
      </c>
      <c r="K83" s="32" t="s">
        <v>2843</v>
      </c>
      <c r="L83" s="38" t="s">
        <v>2844</v>
      </c>
      <c r="M83" s="34">
        <v>249900</v>
      </c>
      <c r="N83" s="35">
        <f t="shared" si="5"/>
        <v>0.75</v>
      </c>
      <c r="O83" s="34">
        <f t="shared" si="3"/>
        <v>74970</v>
      </c>
      <c r="P83" s="32" t="s">
        <v>16</v>
      </c>
    </row>
    <row r="84" spans="1:16" x14ac:dyDescent="0.35">
      <c r="A84" s="32" t="str">
        <f t="shared" si="4"/>
        <v>2024 JAN-DEC DISC 75</v>
      </c>
      <c r="B84" s="33">
        <f t="shared" si="4"/>
        <v>46121</v>
      </c>
      <c r="C84" s="33">
        <f t="shared" si="4"/>
        <v>46127</v>
      </c>
      <c r="D84" s="32">
        <v>3321</v>
      </c>
      <c r="E84" s="32">
        <v>337</v>
      </c>
      <c r="F84" s="32">
        <v>4</v>
      </c>
      <c r="G84" s="32">
        <v>5</v>
      </c>
      <c r="H84" s="32">
        <v>81506</v>
      </c>
      <c r="I84" s="32" t="s">
        <v>2689</v>
      </c>
      <c r="J84" s="32">
        <v>16265535</v>
      </c>
      <c r="K84" s="32" t="s">
        <v>2843</v>
      </c>
      <c r="L84" s="38" t="s">
        <v>2845</v>
      </c>
      <c r="M84" s="34">
        <v>249900</v>
      </c>
      <c r="N84" s="35">
        <f t="shared" si="5"/>
        <v>0.75</v>
      </c>
      <c r="O84" s="34">
        <f t="shared" si="3"/>
        <v>74970</v>
      </c>
      <c r="P84" s="32" t="s">
        <v>16</v>
      </c>
    </row>
    <row r="85" spans="1:16" x14ac:dyDescent="0.35">
      <c r="A85" s="32" t="str">
        <f t="shared" si="4"/>
        <v>2024 JAN-DEC DISC 75</v>
      </c>
      <c r="B85" s="33">
        <f t="shared" si="4"/>
        <v>46121</v>
      </c>
      <c r="C85" s="33">
        <f t="shared" si="4"/>
        <v>46127</v>
      </c>
      <c r="D85" s="32">
        <v>3321</v>
      </c>
      <c r="E85" s="32">
        <v>337</v>
      </c>
      <c r="F85" s="32">
        <v>4</v>
      </c>
      <c r="G85" s="32">
        <v>5</v>
      </c>
      <c r="H85" s="32">
        <v>81506</v>
      </c>
      <c r="I85" s="32" t="s">
        <v>2689</v>
      </c>
      <c r="J85" s="32">
        <v>16265544</v>
      </c>
      <c r="K85" s="32" t="s">
        <v>2843</v>
      </c>
      <c r="L85" s="38" t="s">
        <v>2846</v>
      </c>
      <c r="M85" s="34">
        <v>249900</v>
      </c>
      <c r="N85" s="35">
        <f t="shared" si="5"/>
        <v>0.75</v>
      </c>
      <c r="O85" s="34">
        <f t="shared" si="3"/>
        <v>74970</v>
      </c>
      <c r="P85" s="32" t="s">
        <v>16</v>
      </c>
    </row>
    <row r="86" spans="1:16" x14ac:dyDescent="0.35">
      <c r="A86" s="32" t="str">
        <f t="shared" si="4"/>
        <v>2024 JAN-DEC DISC 75</v>
      </c>
      <c r="B86" s="33">
        <f t="shared" si="4"/>
        <v>46121</v>
      </c>
      <c r="C86" s="33">
        <f t="shared" si="4"/>
        <v>46127</v>
      </c>
      <c r="D86" s="32">
        <v>3321</v>
      </c>
      <c r="E86" s="32">
        <v>337</v>
      </c>
      <c r="F86" s="32">
        <v>4</v>
      </c>
      <c r="G86" s="32">
        <v>5</v>
      </c>
      <c r="H86" s="32">
        <v>81506</v>
      </c>
      <c r="I86" s="32" t="s">
        <v>2689</v>
      </c>
      <c r="J86" s="32">
        <v>16265553</v>
      </c>
      <c r="K86" s="32" t="s">
        <v>2843</v>
      </c>
      <c r="L86" s="38" t="s">
        <v>2847</v>
      </c>
      <c r="M86" s="34">
        <v>249900</v>
      </c>
      <c r="N86" s="35">
        <f t="shared" si="5"/>
        <v>0.75</v>
      </c>
      <c r="O86" s="34">
        <f t="shared" si="3"/>
        <v>74970</v>
      </c>
      <c r="P86" s="32" t="s">
        <v>16</v>
      </c>
    </row>
    <row r="87" spans="1:16" x14ac:dyDescent="0.35">
      <c r="A87" s="32" t="str">
        <f t="shared" si="4"/>
        <v>2024 JAN-DEC DISC 75</v>
      </c>
      <c r="B87" s="33">
        <f t="shared" si="4"/>
        <v>46121</v>
      </c>
      <c r="C87" s="33">
        <f t="shared" si="4"/>
        <v>46127</v>
      </c>
      <c r="D87" s="32">
        <v>3321</v>
      </c>
      <c r="E87" s="32">
        <v>337</v>
      </c>
      <c r="F87" s="32">
        <v>4</v>
      </c>
      <c r="G87" s="32">
        <v>5</v>
      </c>
      <c r="H87" s="32">
        <v>81506</v>
      </c>
      <c r="I87" s="32" t="s">
        <v>2689</v>
      </c>
      <c r="J87" s="32">
        <v>16265562</v>
      </c>
      <c r="K87" s="32" t="s">
        <v>2848</v>
      </c>
      <c r="L87" s="38" t="s">
        <v>2849</v>
      </c>
      <c r="M87" s="34">
        <v>289900</v>
      </c>
      <c r="N87" s="35">
        <f t="shared" si="5"/>
        <v>0.75</v>
      </c>
      <c r="O87" s="34">
        <f t="shared" si="3"/>
        <v>86970</v>
      </c>
      <c r="P87" s="32" t="s">
        <v>16</v>
      </c>
    </row>
    <row r="88" spans="1:16" x14ac:dyDescent="0.35">
      <c r="A88" s="32" t="str">
        <f t="shared" si="4"/>
        <v>2024 JAN-DEC DISC 75</v>
      </c>
      <c r="B88" s="33">
        <f t="shared" si="4"/>
        <v>46121</v>
      </c>
      <c r="C88" s="33">
        <f t="shared" si="4"/>
        <v>46127</v>
      </c>
      <c r="D88" s="32">
        <v>3321</v>
      </c>
      <c r="E88" s="32">
        <v>337</v>
      </c>
      <c r="F88" s="32">
        <v>4</v>
      </c>
      <c r="G88" s="32">
        <v>5</v>
      </c>
      <c r="H88" s="32">
        <v>81506</v>
      </c>
      <c r="I88" s="32" t="s">
        <v>2689</v>
      </c>
      <c r="J88" s="32">
        <v>16265571</v>
      </c>
      <c r="K88" s="32" t="s">
        <v>2848</v>
      </c>
      <c r="L88" s="38" t="s">
        <v>2850</v>
      </c>
      <c r="M88" s="34">
        <v>289900</v>
      </c>
      <c r="N88" s="35">
        <f t="shared" si="5"/>
        <v>0.75</v>
      </c>
      <c r="O88" s="34">
        <f t="shared" si="3"/>
        <v>86970</v>
      </c>
      <c r="P88" s="32" t="s">
        <v>16</v>
      </c>
    </row>
    <row r="89" spans="1:16" x14ac:dyDescent="0.35">
      <c r="A89" s="32" t="str">
        <f t="shared" si="4"/>
        <v>2024 JAN-DEC DISC 75</v>
      </c>
      <c r="B89" s="33">
        <f t="shared" si="4"/>
        <v>46121</v>
      </c>
      <c r="C89" s="33">
        <f t="shared" si="4"/>
        <v>46127</v>
      </c>
      <c r="D89" s="32">
        <v>3321</v>
      </c>
      <c r="E89" s="32">
        <v>337</v>
      </c>
      <c r="F89" s="32">
        <v>4</v>
      </c>
      <c r="G89" s="32">
        <v>5</v>
      </c>
      <c r="H89" s="32">
        <v>81506</v>
      </c>
      <c r="I89" s="32" t="s">
        <v>2689</v>
      </c>
      <c r="J89" s="32">
        <v>16265580</v>
      </c>
      <c r="K89" s="32" t="s">
        <v>2848</v>
      </c>
      <c r="L89" s="38" t="s">
        <v>2851</v>
      </c>
      <c r="M89" s="34">
        <v>289900</v>
      </c>
      <c r="N89" s="35">
        <f t="shared" si="5"/>
        <v>0.75</v>
      </c>
      <c r="O89" s="34">
        <f t="shared" si="3"/>
        <v>86970</v>
      </c>
      <c r="P89" s="32" t="s">
        <v>16</v>
      </c>
    </row>
    <row r="90" spans="1:16" x14ac:dyDescent="0.35">
      <c r="A90" s="32" t="str">
        <f t="shared" si="4"/>
        <v>2024 JAN-DEC DISC 75</v>
      </c>
      <c r="B90" s="33">
        <f t="shared" si="4"/>
        <v>46121</v>
      </c>
      <c r="C90" s="33">
        <f t="shared" si="4"/>
        <v>46127</v>
      </c>
      <c r="D90" s="32">
        <v>3321</v>
      </c>
      <c r="E90" s="32">
        <v>337</v>
      </c>
      <c r="F90" s="32">
        <v>4</v>
      </c>
      <c r="G90" s="32">
        <v>5</v>
      </c>
      <c r="H90" s="32">
        <v>81506</v>
      </c>
      <c r="I90" s="32" t="s">
        <v>2689</v>
      </c>
      <c r="J90" s="32">
        <v>16265599</v>
      </c>
      <c r="K90" s="32" t="s">
        <v>2848</v>
      </c>
      <c r="L90" s="38" t="s">
        <v>2852</v>
      </c>
      <c r="M90" s="34">
        <v>289900</v>
      </c>
      <c r="N90" s="35">
        <f t="shared" si="5"/>
        <v>0.75</v>
      </c>
      <c r="O90" s="34">
        <f t="shared" si="3"/>
        <v>86970</v>
      </c>
      <c r="P90" s="32" t="s">
        <v>16</v>
      </c>
    </row>
    <row r="91" spans="1:16" x14ac:dyDescent="0.35">
      <c r="A91" s="32" t="str">
        <f t="shared" si="4"/>
        <v>2024 JAN-DEC DISC 75</v>
      </c>
      <c r="B91" s="33">
        <f t="shared" si="4"/>
        <v>46121</v>
      </c>
      <c r="C91" s="33">
        <f t="shared" si="4"/>
        <v>46127</v>
      </c>
      <c r="D91" s="32">
        <v>3321</v>
      </c>
      <c r="E91" s="32">
        <v>337</v>
      </c>
      <c r="F91" s="32">
        <v>4</v>
      </c>
      <c r="G91" s="32">
        <v>1</v>
      </c>
      <c r="H91" s="32">
        <v>81419</v>
      </c>
      <c r="I91" s="32" t="s">
        <v>2689</v>
      </c>
      <c r="J91" s="32">
        <v>16572113</v>
      </c>
      <c r="K91" s="32" t="s">
        <v>3108</v>
      </c>
      <c r="L91" s="38" t="s">
        <v>3109</v>
      </c>
      <c r="M91" s="34">
        <v>179900</v>
      </c>
      <c r="N91" s="35">
        <f t="shared" si="5"/>
        <v>0.75</v>
      </c>
      <c r="O91" s="34">
        <f t="shared" si="3"/>
        <v>53970</v>
      </c>
      <c r="P91" s="32" t="s">
        <v>16</v>
      </c>
    </row>
    <row r="92" spans="1:16" x14ac:dyDescent="0.35">
      <c r="A92" s="32" t="str">
        <f t="shared" si="4"/>
        <v>2024 JAN-DEC DISC 75</v>
      </c>
      <c r="B92" s="33">
        <f t="shared" si="4"/>
        <v>46121</v>
      </c>
      <c r="C92" s="33">
        <f t="shared" si="4"/>
        <v>46127</v>
      </c>
      <c r="D92" s="32">
        <v>3321</v>
      </c>
      <c r="E92" s="32">
        <v>337</v>
      </c>
      <c r="F92" s="32">
        <v>4</v>
      </c>
      <c r="G92" s="32">
        <v>1</v>
      </c>
      <c r="H92" s="32">
        <v>81419</v>
      </c>
      <c r="I92" s="32" t="s">
        <v>2689</v>
      </c>
      <c r="J92" s="32">
        <v>16572122</v>
      </c>
      <c r="K92" s="32" t="s">
        <v>3108</v>
      </c>
      <c r="L92" s="38" t="s">
        <v>3110</v>
      </c>
      <c r="M92" s="34">
        <v>179900</v>
      </c>
      <c r="N92" s="35">
        <f t="shared" si="5"/>
        <v>0.75</v>
      </c>
      <c r="O92" s="34">
        <f t="shared" si="3"/>
        <v>53970</v>
      </c>
      <c r="P92" s="32" t="s">
        <v>16</v>
      </c>
    </row>
    <row r="93" spans="1:16" x14ac:dyDescent="0.35">
      <c r="A93" s="32" t="str">
        <f t="shared" si="4"/>
        <v>2024 JAN-DEC DISC 75</v>
      </c>
      <c r="B93" s="33">
        <f t="shared" si="4"/>
        <v>46121</v>
      </c>
      <c r="C93" s="33">
        <f t="shared" si="4"/>
        <v>46127</v>
      </c>
      <c r="D93" s="32">
        <v>3321</v>
      </c>
      <c r="E93" s="32">
        <v>337</v>
      </c>
      <c r="F93" s="32">
        <v>4</v>
      </c>
      <c r="G93" s="32">
        <v>1</v>
      </c>
      <c r="H93" s="32">
        <v>81419</v>
      </c>
      <c r="I93" s="32" t="s">
        <v>2689</v>
      </c>
      <c r="J93" s="32">
        <v>16572131</v>
      </c>
      <c r="K93" s="32" t="s">
        <v>3108</v>
      </c>
      <c r="L93" s="38" t="s">
        <v>3111</v>
      </c>
      <c r="M93" s="34">
        <v>179900</v>
      </c>
      <c r="N93" s="35">
        <f t="shared" si="5"/>
        <v>0.75</v>
      </c>
      <c r="O93" s="34">
        <f t="shared" si="3"/>
        <v>53970</v>
      </c>
      <c r="P93" s="32" t="s">
        <v>16</v>
      </c>
    </row>
    <row r="94" spans="1:16" x14ac:dyDescent="0.35">
      <c r="A94" s="32" t="str">
        <f t="shared" si="4"/>
        <v>2024 JAN-DEC DISC 75</v>
      </c>
      <c r="B94" s="33">
        <f t="shared" si="4"/>
        <v>46121</v>
      </c>
      <c r="C94" s="33">
        <f t="shared" si="4"/>
        <v>46127</v>
      </c>
      <c r="D94" s="32">
        <v>3321</v>
      </c>
      <c r="E94" s="32">
        <v>337</v>
      </c>
      <c r="F94" s="32">
        <v>4</v>
      </c>
      <c r="G94" s="32">
        <v>1</v>
      </c>
      <c r="H94" s="32">
        <v>81419</v>
      </c>
      <c r="I94" s="32" t="s">
        <v>2689</v>
      </c>
      <c r="J94" s="32">
        <v>16572140</v>
      </c>
      <c r="K94" s="32" t="s">
        <v>3108</v>
      </c>
      <c r="L94" s="38" t="s">
        <v>3112</v>
      </c>
      <c r="M94" s="34">
        <v>179900</v>
      </c>
      <c r="N94" s="35">
        <f t="shared" si="5"/>
        <v>0.75</v>
      </c>
      <c r="O94" s="34">
        <f t="shared" si="3"/>
        <v>53970</v>
      </c>
      <c r="P94" s="32" t="s">
        <v>16</v>
      </c>
    </row>
    <row r="95" spans="1:16" x14ac:dyDescent="0.35">
      <c r="A95" s="32" t="str">
        <f t="shared" si="4"/>
        <v>2024 JAN-DEC DISC 75</v>
      </c>
      <c r="B95" s="33">
        <f t="shared" si="4"/>
        <v>46121</v>
      </c>
      <c r="C95" s="33">
        <f t="shared" si="4"/>
        <v>46127</v>
      </c>
      <c r="D95" s="32">
        <v>3321</v>
      </c>
      <c r="E95" s="32">
        <v>337</v>
      </c>
      <c r="F95" s="32">
        <v>4</v>
      </c>
      <c r="G95" s="32">
        <v>1</v>
      </c>
      <c r="H95" s="32">
        <v>81419</v>
      </c>
      <c r="I95" s="32" t="s">
        <v>2689</v>
      </c>
      <c r="J95" s="32">
        <v>16572159</v>
      </c>
      <c r="K95" s="32" t="s">
        <v>3113</v>
      </c>
      <c r="L95" s="38" t="s">
        <v>3114</v>
      </c>
      <c r="M95" s="34">
        <v>179900</v>
      </c>
      <c r="N95" s="35">
        <f t="shared" si="5"/>
        <v>0.75</v>
      </c>
      <c r="O95" s="34">
        <f t="shared" si="3"/>
        <v>53970</v>
      </c>
      <c r="P95" s="32" t="s">
        <v>16</v>
      </c>
    </row>
    <row r="96" spans="1:16" x14ac:dyDescent="0.35">
      <c r="A96" s="32" t="str">
        <f t="shared" si="4"/>
        <v>2024 JAN-DEC DISC 75</v>
      </c>
      <c r="B96" s="33">
        <f t="shared" si="4"/>
        <v>46121</v>
      </c>
      <c r="C96" s="33">
        <f t="shared" si="4"/>
        <v>46127</v>
      </c>
      <c r="D96" s="32">
        <v>3321</v>
      </c>
      <c r="E96" s="32">
        <v>337</v>
      </c>
      <c r="F96" s="32">
        <v>4</v>
      </c>
      <c r="G96" s="32">
        <v>1</v>
      </c>
      <c r="H96" s="32">
        <v>81419</v>
      </c>
      <c r="I96" s="32" t="s">
        <v>2689</v>
      </c>
      <c r="J96" s="32">
        <v>16572168</v>
      </c>
      <c r="K96" s="32" t="s">
        <v>3113</v>
      </c>
      <c r="L96" s="38" t="s">
        <v>3115</v>
      </c>
      <c r="M96" s="34">
        <v>179900</v>
      </c>
      <c r="N96" s="35">
        <f t="shared" si="5"/>
        <v>0.75</v>
      </c>
      <c r="O96" s="34">
        <f t="shared" si="3"/>
        <v>53970</v>
      </c>
      <c r="P96" s="32" t="s">
        <v>16</v>
      </c>
    </row>
    <row r="97" spans="1:16" x14ac:dyDescent="0.35">
      <c r="A97" s="32" t="str">
        <f t="shared" si="4"/>
        <v>2024 JAN-DEC DISC 75</v>
      </c>
      <c r="B97" s="33">
        <f t="shared" si="4"/>
        <v>46121</v>
      </c>
      <c r="C97" s="33">
        <f t="shared" si="4"/>
        <v>46127</v>
      </c>
      <c r="D97" s="32">
        <v>3321</v>
      </c>
      <c r="E97" s="32">
        <v>337</v>
      </c>
      <c r="F97" s="32">
        <v>4</v>
      </c>
      <c r="G97" s="32">
        <v>1</v>
      </c>
      <c r="H97" s="32">
        <v>81419</v>
      </c>
      <c r="I97" s="32" t="s">
        <v>2689</v>
      </c>
      <c r="J97" s="32">
        <v>16572177</v>
      </c>
      <c r="K97" s="32" t="s">
        <v>3113</v>
      </c>
      <c r="L97" s="38" t="s">
        <v>3116</v>
      </c>
      <c r="M97" s="34">
        <v>179900</v>
      </c>
      <c r="N97" s="35">
        <f t="shared" si="5"/>
        <v>0.75</v>
      </c>
      <c r="O97" s="34">
        <f t="shared" si="3"/>
        <v>53970</v>
      </c>
      <c r="P97" s="32" t="s">
        <v>16</v>
      </c>
    </row>
    <row r="98" spans="1:16" x14ac:dyDescent="0.35">
      <c r="A98" s="32" t="str">
        <f t="shared" si="4"/>
        <v>2024 JAN-DEC DISC 75</v>
      </c>
      <c r="B98" s="33">
        <f t="shared" si="4"/>
        <v>46121</v>
      </c>
      <c r="C98" s="33">
        <f t="shared" si="4"/>
        <v>46127</v>
      </c>
      <c r="D98" s="32">
        <v>3321</v>
      </c>
      <c r="E98" s="32">
        <v>337</v>
      </c>
      <c r="F98" s="32">
        <v>4</v>
      </c>
      <c r="G98" s="32">
        <v>1</v>
      </c>
      <c r="H98" s="32">
        <v>81419</v>
      </c>
      <c r="I98" s="32" t="s">
        <v>2689</v>
      </c>
      <c r="J98" s="32">
        <v>16572186</v>
      </c>
      <c r="K98" s="32" t="s">
        <v>3113</v>
      </c>
      <c r="L98" s="38" t="s">
        <v>3117</v>
      </c>
      <c r="M98" s="34">
        <v>179900</v>
      </c>
      <c r="N98" s="35">
        <f t="shared" si="5"/>
        <v>0.75</v>
      </c>
      <c r="O98" s="34">
        <f t="shared" si="3"/>
        <v>53970</v>
      </c>
      <c r="P98" s="32" t="s">
        <v>16</v>
      </c>
    </row>
    <row r="99" spans="1:16" x14ac:dyDescent="0.35">
      <c r="A99" s="32" t="str">
        <f t="shared" si="4"/>
        <v>2024 JAN-DEC DISC 75</v>
      </c>
      <c r="B99" s="33">
        <f t="shared" si="4"/>
        <v>46121</v>
      </c>
      <c r="C99" s="33">
        <f t="shared" si="4"/>
        <v>46127</v>
      </c>
      <c r="D99" s="32">
        <v>3321</v>
      </c>
      <c r="E99" s="32">
        <v>337</v>
      </c>
      <c r="F99" s="32">
        <v>4</v>
      </c>
      <c r="G99" s="32">
        <v>1</v>
      </c>
      <c r="H99" s="32">
        <v>81419</v>
      </c>
      <c r="I99" s="32" t="s">
        <v>2689</v>
      </c>
      <c r="J99" s="32">
        <v>16609173</v>
      </c>
      <c r="K99" s="32" t="s">
        <v>3118</v>
      </c>
      <c r="L99" s="38" t="s">
        <v>3119</v>
      </c>
      <c r="M99" s="34">
        <v>179900</v>
      </c>
      <c r="N99" s="35">
        <f t="shared" si="5"/>
        <v>0.75</v>
      </c>
      <c r="O99" s="34">
        <f t="shared" si="3"/>
        <v>53970</v>
      </c>
      <c r="P99" s="32" t="s">
        <v>16</v>
      </c>
    </row>
    <row r="100" spans="1:16" x14ac:dyDescent="0.35">
      <c r="A100" s="32" t="str">
        <f t="shared" si="4"/>
        <v>2024 JAN-DEC DISC 75</v>
      </c>
      <c r="B100" s="33">
        <f t="shared" si="4"/>
        <v>46121</v>
      </c>
      <c r="C100" s="33">
        <f t="shared" si="4"/>
        <v>46127</v>
      </c>
      <c r="D100" s="32">
        <v>3321</v>
      </c>
      <c r="E100" s="32">
        <v>337</v>
      </c>
      <c r="F100" s="32">
        <v>4</v>
      </c>
      <c r="G100" s="32">
        <v>1</v>
      </c>
      <c r="H100" s="32">
        <v>81419</v>
      </c>
      <c r="I100" s="32" t="s">
        <v>2689</v>
      </c>
      <c r="J100" s="32">
        <v>16609191</v>
      </c>
      <c r="K100" s="32" t="s">
        <v>3118</v>
      </c>
      <c r="L100" s="38" t="s">
        <v>3120</v>
      </c>
      <c r="M100" s="34">
        <v>179900</v>
      </c>
      <c r="N100" s="35">
        <f t="shared" si="5"/>
        <v>0.75</v>
      </c>
      <c r="O100" s="34">
        <f t="shared" si="3"/>
        <v>53970</v>
      </c>
      <c r="P100" s="32" t="s">
        <v>16</v>
      </c>
    </row>
    <row r="101" spans="1:16" x14ac:dyDescent="0.35">
      <c r="A101" s="32" t="str">
        <f t="shared" si="4"/>
        <v>2024 JAN-DEC DISC 75</v>
      </c>
      <c r="B101" s="33">
        <f t="shared" si="4"/>
        <v>46121</v>
      </c>
      <c r="C101" s="33">
        <f t="shared" si="4"/>
        <v>46127</v>
      </c>
      <c r="D101" s="32">
        <v>3321</v>
      </c>
      <c r="E101" s="32">
        <v>337</v>
      </c>
      <c r="F101" s="32">
        <v>4</v>
      </c>
      <c r="G101" s="32">
        <v>1</v>
      </c>
      <c r="H101" s="32">
        <v>81419</v>
      </c>
      <c r="I101" s="32" t="s">
        <v>2689</v>
      </c>
      <c r="J101" s="32">
        <v>16609208</v>
      </c>
      <c r="K101" s="32" t="s">
        <v>3118</v>
      </c>
      <c r="L101" s="38" t="s">
        <v>3121</v>
      </c>
      <c r="M101" s="34">
        <v>179900</v>
      </c>
      <c r="N101" s="35">
        <f t="shared" si="5"/>
        <v>0.75</v>
      </c>
      <c r="O101" s="34">
        <f t="shared" si="3"/>
        <v>53970</v>
      </c>
      <c r="P101" s="32" t="s">
        <v>16</v>
      </c>
    </row>
    <row r="102" spans="1:16" x14ac:dyDescent="0.35">
      <c r="A102" s="32" t="str">
        <f t="shared" si="4"/>
        <v>2024 JAN-DEC DISC 75</v>
      </c>
      <c r="B102" s="33">
        <f t="shared" si="4"/>
        <v>46121</v>
      </c>
      <c r="C102" s="33">
        <f t="shared" si="4"/>
        <v>46127</v>
      </c>
      <c r="D102" s="32">
        <v>3321</v>
      </c>
      <c r="E102" s="32">
        <v>337</v>
      </c>
      <c r="F102" s="32">
        <v>4</v>
      </c>
      <c r="G102" s="32">
        <v>1</v>
      </c>
      <c r="H102" s="32">
        <v>81419</v>
      </c>
      <c r="I102" s="32" t="s">
        <v>2689</v>
      </c>
      <c r="J102" s="32">
        <v>16609217</v>
      </c>
      <c r="K102" s="32" t="s">
        <v>3118</v>
      </c>
      <c r="L102" s="38" t="s">
        <v>3122</v>
      </c>
      <c r="M102" s="34">
        <v>179900</v>
      </c>
      <c r="N102" s="35">
        <f t="shared" si="5"/>
        <v>0.75</v>
      </c>
      <c r="O102" s="34">
        <f t="shared" si="3"/>
        <v>53970</v>
      </c>
      <c r="P102" s="32" t="s">
        <v>16</v>
      </c>
    </row>
    <row r="103" spans="1:16" x14ac:dyDescent="0.35">
      <c r="A103" s="32" t="str">
        <f t="shared" si="4"/>
        <v>2024 JAN-DEC DISC 75</v>
      </c>
      <c r="B103" s="33">
        <f t="shared" si="4"/>
        <v>46121</v>
      </c>
      <c r="C103" s="33">
        <f t="shared" si="4"/>
        <v>46127</v>
      </c>
      <c r="D103" s="32">
        <v>3321</v>
      </c>
      <c r="E103" s="32">
        <v>337</v>
      </c>
      <c r="F103" s="32">
        <v>4</v>
      </c>
      <c r="G103" s="32">
        <v>1</v>
      </c>
      <c r="H103" s="32">
        <v>81419</v>
      </c>
      <c r="I103" s="32" t="s">
        <v>2689</v>
      </c>
      <c r="J103" s="32">
        <v>16609226</v>
      </c>
      <c r="K103" s="32" t="s">
        <v>3123</v>
      </c>
      <c r="L103" s="38" t="s">
        <v>3124</v>
      </c>
      <c r="M103" s="34">
        <v>179900</v>
      </c>
      <c r="N103" s="35">
        <f t="shared" si="5"/>
        <v>0.75</v>
      </c>
      <c r="O103" s="34">
        <f t="shared" si="3"/>
        <v>53970</v>
      </c>
      <c r="P103" s="32" t="s">
        <v>16</v>
      </c>
    </row>
    <row r="104" spans="1:16" x14ac:dyDescent="0.35">
      <c r="A104" s="32" t="str">
        <f t="shared" si="4"/>
        <v>2024 JAN-DEC DISC 75</v>
      </c>
      <c r="B104" s="33">
        <f t="shared" si="4"/>
        <v>46121</v>
      </c>
      <c r="C104" s="33">
        <f t="shared" si="4"/>
        <v>46127</v>
      </c>
      <c r="D104" s="32">
        <v>3321</v>
      </c>
      <c r="E104" s="32">
        <v>337</v>
      </c>
      <c r="F104" s="32">
        <v>4</v>
      </c>
      <c r="G104" s="32">
        <v>1</v>
      </c>
      <c r="H104" s="32">
        <v>81419</v>
      </c>
      <c r="I104" s="32" t="s">
        <v>2689</v>
      </c>
      <c r="J104" s="32">
        <v>16609235</v>
      </c>
      <c r="K104" s="32" t="s">
        <v>3123</v>
      </c>
      <c r="L104" s="38" t="s">
        <v>3125</v>
      </c>
      <c r="M104" s="34">
        <v>179900</v>
      </c>
      <c r="N104" s="35">
        <f t="shared" si="5"/>
        <v>0.75</v>
      </c>
      <c r="O104" s="34">
        <f t="shared" si="3"/>
        <v>53970</v>
      </c>
      <c r="P104" s="32" t="s">
        <v>16</v>
      </c>
    </row>
    <row r="105" spans="1:16" x14ac:dyDescent="0.35">
      <c r="A105" s="32" t="str">
        <f t="shared" si="4"/>
        <v>2024 JAN-DEC DISC 75</v>
      </c>
      <c r="B105" s="33">
        <f t="shared" si="4"/>
        <v>46121</v>
      </c>
      <c r="C105" s="33">
        <f t="shared" si="4"/>
        <v>46127</v>
      </c>
      <c r="D105" s="32">
        <v>3321</v>
      </c>
      <c r="E105" s="32">
        <v>337</v>
      </c>
      <c r="F105" s="32">
        <v>4</v>
      </c>
      <c r="G105" s="32">
        <v>1</v>
      </c>
      <c r="H105" s="32">
        <v>81419</v>
      </c>
      <c r="I105" s="32" t="s">
        <v>2689</v>
      </c>
      <c r="J105" s="32">
        <v>16609244</v>
      </c>
      <c r="K105" s="32" t="s">
        <v>3123</v>
      </c>
      <c r="L105" s="38" t="s">
        <v>3126</v>
      </c>
      <c r="M105" s="34">
        <v>179900</v>
      </c>
      <c r="N105" s="35">
        <f t="shared" si="5"/>
        <v>0.75</v>
      </c>
      <c r="O105" s="34">
        <f t="shared" si="3"/>
        <v>53970</v>
      </c>
      <c r="P105" s="32" t="s">
        <v>16</v>
      </c>
    </row>
    <row r="106" spans="1:16" x14ac:dyDescent="0.35">
      <c r="A106" s="32" t="str">
        <f t="shared" si="4"/>
        <v>2024 JAN-DEC DISC 75</v>
      </c>
      <c r="B106" s="33">
        <f t="shared" si="4"/>
        <v>46121</v>
      </c>
      <c r="C106" s="33">
        <f t="shared" si="4"/>
        <v>46127</v>
      </c>
      <c r="D106" s="32">
        <v>3321</v>
      </c>
      <c r="E106" s="32">
        <v>337</v>
      </c>
      <c r="F106" s="32">
        <v>4</v>
      </c>
      <c r="G106" s="32">
        <v>1</v>
      </c>
      <c r="H106" s="32">
        <v>81419</v>
      </c>
      <c r="I106" s="32" t="s">
        <v>2689</v>
      </c>
      <c r="J106" s="32">
        <v>16609253</v>
      </c>
      <c r="K106" s="32" t="s">
        <v>3123</v>
      </c>
      <c r="L106" s="38" t="s">
        <v>3127</v>
      </c>
      <c r="M106" s="34">
        <v>179900</v>
      </c>
      <c r="N106" s="35">
        <f t="shared" si="5"/>
        <v>0.75</v>
      </c>
      <c r="O106" s="34">
        <f t="shared" si="3"/>
        <v>53970</v>
      </c>
      <c r="P106" s="32" t="s">
        <v>16</v>
      </c>
    </row>
    <row r="107" spans="1:16" x14ac:dyDescent="0.35">
      <c r="A107" s="32" t="str">
        <f t="shared" si="4"/>
        <v>2024 JAN-DEC DISC 75</v>
      </c>
      <c r="B107" s="33">
        <f t="shared" si="4"/>
        <v>46121</v>
      </c>
      <c r="C107" s="33">
        <f t="shared" si="4"/>
        <v>46127</v>
      </c>
      <c r="D107" s="32">
        <v>3321</v>
      </c>
      <c r="E107" s="32">
        <v>337</v>
      </c>
      <c r="F107" s="32">
        <v>4</v>
      </c>
      <c r="G107" s="32">
        <v>1</v>
      </c>
      <c r="H107" s="32">
        <v>81421</v>
      </c>
      <c r="I107" s="32" t="s">
        <v>2689</v>
      </c>
      <c r="J107" s="32">
        <v>15928544</v>
      </c>
      <c r="K107" s="32" t="s">
        <v>2741</v>
      </c>
      <c r="L107" s="38" t="s">
        <v>3128</v>
      </c>
      <c r="M107" s="34">
        <v>159900</v>
      </c>
      <c r="N107" s="35">
        <f t="shared" si="5"/>
        <v>0.75</v>
      </c>
      <c r="O107" s="34">
        <f t="shared" si="3"/>
        <v>47970</v>
      </c>
      <c r="P107" s="32" t="s">
        <v>16</v>
      </c>
    </row>
    <row r="108" spans="1:16" x14ac:dyDescent="0.35">
      <c r="A108" s="32" t="str">
        <f t="shared" si="4"/>
        <v>2024 JAN-DEC DISC 75</v>
      </c>
      <c r="B108" s="33">
        <f t="shared" si="4"/>
        <v>46121</v>
      </c>
      <c r="C108" s="33">
        <f t="shared" si="4"/>
        <v>46127</v>
      </c>
      <c r="D108" s="32">
        <v>3321</v>
      </c>
      <c r="E108" s="32">
        <v>337</v>
      </c>
      <c r="F108" s="32">
        <v>4</v>
      </c>
      <c r="G108" s="32">
        <v>1</v>
      </c>
      <c r="H108" s="32">
        <v>81421</v>
      </c>
      <c r="I108" s="32" t="s">
        <v>2689</v>
      </c>
      <c r="J108" s="32">
        <v>16130733</v>
      </c>
      <c r="K108" s="32" t="s">
        <v>2755</v>
      </c>
      <c r="L108" s="38" t="s">
        <v>3129</v>
      </c>
      <c r="M108" s="34">
        <v>179900</v>
      </c>
      <c r="N108" s="35">
        <f t="shared" si="5"/>
        <v>0.75</v>
      </c>
      <c r="O108" s="34">
        <f t="shared" si="3"/>
        <v>53970</v>
      </c>
      <c r="P108" s="32" t="s">
        <v>16</v>
      </c>
    </row>
    <row r="109" spans="1:16" x14ac:dyDescent="0.35">
      <c r="A109" s="32" t="str">
        <f t="shared" si="4"/>
        <v>2024 JAN-DEC DISC 75</v>
      </c>
      <c r="B109" s="33">
        <f t="shared" si="4"/>
        <v>46121</v>
      </c>
      <c r="C109" s="33">
        <f t="shared" si="4"/>
        <v>46127</v>
      </c>
      <c r="D109" s="32">
        <v>3321</v>
      </c>
      <c r="E109" s="32">
        <v>337</v>
      </c>
      <c r="F109" s="32">
        <v>4</v>
      </c>
      <c r="G109" s="32">
        <v>1</v>
      </c>
      <c r="H109" s="32">
        <v>81676</v>
      </c>
      <c r="I109" s="32" t="s">
        <v>2689</v>
      </c>
      <c r="J109" s="32">
        <v>16130804</v>
      </c>
      <c r="K109" s="32" t="s">
        <v>2776</v>
      </c>
      <c r="L109" s="38" t="s">
        <v>3130</v>
      </c>
      <c r="M109" s="34">
        <v>149900</v>
      </c>
      <c r="N109" s="35">
        <f t="shared" si="5"/>
        <v>0.75</v>
      </c>
      <c r="O109" s="34">
        <f t="shared" si="3"/>
        <v>44970</v>
      </c>
      <c r="P109" s="32" t="s">
        <v>16</v>
      </c>
    </row>
    <row r="110" spans="1:16" x14ac:dyDescent="0.35">
      <c r="A110" s="32" t="str">
        <f t="shared" si="4"/>
        <v>2024 JAN-DEC DISC 75</v>
      </c>
      <c r="B110" s="33">
        <f t="shared" si="4"/>
        <v>46121</v>
      </c>
      <c r="C110" s="33">
        <f t="shared" si="4"/>
        <v>46127</v>
      </c>
      <c r="D110" s="32">
        <v>3321</v>
      </c>
      <c r="E110" s="32">
        <v>337</v>
      </c>
      <c r="F110" s="32">
        <v>4</v>
      </c>
      <c r="G110" s="32">
        <v>1</v>
      </c>
      <c r="H110" s="32">
        <v>81676</v>
      </c>
      <c r="I110" s="32" t="s">
        <v>2689</v>
      </c>
      <c r="J110" s="32">
        <v>16130822</v>
      </c>
      <c r="K110" s="32" t="s">
        <v>3131</v>
      </c>
      <c r="L110" s="38" t="s">
        <v>3132</v>
      </c>
      <c r="M110" s="34">
        <v>149900</v>
      </c>
      <c r="N110" s="35">
        <f t="shared" si="5"/>
        <v>0.75</v>
      </c>
      <c r="O110" s="34">
        <f t="shared" si="3"/>
        <v>44970</v>
      </c>
      <c r="P110" s="32" t="s">
        <v>16</v>
      </c>
    </row>
    <row r="111" spans="1:16" x14ac:dyDescent="0.35">
      <c r="A111" s="32" t="str">
        <f t="shared" si="4"/>
        <v>2024 JAN-DEC DISC 75</v>
      </c>
      <c r="B111" s="33">
        <f t="shared" si="4"/>
        <v>46121</v>
      </c>
      <c r="C111" s="33">
        <f t="shared" si="4"/>
        <v>46127</v>
      </c>
      <c r="D111" s="32">
        <v>3321</v>
      </c>
      <c r="E111" s="32">
        <v>337</v>
      </c>
      <c r="F111" s="32">
        <v>4</v>
      </c>
      <c r="G111" s="32">
        <v>1</v>
      </c>
      <c r="H111" s="32">
        <v>81676</v>
      </c>
      <c r="I111" s="32" t="s">
        <v>2689</v>
      </c>
      <c r="J111" s="32">
        <v>16130831</v>
      </c>
      <c r="K111" s="32" t="s">
        <v>3131</v>
      </c>
      <c r="L111" s="38" t="s">
        <v>3133</v>
      </c>
      <c r="M111" s="34">
        <v>149900</v>
      </c>
      <c r="N111" s="35">
        <f t="shared" si="5"/>
        <v>0.75</v>
      </c>
      <c r="O111" s="34">
        <f t="shared" si="3"/>
        <v>44970</v>
      </c>
      <c r="P111" s="32" t="s">
        <v>16</v>
      </c>
    </row>
    <row r="112" spans="1:16" x14ac:dyDescent="0.35">
      <c r="A112" s="32" t="str">
        <f t="shared" si="4"/>
        <v>2024 JAN-DEC DISC 75</v>
      </c>
      <c r="B112" s="33">
        <f t="shared" si="4"/>
        <v>46121</v>
      </c>
      <c r="C112" s="33">
        <f t="shared" si="4"/>
        <v>46127</v>
      </c>
      <c r="D112" s="32">
        <v>3321</v>
      </c>
      <c r="E112" s="32">
        <v>337</v>
      </c>
      <c r="F112" s="32">
        <v>4</v>
      </c>
      <c r="G112" s="32">
        <v>1</v>
      </c>
      <c r="H112" s="32">
        <v>81676</v>
      </c>
      <c r="I112" s="32" t="s">
        <v>2689</v>
      </c>
      <c r="J112" s="32">
        <v>16130840</v>
      </c>
      <c r="K112" s="32" t="s">
        <v>3131</v>
      </c>
      <c r="L112" s="38" t="s">
        <v>3134</v>
      </c>
      <c r="M112" s="34">
        <v>149900</v>
      </c>
      <c r="N112" s="35">
        <f t="shared" si="5"/>
        <v>0.75</v>
      </c>
      <c r="O112" s="34">
        <f t="shared" si="3"/>
        <v>44970</v>
      </c>
      <c r="P112" s="32" t="s">
        <v>16</v>
      </c>
    </row>
    <row r="113" spans="1:16" x14ac:dyDescent="0.35">
      <c r="A113" s="32" t="str">
        <f t="shared" si="4"/>
        <v>2024 JAN-DEC DISC 75</v>
      </c>
      <c r="B113" s="33">
        <f t="shared" si="4"/>
        <v>46121</v>
      </c>
      <c r="C113" s="33">
        <f t="shared" si="4"/>
        <v>46127</v>
      </c>
      <c r="D113" s="32">
        <v>3321</v>
      </c>
      <c r="E113" s="32">
        <v>337</v>
      </c>
      <c r="F113" s="32">
        <v>4</v>
      </c>
      <c r="G113" s="32">
        <v>1</v>
      </c>
      <c r="H113" s="32">
        <v>81676</v>
      </c>
      <c r="I113" s="32" t="s">
        <v>2689</v>
      </c>
      <c r="J113" s="32">
        <v>16130859</v>
      </c>
      <c r="K113" s="32" t="s">
        <v>3131</v>
      </c>
      <c r="L113" s="38" t="s">
        <v>3135</v>
      </c>
      <c r="M113" s="34">
        <v>149900</v>
      </c>
      <c r="N113" s="35">
        <f t="shared" si="5"/>
        <v>0.75</v>
      </c>
      <c r="O113" s="34">
        <f t="shared" si="3"/>
        <v>44970</v>
      </c>
      <c r="P113" s="32" t="s">
        <v>16</v>
      </c>
    </row>
    <row r="114" spans="1:16" x14ac:dyDescent="0.35">
      <c r="A114" s="32" t="str">
        <f t="shared" si="4"/>
        <v>2024 JAN-DEC DISC 75</v>
      </c>
      <c r="B114" s="33">
        <f t="shared" si="4"/>
        <v>46121</v>
      </c>
      <c r="C114" s="33">
        <f t="shared" si="4"/>
        <v>46127</v>
      </c>
      <c r="D114" s="32">
        <v>3321</v>
      </c>
      <c r="E114" s="32">
        <v>337</v>
      </c>
      <c r="F114" s="32">
        <v>4</v>
      </c>
      <c r="G114" s="32">
        <v>3</v>
      </c>
      <c r="H114" s="32">
        <v>81419</v>
      </c>
      <c r="I114" s="32" t="s">
        <v>2689</v>
      </c>
      <c r="J114" s="32">
        <v>16572319</v>
      </c>
      <c r="K114" s="32" t="s">
        <v>3136</v>
      </c>
      <c r="L114" s="38" t="s">
        <v>3137</v>
      </c>
      <c r="M114" s="34">
        <v>279900</v>
      </c>
      <c r="N114" s="35">
        <f t="shared" si="5"/>
        <v>0.75</v>
      </c>
      <c r="O114" s="34">
        <f t="shared" si="3"/>
        <v>83970</v>
      </c>
      <c r="P114" s="32" t="s">
        <v>16</v>
      </c>
    </row>
    <row r="115" spans="1:16" x14ac:dyDescent="0.35">
      <c r="A115" s="32" t="str">
        <f t="shared" si="4"/>
        <v>2024 JAN-DEC DISC 75</v>
      </c>
      <c r="B115" s="33">
        <f t="shared" si="4"/>
        <v>46121</v>
      </c>
      <c r="C115" s="33">
        <f t="shared" si="4"/>
        <v>46127</v>
      </c>
      <c r="D115" s="32">
        <v>3321</v>
      </c>
      <c r="E115" s="32">
        <v>337</v>
      </c>
      <c r="F115" s="32">
        <v>4</v>
      </c>
      <c r="G115" s="32">
        <v>3</v>
      </c>
      <c r="H115" s="32">
        <v>81419</v>
      </c>
      <c r="I115" s="32" t="s">
        <v>2689</v>
      </c>
      <c r="J115" s="32">
        <v>16572328</v>
      </c>
      <c r="K115" s="32" t="s">
        <v>3136</v>
      </c>
      <c r="L115" s="38" t="s">
        <v>3138</v>
      </c>
      <c r="M115" s="34">
        <v>279900</v>
      </c>
      <c r="N115" s="35">
        <f t="shared" si="5"/>
        <v>0.75</v>
      </c>
      <c r="O115" s="34">
        <f t="shared" si="3"/>
        <v>83970</v>
      </c>
      <c r="P115" s="32" t="s">
        <v>16</v>
      </c>
    </row>
    <row r="116" spans="1:16" x14ac:dyDescent="0.35">
      <c r="A116" s="32" t="str">
        <f t="shared" si="4"/>
        <v>2024 JAN-DEC DISC 75</v>
      </c>
      <c r="B116" s="33">
        <f t="shared" si="4"/>
        <v>46121</v>
      </c>
      <c r="C116" s="33">
        <f t="shared" si="4"/>
        <v>46127</v>
      </c>
      <c r="D116" s="32">
        <v>3321</v>
      </c>
      <c r="E116" s="32">
        <v>337</v>
      </c>
      <c r="F116" s="32">
        <v>4</v>
      </c>
      <c r="G116" s="32">
        <v>3</v>
      </c>
      <c r="H116" s="32">
        <v>81419</v>
      </c>
      <c r="I116" s="32" t="s">
        <v>2689</v>
      </c>
      <c r="J116" s="32">
        <v>16572337</v>
      </c>
      <c r="K116" s="32" t="s">
        <v>3136</v>
      </c>
      <c r="L116" s="38" t="s">
        <v>3139</v>
      </c>
      <c r="M116" s="34">
        <v>279900</v>
      </c>
      <c r="N116" s="35">
        <f t="shared" si="5"/>
        <v>0.75</v>
      </c>
      <c r="O116" s="34">
        <f t="shared" si="3"/>
        <v>83970</v>
      </c>
      <c r="P116" s="32" t="s">
        <v>16</v>
      </c>
    </row>
    <row r="117" spans="1:16" x14ac:dyDescent="0.35">
      <c r="A117" s="32" t="str">
        <f t="shared" si="4"/>
        <v>2024 JAN-DEC DISC 75</v>
      </c>
      <c r="B117" s="33">
        <f t="shared" si="4"/>
        <v>46121</v>
      </c>
      <c r="C117" s="33">
        <f t="shared" si="4"/>
        <v>46127</v>
      </c>
      <c r="D117" s="32">
        <v>3321</v>
      </c>
      <c r="E117" s="32">
        <v>337</v>
      </c>
      <c r="F117" s="32">
        <v>4</v>
      </c>
      <c r="G117" s="32">
        <v>3</v>
      </c>
      <c r="H117" s="32">
        <v>81419</v>
      </c>
      <c r="I117" s="32" t="s">
        <v>2689</v>
      </c>
      <c r="J117" s="32">
        <v>16572346</v>
      </c>
      <c r="K117" s="32" t="s">
        <v>3136</v>
      </c>
      <c r="L117" s="38" t="s">
        <v>3140</v>
      </c>
      <c r="M117" s="34">
        <v>279900</v>
      </c>
      <c r="N117" s="35">
        <f t="shared" si="5"/>
        <v>0.75</v>
      </c>
      <c r="O117" s="34">
        <f t="shared" si="3"/>
        <v>83970</v>
      </c>
      <c r="P117" s="32" t="s">
        <v>16</v>
      </c>
    </row>
    <row r="118" spans="1:16" x14ac:dyDescent="0.35">
      <c r="A118" s="32" t="str">
        <f t="shared" si="4"/>
        <v>2024 JAN-DEC DISC 75</v>
      </c>
      <c r="B118" s="33">
        <f t="shared" si="4"/>
        <v>46121</v>
      </c>
      <c r="C118" s="33">
        <f t="shared" si="4"/>
        <v>46127</v>
      </c>
      <c r="D118" s="32">
        <v>3321</v>
      </c>
      <c r="E118" s="32">
        <v>337</v>
      </c>
      <c r="F118" s="32">
        <v>4</v>
      </c>
      <c r="G118" s="32">
        <v>3</v>
      </c>
      <c r="H118" s="32">
        <v>81421</v>
      </c>
      <c r="I118" s="32" t="s">
        <v>2689</v>
      </c>
      <c r="J118" s="32">
        <v>16130895</v>
      </c>
      <c r="K118" s="32" t="s">
        <v>2805</v>
      </c>
      <c r="L118" s="38" t="s">
        <v>3141</v>
      </c>
      <c r="M118" s="34">
        <v>259900</v>
      </c>
      <c r="N118" s="35">
        <f t="shared" si="5"/>
        <v>0.75</v>
      </c>
      <c r="O118" s="34">
        <f t="shared" si="3"/>
        <v>77970</v>
      </c>
      <c r="P118" s="32" t="s">
        <v>16</v>
      </c>
    </row>
    <row r="119" spans="1:16" x14ac:dyDescent="0.35">
      <c r="A119" s="32" t="str">
        <f t="shared" si="4"/>
        <v>2024 JAN-DEC DISC 75</v>
      </c>
      <c r="B119" s="33">
        <f t="shared" si="4"/>
        <v>46121</v>
      </c>
      <c r="C119" s="33">
        <f t="shared" si="4"/>
        <v>46127</v>
      </c>
      <c r="D119" s="32">
        <v>3321</v>
      </c>
      <c r="E119" s="32">
        <v>337</v>
      </c>
      <c r="F119" s="32">
        <v>4</v>
      </c>
      <c r="G119" s="32">
        <v>3</v>
      </c>
      <c r="H119" s="32">
        <v>81421</v>
      </c>
      <c r="I119" s="32" t="s">
        <v>2689</v>
      </c>
      <c r="J119" s="32">
        <v>16130939</v>
      </c>
      <c r="K119" s="32" t="s">
        <v>2809</v>
      </c>
      <c r="L119" s="38" t="s">
        <v>3142</v>
      </c>
      <c r="M119" s="34">
        <v>219900</v>
      </c>
      <c r="N119" s="35">
        <f t="shared" si="5"/>
        <v>0.75</v>
      </c>
      <c r="O119" s="34">
        <f t="shared" si="3"/>
        <v>65970</v>
      </c>
      <c r="P119" s="32" t="s">
        <v>16</v>
      </c>
    </row>
    <row r="120" spans="1:16" x14ac:dyDescent="0.35">
      <c r="A120" s="32" t="str">
        <f t="shared" si="4"/>
        <v>2024 JAN-DEC DISC 75</v>
      </c>
      <c r="B120" s="33">
        <f t="shared" si="4"/>
        <v>46121</v>
      </c>
      <c r="C120" s="33">
        <f t="shared" si="4"/>
        <v>46127</v>
      </c>
      <c r="D120" s="32">
        <v>3321</v>
      </c>
      <c r="E120" s="32">
        <v>337</v>
      </c>
      <c r="F120" s="32">
        <v>4</v>
      </c>
      <c r="G120" s="32">
        <v>4</v>
      </c>
      <c r="H120" s="32">
        <v>81419</v>
      </c>
      <c r="I120" s="32" t="s">
        <v>2689</v>
      </c>
      <c r="J120" s="32">
        <v>16724173</v>
      </c>
      <c r="K120" s="32" t="s">
        <v>3143</v>
      </c>
      <c r="L120" s="38" t="s">
        <v>3144</v>
      </c>
      <c r="M120" s="34">
        <v>229900</v>
      </c>
      <c r="N120" s="35">
        <f t="shared" si="5"/>
        <v>0.75</v>
      </c>
      <c r="O120" s="34">
        <f t="shared" si="3"/>
        <v>68970</v>
      </c>
      <c r="P120" s="32" t="s">
        <v>16</v>
      </c>
    </row>
    <row r="121" spans="1:16" x14ac:dyDescent="0.35">
      <c r="A121" s="32" t="str">
        <f t="shared" si="4"/>
        <v>2024 JAN-DEC DISC 75</v>
      </c>
      <c r="B121" s="33">
        <f t="shared" si="4"/>
        <v>46121</v>
      </c>
      <c r="C121" s="33">
        <f t="shared" si="4"/>
        <v>46127</v>
      </c>
      <c r="D121" s="32">
        <v>3321</v>
      </c>
      <c r="E121" s="32">
        <v>337</v>
      </c>
      <c r="F121" s="32">
        <v>4</v>
      </c>
      <c r="G121" s="32">
        <v>4</v>
      </c>
      <c r="H121" s="32">
        <v>81419</v>
      </c>
      <c r="I121" s="32" t="s">
        <v>2689</v>
      </c>
      <c r="J121" s="32">
        <v>16724182</v>
      </c>
      <c r="K121" s="32" t="s">
        <v>3143</v>
      </c>
      <c r="L121" s="38" t="s">
        <v>3145</v>
      </c>
      <c r="M121" s="34">
        <v>229900</v>
      </c>
      <c r="N121" s="35">
        <f t="shared" si="5"/>
        <v>0.75</v>
      </c>
      <c r="O121" s="34">
        <f t="shared" si="3"/>
        <v>68970</v>
      </c>
      <c r="P121" s="32" t="s">
        <v>16</v>
      </c>
    </row>
    <row r="122" spans="1:16" x14ac:dyDescent="0.35">
      <c r="A122" s="32" t="str">
        <f t="shared" si="4"/>
        <v>2024 JAN-DEC DISC 75</v>
      </c>
      <c r="B122" s="33">
        <f t="shared" si="4"/>
        <v>46121</v>
      </c>
      <c r="C122" s="33">
        <f t="shared" si="4"/>
        <v>46127</v>
      </c>
      <c r="D122" s="32">
        <v>3321</v>
      </c>
      <c r="E122" s="32">
        <v>337</v>
      </c>
      <c r="F122" s="32">
        <v>4</v>
      </c>
      <c r="G122" s="32">
        <v>4</v>
      </c>
      <c r="H122" s="32">
        <v>81419</v>
      </c>
      <c r="I122" s="32" t="s">
        <v>2689</v>
      </c>
      <c r="J122" s="32">
        <v>16724191</v>
      </c>
      <c r="K122" s="32" t="s">
        <v>3143</v>
      </c>
      <c r="L122" s="38" t="s">
        <v>3146</v>
      </c>
      <c r="M122" s="34">
        <v>229900</v>
      </c>
      <c r="N122" s="35">
        <f t="shared" si="5"/>
        <v>0.75</v>
      </c>
      <c r="O122" s="34">
        <f t="shared" si="3"/>
        <v>68970</v>
      </c>
      <c r="P122" s="32" t="s">
        <v>16</v>
      </c>
    </row>
    <row r="123" spans="1:16" x14ac:dyDescent="0.35">
      <c r="A123" s="32" t="str">
        <f t="shared" si="4"/>
        <v>2024 JAN-DEC DISC 75</v>
      </c>
      <c r="B123" s="33">
        <f t="shared" si="4"/>
        <v>46121</v>
      </c>
      <c r="C123" s="33">
        <f t="shared" si="4"/>
        <v>46127</v>
      </c>
      <c r="D123" s="32">
        <v>3321</v>
      </c>
      <c r="E123" s="32">
        <v>337</v>
      </c>
      <c r="F123" s="32">
        <v>4</v>
      </c>
      <c r="G123" s="32">
        <v>4</v>
      </c>
      <c r="H123" s="32">
        <v>81419</v>
      </c>
      <c r="I123" s="32" t="s">
        <v>2689</v>
      </c>
      <c r="J123" s="32">
        <v>16724208</v>
      </c>
      <c r="K123" s="32" t="s">
        <v>3143</v>
      </c>
      <c r="L123" s="38" t="s">
        <v>3147</v>
      </c>
      <c r="M123" s="34">
        <v>229900</v>
      </c>
      <c r="N123" s="35">
        <f t="shared" si="5"/>
        <v>0.75</v>
      </c>
      <c r="O123" s="34">
        <f t="shared" si="3"/>
        <v>68970</v>
      </c>
      <c r="P123" s="32" t="s">
        <v>16</v>
      </c>
    </row>
    <row r="124" spans="1:16" x14ac:dyDescent="0.35">
      <c r="A124" s="32" t="str">
        <f t="shared" si="4"/>
        <v>2024 JAN-DEC DISC 75</v>
      </c>
      <c r="B124" s="33">
        <f t="shared" si="4"/>
        <v>46121</v>
      </c>
      <c r="C124" s="33">
        <f t="shared" si="4"/>
        <v>46127</v>
      </c>
      <c r="D124" s="32">
        <v>3321</v>
      </c>
      <c r="E124" s="32">
        <v>337</v>
      </c>
      <c r="F124" s="32">
        <v>4</v>
      </c>
      <c r="G124" s="32">
        <v>4</v>
      </c>
      <c r="H124" s="32">
        <v>81421</v>
      </c>
      <c r="I124" s="32" t="s">
        <v>2689</v>
      </c>
      <c r="J124" s="32">
        <v>16130975</v>
      </c>
      <c r="K124" s="32" t="s">
        <v>2818</v>
      </c>
      <c r="L124" s="38" t="s">
        <v>3148</v>
      </c>
      <c r="M124" s="34">
        <v>179900</v>
      </c>
      <c r="N124" s="35">
        <f t="shared" si="5"/>
        <v>0.75</v>
      </c>
      <c r="O124" s="34">
        <f t="shared" si="3"/>
        <v>53970</v>
      </c>
      <c r="P124" s="32" t="s">
        <v>16</v>
      </c>
    </row>
    <row r="125" spans="1:16" x14ac:dyDescent="0.35">
      <c r="A125" s="32" t="str">
        <f t="shared" si="4"/>
        <v>2024 JAN-DEC DISC 75</v>
      </c>
      <c r="B125" s="33">
        <f t="shared" si="4"/>
        <v>46121</v>
      </c>
      <c r="C125" s="33">
        <f t="shared" si="4"/>
        <v>46127</v>
      </c>
      <c r="D125" s="32">
        <v>3321</v>
      </c>
      <c r="E125" s="32">
        <v>337</v>
      </c>
      <c r="F125" s="32">
        <v>4</v>
      </c>
      <c r="G125" s="32">
        <v>4</v>
      </c>
      <c r="H125" s="32">
        <v>81421</v>
      </c>
      <c r="I125" s="32" t="s">
        <v>2689</v>
      </c>
      <c r="J125" s="32">
        <v>16131018</v>
      </c>
      <c r="K125" s="32" t="s">
        <v>2822</v>
      </c>
      <c r="L125" s="38" t="s">
        <v>3149</v>
      </c>
      <c r="M125" s="34">
        <v>219900</v>
      </c>
      <c r="N125" s="35">
        <f t="shared" si="5"/>
        <v>0.75</v>
      </c>
      <c r="O125" s="34">
        <f t="shared" si="3"/>
        <v>65970</v>
      </c>
      <c r="P125" s="32" t="s">
        <v>16</v>
      </c>
    </row>
    <row r="126" spans="1:16" x14ac:dyDescent="0.35">
      <c r="A126" s="32" t="str">
        <f t="shared" si="4"/>
        <v>2024 JAN-DEC DISC 75</v>
      </c>
      <c r="B126" s="33">
        <f t="shared" si="4"/>
        <v>46121</v>
      </c>
      <c r="C126" s="33">
        <f t="shared" si="4"/>
        <v>46127</v>
      </c>
      <c r="D126" s="32">
        <v>3321</v>
      </c>
      <c r="E126" s="32">
        <v>337</v>
      </c>
      <c r="F126" s="32">
        <v>4</v>
      </c>
      <c r="G126" s="32">
        <v>4</v>
      </c>
      <c r="H126" s="32">
        <v>81800</v>
      </c>
      <c r="I126" s="32" t="s">
        <v>2689</v>
      </c>
      <c r="J126" s="32">
        <v>16572355</v>
      </c>
      <c r="K126" s="32" t="s">
        <v>3150</v>
      </c>
      <c r="L126" s="38" t="s">
        <v>3151</v>
      </c>
      <c r="M126" s="34">
        <v>249900</v>
      </c>
      <c r="N126" s="35">
        <f t="shared" si="5"/>
        <v>0.75</v>
      </c>
      <c r="O126" s="34">
        <f t="shared" si="3"/>
        <v>74970</v>
      </c>
      <c r="P126" s="32" t="s">
        <v>16</v>
      </c>
    </row>
    <row r="127" spans="1:16" x14ac:dyDescent="0.35">
      <c r="A127" s="32" t="str">
        <f t="shared" si="4"/>
        <v>2024 JAN-DEC DISC 75</v>
      </c>
      <c r="B127" s="33">
        <f t="shared" si="4"/>
        <v>46121</v>
      </c>
      <c r="C127" s="33">
        <f t="shared" si="4"/>
        <v>46127</v>
      </c>
      <c r="D127" s="32">
        <v>3321</v>
      </c>
      <c r="E127" s="32">
        <v>337</v>
      </c>
      <c r="F127" s="32">
        <v>4</v>
      </c>
      <c r="G127" s="32">
        <v>4</v>
      </c>
      <c r="H127" s="32">
        <v>81800</v>
      </c>
      <c r="I127" s="32" t="s">
        <v>2689</v>
      </c>
      <c r="J127" s="32">
        <v>16572364</v>
      </c>
      <c r="K127" s="32" t="s">
        <v>3150</v>
      </c>
      <c r="L127" s="38" t="s">
        <v>3152</v>
      </c>
      <c r="M127" s="34">
        <v>249900</v>
      </c>
      <c r="N127" s="35">
        <f t="shared" si="5"/>
        <v>0.75</v>
      </c>
      <c r="O127" s="34">
        <f t="shared" si="3"/>
        <v>74970</v>
      </c>
      <c r="P127" s="32" t="s">
        <v>16</v>
      </c>
    </row>
    <row r="128" spans="1:16" x14ac:dyDescent="0.35">
      <c r="A128" s="32" t="str">
        <f t="shared" si="4"/>
        <v>2024 JAN-DEC DISC 75</v>
      </c>
      <c r="B128" s="33">
        <f t="shared" si="4"/>
        <v>46121</v>
      </c>
      <c r="C128" s="33">
        <f t="shared" si="4"/>
        <v>46127</v>
      </c>
      <c r="D128" s="32">
        <v>3321</v>
      </c>
      <c r="E128" s="32">
        <v>337</v>
      </c>
      <c r="F128" s="32">
        <v>4</v>
      </c>
      <c r="G128" s="32">
        <v>4</v>
      </c>
      <c r="H128" s="32">
        <v>81800</v>
      </c>
      <c r="I128" s="32" t="s">
        <v>2689</v>
      </c>
      <c r="J128" s="32">
        <v>16572373</v>
      </c>
      <c r="K128" s="32" t="s">
        <v>3150</v>
      </c>
      <c r="L128" s="38" t="s">
        <v>3153</v>
      </c>
      <c r="M128" s="34">
        <v>249900</v>
      </c>
      <c r="N128" s="35">
        <f t="shared" si="5"/>
        <v>0.75</v>
      </c>
      <c r="O128" s="34">
        <f t="shared" si="3"/>
        <v>74970</v>
      </c>
      <c r="P128" s="32" t="s">
        <v>16</v>
      </c>
    </row>
    <row r="129" spans="1:16" x14ac:dyDescent="0.35">
      <c r="A129" s="32" t="str">
        <f t="shared" si="4"/>
        <v>2024 JAN-DEC DISC 75</v>
      </c>
      <c r="B129" s="33">
        <f t="shared" si="4"/>
        <v>46121</v>
      </c>
      <c r="C129" s="33">
        <f t="shared" si="4"/>
        <v>46127</v>
      </c>
      <c r="D129" s="32">
        <v>3321</v>
      </c>
      <c r="E129" s="32">
        <v>337</v>
      </c>
      <c r="F129" s="32">
        <v>4</v>
      </c>
      <c r="G129" s="32">
        <v>4</v>
      </c>
      <c r="H129" s="32">
        <v>81800</v>
      </c>
      <c r="I129" s="32" t="s">
        <v>2689</v>
      </c>
      <c r="J129" s="32">
        <v>16572382</v>
      </c>
      <c r="K129" s="32" t="s">
        <v>3150</v>
      </c>
      <c r="L129" s="38" t="s">
        <v>3154</v>
      </c>
      <c r="M129" s="34">
        <v>249900</v>
      </c>
      <c r="N129" s="35">
        <f t="shared" si="5"/>
        <v>0.75</v>
      </c>
      <c r="O129" s="34">
        <f t="shared" si="3"/>
        <v>74970</v>
      </c>
      <c r="P129" s="32" t="s">
        <v>16</v>
      </c>
    </row>
    <row r="130" spans="1:16" x14ac:dyDescent="0.35">
      <c r="A130" s="32" t="str">
        <f t="shared" si="4"/>
        <v>2024 JAN-DEC DISC 75</v>
      </c>
      <c r="B130" s="33">
        <f t="shared" si="4"/>
        <v>46121</v>
      </c>
      <c r="C130" s="33">
        <f t="shared" si="4"/>
        <v>46127</v>
      </c>
      <c r="D130" s="32">
        <v>3321</v>
      </c>
      <c r="E130" s="32">
        <v>337</v>
      </c>
      <c r="F130" s="32">
        <v>4</v>
      </c>
      <c r="G130" s="32">
        <v>4</v>
      </c>
      <c r="H130" s="32">
        <v>81574</v>
      </c>
      <c r="I130" s="32" t="s">
        <v>2689</v>
      </c>
      <c r="J130" s="32">
        <v>16131081</v>
      </c>
      <c r="K130" s="32" t="s">
        <v>2826</v>
      </c>
      <c r="L130" s="38" t="s">
        <v>3155</v>
      </c>
      <c r="M130" s="34">
        <v>259900</v>
      </c>
      <c r="N130" s="35">
        <f t="shared" si="5"/>
        <v>0.75</v>
      </c>
      <c r="O130" s="34">
        <f t="shared" si="3"/>
        <v>77970</v>
      </c>
      <c r="P130" s="32" t="s">
        <v>16</v>
      </c>
    </row>
    <row r="131" spans="1:16" x14ac:dyDescent="0.35">
      <c r="A131" s="32" t="str">
        <f t="shared" si="4"/>
        <v>2024 JAN-DEC DISC 75</v>
      </c>
      <c r="B131" s="33">
        <f t="shared" si="4"/>
        <v>46121</v>
      </c>
      <c r="C131" s="33">
        <f t="shared" si="4"/>
        <v>46127</v>
      </c>
      <c r="D131" s="32">
        <v>3321</v>
      </c>
      <c r="E131" s="32">
        <v>337</v>
      </c>
      <c r="F131" s="32">
        <v>4</v>
      </c>
      <c r="G131" s="32">
        <v>5</v>
      </c>
      <c r="H131" s="32">
        <v>81419</v>
      </c>
      <c r="I131" s="32" t="s">
        <v>2689</v>
      </c>
      <c r="J131" s="32">
        <v>16572435</v>
      </c>
      <c r="K131" s="32" t="s">
        <v>3156</v>
      </c>
      <c r="L131" s="38" t="s">
        <v>3157</v>
      </c>
      <c r="M131" s="34">
        <v>269900</v>
      </c>
      <c r="N131" s="35">
        <f t="shared" si="5"/>
        <v>0.75</v>
      </c>
      <c r="O131" s="34">
        <f t="shared" ref="O131:O194" si="6">M131-((70*M131))/100</f>
        <v>80970</v>
      </c>
      <c r="P131" s="32" t="s">
        <v>16</v>
      </c>
    </row>
    <row r="132" spans="1:16" x14ac:dyDescent="0.35">
      <c r="A132" s="32" t="str">
        <f t="shared" ref="A132:C195" si="7">A131</f>
        <v>2024 JAN-DEC DISC 75</v>
      </c>
      <c r="B132" s="33">
        <f t="shared" si="7"/>
        <v>46121</v>
      </c>
      <c r="C132" s="33">
        <f t="shared" si="7"/>
        <v>46127</v>
      </c>
      <c r="D132" s="32">
        <v>3321</v>
      </c>
      <c r="E132" s="32">
        <v>337</v>
      </c>
      <c r="F132" s="32">
        <v>4</v>
      </c>
      <c r="G132" s="32">
        <v>5</v>
      </c>
      <c r="H132" s="32">
        <v>81419</v>
      </c>
      <c r="I132" s="32" t="s">
        <v>2689</v>
      </c>
      <c r="J132" s="32">
        <v>16572444</v>
      </c>
      <c r="K132" s="32" t="s">
        <v>3156</v>
      </c>
      <c r="L132" s="38" t="s">
        <v>3158</v>
      </c>
      <c r="M132" s="34">
        <v>269900</v>
      </c>
      <c r="N132" s="35">
        <f t="shared" ref="N132:N195" si="8">N131</f>
        <v>0.75</v>
      </c>
      <c r="O132" s="34">
        <f t="shared" si="6"/>
        <v>80970</v>
      </c>
      <c r="P132" s="32" t="s">
        <v>16</v>
      </c>
    </row>
    <row r="133" spans="1:16" x14ac:dyDescent="0.35">
      <c r="A133" s="32" t="str">
        <f t="shared" si="7"/>
        <v>2024 JAN-DEC DISC 75</v>
      </c>
      <c r="B133" s="33">
        <f t="shared" si="7"/>
        <v>46121</v>
      </c>
      <c r="C133" s="33">
        <f t="shared" si="7"/>
        <v>46127</v>
      </c>
      <c r="D133" s="32">
        <v>3321</v>
      </c>
      <c r="E133" s="32">
        <v>337</v>
      </c>
      <c r="F133" s="32">
        <v>4</v>
      </c>
      <c r="G133" s="32">
        <v>5</v>
      </c>
      <c r="H133" s="32">
        <v>81419</v>
      </c>
      <c r="I133" s="32" t="s">
        <v>2689</v>
      </c>
      <c r="J133" s="32">
        <v>16572453</v>
      </c>
      <c r="K133" s="32" t="s">
        <v>3156</v>
      </c>
      <c r="L133" s="38" t="s">
        <v>3159</v>
      </c>
      <c r="M133" s="34">
        <v>269900</v>
      </c>
      <c r="N133" s="35">
        <f t="shared" si="8"/>
        <v>0.75</v>
      </c>
      <c r="O133" s="34">
        <f t="shared" si="6"/>
        <v>80970</v>
      </c>
      <c r="P133" s="32" t="s">
        <v>16</v>
      </c>
    </row>
    <row r="134" spans="1:16" x14ac:dyDescent="0.35">
      <c r="A134" s="32" t="str">
        <f t="shared" si="7"/>
        <v>2024 JAN-DEC DISC 75</v>
      </c>
      <c r="B134" s="33">
        <f t="shared" si="7"/>
        <v>46121</v>
      </c>
      <c r="C134" s="33">
        <f t="shared" si="7"/>
        <v>46127</v>
      </c>
      <c r="D134" s="32">
        <v>3321</v>
      </c>
      <c r="E134" s="32">
        <v>337</v>
      </c>
      <c r="F134" s="32">
        <v>4</v>
      </c>
      <c r="G134" s="32">
        <v>5</v>
      </c>
      <c r="H134" s="32">
        <v>81419</v>
      </c>
      <c r="I134" s="32" t="s">
        <v>2689</v>
      </c>
      <c r="J134" s="32">
        <v>16572462</v>
      </c>
      <c r="K134" s="32" t="s">
        <v>3156</v>
      </c>
      <c r="L134" s="38" t="s">
        <v>3160</v>
      </c>
      <c r="M134" s="34">
        <v>269900</v>
      </c>
      <c r="N134" s="35">
        <f t="shared" si="8"/>
        <v>0.75</v>
      </c>
      <c r="O134" s="34">
        <f t="shared" si="6"/>
        <v>80970</v>
      </c>
      <c r="P134" s="32" t="s">
        <v>16</v>
      </c>
    </row>
    <row r="135" spans="1:16" x14ac:dyDescent="0.35">
      <c r="A135" s="32" t="str">
        <f t="shared" si="7"/>
        <v>2024 JAN-DEC DISC 75</v>
      </c>
      <c r="B135" s="33">
        <f t="shared" si="7"/>
        <v>46121</v>
      </c>
      <c r="C135" s="33">
        <f t="shared" si="7"/>
        <v>46127</v>
      </c>
      <c r="D135" s="32">
        <v>3321</v>
      </c>
      <c r="E135" s="32">
        <v>337</v>
      </c>
      <c r="F135" s="32">
        <v>4</v>
      </c>
      <c r="G135" s="32">
        <v>5</v>
      </c>
      <c r="H135" s="32">
        <v>81419</v>
      </c>
      <c r="I135" s="32" t="s">
        <v>2689</v>
      </c>
      <c r="J135" s="32">
        <v>16572471</v>
      </c>
      <c r="K135" s="32" t="s">
        <v>3161</v>
      </c>
      <c r="L135" s="38" t="s">
        <v>3162</v>
      </c>
      <c r="M135" s="34">
        <v>249900</v>
      </c>
      <c r="N135" s="35">
        <f t="shared" si="8"/>
        <v>0.75</v>
      </c>
      <c r="O135" s="34">
        <f t="shared" si="6"/>
        <v>74970</v>
      </c>
      <c r="P135" s="32" t="s">
        <v>16</v>
      </c>
    </row>
    <row r="136" spans="1:16" x14ac:dyDescent="0.35">
      <c r="A136" s="32" t="str">
        <f t="shared" si="7"/>
        <v>2024 JAN-DEC DISC 75</v>
      </c>
      <c r="B136" s="33">
        <f t="shared" si="7"/>
        <v>46121</v>
      </c>
      <c r="C136" s="33">
        <f t="shared" si="7"/>
        <v>46127</v>
      </c>
      <c r="D136" s="32">
        <v>3321</v>
      </c>
      <c r="E136" s="32">
        <v>337</v>
      </c>
      <c r="F136" s="32">
        <v>4</v>
      </c>
      <c r="G136" s="32">
        <v>5</v>
      </c>
      <c r="H136" s="32">
        <v>81419</v>
      </c>
      <c r="I136" s="32" t="s">
        <v>2689</v>
      </c>
      <c r="J136" s="32">
        <v>16572480</v>
      </c>
      <c r="K136" s="32" t="s">
        <v>3161</v>
      </c>
      <c r="L136" s="38" t="s">
        <v>3163</v>
      </c>
      <c r="M136" s="34">
        <v>249900</v>
      </c>
      <c r="N136" s="35">
        <f t="shared" si="8"/>
        <v>0.75</v>
      </c>
      <c r="O136" s="34">
        <f t="shared" si="6"/>
        <v>74970</v>
      </c>
      <c r="P136" s="32" t="s">
        <v>16</v>
      </c>
    </row>
    <row r="137" spans="1:16" x14ac:dyDescent="0.35">
      <c r="A137" s="32" t="str">
        <f t="shared" si="7"/>
        <v>2024 JAN-DEC DISC 75</v>
      </c>
      <c r="B137" s="33">
        <f t="shared" si="7"/>
        <v>46121</v>
      </c>
      <c r="C137" s="33">
        <f t="shared" si="7"/>
        <v>46127</v>
      </c>
      <c r="D137" s="32">
        <v>3321</v>
      </c>
      <c r="E137" s="32">
        <v>337</v>
      </c>
      <c r="F137" s="32">
        <v>4</v>
      </c>
      <c r="G137" s="32">
        <v>5</v>
      </c>
      <c r="H137" s="32">
        <v>81419</v>
      </c>
      <c r="I137" s="32" t="s">
        <v>2689</v>
      </c>
      <c r="J137" s="32">
        <v>16572499</v>
      </c>
      <c r="K137" s="32" t="s">
        <v>3161</v>
      </c>
      <c r="L137" s="38" t="s">
        <v>3164</v>
      </c>
      <c r="M137" s="34">
        <v>249900</v>
      </c>
      <c r="N137" s="35">
        <f t="shared" si="8"/>
        <v>0.75</v>
      </c>
      <c r="O137" s="34">
        <f t="shared" si="6"/>
        <v>74970</v>
      </c>
      <c r="P137" s="32" t="s">
        <v>16</v>
      </c>
    </row>
    <row r="138" spans="1:16" x14ac:dyDescent="0.35">
      <c r="A138" s="32" t="str">
        <f t="shared" si="7"/>
        <v>2024 JAN-DEC DISC 75</v>
      </c>
      <c r="B138" s="33">
        <f t="shared" si="7"/>
        <v>46121</v>
      </c>
      <c r="C138" s="33">
        <f t="shared" si="7"/>
        <v>46127</v>
      </c>
      <c r="D138" s="32">
        <v>3321</v>
      </c>
      <c r="E138" s="32">
        <v>337</v>
      </c>
      <c r="F138" s="32">
        <v>4</v>
      </c>
      <c r="G138" s="32">
        <v>5</v>
      </c>
      <c r="H138" s="32">
        <v>81419</v>
      </c>
      <c r="I138" s="32" t="s">
        <v>2689</v>
      </c>
      <c r="J138" s="32">
        <v>16572506</v>
      </c>
      <c r="K138" s="32" t="s">
        <v>3161</v>
      </c>
      <c r="L138" s="38" t="s">
        <v>3165</v>
      </c>
      <c r="M138" s="34">
        <v>249900</v>
      </c>
      <c r="N138" s="35">
        <f t="shared" si="8"/>
        <v>0.75</v>
      </c>
      <c r="O138" s="34">
        <f t="shared" si="6"/>
        <v>74970</v>
      </c>
      <c r="P138" s="32" t="s">
        <v>16</v>
      </c>
    </row>
    <row r="139" spans="1:16" x14ac:dyDescent="0.35">
      <c r="A139" s="32" t="str">
        <f t="shared" si="7"/>
        <v>2024 JAN-DEC DISC 75</v>
      </c>
      <c r="B139" s="33">
        <f t="shared" si="7"/>
        <v>46121</v>
      </c>
      <c r="C139" s="33">
        <f t="shared" si="7"/>
        <v>46127</v>
      </c>
      <c r="D139" s="32">
        <v>3321</v>
      </c>
      <c r="E139" s="32">
        <v>337</v>
      </c>
      <c r="F139" s="32">
        <v>4</v>
      </c>
      <c r="G139" s="32">
        <v>5</v>
      </c>
      <c r="H139" s="32">
        <v>81419</v>
      </c>
      <c r="I139" s="32" t="s">
        <v>2689</v>
      </c>
      <c r="J139" s="32">
        <v>16572515</v>
      </c>
      <c r="K139" s="32" t="s">
        <v>3166</v>
      </c>
      <c r="L139" s="38" t="s">
        <v>3167</v>
      </c>
      <c r="M139" s="34">
        <v>259900</v>
      </c>
      <c r="N139" s="35">
        <f t="shared" si="8"/>
        <v>0.75</v>
      </c>
      <c r="O139" s="34">
        <f t="shared" si="6"/>
        <v>77970</v>
      </c>
      <c r="P139" s="32" t="s">
        <v>16</v>
      </c>
    </row>
    <row r="140" spans="1:16" x14ac:dyDescent="0.35">
      <c r="A140" s="32" t="str">
        <f t="shared" si="7"/>
        <v>2024 JAN-DEC DISC 75</v>
      </c>
      <c r="B140" s="33">
        <f t="shared" si="7"/>
        <v>46121</v>
      </c>
      <c r="C140" s="33">
        <f t="shared" si="7"/>
        <v>46127</v>
      </c>
      <c r="D140" s="32">
        <v>3321</v>
      </c>
      <c r="E140" s="32">
        <v>337</v>
      </c>
      <c r="F140" s="32">
        <v>4</v>
      </c>
      <c r="G140" s="32">
        <v>5</v>
      </c>
      <c r="H140" s="32">
        <v>81419</v>
      </c>
      <c r="I140" s="32" t="s">
        <v>2689</v>
      </c>
      <c r="J140" s="32">
        <v>16572524</v>
      </c>
      <c r="K140" s="32" t="s">
        <v>3166</v>
      </c>
      <c r="L140" s="38" t="s">
        <v>3168</v>
      </c>
      <c r="M140" s="34">
        <v>259900</v>
      </c>
      <c r="N140" s="35">
        <f t="shared" si="8"/>
        <v>0.75</v>
      </c>
      <c r="O140" s="34">
        <f t="shared" si="6"/>
        <v>77970</v>
      </c>
      <c r="P140" s="32" t="s">
        <v>16</v>
      </c>
    </row>
    <row r="141" spans="1:16" x14ac:dyDescent="0.35">
      <c r="A141" s="32" t="str">
        <f t="shared" si="7"/>
        <v>2024 JAN-DEC DISC 75</v>
      </c>
      <c r="B141" s="33">
        <f t="shared" si="7"/>
        <v>46121</v>
      </c>
      <c r="C141" s="33">
        <f t="shared" si="7"/>
        <v>46127</v>
      </c>
      <c r="D141" s="32">
        <v>3321</v>
      </c>
      <c r="E141" s="32">
        <v>337</v>
      </c>
      <c r="F141" s="32">
        <v>4</v>
      </c>
      <c r="G141" s="32">
        <v>5</v>
      </c>
      <c r="H141" s="32">
        <v>81419</v>
      </c>
      <c r="I141" s="32" t="s">
        <v>2689</v>
      </c>
      <c r="J141" s="32">
        <v>16572533</v>
      </c>
      <c r="K141" s="32" t="s">
        <v>3166</v>
      </c>
      <c r="L141" s="38" t="s">
        <v>3169</v>
      </c>
      <c r="M141" s="34">
        <v>259900</v>
      </c>
      <c r="N141" s="35">
        <f t="shared" si="8"/>
        <v>0.75</v>
      </c>
      <c r="O141" s="34">
        <f t="shared" si="6"/>
        <v>77970</v>
      </c>
      <c r="P141" s="32" t="s">
        <v>16</v>
      </c>
    </row>
    <row r="142" spans="1:16" x14ac:dyDescent="0.35">
      <c r="A142" s="32" t="str">
        <f t="shared" si="7"/>
        <v>2024 JAN-DEC DISC 75</v>
      </c>
      <c r="B142" s="33">
        <f t="shared" si="7"/>
        <v>46121</v>
      </c>
      <c r="C142" s="33">
        <f t="shared" si="7"/>
        <v>46127</v>
      </c>
      <c r="D142" s="32">
        <v>3321</v>
      </c>
      <c r="E142" s="32">
        <v>337</v>
      </c>
      <c r="F142" s="32">
        <v>4</v>
      </c>
      <c r="G142" s="32">
        <v>5</v>
      </c>
      <c r="H142" s="32">
        <v>81419</v>
      </c>
      <c r="I142" s="32" t="s">
        <v>2689</v>
      </c>
      <c r="J142" s="32">
        <v>16572542</v>
      </c>
      <c r="K142" s="32" t="s">
        <v>3166</v>
      </c>
      <c r="L142" s="38" t="s">
        <v>3170</v>
      </c>
      <c r="M142" s="34">
        <v>259900</v>
      </c>
      <c r="N142" s="35">
        <f t="shared" si="8"/>
        <v>0.75</v>
      </c>
      <c r="O142" s="34">
        <f t="shared" si="6"/>
        <v>77970</v>
      </c>
      <c r="P142" s="32" t="s">
        <v>16</v>
      </c>
    </row>
    <row r="143" spans="1:16" x14ac:dyDescent="0.35">
      <c r="A143" s="32" t="str">
        <f t="shared" si="7"/>
        <v>2024 JAN-DEC DISC 75</v>
      </c>
      <c r="B143" s="33">
        <f t="shared" si="7"/>
        <v>46121</v>
      </c>
      <c r="C143" s="33">
        <f t="shared" si="7"/>
        <v>46127</v>
      </c>
      <c r="D143" s="32">
        <v>3321</v>
      </c>
      <c r="E143" s="32">
        <v>337</v>
      </c>
      <c r="F143" s="32">
        <v>4</v>
      </c>
      <c r="G143" s="32">
        <v>5</v>
      </c>
      <c r="H143" s="32">
        <v>81421</v>
      </c>
      <c r="I143" s="32" t="s">
        <v>2689</v>
      </c>
      <c r="J143" s="32">
        <v>16131054</v>
      </c>
      <c r="K143" s="32" t="s">
        <v>2830</v>
      </c>
      <c r="L143" s="38" t="s">
        <v>3171</v>
      </c>
      <c r="M143" s="34">
        <v>249900</v>
      </c>
      <c r="N143" s="35">
        <f t="shared" si="8"/>
        <v>0.75</v>
      </c>
      <c r="O143" s="34">
        <f t="shared" si="6"/>
        <v>74970</v>
      </c>
      <c r="P143" s="32" t="s">
        <v>16</v>
      </c>
    </row>
    <row r="144" spans="1:16" x14ac:dyDescent="0.35">
      <c r="A144" s="32" t="str">
        <f t="shared" si="7"/>
        <v>2024 JAN-DEC DISC 75</v>
      </c>
      <c r="B144" s="33">
        <f t="shared" si="7"/>
        <v>46121</v>
      </c>
      <c r="C144" s="33">
        <f t="shared" si="7"/>
        <v>46127</v>
      </c>
      <c r="D144" s="32">
        <v>3321</v>
      </c>
      <c r="E144" s="32">
        <v>337</v>
      </c>
      <c r="F144" s="32">
        <v>4</v>
      </c>
      <c r="G144" s="32">
        <v>5</v>
      </c>
      <c r="H144" s="32">
        <v>81421</v>
      </c>
      <c r="I144" s="32" t="s">
        <v>2689</v>
      </c>
      <c r="J144" s="32">
        <v>16131134</v>
      </c>
      <c r="K144" s="32" t="s">
        <v>2834</v>
      </c>
      <c r="L144" s="38" t="s">
        <v>3172</v>
      </c>
      <c r="M144" s="34">
        <v>239900</v>
      </c>
      <c r="N144" s="35">
        <f t="shared" si="8"/>
        <v>0.75</v>
      </c>
      <c r="O144" s="34">
        <f t="shared" si="6"/>
        <v>71970</v>
      </c>
      <c r="P144" s="32" t="s">
        <v>16</v>
      </c>
    </row>
    <row r="145" spans="1:16" x14ac:dyDescent="0.35">
      <c r="A145" s="32" t="str">
        <f t="shared" si="7"/>
        <v>2024 JAN-DEC DISC 75</v>
      </c>
      <c r="B145" s="33">
        <f t="shared" si="7"/>
        <v>46121</v>
      </c>
      <c r="C145" s="33">
        <f t="shared" si="7"/>
        <v>46127</v>
      </c>
      <c r="D145" s="32">
        <v>3321</v>
      </c>
      <c r="E145" s="32">
        <v>337</v>
      </c>
      <c r="F145" s="32">
        <v>4</v>
      </c>
      <c r="G145" s="32">
        <v>5</v>
      </c>
      <c r="H145" s="32">
        <v>81800</v>
      </c>
      <c r="I145" s="32" t="s">
        <v>2689</v>
      </c>
      <c r="J145" s="32">
        <v>16572391</v>
      </c>
      <c r="K145" s="32" t="s">
        <v>3173</v>
      </c>
      <c r="L145" s="38" t="s">
        <v>3174</v>
      </c>
      <c r="M145" s="34">
        <v>279900</v>
      </c>
      <c r="N145" s="35">
        <f t="shared" si="8"/>
        <v>0.75</v>
      </c>
      <c r="O145" s="34">
        <f t="shared" si="6"/>
        <v>83970</v>
      </c>
      <c r="P145" s="32" t="s">
        <v>16</v>
      </c>
    </row>
    <row r="146" spans="1:16" x14ac:dyDescent="0.35">
      <c r="A146" s="32" t="str">
        <f t="shared" si="7"/>
        <v>2024 JAN-DEC DISC 75</v>
      </c>
      <c r="B146" s="33">
        <f t="shared" si="7"/>
        <v>46121</v>
      </c>
      <c r="C146" s="33">
        <f t="shared" si="7"/>
        <v>46127</v>
      </c>
      <c r="D146" s="32">
        <v>3321</v>
      </c>
      <c r="E146" s="32">
        <v>337</v>
      </c>
      <c r="F146" s="32">
        <v>4</v>
      </c>
      <c r="G146" s="32">
        <v>5</v>
      </c>
      <c r="H146" s="32">
        <v>81800</v>
      </c>
      <c r="I146" s="32" t="s">
        <v>2689</v>
      </c>
      <c r="J146" s="32">
        <v>16572408</v>
      </c>
      <c r="K146" s="32" t="s">
        <v>3173</v>
      </c>
      <c r="L146" s="38" t="s">
        <v>3175</v>
      </c>
      <c r="M146" s="34">
        <v>279900</v>
      </c>
      <c r="N146" s="35">
        <f t="shared" si="8"/>
        <v>0.75</v>
      </c>
      <c r="O146" s="34">
        <f t="shared" si="6"/>
        <v>83970</v>
      </c>
      <c r="P146" s="32" t="s">
        <v>16</v>
      </c>
    </row>
    <row r="147" spans="1:16" x14ac:dyDescent="0.35">
      <c r="A147" s="32" t="str">
        <f t="shared" si="7"/>
        <v>2024 JAN-DEC DISC 75</v>
      </c>
      <c r="B147" s="33">
        <f t="shared" si="7"/>
        <v>46121</v>
      </c>
      <c r="C147" s="33">
        <f t="shared" si="7"/>
        <v>46127</v>
      </c>
      <c r="D147" s="32">
        <v>3321</v>
      </c>
      <c r="E147" s="32">
        <v>337</v>
      </c>
      <c r="F147" s="32">
        <v>4</v>
      </c>
      <c r="G147" s="32">
        <v>5</v>
      </c>
      <c r="H147" s="32">
        <v>81800</v>
      </c>
      <c r="I147" s="32" t="s">
        <v>2689</v>
      </c>
      <c r="J147" s="32">
        <v>16572417</v>
      </c>
      <c r="K147" s="32" t="s">
        <v>3173</v>
      </c>
      <c r="L147" s="38" t="s">
        <v>3176</v>
      </c>
      <c r="M147" s="34">
        <v>279900</v>
      </c>
      <c r="N147" s="35">
        <f t="shared" si="8"/>
        <v>0.75</v>
      </c>
      <c r="O147" s="34">
        <f t="shared" si="6"/>
        <v>83970</v>
      </c>
      <c r="P147" s="32" t="s">
        <v>16</v>
      </c>
    </row>
    <row r="148" spans="1:16" x14ac:dyDescent="0.35">
      <c r="A148" s="32" t="str">
        <f t="shared" si="7"/>
        <v>2024 JAN-DEC DISC 75</v>
      </c>
      <c r="B148" s="33">
        <f t="shared" si="7"/>
        <v>46121</v>
      </c>
      <c r="C148" s="33">
        <f t="shared" si="7"/>
        <v>46127</v>
      </c>
      <c r="D148" s="32">
        <v>3321</v>
      </c>
      <c r="E148" s="32">
        <v>337</v>
      </c>
      <c r="F148" s="32">
        <v>4</v>
      </c>
      <c r="G148" s="32">
        <v>5</v>
      </c>
      <c r="H148" s="32">
        <v>81800</v>
      </c>
      <c r="I148" s="32" t="s">
        <v>2689</v>
      </c>
      <c r="J148" s="32">
        <v>16572426</v>
      </c>
      <c r="K148" s="32" t="s">
        <v>3173</v>
      </c>
      <c r="L148" s="38" t="s">
        <v>3177</v>
      </c>
      <c r="M148" s="34">
        <v>279900</v>
      </c>
      <c r="N148" s="35">
        <f t="shared" si="8"/>
        <v>0.75</v>
      </c>
      <c r="O148" s="34">
        <f t="shared" si="6"/>
        <v>83970</v>
      </c>
      <c r="P148" s="32" t="s">
        <v>16</v>
      </c>
    </row>
    <row r="149" spans="1:16" x14ac:dyDescent="0.35">
      <c r="A149" s="32" t="str">
        <f t="shared" si="7"/>
        <v>2024 JAN-DEC DISC 75</v>
      </c>
      <c r="B149" s="33">
        <f t="shared" si="7"/>
        <v>46121</v>
      </c>
      <c r="C149" s="33">
        <f t="shared" si="7"/>
        <v>46127</v>
      </c>
      <c r="D149" s="32">
        <v>3321</v>
      </c>
      <c r="E149" s="32">
        <v>337</v>
      </c>
      <c r="F149" s="32">
        <v>4</v>
      </c>
      <c r="G149" s="32">
        <v>1</v>
      </c>
      <c r="H149" s="32">
        <v>81419</v>
      </c>
      <c r="I149" s="32" t="s">
        <v>2689</v>
      </c>
      <c r="J149" s="32">
        <v>14608516</v>
      </c>
      <c r="K149" s="32" t="s">
        <v>3225</v>
      </c>
      <c r="L149" s="38" t="s">
        <v>3226</v>
      </c>
      <c r="M149" s="34">
        <v>179900</v>
      </c>
      <c r="N149" s="35">
        <f t="shared" si="8"/>
        <v>0.75</v>
      </c>
      <c r="O149" s="34">
        <f t="shared" si="6"/>
        <v>53970</v>
      </c>
      <c r="P149" s="32" t="s">
        <v>16</v>
      </c>
    </row>
    <row r="150" spans="1:16" x14ac:dyDescent="0.35">
      <c r="A150" s="32" t="str">
        <f t="shared" si="7"/>
        <v>2024 JAN-DEC DISC 75</v>
      </c>
      <c r="B150" s="33">
        <f t="shared" si="7"/>
        <v>46121</v>
      </c>
      <c r="C150" s="33">
        <f t="shared" si="7"/>
        <v>46127</v>
      </c>
      <c r="D150" s="32">
        <v>3321</v>
      </c>
      <c r="E150" s="32">
        <v>337</v>
      </c>
      <c r="F150" s="32">
        <v>4</v>
      </c>
      <c r="G150" s="32">
        <v>1</v>
      </c>
      <c r="H150" s="32">
        <v>81419</v>
      </c>
      <c r="I150" s="32" t="s">
        <v>2689</v>
      </c>
      <c r="J150" s="32">
        <v>14608525</v>
      </c>
      <c r="K150" s="32" t="s">
        <v>3225</v>
      </c>
      <c r="L150" s="38" t="s">
        <v>3227</v>
      </c>
      <c r="M150" s="34">
        <v>179900</v>
      </c>
      <c r="N150" s="35">
        <f t="shared" si="8"/>
        <v>0.75</v>
      </c>
      <c r="O150" s="34">
        <f t="shared" si="6"/>
        <v>53970</v>
      </c>
      <c r="P150" s="32" t="s">
        <v>16</v>
      </c>
    </row>
    <row r="151" spans="1:16" x14ac:dyDescent="0.35">
      <c r="A151" s="32" t="str">
        <f t="shared" si="7"/>
        <v>2024 JAN-DEC DISC 75</v>
      </c>
      <c r="B151" s="33">
        <f t="shared" si="7"/>
        <v>46121</v>
      </c>
      <c r="C151" s="33">
        <f t="shared" si="7"/>
        <v>46127</v>
      </c>
      <c r="D151" s="32">
        <v>3321</v>
      </c>
      <c r="E151" s="32">
        <v>337</v>
      </c>
      <c r="F151" s="32">
        <v>4</v>
      </c>
      <c r="G151" s="32">
        <v>1</v>
      </c>
      <c r="H151" s="32">
        <v>81419</v>
      </c>
      <c r="I151" s="32" t="s">
        <v>2689</v>
      </c>
      <c r="J151" s="32">
        <v>14608534</v>
      </c>
      <c r="K151" s="32" t="s">
        <v>3225</v>
      </c>
      <c r="L151" s="38" t="s">
        <v>3228</v>
      </c>
      <c r="M151" s="34">
        <v>179900</v>
      </c>
      <c r="N151" s="35">
        <f t="shared" si="8"/>
        <v>0.75</v>
      </c>
      <c r="O151" s="34">
        <f t="shared" si="6"/>
        <v>53970</v>
      </c>
      <c r="P151" s="32" t="s">
        <v>16</v>
      </c>
    </row>
    <row r="152" spans="1:16" x14ac:dyDescent="0.35">
      <c r="A152" s="32" t="str">
        <f t="shared" si="7"/>
        <v>2024 JAN-DEC DISC 75</v>
      </c>
      <c r="B152" s="33">
        <f t="shared" si="7"/>
        <v>46121</v>
      </c>
      <c r="C152" s="33">
        <f t="shared" si="7"/>
        <v>46127</v>
      </c>
      <c r="D152" s="32">
        <v>3321</v>
      </c>
      <c r="E152" s="32">
        <v>337</v>
      </c>
      <c r="F152" s="32">
        <v>4</v>
      </c>
      <c r="G152" s="32">
        <v>1</v>
      </c>
      <c r="H152" s="32">
        <v>81419</v>
      </c>
      <c r="I152" s="32" t="s">
        <v>2689</v>
      </c>
      <c r="J152" s="32">
        <v>14608543</v>
      </c>
      <c r="K152" s="32" t="s">
        <v>3225</v>
      </c>
      <c r="L152" s="38" t="s">
        <v>3229</v>
      </c>
      <c r="M152" s="34">
        <v>179900</v>
      </c>
      <c r="N152" s="35">
        <f t="shared" si="8"/>
        <v>0.75</v>
      </c>
      <c r="O152" s="34">
        <f t="shared" si="6"/>
        <v>53970</v>
      </c>
      <c r="P152" s="32" t="s">
        <v>16</v>
      </c>
    </row>
    <row r="153" spans="1:16" x14ac:dyDescent="0.35">
      <c r="A153" s="32" t="str">
        <f t="shared" si="7"/>
        <v>2024 JAN-DEC DISC 75</v>
      </c>
      <c r="B153" s="33">
        <f t="shared" si="7"/>
        <v>46121</v>
      </c>
      <c r="C153" s="33">
        <f t="shared" si="7"/>
        <v>46127</v>
      </c>
      <c r="D153" s="32">
        <v>3321</v>
      </c>
      <c r="E153" s="32">
        <v>337</v>
      </c>
      <c r="F153" s="32">
        <v>4</v>
      </c>
      <c r="G153" s="32">
        <v>1</v>
      </c>
      <c r="H153" s="32">
        <v>81421</v>
      </c>
      <c r="I153" s="32" t="s">
        <v>2689</v>
      </c>
      <c r="J153" s="32">
        <v>14608472</v>
      </c>
      <c r="K153" s="32" t="s">
        <v>3230</v>
      </c>
      <c r="L153" s="38" t="s">
        <v>3231</v>
      </c>
      <c r="M153" s="34">
        <v>159900</v>
      </c>
      <c r="N153" s="35">
        <f t="shared" si="8"/>
        <v>0.75</v>
      </c>
      <c r="O153" s="34">
        <f t="shared" si="6"/>
        <v>47970</v>
      </c>
      <c r="P153" s="32" t="s">
        <v>16</v>
      </c>
    </row>
    <row r="154" spans="1:16" x14ac:dyDescent="0.35">
      <c r="A154" s="32" t="str">
        <f t="shared" si="7"/>
        <v>2024 JAN-DEC DISC 75</v>
      </c>
      <c r="B154" s="33">
        <f t="shared" si="7"/>
        <v>46121</v>
      </c>
      <c r="C154" s="33">
        <f t="shared" si="7"/>
        <v>46127</v>
      </c>
      <c r="D154" s="32">
        <v>3321</v>
      </c>
      <c r="E154" s="32">
        <v>337</v>
      </c>
      <c r="F154" s="32">
        <v>4</v>
      </c>
      <c r="G154" s="32">
        <v>1</v>
      </c>
      <c r="H154" s="32">
        <v>81421</v>
      </c>
      <c r="I154" s="32" t="s">
        <v>2689</v>
      </c>
      <c r="J154" s="32">
        <v>14608481</v>
      </c>
      <c r="K154" s="32" t="s">
        <v>3230</v>
      </c>
      <c r="L154" s="38" t="s">
        <v>3232</v>
      </c>
      <c r="M154" s="34">
        <v>159900</v>
      </c>
      <c r="N154" s="35">
        <f t="shared" si="8"/>
        <v>0.75</v>
      </c>
      <c r="O154" s="34">
        <f t="shared" si="6"/>
        <v>47970</v>
      </c>
      <c r="P154" s="32" t="s">
        <v>16</v>
      </c>
    </row>
    <row r="155" spans="1:16" x14ac:dyDescent="0.35">
      <c r="A155" s="32" t="str">
        <f t="shared" si="7"/>
        <v>2024 JAN-DEC DISC 75</v>
      </c>
      <c r="B155" s="33">
        <f t="shared" si="7"/>
        <v>46121</v>
      </c>
      <c r="C155" s="33">
        <f t="shared" si="7"/>
        <v>46127</v>
      </c>
      <c r="D155" s="32">
        <v>3321</v>
      </c>
      <c r="E155" s="32">
        <v>337</v>
      </c>
      <c r="F155" s="32">
        <v>4</v>
      </c>
      <c r="G155" s="32">
        <v>1</v>
      </c>
      <c r="H155" s="32">
        <v>81421</v>
      </c>
      <c r="I155" s="32" t="s">
        <v>2689</v>
      </c>
      <c r="J155" s="32">
        <v>14608490</v>
      </c>
      <c r="K155" s="32" t="s">
        <v>3230</v>
      </c>
      <c r="L155" s="38" t="s">
        <v>3233</v>
      </c>
      <c r="M155" s="34">
        <v>159900</v>
      </c>
      <c r="N155" s="35">
        <f t="shared" si="8"/>
        <v>0.75</v>
      </c>
      <c r="O155" s="34">
        <f t="shared" si="6"/>
        <v>47970</v>
      </c>
      <c r="P155" s="32" t="s">
        <v>16</v>
      </c>
    </row>
    <row r="156" spans="1:16" x14ac:dyDescent="0.35">
      <c r="A156" s="32" t="str">
        <f t="shared" si="7"/>
        <v>2024 JAN-DEC DISC 75</v>
      </c>
      <c r="B156" s="33">
        <f t="shared" si="7"/>
        <v>46121</v>
      </c>
      <c r="C156" s="33">
        <f t="shared" si="7"/>
        <v>46127</v>
      </c>
      <c r="D156" s="32">
        <v>3321</v>
      </c>
      <c r="E156" s="32">
        <v>337</v>
      </c>
      <c r="F156" s="32">
        <v>4</v>
      </c>
      <c r="G156" s="32">
        <v>1</v>
      </c>
      <c r="H156" s="32">
        <v>81421</v>
      </c>
      <c r="I156" s="32" t="s">
        <v>2689</v>
      </c>
      <c r="J156" s="32">
        <v>14608507</v>
      </c>
      <c r="K156" s="32" t="s">
        <v>3230</v>
      </c>
      <c r="L156" s="38" t="s">
        <v>3234</v>
      </c>
      <c r="M156" s="34">
        <v>159900</v>
      </c>
      <c r="N156" s="35">
        <f t="shared" si="8"/>
        <v>0.75</v>
      </c>
      <c r="O156" s="34">
        <f t="shared" si="6"/>
        <v>47970</v>
      </c>
      <c r="P156" s="32" t="s">
        <v>16</v>
      </c>
    </row>
    <row r="157" spans="1:16" x14ac:dyDescent="0.35">
      <c r="A157" s="32" t="str">
        <f t="shared" si="7"/>
        <v>2024 JAN-DEC DISC 75</v>
      </c>
      <c r="B157" s="33">
        <f t="shared" si="7"/>
        <v>46121</v>
      </c>
      <c r="C157" s="33">
        <f t="shared" si="7"/>
        <v>46127</v>
      </c>
      <c r="D157" s="32">
        <v>3321</v>
      </c>
      <c r="E157" s="32">
        <v>337</v>
      </c>
      <c r="F157" s="32">
        <v>4</v>
      </c>
      <c r="G157" s="32">
        <v>1</v>
      </c>
      <c r="H157" s="32">
        <v>81506</v>
      </c>
      <c r="I157" s="32" t="s">
        <v>2689</v>
      </c>
      <c r="J157" s="32">
        <v>17324059</v>
      </c>
      <c r="K157" s="32" t="s">
        <v>3235</v>
      </c>
      <c r="L157" s="38" t="s">
        <v>3236</v>
      </c>
      <c r="M157" s="34">
        <v>159900</v>
      </c>
      <c r="N157" s="35">
        <f t="shared" si="8"/>
        <v>0.75</v>
      </c>
      <c r="O157" s="34">
        <f t="shared" si="6"/>
        <v>47970</v>
      </c>
      <c r="P157" s="32" t="s">
        <v>16</v>
      </c>
    </row>
    <row r="158" spans="1:16" x14ac:dyDescent="0.35">
      <c r="A158" s="32" t="str">
        <f t="shared" si="7"/>
        <v>2024 JAN-DEC DISC 75</v>
      </c>
      <c r="B158" s="33">
        <f t="shared" si="7"/>
        <v>46121</v>
      </c>
      <c r="C158" s="33">
        <f t="shared" si="7"/>
        <v>46127</v>
      </c>
      <c r="D158" s="32">
        <v>3321</v>
      </c>
      <c r="E158" s="32">
        <v>337</v>
      </c>
      <c r="F158" s="32">
        <v>4</v>
      </c>
      <c r="G158" s="32">
        <v>1</v>
      </c>
      <c r="H158" s="32">
        <v>81506</v>
      </c>
      <c r="I158" s="32" t="s">
        <v>2689</v>
      </c>
      <c r="J158" s="32">
        <v>17324068</v>
      </c>
      <c r="K158" s="32" t="s">
        <v>3235</v>
      </c>
      <c r="L158" s="38" t="s">
        <v>3237</v>
      </c>
      <c r="M158" s="34">
        <v>159900</v>
      </c>
      <c r="N158" s="35">
        <f t="shared" si="8"/>
        <v>0.75</v>
      </c>
      <c r="O158" s="34">
        <f t="shared" si="6"/>
        <v>47970</v>
      </c>
      <c r="P158" s="32" t="s">
        <v>16</v>
      </c>
    </row>
    <row r="159" spans="1:16" x14ac:dyDescent="0.35">
      <c r="A159" s="32" t="str">
        <f t="shared" si="7"/>
        <v>2024 JAN-DEC DISC 75</v>
      </c>
      <c r="B159" s="33">
        <f t="shared" si="7"/>
        <v>46121</v>
      </c>
      <c r="C159" s="33">
        <f t="shared" si="7"/>
        <v>46127</v>
      </c>
      <c r="D159" s="32">
        <v>3321</v>
      </c>
      <c r="E159" s="32">
        <v>337</v>
      </c>
      <c r="F159" s="32">
        <v>4</v>
      </c>
      <c r="G159" s="32">
        <v>1</v>
      </c>
      <c r="H159" s="32">
        <v>81506</v>
      </c>
      <c r="I159" s="32" t="s">
        <v>2689</v>
      </c>
      <c r="J159" s="32">
        <v>17324086</v>
      </c>
      <c r="K159" s="32" t="s">
        <v>3235</v>
      </c>
      <c r="L159" s="38" t="s">
        <v>3238</v>
      </c>
      <c r="M159" s="34">
        <v>159900</v>
      </c>
      <c r="N159" s="35">
        <f t="shared" si="8"/>
        <v>0.75</v>
      </c>
      <c r="O159" s="34">
        <f t="shared" si="6"/>
        <v>47970</v>
      </c>
      <c r="P159" s="32" t="s">
        <v>16</v>
      </c>
    </row>
    <row r="160" spans="1:16" x14ac:dyDescent="0.35">
      <c r="A160" s="32" t="str">
        <f t="shared" si="7"/>
        <v>2024 JAN-DEC DISC 75</v>
      </c>
      <c r="B160" s="33">
        <f t="shared" si="7"/>
        <v>46121</v>
      </c>
      <c r="C160" s="33">
        <f t="shared" si="7"/>
        <v>46127</v>
      </c>
      <c r="D160" s="32">
        <v>3321</v>
      </c>
      <c r="E160" s="32">
        <v>337</v>
      </c>
      <c r="F160" s="32">
        <v>4</v>
      </c>
      <c r="G160" s="32">
        <v>1</v>
      </c>
      <c r="H160" s="32">
        <v>81506</v>
      </c>
      <c r="I160" s="32" t="s">
        <v>2689</v>
      </c>
      <c r="J160" s="32">
        <v>17324095</v>
      </c>
      <c r="K160" s="32" t="s">
        <v>3239</v>
      </c>
      <c r="L160" s="38" t="s">
        <v>3240</v>
      </c>
      <c r="M160" s="34">
        <v>159900</v>
      </c>
      <c r="N160" s="35">
        <f t="shared" si="8"/>
        <v>0.75</v>
      </c>
      <c r="O160" s="34">
        <f t="shared" si="6"/>
        <v>47970</v>
      </c>
      <c r="P160" s="32" t="s">
        <v>16</v>
      </c>
    </row>
    <row r="161" spans="1:16" x14ac:dyDescent="0.35">
      <c r="A161" s="32" t="str">
        <f t="shared" si="7"/>
        <v>2024 JAN-DEC DISC 75</v>
      </c>
      <c r="B161" s="33">
        <f t="shared" si="7"/>
        <v>46121</v>
      </c>
      <c r="C161" s="33">
        <f t="shared" si="7"/>
        <v>46127</v>
      </c>
      <c r="D161" s="32">
        <v>3321</v>
      </c>
      <c r="E161" s="32">
        <v>337</v>
      </c>
      <c r="F161" s="32">
        <v>4</v>
      </c>
      <c r="G161" s="32">
        <v>1</v>
      </c>
      <c r="H161" s="32">
        <v>81506</v>
      </c>
      <c r="I161" s="32" t="s">
        <v>2689</v>
      </c>
      <c r="J161" s="32">
        <v>17324102</v>
      </c>
      <c r="K161" s="32" t="s">
        <v>3239</v>
      </c>
      <c r="L161" s="38" t="s">
        <v>3241</v>
      </c>
      <c r="M161" s="34">
        <v>159900</v>
      </c>
      <c r="N161" s="35">
        <f t="shared" si="8"/>
        <v>0.75</v>
      </c>
      <c r="O161" s="34">
        <f t="shared" si="6"/>
        <v>47970</v>
      </c>
      <c r="P161" s="32" t="s">
        <v>16</v>
      </c>
    </row>
    <row r="162" spans="1:16" x14ac:dyDescent="0.35">
      <c r="A162" s="32" t="str">
        <f t="shared" si="7"/>
        <v>2024 JAN-DEC DISC 75</v>
      </c>
      <c r="B162" s="33">
        <f t="shared" si="7"/>
        <v>46121</v>
      </c>
      <c r="C162" s="33">
        <f t="shared" si="7"/>
        <v>46127</v>
      </c>
      <c r="D162" s="32">
        <v>3321</v>
      </c>
      <c r="E162" s="32">
        <v>337</v>
      </c>
      <c r="F162" s="32">
        <v>4</v>
      </c>
      <c r="G162" s="32">
        <v>1</v>
      </c>
      <c r="H162" s="32">
        <v>81506</v>
      </c>
      <c r="I162" s="32" t="s">
        <v>2689</v>
      </c>
      <c r="J162" s="32">
        <v>17324120</v>
      </c>
      <c r="K162" s="32" t="s">
        <v>3239</v>
      </c>
      <c r="L162" s="38" t="s">
        <v>3242</v>
      </c>
      <c r="M162" s="34">
        <v>159900</v>
      </c>
      <c r="N162" s="35">
        <f t="shared" si="8"/>
        <v>0.75</v>
      </c>
      <c r="O162" s="34">
        <f t="shared" si="6"/>
        <v>47970</v>
      </c>
      <c r="P162" s="32" t="s">
        <v>16</v>
      </c>
    </row>
    <row r="163" spans="1:16" x14ac:dyDescent="0.35">
      <c r="A163" s="32" t="str">
        <f t="shared" si="7"/>
        <v>2024 JAN-DEC DISC 75</v>
      </c>
      <c r="B163" s="33">
        <f t="shared" si="7"/>
        <v>46121</v>
      </c>
      <c r="C163" s="33">
        <f t="shared" si="7"/>
        <v>46127</v>
      </c>
      <c r="D163" s="32">
        <v>3321</v>
      </c>
      <c r="E163" s="32">
        <v>337</v>
      </c>
      <c r="F163" s="32">
        <v>4</v>
      </c>
      <c r="G163" s="32">
        <v>1</v>
      </c>
      <c r="H163" s="32">
        <v>81506</v>
      </c>
      <c r="I163" s="32" t="s">
        <v>2689</v>
      </c>
      <c r="J163" s="32">
        <v>17324139</v>
      </c>
      <c r="K163" s="32" t="s">
        <v>3243</v>
      </c>
      <c r="L163" s="38" t="s">
        <v>3244</v>
      </c>
      <c r="M163" s="34">
        <v>159900</v>
      </c>
      <c r="N163" s="35">
        <f t="shared" si="8"/>
        <v>0.75</v>
      </c>
      <c r="O163" s="34">
        <f t="shared" si="6"/>
        <v>47970</v>
      </c>
      <c r="P163" s="32" t="s">
        <v>16</v>
      </c>
    </row>
    <row r="164" spans="1:16" x14ac:dyDescent="0.35">
      <c r="A164" s="32" t="str">
        <f t="shared" si="7"/>
        <v>2024 JAN-DEC DISC 75</v>
      </c>
      <c r="B164" s="33">
        <f t="shared" si="7"/>
        <v>46121</v>
      </c>
      <c r="C164" s="33">
        <f t="shared" si="7"/>
        <v>46127</v>
      </c>
      <c r="D164" s="32">
        <v>3321</v>
      </c>
      <c r="E164" s="32">
        <v>337</v>
      </c>
      <c r="F164" s="32">
        <v>4</v>
      </c>
      <c r="G164" s="32">
        <v>1</v>
      </c>
      <c r="H164" s="32">
        <v>81506</v>
      </c>
      <c r="I164" s="32" t="s">
        <v>2689</v>
      </c>
      <c r="J164" s="32">
        <v>17324148</v>
      </c>
      <c r="K164" s="32" t="s">
        <v>3243</v>
      </c>
      <c r="L164" s="38" t="s">
        <v>3245</v>
      </c>
      <c r="M164" s="34">
        <v>159900</v>
      </c>
      <c r="N164" s="35">
        <f t="shared" si="8"/>
        <v>0.75</v>
      </c>
      <c r="O164" s="34">
        <f t="shared" si="6"/>
        <v>47970</v>
      </c>
      <c r="P164" s="32" t="s">
        <v>16</v>
      </c>
    </row>
    <row r="165" spans="1:16" x14ac:dyDescent="0.35">
      <c r="A165" s="32" t="str">
        <f t="shared" si="7"/>
        <v>2024 JAN-DEC DISC 75</v>
      </c>
      <c r="B165" s="33">
        <f t="shared" si="7"/>
        <v>46121</v>
      </c>
      <c r="C165" s="33">
        <f t="shared" si="7"/>
        <v>46127</v>
      </c>
      <c r="D165" s="32">
        <v>3321</v>
      </c>
      <c r="E165" s="32">
        <v>337</v>
      </c>
      <c r="F165" s="32">
        <v>4</v>
      </c>
      <c r="G165" s="32">
        <v>1</v>
      </c>
      <c r="H165" s="32">
        <v>81506</v>
      </c>
      <c r="I165" s="32" t="s">
        <v>2689</v>
      </c>
      <c r="J165" s="32">
        <v>17324157</v>
      </c>
      <c r="K165" s="32" t="s">
        <v>3243</v>
      </c>
      <c r="L165" s="38" t="s">
        <v>3246</v>
      </c>
      <c r="M165" s="34">
        <v>159900</v>
      </c>
      <c r="N165" s="35">
        <f t="shared" si="8"/>
        <v>0.75</v>
      </c>
      <c r="O165" s="34">
        <f t="shared" si="6"/>
        <v>47970</v>
      </c>
      <c r="P165" s="32" t="s">
        <v>16</v>
      </c>
    </row>
    <row r="166" spans="1:16" x14ac:dyDescent="0.35">
      <c r="A166" s="32" t="str">
        <f t="shared" si="7"/>
        <v>2024 JAN-DEC DISC 75</v>
      </c>
      <c r="B166" s="33">
        <f t="shared" si="7"/>
        <v>46121</v>
      </c>
      <c r="C166" s="33">
        <f t="shared" si="7"/>
        <v>46127</v>
      </c>
      <c r="D166" s="32">
        <v>3321</v>
      </c>
      <c r="E166" s="32">
        <v>337</v>
      </c>
      <c r="F166" s="32">
        <v>4</v>
      </c>
      <c r="G166" s="32">
        <v>1</v>
      </c>
      <c r="H166" s="32">
        <v>81506</v>
      </c>
      <c r="I166" s="32" t="s">
        <v>2689</v>
      </c>
      <c r="J166" s="32">
        <v>17324166</v>
      </c>
      <c r="K166" s="32" t="s">
        <v>3243</v>
      </c>
      <c r="L166" s="38" t="s">
        <v>3247</v>
      </c>
      <c r="M166" s="34">
        <v>159900</v>
      </c>
      <c r="N166" s="35">
        <f t="shared" si="8"/>
        <v>0.75</v>
      </c>
      <c r="O166" s="34">
        <f t="shared" si="6"/>
        <v>47970</v>
      </c>
      <c r="P166" s="32" t="s">
        <v>16</v>
      </c>
    </row>
    <row r="167" spans="1:16" x14ac:dyDescent="0.35">
      <c r="A167" s="32" t="str">
        <f t="shared" si="7"/>
        <v>2024 JAN-DEC DISC 75</v>
      </c>
      <c r="B167" s="33">
        <f t="shared" si="7"/>
        <v>46121</v>
      </c>
      <c r="C167" s="33">
        <f t="shared" si="7"/>
        <v>46127</v>
      </c>
      <c r="D167" s="32">
        <v>3321</v>
      </c>
      <c r="E167" s="32">
        <v>337</v>
      </c>
      <c r="F167" s="32">
        <v>4</v>
      </c>
      <c r="G167" s="32">
        <v>1</v>
      </c>
      <c r="H167" s="32">
        <v>81462</v>
      </c>
      <c r="I167" s="32" t="s">
        <v>2689</v>
      </c>
      <c r="J167" s="32">
        <v>17324013</v>
      </c>
      <c r="K167" s="32" t="s">
        <v>3248</v>
      </c>
      <c r="L167" s="38" t="s">
        <v>3249</v>
      </c>
      <c r="M167" s="34">
        <v>149900</v>
      </c>
      <c r="N167" s="35">
        <f t="shared" si="8"/>
        <v>0.75</v>
      </c>
      <c r="O167" s="34">
        <f t="shared" si="6"/>
        <v>44970</v>
      </c>
      <c r="P167" s="32" t="s">
        <v>16</v>
      </c>
    </row>
    <row r="168" spans="1:16" x14ac:dyDescent="0.35">
      <c r="A168" s="32" t="str">
        <f t="shared" si="7"/>
        <v>2024 JAN-DEC DISC 75</v>
      </c>
      <c r="B168" s="33">
        <f t="shared" si="7"/>
        <v>46121</v>
      </c>
      <c r="C168" s="33">
        <f t="shared" si="7"/>
        <v>46127</v>
      </c>
      <c r="D168" s="32">
        <v>3321</v>
      </c>
      <c r="E168" s="32">
        <v>337</v>
      </c>
      <c r="F168" s="32">
        <v>4</v>
      </c>
      <c r="G168" s="32">
        <v>1</v>
      </c>
      <c r="H168" s="32">
        <v>81462</v>
      </c>
      <c r="I168" s="32" t="s">
        <v>2689</v>
      </c>
      <c r="J168" s="32">
        <v>17324022</v>
      </c>
      <c r="K168" s="32" t="s">
        <v>3248</v>
      </c>
      <c r="L168" s="38" t="s">
        <v>3250</v>
      </c>
      <c r="M168" s="34">
        <v>149900</v>
      </c>
      <c r="N168" s="35">
        <f t="shared" si="8"/>
        <v>0.75</v>
      </c>
      <c r="O168" s="34">
        <f t="shared" si="6"/>
        <v>44970</v>
      </c>
      <c r="P168" s="32" t="s">
        <v>16</v>
      </c>
    </row>
    <row r="169" spans="1:16" x14ac:dyDescent="0.35">
      <c r="A169" s="32" t="str">
        <f t="shared" si="7"/>
        <v>2024 JAN-DEC DISC 75</v>
      </c>
      <c r="B169" s="33">
        <f t="shared" si="7"/>
        <v>46121</v>
      </c>
      <c r="C169" s="33">
        <f t="shared" si="7"/>
        <v>46127</v>
      </c>
      <c r="D169" s="32">
        <v>3321</v>
      </c>
      <c r="E169" s="32">
        <v>337</v>
      </c>
      <c r="F169" s="32">
        <v>4</v>
      </c>
      <c r="G169" s="32">
        <v>1</v>
      </c>
      <c r="H169" s="32">
        <v>81462</v>
      </c>
      <c r="I169" s="32" t="s">
        <v>2689</v>
      </c>
      <c r="J169" s="32">
        <v>17324031</v>
      </c>
      <c r="K169" s="32" t="s">
        <v>3248</v>
      </c>
      <c r="L169" s="38" t="s">
        <v>3251</v>
      </c>
      <c r="M169" s="34">
        <v>149900</v>
      </c>
      <c r="N169" s="35">
        <f t="shared" si="8"/>
        <v>0.75</v>
      </c>
      <c r="O169" s="34">
        <f t="shared" si="6"/>
        <v>44970</v>
      </c>
      <c r="P169" s="32" t="s">
        <v>16</v>
      </c>
    </row>
    <row r="170" spans="1:16" x14ac:dyDescent="0.35">
      <c r="A170" s="32" t="str">
        <f t="shared" si="7"/>
        <v>2024 JAN-DEC DISC 75</v>
      </c>
      <c r="B170" s="33">
        <f t="shared" si="7"/>
        <v>46121</v>
      </c>
      <c r="C170" s="33">
        <f t="shared" si="7"/>
        <v>46127</v>
      </c>
      <c r="D170" s="32">
        <v>3321</v>
      </c>
      <c r="E170" s="32">
        <v>337</v>
      </c>
      <c r="F170" s="32">
        <v>4</v>
      </c>
      <c r="G170" s="32">
        <v>1</v>
      </c>
      <c r="H170" s="32">
        <v>81462</v>
      </c>
      <c r="I170" s="32" t="s">
        <v>2689</v>
      </c>
      <c r="J170" s="32">
        <v>17324040</v>
      </c>
      <c r="K170" s="32" t="s">
        <v>3248</v>
      </c>
      <c r="L170" s="38" t="s">
        <v>3252</v>
      </c>
      <c r="M170" s="34">
        <v>149900</v>
      </c>
      <c r="N170" s="35">
        <f t="shared" si="8"/>
        <v>0.75</v>
      </c>
      <c r="O170" s="34">
        <f t="shared" si="6"/>
        <v>44970</v>
      </c>
      <c r="P170" s="32" t="s">
        <v>16</v>
      </c>
    </row>
    <row r="171" spans="1:16" x14ac:dyDescent="0.35">
      <c r="A171" s="32" t="str">
        <f t="shared" si="7"/>
        <v>2024 JAN-DEC DISC 75</v>
      </c>
      <c r="B171" s="33">
        <f t="shared" si="7"/>
        <v>46121</v>
      </c>
      <c r="C171" s="33">
        <f t="shared" si="7"/>
        <v>46127</v>
      </c>
      <c r="D171" s="32">
        <v>3321</v>
      </c>
      <c r="E171" s="32">
        <v>337</v>
      </c>
      <c r="F171" s="32">
        <v>4</v>
      </c>
      <c r="G171" s="32">
        <v>1</v>
      </c>
      <c r="H171" s="32">
        <v>81800</v>
      </c>
      <c r="I171" s="32" t="s">
        <v>2689</v>
      </c>
      <c r="J171" s="32">
        <v>17454203</v>
      </c>
      <c r="K171" s="32" t="s">
        <v>3253</v>
      </c>
      <c r="L171" s="38" t="s">
        <v>3254</v>
      </c>
      <c r="M171" s="34">
        <v>169900</v>
      </c>
      <c r="N171" s="35">
        <f t="shared" si="8"/>
        <v>0.75</v>
      </c>
      <c r="O171" s="34">
        <f t="shared" si="6"/>
        <v>50970</v>
      </c>
      <c r="P171" s="32" t="s">
        <v>16</v>
      </c>
    </row>
    <row r="172" spans="1:16" x14ac:dyDescent="0.35">
      <c r="A172" s="32" t="str">
        <f t="shared" si="7"/>
        <v>2024 JAN-DEC DISC 75</v>
      </c>
      <c r="B172" s="33">
        <f t="shared" si="7"/>
        <v>46121</v>
      </c>
      <c r="C172" s="33">
        <f t="shared" si="7"/>
        <v>46127</v>
      </c>
      <c r="D172" s="32">
        <v>3321</v>
      </c>
      <c r="E172" s="32">
        <v>337</v>
      </c>
      <c r="F172" s="32">
        <v>4</v>
      </c>
      <c r="G172" s="32">
        <v>1</v>
      </c>
      <c r="H172" s="32">
        <v>81800</v>
      </c>
      <c r="I172" s="32" t="s">
        <v>2689</v>
      </c>
      <c r="J172" s="32">
        <v>17454212</v>
      </c>
      <c r="K172" s="32" t="s">
        <v>3253</v>
      </c>
      <c r="L172" s="38" t="s">
        <v>3255</v>
      </c>
      <c r="M172" s="34">
        <v>169900</v>
      </c>
      <c r="N172" s="35">
        <f t="shared" si="8"/>
        <v>0.75</v>
      </c>
      <c r="O172" s="34">
        <f t="shared" si="6"/>
        <v>50970</v>
      </c>
      <c r="P172" s="32" t="s">
        <v>16</v>
      </c>
    </row>
    <row r="173" spans="1:16" x14ac:dyDescent="0.35">
      <c r="A173" s="32" t="str">
        <f t="shared" si="7"/>
        <v>2024 JAN-DEC DISC 75</v>
      </c>
      <c r="B173" s="33">
        <f t="shared" si="7"/>
        <v>46121</v>
      </c>
      <c r="C173" s="33">
        <f t="shared" si="7"/>
        <v>46127</v>
      </c>
      <c r="D173" s="32">
        <v>3321</v>
      </c>
      <c r="E173" s="32">
        <v>337</v>
      </c>
      <c r="F173" s="32">
        <v>4</v>
      </c>
      <c r="G173" s="32">
        <v>1</v>
      </c>
      <c r="H173" s="32">
        <v>81800</v>
      </c>
      <c r="I173" s="32" t="s">
        <v>2689</v>
      </c>
      <c r="J173" s="32">
        <v>17454230</v>
      </c>
      <c r="K173" s="32" t="s">
        <v>3253</v>
      </c>
      <c r="L173" s="38" t="s">
        <v>3256</v>
      </c>
      <c r="M173" s="34">
        <v>169900</v>
      </c>
      <c r="N173" s="35">
        <f t="shared" si="8"/>
        <v>0.75</v>
      </c>
      <c r="O173" s="34">
        <f t="shared" si="6"/>
        <v>50970</v>
      </c>
      <c r="P173" s="32" t="s">
        <v>16</v>
      </c>
    </row>
    <row r="174" spans="1:16" x14ac:dyDescent="0.35">
      <c r="A174" s="32" t="str">
        <f t="shared" si="7"/>
        <v>2024 JAN-DEC DISC 75</v>
      </c>
      <c r="B174" s="33">
        <f t="shared" si="7"/>
        <v>46121</v>
      </c>
      <c r="C174" s="33">
        <f t="shared" si="7"/>
        <v>46127</v>
      </c>
      <c r="D174" s="32">
        <v>3321</v>
      </c>
      <c r="E174" s="32">
        <v>337</v>
      </c>
      <c r="F174" s="32">
        <v>4</v>
      </c>
      <c r="G174" s="32">
        <v>4</v>
      </c>
      <c r="H174" s="32">
        <v>81419</v>
      </c>
      <c r="I174" s="32" t="s">
        <v>2689</v>
      </c>
      <c r="J174" s="32">
        <v>14608598</v>
      </c>
      <c r="K174" s="32" t="s">
        <v>3257</v>
      </c>
      <c r="L174" s="38" t="s">
        <v>3258</v>
      </c>
      <c r="M174" s="34">
        <v>249900</v>
      </c>
      <c r="N174" s="35">
        <f t="shared" si="8"/>
        <v>0.75</v>
      </c>
      <c r="O174" s="34">
        <f t="shared" si="6"/>
        <v>74970</v>
      </c>
      <c r="P174" s="32" t="s">
        <v>16</v>
      </c>
    </row>
    <row r="175" spans="1:16" x14ac:dyDescent="0.35">
      <c r="A175" s="32" t="str">
        <f t="shared" si="7"/>
        <v>2024 JAN-DEC DISC 75</v>
      </c>
      <c r="B175" s="33">
        <f t="shared" si="7"/>
        <v>46121</v>
      </c>
      <c r="C175" s="33">
        <f t="shared" si="7"/>
        <v>46127</v>
      </c>
      <c r="D175" s="32">
        <v>3321</v>
      </c>
      <c r="E175" s="32">
        <v>337</v>
      </c>
      <c r="F175" s="32">
        <v>4</v>
      </c>
      <c r="G175" s="32">
        <v>4</v>
      </c>
      <c r="H175" s="32">
        <v>81419</v>
      </c>
      <c r="I175" s="32" t="s">
        <v>2689</v>
      </c>
      <c r="J175" s="32">
        <v>14608605</v>
      </c>
      <c r="K175" s="32" t="s">
        <v>3257</v>
      </c>
      <c r="L175" s="38" t="s">
        <v>3259</v>
      </c>
      <c r="M175" s="34">
        <v>249900</v>
      </c>
      <c r="N175" s="35">
        <f t="shared" si="8"/>
        <v>0.75</v>
      </c>
      <c r="O175" s="34">
        <f t="shared" si="6"/>
        <v>74970</v>
      </c>
      <c r="P175" s="32" t="s">
        <v>16</v>
      </c>
    </row>
    <row r="176" spans="1:16" x14ac:dyDescent="0.35">
      <c r="A176" s="32" t="str">
        <f t="shared" si="7"/>
        <v>2024 JAN-DEC DISC 75</v>
      </c>
      <c r="B176" s="33">
        <f t="shared" si="7"/>
        <v>46121</v>
      </c>
      <c r="C176" s="33">
        <f t="shared" si="7"/>
        <v>46127</v>
      </c>
      <c r="D176" s="32">
        <v>3321</v>
      </c>
      <c r="E176" s="32">
        <v>337</v>
      </c>
      <c r="F176" s="32">
        <v>4</v>
      </c>
      <c r="G176" s="32">
        <v>4</v>
      </c>
      <c r="H176" s="32">
        <v>81419</v>
      </c>
      <c r="I176" s="32" t="s">
        <v>2689</v>
      </c>
      <c r="J176" s="32">
        <v>14608614</v>
      </c>
      <c r="K176" s="32" t="s">
        <v>3257</v>
      </c>
      <c r="L176" s="38" t="s">
        <v>3260</v>
      </c>
      <c r="M176" s="34">
        <v>249900</v>
      </c>
      <c r="N176" s="35">
        <f t="shared" si="8"/>
        <v>0.75</v>
      </c>
      <c r="O176" s="34">
        <f t="shared" si="6"/>
        <v>74970</v>
      </c>
      <c r="P176" s="32" t="s">
        <v>16</v>
      </c>
    </row>
    <row r="177" spans="1:16" x14ac:dyDescent="0.35">
      <c r="A177" s="32" t="str">
        <f t="shared" si="7"/>
        <v>2024 JAN-DEC DISC 75</v>
      </c>
      <c r="B177" s="33">
        <f t="shared" si="7"/>
        <v>46121</v>
      </c>
      <c r="C177" s="33">
        <f t="shared" si="7"/>
        <v>46127</v>
      </c>
      <c r="D177" s="32">
        <v>3321</v>
      </c>
      <c r="E177" s="32">
        <v>337</v>
      </c>
      <c r="F177" s="32">
        <v>4</v>
      </c>
      <c r="G177" s="32">
        <v>4</v>
      </c>
      <c r="H177" s="32">
        <v>81419</v>
      </c>
      <c r="I177" s="32" t="s">
        <v>2689</v>
      </c>
      <c r="J177" s="32">
        <v>14608623</v>
      </c>
      <c r="K177" s="32" t="s">
        <v>3257</v>
      </c>
      <c r="L177" s="38" t="s">
        <v>3261</v>
      </c>
      <c r="M177" s="34">
        <v>249900</v>
      </c>
      <c r="N177" s="35">
        <f t="shared" si="8"/>
        <v>0.75</v>
      </c>
      <c r="O177" s="34">
        <f t="shared" si="6"/>
        <v>74970</v>
      </c>
      <c r="P177" s="32" t="s">
        <v>16</v>
      </c>
    </row>
    <row r="178" spans="1:16" x14ac:dyDescent="0.35">
      <c r="A178" s="32" t="str">
        <f t="shared" si="7"/>
        <v>2024 JAN-DEC DISC 75</v>
      </c>
      <c r="B178" s="33">
        <f t="shared" si="7"/>
        <v>46121</v>
      </c>
      <c r="C178" s="33">
        <f t="shared" si="7"/>
        <v>46127</v>
      </c>
      <c r="D178" s="32">
        <v>3321</v>
      </c>
      <c r="E178" s="32">
        <v>337</v>
      </c>
      <c r="F178" s="32">
        <v>4</v>
      </c>
      <c r="G178" s="32">
        <v>1</v>
      </c>
      <c r="H178" s="32">
        <v>81800</v>
      </c>
      <c r="I178" s="32" t="s">
        <v>2689</v>
      </c>
      <c r="J178" s="32">
        <v>18419722</v>
      </c>
      <c r="K178" s="32" t="s">
        <v>3523</v>
      </c>
      <c r="L178" s="38" t="s">
        <v>3524</v>
      </c>
      <c r="M178" s="34">
        <v>169900</v>
      </c>
      <c r="N178" s="35">
        <f t="shared" si="8"/>
        <v>0.75</v>
      </c>
      <c r="O178" s="34">
        <f t="shared" si="6"/>
        <v>50970</v>
      </c>
      <c r="P178" s="32" t="s">
        <v>16</v>
      </c>
    </row>
    <row r="179" spans="1:16" x14ac:dyDescent="0.35">
      <c r="A179" s="32" t="str">
        <f t="shared" si="7"/>
        <v>2024 JAN-DEC DISC 75</v>
      </c>
      <c r="B179" s="33">
        <f t="shared" si="7"/>
        <v>46121</v>
      </c>
      <c r="C179" s="33">
        <f t="shared" si="7"/>
        <v>46127</v>
      </c>
      <c r="D179" s="32">
        <v>3321</v>
      </c>
      <c r="E179" s="32">
        <v>337</v>
      </c>
      <c r="F179" s="32">
        <v>4</v>
      </c>
      <c r="G179" s="32">
        <v>1</v>
      </c>
      <c r="H179" s="32">
        <v>81800</v>
      </c>
      <c r="I179" s="32" t="s">
        <v>2689</v>
      </c>
      <c r="J179" s="32">
        <v>18419731</v>
      </c>
      <c r="K179" s="32" t="s">
        <v>3523</v>
      </c>
      <c r="L179" s="38" t="s">
        <v>3525</v>
      </c>
      <c r="M179" s="34">
        <v>169900</v>
      </c>
      <c r="N179" s="35">
        <f t="shared" si="8"/>
        <v>0.75</v>
      </c>
      <c r="O179" s="34">
        <f t="shared" si="6"/>
        <v>50970</v>
      </c>
      <c r="P179" s="32" t="s">
        <v>16</v>
      </c>
    </row>
    <row r="180" spans="1:16" x14ac:dyDescent="0.35">
      <c r="A180" s="32" t="str">
        <f t="shared" si="7"/>
        <v>2024 JAN-DEC DISC 75</v>
      </c>
      <c r="B180" s="33">
        <f t="shared" si="7"/>
        <v>46121</v>
      </c>
      <c r="C180" s="33">
        <f t="shared" si="7"/>
        <v>46127</v>
      </c>
      <c r="D180" s="32">
        <v>3321</v>
      </c>
      <c r="E180" s="32">
        <v>337</v>
      </c>
      <c r="F180" s="32">
        <v>4</v>
      </c>
      <c r="G180" s="32">
        <v>1</v>
      </c>
      <c r="H180" s="32">
        <v>81800</v>
      </c>
      <c r="I180" s="32" t="s">
        <v>2689</v>
      </c>
      <c r="J180" s="32">
        <v>18419740</v>
      </c>
      <c r="K180" s="32" t="s">
        <v>3523</v>
      </c>
      <c r="L180" s="38" t="s">
        <v>3526</v>
      </c>
      <c r="M180" s="34">
        <v>169900</v>
      </c>
      <c r="N180" s="35">
        <f t="shared" si="8"/>
        <v>0.75</v>
      </c>
      <c r="O180" s="34">
        <f t="shared" si="6"/>
        <v>50970</v>
      </c>
      <c r="P180" s="32" t="s">
        <v>16</v>
      </c>
    </row>
    <row r="181" spans="1:16" x14ac:dyDescent="0.35">
      <c r="A181" s="32" t="str">
        <f t="shared" si="7"/>
        <v>2024 JAN-DEC DISC 75</v>
      </c>
      <c r="B181" s="33">
        <f t="shared" si="7"/>
        <v>46121</v>
      </c>
      <c r="C181" s="33">
        <f t="shared" si="7"/>
        <v>46127</v>
      </c>
      <c r="D181" s="32">
        <v>3321</v>
      </c>
      <c r="E181" s="32">
        <v>337</v>
      </c>
      <c r="F181" s="32">
        <v>4</v>
      </c>
      <c r="G181" s="32">
        <v>1</v>
      </c>
      <c r="H181" s="32">
        <v>81800</v>
      </c>
      <c r="I181" s="32" t="s">
        <v>2689</v>
      </c>
      <c r="J181" s="32">
        <v>18419759</v>
      </c>
      <c r="K181" s="32" t="s">
        <v>3523</v>
      </c>
      <c r="L181" s="38" t="s">
        <v>3527</v>
      </c>
      <c r="M181" s="34">
        <v>169900</v>
      </c>
      <c r="N181" s="35">
        <f t="shared" si="8"/>
        <v>0.75</v>
      </c>
      <c r="O181" s="34">
        <f t="shared" si="6"/>
        <v>50970</v>
      </c>
      <c r="P181" s="32" t="s">
        <v>16</v>
      </c>
    </row>
    <row r="182" spans="1:16" x14ac:dyDescent="0.35">
      <c r="A182" s="32" t="str">
        <f t="shared" si="7"/>
        <v>2024 JAN-DEC DISC 75</v>
      </c>
      <c r="B182" s="33">
        <f t="shared" si="7"/>
        <v>46121</v>
      </c>
      <c r="C182" s="33">
        <f t="shared" si="7"/>
        <v>46127</v>
      </c>
      <c r="D182" s="32">
        <v>3321</v>
      </c>
      <c r="E182" s="32">
        <v>337</v>
      </c>
      <c r="F182" s="32">
        <v>4</v>
      </c>
      <c r="G182" s="32">
        <v>3</v>
      </c>
      <c r="H182" s="32">
        <v>81421</v>
      </c>
      <c r="I182" s="32" t="s">
        <v>2689</v>
      </c>
      <c r="J182" s="32">
        <v>17454329</v>
      </c>
      <c r="K182" s="32" t="s">
        <v>3528</v>
      </c>
      <c r="L182" s="38" t="s">
        <v>3529</v>
      </c>
      <c r="M182" s="34">
        <v>269900</v>
      </c>
      <c r="N182" s="35">
        <f t="shared" si="8"/>
        <v>0.75</v>
      </c>
      <c r="O182" s="34">
        <f t="shared" si="6"/>
        <v>80970</v>
      </c>
      <c r="P182" s="32" t="s">
        <v>16</v>
      </c>
    </row>
    <row r="183" spans="1:16" x14ac:dyDescent="0.35">
      <c r="A183" s="32" t="str">
        <f t="shared" si="7"/>
        <v>2024 JAN-DEC DISC 75</v>
      </c>
      <c r="B183" s="33">
        <f t="shared" si="7"/>
        <v>46121</v>
      </c>
      <c r="C183" s="33">
        <f t="shared" si="7"/>
        <v>46127</v>
      </c>
      <c r="D183" s="32">
        <v>3321</v>
      </c>
      <c r="E183" s="32">
        <v>337</v>
      </c>
      <c r="F183" s="32">
        <v>4</v>
      </c>
      <c r="G183" s="32">
        <v>3</v>
      </c>
      <c r="H183" s="32">
        <v>81421</v>
      </c>
      <c r="I183" s="32" t="s">
        <v>2689</v>
      </c>
      <c r="J183" s="32">
        <v>17454338</v>
      </c>
      <c r="K183" s="32" t="s">
        <v>3528</v>
      </c>
      <c r="L183" s="38" t="s">
        <v>3530</v>
      </c>
      <c r="M183" s="34">
        <v>269900</v>
      </c>
      <c r="N183" s="35">
        <f t="shared" si="8"/>
        <v>0.75</v>
      </c>
      <c r="O183" s="34">
        <f t="shared" si="6"/>
        <v>80970</v>
      </c>
      <c r="P183" s="32" t="s">
        <v>16</v>
      </c>
    </row>
    <row r="184" spans="1:16" x14ac:dyDescent="0.35">
      <c r="A184" s="32" t="str">
        <f t="shared" si="7"/>
        <v>2024 JAN-DEC DISC 75</v>
      </c>
      <c r="B184" s="33">
        <f t="shared" si="7"/>
        <v>46121</v>
      </c>
      <c r="C184" s="33">
        <f t="shared" si="7"/>
        <v>46127</v>
      </c>
      <c r="D184" s="32">
        <v>3321</v>
      </c>
      <c r="E184" s="32">
        <v>337</v>
      </c>
      <c r="F184" s="32">
        <v>4</v>
      </c>
      <c r="G184" s="32">
        <v>3</v>
      </c>
      <c r="H184" s="32">
        <v>81421</v>
      </c>
      <c r="I184" s="32" t="s">
        <v>2689</v>
      </c>
      <c r="J184" s="32">
        <v>17454347</v>
      </c>
      <c r="K184" s="32" t="s">
        <v>3528</v>
      </c>
      <c r="L184" s="38" t="s">
        <v>3531</v>
      </c>
      <c r="M184" s="34">
        <v>269900</v>
      </c>
      <c r="N184" s="35">
        <f t="shared" si="8"/>
        <v>0.75</v>
      </c>
      <c r="O184" s="34">
        <f t="shared" si="6"/>
        <v>80970</v>
      </c>
      <c r="P184" s="32" t="s">
        <v>16</v>
      </c>
    </row>
    <row r="185" spans="1:16" x14ac:dyDescent="0.35">
      <c r="A185" s="32" t="str">
        <f t="shared" si="7"/>
        <v>2024 JAN-DEC DISC 75</v>
      </c>
      <c r="B185" s="33">
        <f t="shared" si="7"/>
        <v>46121</v>
      </c>
      <c r="C185" s="33">
        <f t="shared" si="7"/>
        <v>46127</v>
      </c>
      <c r="D185" s="32">
        <v>3321</v>
      </c>
      <c r="E185" s="32">
        <v>337</v>
      </c>
      <c r="F185" s="32">
        <v>4</v>
      </c>
      <c r="G185" s="32">
        <v>3</v>
      </c>
      <c r="H185" s="32">
        <v>81421</v>
      </c>
      <c r="I185" s="32" t="s">
        <v>2689</v>
      </c>
      <c r="J185" s="32">
        <v>17454356</v>
      </c>
      <c r="K185" s="32" t="s">
        <v>3528</v>
      </c>
      <c r="L185" s="38" t="s">
        <v>3532</v>
      </c>
      <c r="M185" s="34">
        <v>269900</v>
      </c>
      <c r="N185" s="35">
        <f t="shared" si="8"/>
        <v>0.75</v>
      </c>
      <c r="O185" s="34">
        <f t="shared" si="6"/>
        <v>80970</v>
      </c>
      <c r="P185" s="32" t="s">
        <v>16</v>
      </c>
    </row>
    <row r="186" spans="1:16" x14ac:dyDescent="0.35">
      <c r="A186" s="32" t="str">
        <f t="shared" si="7"/>
        <v>2024 JAN-DEC DISC 75</v>
      </c>
      <c r="B186" s="33">
        <f t="shared" si="7"/>
        <v>46121</v>
      </c>
      <c r="C186" s="33">
        <f t="shared" si="7"/>
        <v>46127</v>
      </c>
      <c r="D186" s="32">
        <v>3321</v>
      </c>
      <c r="E186" s="32">
        <v>337</v>
      </c>
      <c r="F186" s="32">
        <v>4</v>
      </c>
      <c r="G186" s="32">
        <v>3</v>
      </c>
      <c r="H186" s="32">
        <v>81800</v>
      </c>
      <c r="I186" s="32" t="s">
        <v>2689</v>
      </c>
      <c r="J186" s="32">
        <v>16572275</v>
      </c>
      <c r="K186" s="32" t="s">
        <v>3533</v>
      </c>
      <c r="L186" s="38" t="s">
        <v>3534</v>
      </c>
      <c r="M186" s="34">
        <v>239900</v>
      </c>
      <c r="N186" s="35">
        <f t="shared" si="8"/>
        <v>0.75</v>
      </c>
      <c r="O186" s="34">
        <f t="shared" si="6"/>
        <v>71970</v>
      </c>
      <c r="P186" s="32" t="s">
        <v>16</v>
      </c>
    </row>
    <row r="187" spans="1:16" x14ac:dyDescent="0.35">
      <c r="A187" s="32" t="str">
        <f t="shared" si="7"/>
        <v>2024 JAN-DEC DISC 75</v>
      </c>
      <c r="B187" s="33">
        <f t="shared" si="7"/>
        <v>46121</v>
      </c>
      <c r="C187" s="33">
        <f t="shared" si="7"/>
        <v>46127</v>
      </c>
      <c r="D187" s="32">
        <v>3321</v>
      </c>
      <c r="E187" s="32">
        <v>337</v>
      </c>
      <c r="F187" s="32">
        <v>4</v>
      </c>
      <c r="G187" s="32">
        <v>3</v>
      </c>
      <c r="H187" s="32">
        <v>81800</v>
      </c>
      <c r="I187" s="32" t="s">
        <v>2689</v>
      </c>
      <c r="J187" s="32">
        <v>16572284</v>
      </c>
      <c r="K187" s="32" t="s">
        <v>3533</v>
      </c>
      <c r="L187" s="38" t="s">
        <v>3535</v>
      </c>
      <c r="M187" s="34">
        <v>239900</v>
      </c>
      <c r="N187" s="35">
        <f t="shared" si="8"/>
        <v>0.75</v>
      </c>
      <c r="O187" s="34">
        <f t="shared" si="6"/>
        <v>71970</v>
      </c>
      <c r="P187" s="32" t="s">
        <v>16</v>
      </c>
    </row>
    <row r="188" spans="1:16" x14ac:dyDescent="0.35">
      <c r="A188" s="32" t="str">
        <f t="shared" si="7"/>
        <v>2024 JAN-DEC DISC 75</v>
      </c>
      <c r="B188" s="33">
        <f t="shared" si="7"/>
        <v>46121</v>
      </c>
      <c r="C188" s="33">
        <f t="shared" si="7"/>
        <v>46127</v>
      </c>
      <c r="D188" s="32">
        <v>3321</v>
      </c>
      <c r="E188" s="32">
        <v>337</v>
      </c>
      <c r="F188" s="32">
        <v>4</v>
      </c>
      <c r="G188" s="32">
        <v>3</v>
      </c>
      <c r="H188" s="32">
        <v>81800</v>
      </c>
      <c r="I188" s="32" t="s">
        <v>2689</v>
      </c>
      <c r="J188" s="32">
        <v>16572293</v>
      </c>
      <c r="K188" s="32" t="s">
        <v>3533</v>
      </c>
      <c r="L188" s="38" t="s">
        <v>3536</v>
      </c>
      <c r="M188" s="34">
        <v>239900</v>
      </c>
      <c r="N188" s="35">
        <f t="shared" si="8"/>
        <v>0.75</v>
      </c>
      <c r="O188" s="34">
        <f t="shared" si="6"/>
        <v>71970</v>
      </c>
      <c r="P188" s="32" t="s">
        <v>16</v>
      </c>
    </row>
    <row r="189" spans="1:16" x14ac:dyDescent="0.35">
      <c r="A189" s="32" t="str">
        <f t="shared" si="7"/>
        <v>2024 JAN-DEC DISC 75</v>
      </c>
      <c r="B189" s="33">
        <f t="shared" si="7"/>
        <v>46121</v>
      </c>
      <c r="C189" s="33">
        <f t="shared" si="7"/>
        <v>46127</v>
      </c>
      <c r="D189" s="32">
        <v>3321</v>
      </c>
      <c r="E189" s="32">
        <v>337</v>
      </c>
      <c r="F189" s="32">
        <v>4</v>
      </c>
      <c r="G189" s="32">
        <v>3</v>
      </c>
      <c r="H189" s="32">
        <v>81800</v>
      </c>
      <c r="I189" s="32" t="s">
        <v>2689</v>
      </c>
      <c r="J189" s="32">
        <v>16572300</v>
      </c>
      <c r="K189" s="32" t="s">
        <v>3533</v>
      </c>
      <c r="L189" s="38" t="s">
        <v>3537</v>
      </c>
      <c r="M189" s="34">
        <v>239900</v>
      </c>
      <c r="N189" s="35">
        <f t="shared" si="8"/>
        <v>0.75</v>
      </c>
      <c r="O189" s="34">
        <f t="shared" si="6"/>
        <v>71970</v>
      </c>
      <c r="P189" s="32" t="s">
        <v>16</v>
      </c>
    </row>
    <row r="190" spans="1:16" x14ac:dyDescent="0.35">
      <c r="A190" s="32" t="str">
        <f t="shared" si="7"/>
        <v>2024 JAN-DEC DISC 75</v>
      </c>
      <c r="B190" s="33">
        <f t="shared" si="7"/>
        <v>46121</v>
      </c>
      <c r="C190" s="33">
        <f t="shared" si="7"/>
        <v>46127</v>
      </c>
      <c r="D190" s="32">
        <v>3321</v>
      </c>
      <c r="E190" s="32">
        <v>337</v>
      </c>
      <c r="F190" s="32">
        <v>4</v>
      </c>
      <c r="G190" s="32">
        <v>3</v>
      </c>
      <c r="H190" s="32">
        <v>81800</v>
      </c>
      <c r="I190" s="32" t="s">
        <v>2689</v>
      </c>
      <c r="J190" s="32">
        <v>18718739</v>
      </c>
      <c r="K190" s="32" t="s">
        <v>3538</v>
      </c>
      <c r="L190" s="38" t="s">
        <v>3539</v>
      </c>
      <c r="M190" s="34">
        <v>239900</v>
      </c>
      <c r="N190" s="35">
        <f t="shared" si="8"/>
        <v>0.75</v>
      </c>
      <c r="O190" s="34">
        <f t="shared" si="6"/>
        <v>71970</v>
      </c>
      <c r="P190" s="32" t="s">
        <v>16</v>
      </c>
    </row>
    <row r="191" spans="1:16" x14ac:dyDescent="0.35">
      <c r="A191" s="32" t="str">
        <f t="shared" si="7"/>
        <v>2024 JAN-DEC DISC 75</v>
      </c>
      <c r="B191" s="33">
        <f t="shared" si="7"/>
        <v>46121</v>
      </c>
      <c r="C191" s="33">
        <f t="shared" si="7"/>
        <v>46127</v>
      </c>
      <c r="D191" s="32">
        <v>3321</v>
      </c>
      <c r="E191" s="32">
        <v>337</v>
      </c>
      <c r="F191" s="32">
        <v>4</v>
      </c>
      <c r="G191" s="32">
        <v>3</v>
      </c>
      <c r="H191" s="32">
        <v>81800</v>
      </c>
      <c r="I191" s="32" t="s">
        <v>2689</v>
      </c>
      <c r="J191" s="32">
        <v>18718748</v>
      </c>
      <c r="K191" s="32" t="s">
        <v>3538</v>
      </c>
      <c r="L191" s="38" t="s">
        <v>3540</v>
      </c>
      <c r="M191" s="34">
        <v>239900</v>
      </c>
      <c r="N191" s="35">
        <f t="shared" si="8"/>
        <v>0.75</v>
      </c>
      <c r="O191" s="34">
        <f t="shared" si="6"/>
        <v>71970</v>
      </c>
      <c r="P191" s="32" t="s">
        <v>16</v>
      </c>
    </row>
    <row r="192" spans="1:16" x14ac:dyDescent="0.35">
      <c r="A192" s="32" t="str">
        <f t="shared" si="7"/>
        <v>2024 JAN-DEC DISC 75</v>
      </c>
      <c r="B192" s="33">
        <f t="shared" si="7"/>
        <v>46121</v>
      </c>
      <c r="C192" s="33">
        <f t="shared" si="7"/>
        <v>46127</v>
      </c>
      <c r="D192" s="32">
        <v>3321</v>
      </c>
      <c r="E192" s="32">
        <v>337</v>
      </c>
      <c r="F192" s="32">
        <v>4</v>
      </c>
      <c r="G192" s="32">
        <v>3</v>
      </c>
      <c r="H192" s="32">
        <v>81800</v>
      </c>
      <c r="I192" s="32" t="s">
        <v>2689</v>
      </c>
      <c r="J192" s="32">
        <v>18718757</v>
      </c>
      <c r="K192" s="32" t="s">
        <v>3538</v>
      </c>
      <c r="L192" s="38" t="s">
        <v>3541</v>
      </c>
      <c r="M192" s="34">
        <v>239900</v>
      </c>
      <c r="N192" s="35">
        <f t="shared" si="8"/>
        <v>0.75</v>
      </c>
      <c r="O192" s="34">
        <f t="shared" si="6"/>
        <v>71970</v>
      </c>
      <c r="P192" s="32" t="s">
        <v>16</v>
      </c>
    </row>
    <row r="193" spans="1:16" x14ac:dyDescent="0.35">
      <c r="A193" s="32" t="str">
        <f t="shared" si="7"/>
        <v>2024 JAN-DEC DISC 75</v>
      </c>
      <c r="B193" s="33">
        <f t="shared" si="7"/>
        <v>46121</v>
      </c>
      <c r="C193" s="33">
        <f t="shared" si="7"/>
        <v>46127</v>
      </c>
      <c r="D193" s="32">
        <v>3321</v>
      </c>
      <c r="E193" s="32">
        <v>337</v>
      </c>
      <c r="F193" s="32">
        <v>4</v>
      </c>
      <c r="G193" s="32">
        <v>3</v>
      </c>
      <c r="H193" s="32">
        <v>81800</v>
      </c>
      <c r="I193" s="32" t="s">
        <v>2689</v>
      </c>
      <c r="J193" s="32">
        <v>18718766</v>
      </c>
      <c r="K193" s="32" t="s">
        <v>3538</v>
      </c>
      <c r="L193" s="38" t="s">
        <v>3542</v>
      </c>
      <c r="M193" s="34">
        <v>239900</v>
      </c>
      <c r="N193" s="35">
        <f t="shared" si="8"/>
        <v>0.75</v>
      </c>
      <c r="O193" s="34">
        <f t="shared" si="6"/>
        <v>71970</v>
      </c>
      <c r="P193" s="32" t="s">
        <v>16</v>
      </c>
    </row>
    <row r="194" spans="1:16" x14ac:dyDescent="0.35">
      <c r="A194" s="32" t="str">
        <f t="shared" si="7"/>
        <v>2024 JAN-DEC DISC 75</v>
      </c>
      <c r="B194" s="33">
        <f t="shared" si="7"/>
        <v>46121</v>
      </c>
      <c r="C194" s="33">
        <f t="shared" si="7"/>
        <v>46127</v>
      </c>
      <c r="D194" s="32">
        <v>3321</v>
      </c>
      <c r="E194" s="32">
        <v>337</v>
      </c>
      <c r="F194" s="32">
        <v>4</v>
      </c>
      <c r="G194" s="32">
        <v>4</v>
      </c>
      <c r="H194" s="32">
        <v>81421</v>
      </c>
      <c r="I194" s="32" t="s">
        <v>2689</v>
      </c>
      <c r="J194" s="32">
        <v>17454365</v>
      </c>
      <c r="K194" s="32" t="s">
        <v>3543</v>
      </c>
      <c r="L194" s="38" t="s">
        <v>3544</v>
      </c>
      <c r="M194" s="34">
        <v>219900</v>
      </c>
      <c r="N194" s="35">
        <f t="shared" si="8"/>
        <v>0.75</v>
      </c>
      <c r="O194" s="34">
        <f t="shared" si="6"/>
        <v>65970</v>
      </c>
      <c r="P194" s="32" t="s">
        <v>16</v>
      </c>
    </row>
    <row r="195" spans="1:16" x14ac:dyDescent="0.35">
      <c r="A195" s="32" t="str">
        <f t="shared" si="7"/>
        <v>2024 JAN-DEC DISC 75</v>
      </c>
      <c r="B195" s="33">
        <f t="shared" si="7"/>
        <v>46121</v>
      </c>
      <c r="C195" s="33">
        <f t="shared" si="7"/>
        <v>46127</v>
      </c>
      <c r="D195" s="32">
        <v>3321</v>
      </c>
      <c r="E195" s="32">
        <v>337</v>
      </c>
      <c r="F195" s="32">
        <v>4</v>
      </c>
      <c r="G195" s="32">
        <v>4</v>
      </c>
      <c r="H195" s="32">
        <v>81421</v>
      </c>
      <c r="I195" s="32" t="s">
        <v>2689</v>
      </c>
      <c r="J195" s="32">
        <v>17454374</v>
      </c>
      <c r="K195" s="32" t="s">
        <v>3543</v>
      </c>
      <c r="L195" s="38" t="s">
        <v>3545</v>
      </c>
      <c r="M195" s="34">
        <v>219900</v>
      </c>
      <c r="N195" s="35">
        <f t="shared" si="8"/>
        <v>0.75</v>
      </c>
      <c r="O195" s="34">
        <f t="shared" ref="O195:O258" si="9">M195-((70*M195))/100</f>
        <v>65970</v>
      </c>
      <c r="P195" s="32" t="s">
        <v>16</v>
      </c>
    </row>
    <row r="196" spans="1:16" x14ac:dyDescent="0.35">
      <c r="A196" s="32" t="str">
        <f t="shared" ref="A196:C230" si="10">A195</f>
        <v>2024 JAN-DEC DISC 75</v>
      </c>
      <c r="B196" s="33">
        <f t="shared" si="10"/>
        <v>46121</v>
      </c>
      <c r="C196" s="33">
        <f t="shared" si="10"/>
        <v>46127</v>
      </c>
      <c r="D196" s="32">
        <v>3321</v>
      </c>
      <c r="E196" s="32">
        <v>337</v>
      </c>
      <c r="F196" s="32">
        <v>4</v>
      </c>
      <c r="G196" s="32">
        <v>4</v>
      </c>
      <c r="H196" s="32">
        <v>81421</v>
      </c>
      <c r="I196" s="32" t="s">
        <v>2689</v>
      </c>
      <c r="J196" s="32">
        <v>17454383</v>
      </c>
      <c r="K196" s="32" t="s">
        <v>3543</v>
      </c>
      <c r="L196" s="38" t="s">
        <v>3546</v>
      </c>
      <c r="M196" s="34">
        <v>219900</v>
      </c>
      <c r="N196" s="35">
        <f t="shared" ref="N196:N259" si="11">N195</f>
        <v>0.75</v>
      </c>
      <c r="O196" s="34">
        <f t="shared" si="9"/>
        <v>65970</v>
      </c>
      <c r="P196" s="32" t="s">
        <v>16</v>
      </c>
    </row>
    <row r="197" spans="1:16" x14ac:dyDescent="0.35">
      <c r="A197" s="32" t="str">
        <f t="shared" si="10"/>
        <v>2024 JAN-DEC DISC 75</v>
      </c>
      <c r="B197" s="33">
        <f t="shared" si="10"/>
        <v>46121</v>
      </c>
      <c r="C197" s="33">
        <f t="shared" si="10"/>
        <v>46127</v>
      </c>
      <c r="D197" s="32">
        <v>3321</v>
      </c>
      <c r="E197" s="32">
        <v>337</v>
      </c>
      <c r="F197" s="32">
        <v>4</v>
      </c>
      <c r="G197" s="32">
        <v>4</v>
      </c>
      <c r="H197" s="32">
        <v>81421</v>
      </c>
      <c r="I197" s="32" t="s">
        <v>2689</v>
      </c>
      <c r="J197" s="32">
        <v>17454392</v>
      </c>
      <c r="K197" s="32" t="s">
        <v>3543</v>
      </c>
      <c r="L197" s="38" t="s">
        <v>3547</v>
      </c>
      <c r="M197" s="34">
        <v>219900</v>
      </c>
      <c r="N197" s="35">
        <f t="shared" si="11"/>
        <v>0.75</v>
      </c>
      <c r="O197" s="34">
        <f t="shared" si="9"/>
        <v>65970</v>
      </c>
      <c r="P197" s="32" t="s">
        <v>16</v>
      </c>
    </row>
    <row r="198" spans="1:16" x14ac:dyDescent="0.35">
      <c r="A198" s="32" t="str">
        <f t="shared" si="10"/>
        <v>2024 JAN-DEC DISC 75</v>
      </c>
      <c r="B198" s="33">
        <f t="shared" si="10"/>
        <v>46121</v>
      </c>
      <c r="C198" s="33">
        <f t="shared" si="10"/>
        <v>46127</v>
      </c>
      <c r="D198" s="32">
        <v>3321</v>
      </c>
      <c r="E198" s="32">
        <v>337</v>
      </c>
      <c r="F198" s="32">
        <v>4</v>
      </c>
      <c r="G198" s="32">
        <v>1</v>
      </c>
      <c r="H198" s="32">
        <v>81146</v>
      </c>
      <c r="I198" s="32" t="s">
        <v>2689</v>
      </c>
      <c r="J198" s="32">
        <v>18419768</v>
      </c>
      <c r="K198" s="32" t="s">
        <v>3424</v>
      </c>
      <c r="L198" s="38" t="s">
        <v>3425</v>
      </c>
      <c r="M198" s="34">
        <v>149900</v>
      </c>
      <c r="N198" s="35">
        <f t="shared" si="11"/>
        <v>0.75</v>
      </c>
      <c r="O198" s="34">
        <f t="shared" si="9"/>
        <v>44970</v>
      </c>
      <c r="P198" s="32" t="s">
        <v>16</v>
      </c>
    </row>
    <row r="199" spans="1:16" x14ac:dyDescent="0.35">
      <c r="A199" s="32" t="str">
        <f t="shared" si="10"/>
        <v>2024 JAN-DEC DISC 75</v>
      </c>
      <c r="B199" s="33">
        <f t="shared" si="10"/>
        <v>46121</v>
      </c>
      <c r="C199" s="33">
        <f t="shared" si="10"/>
        <v>46127</v>
      </c>
      <c r="D199" s="32">
        <v>3321</v>
      </c>
      <c r="E199" s="32">
        <v>337</v>
      </c>
      <c r="F199" s="32">
        <v>4</v>
      </c>
      <c r="G199" s="32">
        <v>1</v>
      </c>
      <c r="H199" s="32">
        <v>81146</v>
      </c>
      <c r="I199" s="32" t="s">
        <v>2689</v>
      </c>
      <c r="J199" s="32">
        <v>18419777</v>
      </c>
      <c r="K199" s="32" t="s">
        <v>3424</v>
      </c>
      <c r="L199" s="38" t="s">
        <v>3426</v>
      </c>
      <c r="M199" s="34">
        <v>149900</v>
      </c>
      <c r="N199" s="35">
        <f t="shared" si="11"/>
        <v>0.75</v>
      </c>
      <c r="O199" s="34">
        <f t="shared" si="9"/>
        <v>44970</v>
      </c>
      <c r="P199" s="32" t="s">
        <v>16</v>
      </c>
    </row>
    <row r="200" spans="1:16" x14ac:dyDescent="0.35">
      <c r="A200" s="32" t="str">
        <f t="shared" si="10"/>
        <v>2024 JAN-DEC DISC 75</v>
      </c>
      <c r="B200" s="33">
        <f t="shared" si="10"/>
        <v>46121</v>
      </c>
      <c r="C200" s="33">
        <f t="shared" si="10"/>
        <v>46127</v>
      </c>
      <c r="D200" s="32">
        <v>3321</v>
      </c>
      <c r="E200" s="32">
        <v>337</v>
      </c>
      <c r="F200" s="32">
        <v>4</v>
      </c>
      <c r="G200" s="32">
        <v>1</v>
      </c>
      <c r="H200" s="32">
        <v>81146</v>
      </c>
      <c r="I200" s="32" t="s">
        <v>2689</v>
      </c>
      <c r="J200" s="32">
        <v>18419786</v>
      </c>
      <c r="K200" s="32" t="s">
        <v>3424</v>
      </c>
      <c r="L200" s="38" t="s">
        <v>3427</v>
      </c>
      <c r="M200" s="34">
        <v>149900</v>
      </c>
      <c r="N200" s="35">
        <f t="shared" si="11"/>
        <v>0.75</v>
      </c>
      <c r="O200" s="34">
        <f t="shared" si="9"/>
        <v>44970</v>
      </c>
      <c r="P200" s="32" t="s">
        <v>16</v>
      </c>
    </row>
    <row r="201" spans="1:16" x14ac:dyDescent="0.35">
      <c r="A201" s="32" t="str">
        <f t="shared" si="10"/>
        <v>2024 JAN-DEC DISC 75</v>
      </c>
      <c r="B201" s="33">
        <f t="shared" si="10"/>
        <v>46121</v>
      </c>
      <c r="C201" s="33">
        <f t="shared" si="10"/>
        <v>46127</v>
      </c>
      <c r="D201" s="32">
        <v>3321</v>
      </c>
      <c r="E201" s="32">
        <v>337</v>
      </c>
      <c r="F201" s="32">
        <v>4</v>
      </c>
      <c r="G201" s="32">
        <v>1</v>
      </c>
      <c r="H201" s="32">
        <v>81146</v>
      </c>
      <c r="I201" s="32" t="s">
        <v>2689</v>
      </c>
      <c r="J201" s="32">
        <v>18419795</v>
      </c>
      <c r="K201" s="32" t="s">
        <v>3424</v>
      </c>
      <c r="L201" s="38" t="s">
        <v>3428</v>
      </c>
      <c r="M201" s="34">
        <v>149900</v>
      </c>
      <c r="N201" s="35">
        <f t="shared" si="11"/>
        <v>0.75</v>
      </c>
      <c r="O201" s="34">
        <f t="shared" si="9"/>
        <v>44970</v>
      </c>
      <c r="P201" s="32" t="s">
        <v>16</v>
      </c>
    </row>
    <row r="202" spans="1:16" x14ac:dyDescent="0.35">
      <c r="A202" s="32" t="str">
        <f t="shared" si="10"/>
        <v>2024 JAN-DEC DISC 75</v>
      </c>
      <c r="B202" s="33">
        <f t="shared" si="10"/>
        <v>46121</v>
      </c>
      <c r="C202" s="33">
        <f t="shared" si="10"/>
        <v>46127</v>
      </c>
      <c r="D202" s="32">
        <v>3321</v>
      </c>
      <c r="E202" s="32">
        <v>337</v>
      </c>
      <c r="F202" s="32">
        <v>4</v>
      </c>
      <c r="G202" s="32">
        <v>1</v>
      </c>
      <c r="H202" s="32">
        <v>81146</v>
      </c>
      <c r="I202" s="32" t="s">
        <v>2689</v>
      </c>
      <c r="J202" s="32">
        <v>18419802</v>
      </c>
      <c r="K202" s="32" t="s">
        <v>3429</v>
      </c>
      <c r="L202" s="38" t="s">
        <v>3430</v>
      </c>
      <c r="M202" s="34">
        <v>149900</v>
      </c>
      <c r="N202" s="35">
        <f t="shared" si="11"/>
        <v>0.75</v>
      </c>
      <c r="O202" s="34">
        <f t="shared" si="9"/>
        <v>44970</v>
      </c>
      <c r="P202" s="32" t="s">
        <v>16</v>
      </c>
    </row>
    <row r="203" spans="1:16" x14ac:dyDescent="0.35">
      <c r="A203" s="32" t="str">
        <f t="shared" si="10"/>
        <v>2024 JAN-DEC DISC 75</v>
      </c>
      <c r="B203" s="33">
        <f t="shared" si="10"/>
        <v>46121</v>
      </c>
      <c r="C203" s="33">
        <f t="shared" si="10"/>
        <v>46127</v>
      </c>
      <c r="D203" s="32">
        <v>3321</v>
      </c>
      <c r="E203" s="32">
        <v>337</v>
      </c>
      <c r="F203" s="32">
        <v>4</v>
      </c>
      <c r="G203" s="32">
        <v>1</v>
      </c>
      <c r="H203" s="32">
        <v>81146</v>
      </c>
      <c r="I203" s="32" t="s">
        <v>2689</v>
      </c>
      <c r="J203" s="32">
        <v>18419811</v>
      </c>
      <c r="K203" s="32" t="s">
        <v>3429</v>
      </c>
      <c r="L203" s="38" t="s">
        <v>3431</v>
      </c>
      <c r="M203" s="34">
        <v>149900</v>
      </c>
      <c r="N203" s="35">
        <f t="shared" si="11"/>
        <v>0.75</v>
      </c>
      <c r="O203" s="34">
        <f t="shared" si="9"/>
        <v>44970</v>
      </c>
      <c r="P203" s="32" t="s">
        <v>16</v>
      </c>
    </row>
    <row r="204" spans="1:16" x14ac:dyDescent="0.35">
      <c r="A204" s="32" t="str">
        <f t="shared" si="10"/>
        <v>2024 JAN-DEC DISC 75</v>
      </c>
      <c r="B204" s="33">
        <f t="shared" si="10"/>
        <v>46121</v>
      </c>
      <c r="C204" s="33">
        <f t="shared" si="10"/>
        <v>46127</v>
      </c>
      <c r="D204" s="32">
        <v>3321</v>
      </c>
      <c r="E204" s="32">
        <v>337</v>
      </c>
      <c r="F204" s="32">
        <v>4</v>
      </c>
      <c r="G204" s="32">
        <v>1</v>
      </c>
      <c r="H204" s="32">
        <v>81146</v>
      </c>
      <c r="I204" s="32" t="s">
        <v>2689</v>
      </c>
      <c r="J204" s="32">
        <v>18419820</v>
      </c>
      <c r="K204" s="32" t="s">
        <v>3429</v>
      </c>
      <c r="L204" s="38" t="s">
        <v>3432</v>
      </c>
      <c r="M204" s="34">
        <v>149900</v>
      </c>
      <c r="N204" s="35">
        <f t="shared" si="11"/>
        <v>0.75</v>
      </c>
      <c r="O204" s="34">
        <f t="shared" si="9"/>
        <v>44970</v>
      </c>
      <c r="P204" s="32" t="s">
        <v>16</v>
      </c>
    </row>
    <row r="205" spans="1:16" x14ac:dyDescent="0.35">
      <c r="A205" s="32" t="str">
        <f t="shared" si="10"/>
        <v>2024 JAN-DEC DISC 75</v>
      </c>
      <c r="B205" s="33">
        <f t="shared" si="10"/>
        <v>46121</v>
      </c>
      <c r="C205" s="33">
        <f t="shared" si="10"/>
        <v>46127</v>
      </c>
      <c r="D205" s="32">
        <v>3321</v>
      </c>
      <c r="E205" s="32">
        <v>337</v>
      </c>
      <c r="F205" s="32">
        <v>4</v>
      </c>
      <c r="G205" s="32">
        <v>1</v>
      </c>
      <c r="H205" s="32">
        <v>81146</v>
      </c>
      <c r="I205" s="32" t="s">
        <v>2689</v>
      </c>
      <c r="J205" s="32">
        <v>18419839</v>
      </c>
      <c r="K205" s="32" t="s">
        <v>3429</v>
      </c>
      <c r="L205" s="38" t="s">
        <v>3433</v>
      </c>
      <c r="M205" s="34">
        <v>149900</v>
      </c>
      <c r="N205" s="35">
        <f t="shared" si="11"/>
        <v>0.75</v>
      </c>
      <c r="O205" s="34">
        <f t="shared" si="9"/>
        <v>44970</v>
      </c>
      <c r="P205" s="32" t="s">
        <v>16</v>
      </c>
    </row>
    <row r="206" spans="1:16" x14ac:dyDescent="0.35">
      <c r="A206" s="32" t="str">
        <f t="shared" si="10"/>
        <v>2024 JAN-DEC DISC 75</v>
      </c>
      <c r="B206" s="33">
        <f t="shared" si="10"/>
        <v>46121</v>
      </c>
      <c r="C206" s="33">
        <f t="shared" si="10"/>
        <v>46127</v>
      </c>
      <c r="D206" s="32">
        <v>3321</v>
      </c>
      <c r="E206" s="32">
        <v>337</v>
      </c>
      <c r="F206" s="32">
        <v>4</v>
      </c>
      <c r="G206" s="32">
        <v>1</v>
      </c>
      <c r="H206" s="32">
        <v>81421</v>
      </c>
      <c r="I206" s="32" t="s">
        <v>2689</v>
      </c>
      <c r="J206" s="32">
        <v>17454285</v>
      </c>
      <c r="K206" s="32" t="s">
        <v>3434</v>
      </c>
      <c r="L206" s="38" t="s">
        <v>3435</v>
      </c>
      <c r="M206" s="34">
        <v>179900</v>
      </c>
      <c r="N206" s="35">
        <f t="shared" si="11"/>
        <v>0.75</v>
      </c>
      <c r="O206" s="34">
        <f t="shared" si="9"/>
        <v>53970</v>
      </c>
      <c r="P206" s="32" t="s">
        <v>16</v>
      </c>
    </row>
    <row r="207" spans="1:16" x14ac:dyDescent="0.35">
      <c r="A207" s="32" t="str">
        <f t="shared" si="10"/>
        <v>2024 JAN-DEC DISC 75</v>
      </c>
      <c r="B207" s="33">
        <f t="shared" si="10"/>
        <v>46121</v>
      </c>
      <c r="C207" s="33">
        <f t="shared" si="10"/>
        <v>46127</v>
      </c>
      <c r="D207" s="32">
        <v>3321</v>
      </c>
      <c r="E207" s="32">
        <v>337</v>
      </c>
      <c r="F207" s="32">
        <v>4</v>
      </c>
      <c r="G207" s="32">
        <v>1</v>
      </c>
      <c r="H207" s="32">
        <v>81421</v>
      </c>
      <c r="I207" s="32" t="s">
        <v>2689</v>
      </c>
      <c r="J207" s="32">
        <v>17454294</v>
      </c>
      <c r="K207" s="32" t="s">
        <v>3434</v>
      </c>
      <c r="L207" s="38" t="s">
        <v>3436</v>
      </c>
      <c r="M207" s="34">
        <v>179900</v>
      </c>
      <c r="N207" s="35">
        <f t="shared" si="11"/>
        <v>0.75</v>
      </c>
      <c r="O207" s="34">
        <f t="shared" si="9"/>
        <v>53970</v>
      </c>
      <c r="P207" s="32" t="s">
        <v>16</v>
      </c>
    </row>
    <row r="208" spans="1:16" x14ac:dyDescent="0.35">
      <c r="A208" s="32" t="str">
        <f t="shared" si="10"/>
        <v>2024 JAN-DEC DISC 75</v>
      </c>
      <c r="B208" s="33">
        <f t="shared" si="10"/>
        <v>46121</v>
      </c>
      <c r="C208" s="33">
        <f t="shared" si="10"/>
        <v>46127</v>
      </c>
      <c r="D208" s="32">
        <v>3321</v>
      </c>
      <c r="E208" s="32">
        <v>337</v>
      </c>
      <c r="F208" s="32">
        <v>4</v>
      </c>
      <c r="G208" s="32">
        <v>1</v>
      </c>
      <c r="H208" s="32">
        <v>81421</v>
      </c>
      <c r="I208" s="32" t="s">
        <v>2689</v>
      </c>
      <c r="J208" s="32">
        <v>17454301</v>
      </c>
      <c r="K208" s="32" t="s">
        <v>3434</v>
      </c>
      <c r="L208" s="38" t="s">
        <v>3437</v>
      </c>
      <c r="M208" s="34">
        <v>179900</v>
      </c>
      <c r="N208" s="35">
        <f t="shared" si="11"/>
        <v>0.75</v>
      </c>
      <c r="O208" s="34">
        <f t="shared" si="9"/>
        <v>53970</v>
      </c>
      <c r="P208" s="32" t="s">
        <v>16</v>
      </c>
    </row>
    <row r="209" spans="1:16" x14ac:dyDescent="0.35">
      <c r="A209" s="32" t="str">
        <f t="shared" si="10"/>
        <v>2024 JAN-DEC DISC 75</v>
      </c>
      <c r="B209" s="33">
        <f t="shared" si="10"/>
        <v>46121</v>
      </c>
      <c r="C209" s="33">
        <f t="shared" si="10"/>
        <v>46127</v>
      </c>
      <c r="D209" s="32">
        <v>3321</v>
      </c>
      <c r="E209" s="32">
        <v>337</v>
      </c>
      <c r="F209" s="32">
        <v>4</v>
      </c>
      <c r="G209" s="32">
        <v>1</v>
      </c>
      <c r="H209" s="32">
        <v>81421</v>
      </c>
      <c r="I209" s="32" t="s">
        <v>2689</v>
      </c>
      <c r="J209" s="32">
        <v>17454310</v>
      </c>
      <c r="K209" s="32" t="s">
        <v>3434</v>
      </c>
      <c r="L209" s="38" t="s">
        <v>3438</v>
      </c>
      <c r="M209" s="34">
        <v>179900</v>
      </c>
      <c r="N209" s="35">
        <f t="shared" si="11"/>
        <v>0.75</v>
      </c>
      <c r="O209" s="34">
        <f t="shared" si="9"/>
        <v>53970</v>
      </c>
      <c r="P209" s="32" t="s">
        <v>16</v>
      </c>
    </row>
    <row r="210" spans="1:16" x14ac:dyDescent="0.35">
      <c r="A210" s="32" t="str">
        <f t="shared" si="10"/>
        <v>2024 JAN-DEC DISC 75</v>
      </c>
      <c r="B210" s="33">
        <f t="shared" si="10"/>
        <v>46121</v>
      </c>
      <c r="C210" s="33">
        <f t="shared" si="10"/>
        <v>46127</v>
      </c>
      <c r="D210" s="32">
        <v>3321</v>
      </c>
      <c r="E210" s="32">
        <v>337</v>
      </c>
      <c r="F210" s="32">
        <v>4</v>
      </c>
      <c r="G210" s="32">
        <v>1</v>
      </c>
      <c r="H210" s="32">
        <v>81048</v>
      </c>
      <c r="I210" s="32" t="s">
        <v>2689</v>
      </c>
      <c r="J210" s="32">
        <v>18718775</v>
      </c>
      <c r="K210" s="32" t="s">
        <v>3439</v>
      </c>
      <c r="L210" s="38" t="s">
        <v>3440</v>
      </c>
      <c r="M210" s="34">
        <v>139900</v>
      </c>
      <c r="N210" s="35">
        <f t="shared" si="11"/>
        <v>0.75</v>
      </c>
      <c r="O210" s="34">
        <f t="shared" si="9"/>
        <v>41970</v>
      </c>
      <c r="P210" s="32" t="s">
        <v>16</v>
      </c>
    </row>
    <row r="211" spans="1:16" x14ac:dyDescent="0.35">
      <c r="A211" s="32" t="str">
        <f t="shared" si="10"/>
        <v>2024 JAN-DEC DISC 75</v>
      </c>
      <c r="B211" s="33">
        <f t="shared" si="10"/>
        <v>46121</v>
      </c>
      <c r="C211" s="33">
        <f t="shared" si="10"/>
        <v>46127</v>
      </c>
      <c r="D211" s="32">
        <v>3321</v>
      </c>
      <c r="E211" s="32">
        <v>337</v>
      </c>
      <c r="F211" s="32">
        <v>4</v>
      </c>
      <c r="G211" s="32">
        <v>1</v>
      </c>
      <c r="H211" s="32">
        <v>81048</v>
      </c>
      <c r="I211" s="32" t="s">
        <v>2689</v>
      </c>
      <c r="J211" s="32">
        <v>18718784</v>
      </c>
      <c r="K211" s="32" t="s">
        <v>3439</v>
      </c>
      <c r="L211" s="38" t="s">
        <v>3441</v>
      </c>
      <c r="M211" s="34">
        <v>139900</v>
      </c>
      <c r="N211" s="35">
        <f t="shared" si="11"/>
        <v>0.75</v>
      </c>
      <c r="O211" s="34">
        <f t="shared" si="9"/>
        <v>41970</v>
      </c>
      <c r="P211" s="32" t="s">
        <v>16</v>
      </c>
    </row>
    <row r="212" spans="1:16" x14ac:dyDescent="0.35">
      <c r="A212" s="32" t="str">
        <f t="shared" si="10"/>
        <v>2024 JAN-DEC DISC 75</v>
      </c>
      <c r="B212" s="33">
        <f t="shared" si="10"/>
        <v>46121</v>
      </c>
      <c r="C212" s="33">
        <f t="shared" si="10"/>
        <v>46127</v>
      </c>
      <c r="D212" s="32">
        <v>3321</v>
      </c>
      <c r="E212" s="32">
        <v>337</v>
      </c>
      <c r="F212" s="32">
        <v>4</v>
      </c>
      <c r="G212" s="32">
        <v>1</v>
      </c>
      <c r="H212" s="32">
        <v>81048</v>
      </c>
      <c r="I212" s="32" t="s">
        <v>2689</v>
      </c>
      <c r="J212" s="32">
        <v>18718793</v>
      </c>
      <c r="K212" s="32" t="s">
        <v>3439</v>
      </c>
      <c r="L212" s="38" t="s">
        <v>3442</v>
      </c>
      <c r="M212" s="34">
        <v>139900</v>
      </c>
      <c r="N212" s="35">
        <f t="shared" si="11"/>
        <v>0.75</v>
      </c>
      <c r="O212" s="34">
        <f t="shared" si="9"/>
        <v>41970</v>
      </c>
      <c r="P212" s="32" t="s">
        <v>16</v>
      </c>
    </row>
    <row r="213" spans="1:16" x14ac:dyDescent="0.35">
      <c r="A213" s="32" t="str">
        <f t="shared" si="10"/>
        <v>2024 JAN-DEC DISC 75</v>
      </c>
      <c r="B213" s="33">
        <f t="shared" si="10"/>
        <v>46121</v>
      </c>
      <c r="C213" s="33">
        <f t="shared" si="10"/>
        <v>46127</v>
      </c>
      <c r="D213" s="32">
        <v>3321</v>
      </c>
      <c r="E213" s="32">
        <v>337</v>
      </c>
      <c r="F213" s="32">
        <v>4</v>
      </c>
      <c r="G213" s="32">
        <v>1</v>
      </c>
      <c r="H213" s="32">
        <v>81048</v>
      </c>
      <c r="I213" s="32" t="s">
        <v>2689</v>
      </c>
      <c r="J213" s="32">
        <v>18718800</v>
      </c>
      <c r="K213" s="32" t="s">
        <v>3439</v>
      </c>
      <c r="L213" s="38" t="s">
        <v>3443</v>
      </c>
      <c r="M213" s="34">
        <v>139900</v>
      </c>
      <c r="N213" s="35">
        <f t="shared" si="11"/>
        <v>0.75</v>
      </c>
      <c r="O213" s="34">
        <f t="shared" si="9"/>
        <v>41970</v>
      </c>
      <c r="P213" s="32" t="s">
        <v>16</v>
      </c>
    </row>
    <row r="214" spans="1:16" x14ac:dyDescent="0.35">
      <c r="A214" s="32" t="str">
        <f t="shared" si="10"/>
        <v>2024 JAN-DEC DISC 75</v>
      </c>
      <c r="B214" s="33">
        <f t="shared" si="10"/>
        <v>46121</v>
      </c>
      <c r="C214" s="33">
        <f t="shared" si="10"/>
        <v>46127</v>
      </c>
      <c r="D214" s="32">
        <v>3321</v>
      </c>
      <c r="E214" s="32">
        <v>337</v>
      </c>
      <c r="F214" s="32">
        <v>4</v>
      </c>
      <c r="G214" s="32">
        <v>1</v>
      </c>
      <c r="H214" s="32">
        <v>81048</v>
      </c>
      <c r="I214" s="32" t="s">
        <v>2689</v>
      </c>
      <c r="J214" s="32">
        <v>18718819</v>
      </c>
      <c r="K214" s="32" t="s">
        <v>3444</v>
      </c>
      <c r="L214" s="38" t="s">
        <v>3445</v>
      </c>
      <c r="M214" s="34">
        <v>149900</v>
      </c>
      <c r="N214" s="35">
        <f t="shared" si="11"/>
        <v>0.75</v>
      </c>
      <c r="O214" s="34">
        <f t="shared" si="9"/>
        <v>44970</v>
      </c>
      <c r="P214" s="32" t="s">
        <v>16</v>
      </c>
    </row>
    <row r="215" spans="1:16" x14ac:dyDescent="0.35">
      <c r="A215" s="32" t="str">
        <f t="shared" si="10"/>
        <v>2024 JAN-DEC DISC 75</v>
      </c>
      <c r="B215" s="33">
        <f t="shared" si="10"/>
        <v>46121</v>
      </c>
      <c r="C215" s="33">
        <f t="shared" si="10"/>
        <v>46127</v>
      </c>
      <c r="D215" s="32">
        <v>3321</v>
      </c>
      <c r="E215" s="32">
        <v>337</v>
      </c>
      <c r="F215" s="32">
        <v>4</v>
      </c>
      <c r="G215" s="32">
        <v>1</v>
      </c>
      <c r="H215" s="32">
        <v>81048</v>
      </c>
      <c r="I215" s="32" t="s">
        <v>2689</v>
      </c>
      <c r="J215" s="32">
        <v>18718837</v>
      </c>
      <c r="K215" s="32" t="s">
        <v>3444</v>
      </c>
      <c r="L215" s="38" t="s">
        <v>3446</v>
      </c>
      <c r="M215" s="34">
        <v>149900</v>
      </c>
      <c r="N215" s="35">
        <f t="shared" si="11"/>
        <v>0.75</v>
      </c>
      <c r="O215" s="34">
        <f t="shared" si="9"/>
        <v>44970</v>
      </c>
      <c r="P215" s="32" t="s">
        <v>16</v>
      </c>
    </row>
    <row r="216" spans="1:16" x14ac:dyDescent="0.35">
      <c r="A216" s="32" t="str">
        <f t="shared" si="10"/>
        <v>2024 JAN-DEC DISC 75</v>
      </c>
      <c r="B216" s="33">
        <f t="shared" si="10"/>
        <v>46121</v>
      </c>
      <c r="C216" s="33">
        <f t="shared" si="10"/>
        <v>46127</v>
      </c>
      <c r="D216" s="32">
        <v>3321</v>
      </c>
      <c r="E216" s="32">
        <v>337</v>
      </c>
      <c r="F216" s="32">
        <v>4</v>
      </c>
      <c r="G216" s="32">
        <v>1</v>
      </c>
      <c r="H216" s="32">
        <v>81048</v>
      </c>
      <c r="I216" s="32" t="s">
        <v>2689</v>
      </c>
      <c r="J216" s="32">
        <v>18718846</v>
      </c>
      <c r="K216" s="32" t="s">
        <v>3444</v>
      </c>
      <c r="L216" s="38" t="s">
        <v>3447</v>
      </c>
      <c r="M216" s="34">
        <v>149900</v>
      </c>
      <c r="N216" s="35">
        <f t="shared" si="11"/>
        <v>0.75</v>
      </c>
      <c r="O216" s="34">
        <f t="shared" si="9"/>
        <v>44970</v>
      </c>
      <c r="P216" s="32" t="s">
        <v>16</v>
      </c>
    </row>
    <row r="217" spans="1:16" x14ac:dyDescent="0.35">
      <c r="A217" s="32" t="str">
        <f t="shared" si="10"/>
        <v>2024 JAN-DEC DISC 75</v>
      </c>
      <c r="B217" s="33">
        <f t="shared" si="10"/>
        <v>46121</v>
      </c>
      <c r="C217" s="33">
        <f t="shared" si="10"/>
        <v>46127</v>
      </c>
      <c r="D217" s="32">
        <v>3321</v>
      </c>
      <c r="E217" s="32">
        <v>337</v>
      </c>
      <c r="F217" s="32">
        <v>4</v>
      </c>
      <c r="G217" s="32">
        <v>1</v>
      </c>
      <c r="H217" s="32">
        <v>81048</v>
      </c>
      <c r="I217" s="32" t="s">
        <v>2689</v>
      </c>
      <c r="J217" s="32">
        <v>18718855</v>
      </c>
      <c r="K217" s="32" t="s">
        <v>3444</v>
      </c>
      <c r="L217" s="38" t="s">
        <v>3448</v>
      </c>
      <c r="M217" s="34">
        <v>149900</v>
      </c>
      <c r="N217" s="35">
        <f t="shared" si="11"/>
        <v>0.75</v>
      </c>
      <c r="O217" s="34">
        <f t="shared" si="9"/>
        <v>44970</v>
      </c>
      <c r="P217" s="32" t="s">
        <v>16</v>
      </c>
    </row>
    <row r="218" spans="1:16" x14ac:dyDescent="0.35">
      <c r="A218" s="32" t="str">
        <f t="shared" si="10"/>
        <v>2024 JAN-DEC DISC 75</v>
      </c>
      <c r="B218" s="33">
        <f t="shared" si="10"/>
        <v>46121</v>
      </c>
      <c r="C218" s="33">
        <f t="shared" si="10"/>
        <v>46127</v>
      </c>
      <c r="D218" s="32">
        <v>3321</v>
      </c>
      <c r="E218" s="32">
        <v>337</v>
      </c>
      <c r="F218" s="32">
        <v>4</v>
      </c>
      <c r="G218" s="32">
        <v>1</v>
      </c>
      <c r="H218" s="32">
        <v>81048</v>
      </c>
      <c r="I218" s="32" t="s">
        <v>2689</v>
      </c>
      <c r="J218" s="32">
        <v>18718873</v>
      </c>
      <c r="K218" s="32" t="s">
        <v>3449</v>
      </c>
      <c r="L218" s="38" t="s">
        <v>3450</v>
      </c>
      <c r="M218" s="34">
        <v>149900</v>
      </c>
      <c r="N218" s="35">
        <f t="shared" si="11"/>
        <v>0.75</v>
      </c>
      <c r="O218" s="34">
        <f t="shared" si="9"/>
        <v>44970</v>
      </c>
      <c r="P218" s="32" t="s">
        <v>16</v>
      </c>
    </row>
    <row r="219" spans="1:16" x14ac:dyDescent="0.35">
      <c r="A219" s="32" t="str">
        <f t="shared" si="10"/>
        <v>2024 JAN-DEC DISC 75</v>
      </c>
      <c r="B219" s="33">
        <f t="shared" si="10"/>
        <v>46121</v>
      </c>
      <c r="C219" s="33">
        <f t="shared" si="10"/>
        <v>46127</v>
      </c>
      <c r="D219" s="32">
        <v>3321</v>
      </c>
      <c r="E219" s="32">
        <v>337</v>
      </c>
      <c r="F219" s="32">
        <v>4</v>
      </c>
      <c r="G219" s="32">
        <v>1</v>
      </c>
      <c r="H219" s="32">
        <v>81048</v>
      </c>
      <c r="I219" s="32" t="s">
        <v>2689</v>
      </c>
      <c r="J219" s="32">
        <v>18718882</v>
      </c>
      <c r="K219" s="32" t="s">
        <v>3449</v>
      </c>
      <c r="L219" s="38" t="s">
        <v>3451</v>
      </c>
      <c r="M219" s="34">
        <v>149900</v>
      </c>
      <c r="N219" s="35">
        <f t="shared" si="11"/>
        <v>0.75</v>
      </c>
      <c r="O219" s="34">
        <f t="shared" si="9"/>
        <v>44970</v>
      </c>
      <c r="P219" s="32" t="s">
        <v>16</v>
      </c>
    </row>
    <row r="220" spans="1:16" x14ac:dyDescent="0.35">
      <c r="A220" s="32" t="str">
        <f t="shared" si="10"/>
        <v>2024 JAN-DEC DISC 75</v>
      </c>
      <c r="B220" s="33">
        <f t="shared" si="10"/>
        <v>46121</v>
      </c>
      <c r="C220" s="33">
        <f t="shared" si="10"/>
        <v>46127</v>
      </c>
      <c r="D220" s="32">
        <v>3321</v>
      </c>
      <c r="E220" s="32">
        <v>337</v>
      </c>
      <c r="F220" s="32">
        <v>4</v>
      </c>
      <c r="G220" s="32">
        <v>1</v>
      </c>
      <c r="H220" s="32">
        <v>81048</v>
      </c>
      <c r="I220" s="32" t="s">
        <v>2689</v>
      </c>
      <c r="J220" s="32">
        <v>18718891</v>
      </c>
      <c r="K220" s="32" t="s">
        <v>3449</v>
      </c>
      <c r="L220" s="38" t="s">
        <v>3452</v>
      </c>
      <c r="M220" s="34">
        <v>149900</v>
      </c>
      <c r="N220" s="35">
        <f t="shared" si="11"/>
        <v>0.75</v>
      </c>
      <c r="O220" s="34">
        <f t="shared" si="9"/>
        <v>44970</v>
      </c>
      <c r="P220" s="32" t="s">
        <v>16</v>
      </c>
    </row>
    <row r="221" spans="1:16" x14ac:dyDescent="0.35">
      <c r="A221" s="32" t="str">
        <f t="shared" si="10"/>
        <v>2024 JAN-DEC DISC 75</v>
      </c>
      <c r="B221" s="33">
        <f t="shared" si="10"/>
        <v>46121</v>
      </c>
      <c r="C221" s="33">
        <f t="shared" si="10"/>
        <v>46127</v>
      </c>
      <c r="D221" s="32">
        <v>3321</v>
      </c>
      <c r="E221" s="32">
        <v>337</v>
      </c>
      <c r="F221" s="32">
        <v>4</v>
      </c>
      <c r="G221" s="32">
        <v>1</v>
      </c>
      <c r="H221" s="32">
        <v>81048</v>
      </c>
      <c r="I221" s="32" t="s">
        <v>2689</v>
      </c>
      <c r="J221" s="32">
        <v>18718908</v>
      </c>
      <c r="K221" s="32" t="s">
        <v>3449</v>
      </c>
      <c r="L221" s="38" t="s">
        <v>3453</v>
      </c>
      <c r="M221" s="34">
        <v>149900</v>
      </c>
      <c r="N221" s="35">
        <f t="shared" si="11"/>
        <v>0.75</v>
      </c>
      <c r="O221" s="34">
        <f t="shared" si="9"/>
        <v>44970</v>
      </c>
      <c r="P221" s="32" t="s">
        <v>16</v>
      </c>
    </row>
    <row r="222" spans="1:16" x14ac:dyDescent="0.35">
      <c r="A222" s="32" t="str">
        <f t="shared" si="10"/>
        <v>2024 JAN-DEC DISC 75</v>
      </c>
      <c r="B222" s="33">
        <f t="shared" si="10"/>
        <v>46121</v>
      </c>
      <c r="C222" s="33">
        <f t="shared" si="10"/>
        <v>46127</v>
      </c>
      <c r="D222" s="32">
        <v>3321</v>
      </c>
      <c r="E222" s="32">
        <v>337</v>
      </c>
      <c r="F222" s="32">
        <v>4</v>
      </c>
      <c r="G222" s="32">
        <v>1</v>
      </c>
      <c r="H222" s="32">
        <v>81048</v>
      </c>
      <c r="I222" s="32" t="s">
        <v>2689</v>
      </c>
      <c r="J222" s="32">
        <v>18718917</v>
      </c>
      <c r="K222" s="32" t="s">
        <v>3454</v>
      </c>
      <c r="L222" s="38" t="s">
        <v>3455</v>
      </c>
      <c r="M222" s="34">
        <v>139900</v>
      </c>
      <c r="N222" s="35">
        <f t="shared" si="11"/>
        <v>0.75</v>
      </c>
      <c r="O222" s="34">
        <f t="shared" si="9"/>
        <v>41970</v>
      </c>
      <c r="P222" s="32" t="s">
        <v>16</v>
      </c>
    </row>
    <row r="223" spans="1:16" x14ac:dyDescent="0.35">
      <c r="A223" s="32" t="str">
        <f t="shared" si="10"/>
        <v>2024 JAN-DEC DISC 75</v>
      </c>
      <c r="B223" s="33">
        <f t="shared" si="10"/>
        <v>46121</v>
      </c>
      <c r="C223" s="33">
        <f t="shared" si="10"/>
        <v>46127</v>
      </c>
      <c r="D223" s="32">
        <v>3321</v>
      </c>
      <c r="E223" s="32">
        <v>337</v>
      </c>
      <c r="F223" s="32">
        <v>4</v>
      </c>
      <c r="G223" s="32">
        <v>1</v>
      </c>
      <c r="H223" s="32">
        <v>81048</v>
      </c>
      <c r="I223" s="32" t="s">
        <v>2689</v>
      </c>
      <c r="J223" s="32">
        <v>18718971</v>
      </c>
      <c r="K223" s="32" t="s">
        <v>3454</v>
      </c>
      <c r="L223" s="38" t="s">
        <v>3456</v>
      </c>
      <c r="M223" s="34">
        <v>139900</v>
      </c>
      <c r="N223" s="35">
        <f t="shared" si="11"/>
        <v>0.75</v>
      </c>
      <c r="O223" s="34">
        <f t="shared" si="9"/>
        <v>41970</v>
      </c>
      <c r="P223" s="32" t="s">
        <v>16</v>
      </c>
    </row>
    <row r="224" spans="1:16" x14ac:dyDescent="0.35">
      <c r="A224" s="32" t="str">
        <f t="shared" si="10"/>
        <v>2024 JAN-DEC DISC 75</v>
      </c>
      <c r="B224" s="33">
        <f t="shared" si="10"/>
        <v>46121</v>
      </c>
      <c r="C224" s="33">
        <f t="shared" si="10"/>
        <v>46127</v>
      </c>
      <c r="D224" s="32">
        <v>3321</v>
      </c>
      <c r="E224" s="32">
        <v>337</v>
      </c>
      <c r="F224" s="32">
        <v>4</v>
      </c>
      <c r="G224" s="32">
        <v>1</v>
      </c>
      <c r="H224" s="32">
        <v>81048</v>
      </c>
      <c r="I224" s="32" t="s">
        <v>2689</v>
      </c>
      <c r="J224" s="32">
        <v>18719005</v>
      </c>
      <c r="K224" s="32" t="s">
        <v>3454</v>
      </c>
      <c r="L224" s="38" t="s">
        <v>3457</v>
      </c>
      <c r="M224" s="34">
        <v>139900</v>
      </c>
      <c r="N224" s="35">
        <f t="shared" si="11"/>
        <v>0.75</v>
      </c>
      <c r="O224" s="34">
        <f t="shared" si="9"/>
        <v>41970</v>
      </c>
      <c r="P224" s="32" t="s">
        <v>16</v>
      </c>
    </row>
    <row r="225" spans="1:16" x14ac:dyDescent="0.35">
      <c r="A225" s="32" t="str">
        <f t="shared" si="10"/>
        <v>2024 JAN-DEC DISC 75</v>
      </c>
      <c r="B225" s="33">
        <f t="shared" si="10"/>
        <v>46121</v>
      </c>
      <c r="C225" s="33">
        <f t="shared" si="10"/>
        <v>46127</v>
      </c>
      <c r="D225" s="32">
        <v>3321</v>
      </c>
      <c r="E225" s="32">
        <v>337</v>
      </c>
      <c r="F225" s="32">
        <v>4</v>
      </c>
      <c r="G225" s="32">
        <v>1</v>
      </c>
      <c r="H225" s="32">
        <v>81048</v>
      </c>
      <c r="I225" s="32" t="s">
        <v>2689</v>
      </c>
      <c r="J225" s="32">
        <v>18719014</v>
      </c>
      <c r="K225" s="32" t="s">
        <v>3454</v>
      </c>
      <c r="L225" s="38" t="s">
        <v>3458</v>
      </c>
      <c r="M225" s="34">
        <v>139900</v>
      </c>
      <c r="N225" s="35">
        <f t="shared" si="11"/>
        <v>0.75</v>
      </c>
      <c r="O225" s="34">
        <f t="shared" si="9"/>
        <v>41970</v>
      </c>
      <c r="P225" s="32" t="s">
        <v>16</v>
      </c>
    </row>
    <row r="226" spans="1:16" x14ac:dyDescent="0.35">
      <c r="A226" s="32" t="str">
        <f t="shared" si="10"/>
        <v>2024 JAN-DEC DISC 75</v>
      </c>
      <c r="B226" s="33">
        <f t="shared" si="10"/>
        <v>46121</v>
      </c>
      <c r="C226" s="33">
        <f t="shared" si="10"/>
        <v>46127</v>
      </c>
      <c r="D226" s="32">
        <v>3321</v>
      </c>
      <c r="E226" s="32">
        <v>337</v>
      </c>
      <c r="F226" s="32">
        <v>4</v>
      </c>
      <c r="G226" s="32">
        <v>1</v>
      </c>
      <c r="H226" s="32">
        <v>81676</v>
      </c>
      <c r="I226" s="32" t="s">
        <v>2689</v>
      </c>
      <c r="J226" s="32">
        <v>16130760</v>
      </c>
      <c r="K226" s="32" t="s">
        <v>2772</v>
      </c>
      <c r="L226" s="38" t="s">
        <v>3496</v>
      </c>
      <c r="M226" s="34">
        <v>149900</v>
      </c>
      <c r="N226" s="35">
        <f t="shared" si="11"/>
        <v>0.75</v>
      </c>
      <c r="O226" s="34">
        <f t="shared" si="9"/>
        <v>44970</v>
      </c>
      <c r="P226" s="32" t="s">
        <v>16</v>
      </c>
    </row>
    <row r="227" spans="1:16" x14ac:dyDescent="0.35">
      <c r="A227" s="32" t="str">
        <f t="shared" si="10"/>
        <v>2024 JAN-DEC DISC 75</v>
      </c>
      <c r="B227" s="33">
        <f t="shared" si="10"/>
        <v>46121</v>
      </c>
      <c r="C227" s="33">
        <f t="shared" si="10"/>
        <v>46127</v>
      </c>
      <c r="D227" s="32">
        <v>3321</v>
      </c>
      <c r="E227" s="32">
        <v>337</v>
      </c>
      <c r="F227" s="32">
        <v>4</v>
      </c>
      <c r="G227" s="32">
        <v>1</v>
      </c>
      <c r="H227" s="32">
        <v>81800</v>
      </c>
      <c r="I227" s="32" t="s">
        <v>2689</v>
      </c>
      <c r="J227" s="32">
        <v>17454249</v>
      </c>
      <c r="K227" s="32" t="s">
        <v>3513</v>
      </c>
      <c r="L227" s="38" t="s">
        <v>3514</v>
      </c>
      <c r="M227" s="34">
        <v>169900</v>
      </c>
      <c r="N227" s="35">
        <f t="shared" si="11"/>
        <v>0.75</v>
      </c>
      <c r="O227" s="34">
        <f t="shared" si="9"/>
        <v>50970</v>
      </c>
      <c r="P227" s="32" t="s">
        <v>16</v>
      </c>
    </row>
    <row r="228" spans="1:16" x14ac:dyDescent="0.35">
      <c r="A228" s="32" t="str">
        <f t="shared" si="10"/>
        <v>2024 JAN-DEC DISC 75</v>
      </c>
      <c r="B228" s="33">
        <f t="shared" si="10"/>
        <v>46121</v>
      </c>
      <c r="C228" s="33">
        <f t="shared" si="10"/>
        <v>46127</v>
      </c>
      <c r="D228" s="32">
        <v>3321</v>
      </c>
      <c r="E228" s="32">
        <v>337</v>
      </c>
      <c r="F228" s="32">
        <v>4</v>
      </c>
      <c r="G228" s="32">
        <v>1</v>
      </c>
      <c r="H228" s="32">
        <v>81800</v>
      </c>
      <c r="I228" s="32" t="s">
        <v>2689</v>
      </c>
      <c r="J228" s="32">
        <v>17454258</v>
      </c>
      <c r="K228" s="32" t="s">
        <v>3513</v>
      </c>
      <c r="L228" s="38" t="s">
        <v>3515</v>
      </c>
      <c r="M228" s="34">
        <v>169900</v>
      </c>
      <c r="N228" s="35">
        <f t="shared" si="11"/>
        <v>0.75</v>
      </c>
      <c r="O228" s="34">
        <f t="shared" si="9"/>
        <v>50970</v>
      </c>
      <c r="P228" s="32" t="s">
        <v>16</v>
      </c>
    </row>
    <row r="229" spans="1:16" x14ac:dyDescent="0.35">
      <c r="A229" s="32" t="str">
        <f t="shared" si="10"/>
        <v>2024 JAN-DEC DISC 75</v>
      </c>
      <c r="B229" s="33">
        <f t="shared" si="10"/>
        <v>46121</v>
      </c>
      <c r="C229" s="33">
        <f t="shared" si="10"/>
        <v>46127</v>
      </c>
      <c r="D229" s="32">
        <v>3321</v>
      </c>
      <c r="E229" s="32">
        <v>337</v>
      </c>
      <c r="F229" s="32">
        <v>4</v>
      </c>
      <c r="G229" s="32">
        <v>1</v>
      </c>
      <c r="H229" s="32">
        <v>81800</v>
      </c>
      <c r="I229" s="32" t="s">
        <v>2689</v>
      </c>
      <c r="J229" s="32">
        <v>17454267</v>
      </c>
      <c r="K229" s="32" t="s">
        <v>3513</v>
      </c>
      <c r="L229" s="38" t="s">
        <v>3516</v>
      </c>
      <c r="M229" s="34">
        <v>169900</v>
      </c>
      <c r="N229" s="35">
        <f t="shared" si="11"/>
        <v>0.75</v>
      </c>
      <c r="O229" s="34">
        <f t="shared" si="9"/>
        <v>50970</v>
      </c>
      <c r="P229" s="32" t="s">
        <v>16</v>
      </c>
    </row>
    <row r="230" spans="1:16" x14ac:dyDescent="0.35">
      <c r="A230" s="32" t="str">
        <f t="shared" si="10"/>
        <v>2024 JAN-DEC DISC 75</v>
      </c>
      <c r="B230" s="33">
        <f t="shared" si="10"/>
        <v>46121</v>
      </c>
      <c r="C230" s="33">
        <f t="shared" si="10"/>
        <v>46127</v>
      </c>
      <c r="D230" s="32">
        <v>3321</v>
      </c>
      <c r="E230" s="32">
        <v>337</v>
      </c>
      <c r="F230" s="32">
        <v>4</v>
      </c>
      <c r="G230" s="32">
        <v>1</v>
      </c>
      <c r="H230" s="32">
        <v>81800</v>
      </c>
      <c r="I230" s="32" t="s">
        <v>2689</v>
      </c>
      <c r="J230" s="32">
        <v>17454276</v>
      </c>
      <c r="K230" s="32" t="s">
        <v>3513</v>
      </c>
      <c r="L230" s="38" t="s">
        <v>3517</v>
      </c>
      <c r="M230" s="34">
        <v>169900</v>
      </c>
      <c r="N230" s="35">
        <f t="shared" si="11"/>
        <v>0.75</v>
      </c>
      <c r="O230" s="34">
        <f t="shared" si="9"/>
        <v>50970</v>
      </c>
      <c r="P230" s="32" t="s">
        <v>16</v>
      </c>
    </row>
    <row r="231" spans="1:16" x14ac:dyDescent="0.35">
      <c r="A231" s="32" t="str">
        <f t="shared" ref="A231:C269" si="12">A230</f>
        <v>2024 JAN-DEC DISC 75</v>
      </c>
      <c r="B231" s="33">
        <f t="shared" si="12"/>
        <v>46121</v>
      </c>
      <c r="C231" s="33">
        <f t="shared" si="12"/>
        <v>46127</v>
      </c>
      <c r="D231" s="32">
        <v>3321</v>
      </c>
      <c r="E231" s="32">
        <v>337</v>
      </c>
      <c r="F231" s="32">
        <v>4</v>
      </c>
      <c r="G231" s="32">
        <v>1</v>
      </c>
      <c r="H231" s="32">
        <v>81506</v>
      </c>
      <c r="I231" s="32" t="s">
        <v>2689</v>
      </c>
      <c r="J231" s="32">
        <v>17324077</v>
      </c>
      <c r="K231" s="32" t="s">
        <v>3235</v>
      </c>
      <c r="L231" s="38" t="s">
        <v>3494</v>
      </c>
      <c r="M231" s="34">
        <v>159900</v>
      </c>
      <c r="N231" s="35">
        <f t="shared" si="11"/>
        <v>0.75</v>
      </c>
      <c r="O231" s="34">
        <f t="shared" si="9"/>
        <v>47970</v>
      </c>
      <c r="P231" s="32" t="s">
        <v>16</v>
      </c>
    </row>
    <row r="232" spans="1:16" x14ac:dyDescent="0.35">
      <c r="A232" s="32" t="str">
        <f t="shared" si="12"/>
        <v>2024 JAN-DEC DISC 75</v>
      </c>
      <c r="B232" s="33">
        <f t="shared" si="12"/>
        <v>46121</v>
      </c>
      <c r="C232" s="33">
        <f t="shared" si="12"/>
        <v>46127</v>
      </c>
      <c r="D232" s="32">
        <v>3321</v>
      </c>
      <c r="E232" s="32">
        <v>337</v>
      </c>
      <c r="F232" s="32">
        <v>4</v>
      </c>
      <c r="G232" s="32">
        <v>1</v>
      </c>
      <c r="H232" s="32">
        <v>81506</v>
      </c>
      <c r="I232" s="32" t="s">
        <v>2689</v>
      </c>
      <c r="J232" s="32">
        <v>17324111</v>
      </c>
      <c r="K232" s="32" t="s">
        <v>3239</v>
      </c>
      <c r="L232" s="38" t="s">
        <v>3495</v>
      </c>
      <c r="M232" s="34">
        <v>159900</v>
      </c>
      <c r="N232" s="35">
        <f t="shared" si="11"/>
        <v>0.75</v>
      </c>
      <c r="O232" s="34">
        <f t="shared" si="9"/>
        <v>47970</v>
      </c>
      <c r="P232" s="32" t="s">
        <v>16</v>
      </c>
    </row>
    <row r="233" spans="1:16" x14ac:dyDescent="0.35">
      <c r="A233" s="32" t="str">
        <f t="shared" si="12"/>
        <v>2024 JAN-DEC DISC 75</v>
      </c>
      <c r="B233" s="33">
        <f t="shared" si="12"/>
        <v>46121</v>
      </c>
      <c r="C233" s="33">
        <f t="shared" si="12"/>
        <v>46127</v>
      </c>
      <c r="D233" s="32">
        <v>3321</v>
      </c>
      <c r="E233" s="32">
        <v>337</v>
      </c>
      <c r="F233" s="32">
        <v>4</v>
      </c>
      <c r="G233" s="32">
        <v>1</v>
      </c>
      <c r="H233" s="32">
        <v>81800</v>
      </c>
      <c r="I233" s="32" t="s">
        <v>2689</v>
      </c>
      <c r="J233" s="32">
        <v>17454221</v>
      </c>
      <c r="K233" s="32" t="s">
        <v>3253</v>
      </c>
      <c r="L233" s="38" t="s">
        <v>3512</v>
      </c>
      <c r="M233" s="34">
        <v>169900</v>
      </c>
      <c r="N233" s="35">
        <f t="shared" si="11"/>
        <v>0.75</v>
      </c>
      <c r="O233" s="34">
        <f t="shared" si="9"/>
        <v>50970</v>
      </c>
      <c r="P233" s="32" t="s">
        <v>16</v>
      </c>
    </row>
    <row r="234" spans="1:16" x14ac:dyDescent="0.35">
      <c r="A234" s="32" t="str">
        <f t="shared" si="12"/>
        <v>2024 JAN-DEC DISC 75</v>
      </c>
      <c r="B234" s="33">
        <f t="shared" si="12"/>
        <v>46121</v>
      </c>
      <c r="C234" s="33">
        <f t="shared" si="12"/>
        <v>46127</v>
      </c>
      <c r="D234" s="32">
        <v>3321</v>
      </c>
      <c r="E234" s="32">
        <v>337</v>
      </c>
      <c r="F234" s="32">
        <v>4</v>
      </c>
      <c r="G234" s="32">
        <v>1</v>
      </c>
      <c r="H234" s="32">
        <v>81800</v>
      </c>
      <c r="I234" s="32" t="s">
        <v>2689</v>
      </c>
      <c r="J234" s="32">
        <v>18419688</v>
      </c>
      <c r="K234" s="32" t="s">
        <v>3518</v>
      </c>
      <c r="L234" s="38" t="s">
        <v>3519</v>
      </c>
      <c r="M234" s="34">
        <v>169900</v>
      </c>
      <c r="N234" s="35">
        <f t="shared" si="11"/>
        <v>0.75</v>
      </c>
      <c r="O234" s="34">
        <f t="shared" si="9"/>
        <v>50970</v>
      </c>
      <c r="P234" s="32" t="s">
        <v>16</v>
      </c>
    </row>
    <row r="235" spans="1:16" x14ac:dyDescent="0.35">
      <c r="A235" s="32" t="str">
        <f t="shared" si="12"/>
        <v>2024 JAN-DEC DISC 75</v>
      </c>
      <c r="B235" s="33">
        <f t="shared" si="12"/>
        <v>46121</v>
      </c>
      <c r="C235" s="33">
        <f t="shared" si="12"/>
        <v>46127</v>
      </c>
      <c r="D235" s="32">
        <v>3321</v>
      </c>
      <c r="E235" s="32">
        <v>337</v>
      </c>
      <c r="F235" s="32">
        <v>4</v>
      </c>
      <c r="G235" s="32">
        <v>1</v>
      </c>
      <c r="H235" s="32">
        <v>81800</v>
      </c>
      <c r="I235" s="32" t="s">
        <v>2689</v>
      </c>
      <c r="J235" s="32">
        <v>18419697</v>
      </c>
      <c r="K235" s="32" t="s">
        <v>3518</v>
      </c>
      <c r="L235" s="38" t="s">
        <v>3520</v>
      </c>
      <c r="M235" s="34">
        <v>169900</v>
      </c>
      <c r="N235" s="35">
        <f t="shared" si="11"/>
        <v>0.75</v>
      </c>
      <c r="O235" s="34">
        <f t="shared" si="9"/>
        <v>50970</v>
      </c>
      <c r="P235" s="32" t="s">
        <v>16</v>
      </c>
    </row>
    <row r="236" spans="1:16" x14ac:dyDescent="0.35">
      <c r="A236" s="32" t="str">
        <f t="shared" si="12"/>
        <v>2024 JAN-DEC DISC 75</v>
      </c>
      <c r="B236" s="33">
        <f t="shared" si="12"/>
        <v>46121</v>
      </c>
      <c r="C236" s="33">
        <f t="shared" si="12"/>
        <v>46127</v>
      </c>
      <c r="D236" s="32">
        <v>3321</v>
      </c>
      <c r="E236" s="32">
        <v>337</v>
      </c>
      <c r="F236" s="32">
        <v>4</v>
      </c>
      <c r="G236" s="32">
        <v>1</v>
      </c>
      <c r="H236" s="32">
        <v>81800</v>
      </c>
      <c r="I236" s="32" t="s">
        <v>2689</v>
      </c>
      <c r="J236" s="32">
        <v>18419704</v>
      </c>
      <c r="K236" s="32" t="s">
        <v>3518</v>
      </c>
      <c r="L236" s="38" t="s">
        <v>3521</v>
      </c>
      <c r="M236" s="34">
        <v>169900</v>
      </c>
      <c r="N236" s="35">
        <f t="shared" si="11"/>
        <v>0.75</v>
      </c>
      <c r="O236" s="34">
        <f t="shared" si="9"/>
        <v>50970</v>
      </c>
      <c r="P236" s="32" t="s">
        <v>16</v>
      </c>
    </row>
    <row r="237" spans="1:16" x14ac:dyDescent="0.35">
      <c r="A237" s="32" t="str">
        <f t="shared" si="12"/>
        <v>2024 JAN-DEC DISC 75</v>
      </c>
      <c r="B237" s="33">
        <f t="shared" si="12"/>
        <v>46121</v>
      </c>
      <c r="C237" s="33">
        <f t="shared" si="12"/>
        <v>46127</v>
      </c>
      <c r="D237" s="32">
        <v>3321</v>
      </c>
      <c r="E237" s="32">
        <v>337</v>
      </c>
      <c r="F237" s="32">
        <v>4</v>
      </c>
      <c r="G237" s="32">
        <v>1</v>
      </c>
      <c r="H237" s="32">
        <v>81800</v>
      </c>
      <c r="I237" s="32" t="s">
        <v>2689</v>
      </c>
      <c r="J237" s="32">
        <v>18419713</v>
      </c>
      <c r="K237" s="32" t="s">
        <v>3518</v>
      </c>
      <c r="L237" s="38" t="s">
        <v>3522</v>
      </c>
      <c r="M237" s="34">
        <v>169900</v>
      </c>
      <c r="N237" s="35">
        <f t="shared" si="11"/>
        <v>0.75</v>
      </c>
      <c r="O237" s="34">
        <f t="shared" si="9"/>
        <v>50970</v>
      </c>
      <c r="P237" s="32" t="s">
        <v>16</v>
      </c>
    </row>
    <row r="238" spans="1:16" x14ac:dyDescent="0.35">
      <c r="A238" s="32" t="str">
        <f t="shared" si="12"/>
        <v>2024 JAN-DEC DISC 75</v>
      </c>
      <c r="B238" s="33">
        <f t="shared" si="12"/>
        <v>46121</v>
      </c>
      <c r="C238" s="33">
        <f t="shared" si="12"/>
        <v>46127</v>
      </c>
      <c r="D238" s="32">
        <v>3321</v>
      </c>
      <c r="E238" s="32">
        <v>337</v>
      </c>
      <c r="F238" s="32">
        <v>4</v>
      </c>
      <c r="G238" s="32">
        <v>5</v>
      </c>
      <c r="H238" s="32">
        <v>81506</v>
      </c>
      <c r="I238" s="32" t="s">
        <v>2689</v>
      </c>
      <c r="J238" s="32">
        <v>18769078</v>
      </c>
      <c r="K238" s="32" t="s">
        <v>3548</v>
      </c>
      <c r="L238" s="38" t="s">
        <v>3549</v>
      </c>
      <c r="M238" s="34">
        <v>289900</v>
      </c>
      <c r="N238" s="35">
        <f t="shared" si="11"/>
        <v>0.75</v>
      </c>
      <c r="O238" s="34">
        <f t="shared" si="9"/>
        <v>86970</v>
      </c>
      <c r="P238" s="32" t="s">
        <v>16</v>
      </c>
    </row>
    <row r="239" spans="1:16" x14ac:dyDescent="0.35">
      <c r="A239" s="32" t="str">
        <f t="shared" si="12"/>
        <v>2024 JAN-DEC DISC 75</v>
      </c>
      <c r="B239" s="33">
        <f t="shared" si="12"/>
        <v>46121</v>
      </c>
      <c r="C239" s="33">
        <f t="shared" si="12"/>
        <v>46127</v>
      </c>
      <c r="D239" s="32">
        <v>3321</v>
      </c>
      <c r="E239" s="32">
        <v>337</v>
      </c>
      <c r="F239" s="32">
        <v>4</v>
      </c>
      <c r="G239" s="32">
        <v>5</v>
      </c>
      <c r="H239" s="32">
        <v>81506</v>
      </c>
      <c r="I239" s="32" t="s">
        <v>2689</v>
      </c>
      <c r="J239" s="32">
        <v>18769087</v>
      </c>
      <c r="K239" s="32" t="s">
        <v>3548</v>
      </c>
      <c r="L239" s="38" t="s">
        <v>3550</v>
      </c>
      <c r="M239" s="34">
        <v>289900</v>
      </c>
      <c r="N239" s="35">
        <f t="shared" si="11"/>
        <v>0.75</v>
      </c>
      <c r="O239" s="34">
        <f t="shared" si="9"/>
        <v>86970</v>
      </c>
      <c r="P239" s="32" t="s">
        <v>16</v>
      </c>
    </row>
    <row r="240" spans="1:16" x14ac:dyDescent="0.35">
      <c r="A240" s="32" t="str">
        <f t="shared" si="12"/>
        <v>2024 JAN-DEC DISC 75</v>
      </c>
      <c r="B240" s="33">
        <f t="shared" si="12"/>
        <v>46121</v>
      </c>
      <c r="C240" s="33">
        <f t="shared" si="12"/>
        <v>46127</v>
      </c>
      <c r="D240" s="32">
        <v>3321</v>
      </c>
      <c r="E240" s="32">
        <v>337</v>
      </c>
      <c r="F240" s="32">
        <v>4</v>
      </c>
      <c r="G240" s="32">
        <v>5</v>
      </c>
      <c r="H240" s="32">
        <v>81506</v>
      </c>
      <c r="I240" s="32" t="s">
        <v>2689</v>
      </c>
      <c r="J240" s="32">
        <v>18769096</v>
      </c>
      <c r="K240" s="32" t="s">
        <v>3548</v>
      </c>
      <c r="L240" s="38" t="s">
        <v>3551</v>
      </c>
      <c r="M240" s="34">
        <v>289900</v>
      </c>
      <c r="N240" s="35">
        <f t="shared" si="11"/>
        <v>0.75</v>
      </c>
      <c r="O240" s="34">
        <f t="shared" si="9"/>
        <v>86970</v>
      </c>
      <c r="P240" s="32" t="s">
        <v>16</v>
      </c>
    </row>
    <row r="241" spans="1:16" x14ac:dyDescent="0.35">
      <c r="A241" s="32" t="str">
        <f t="shared" si="12"/>
        <v>2024 JAN-DEC DISC 75</v>
      </c>
      <c r="B241" s="33">
        <f t="shared" si="12"/>
        <v>46121</v>
      </c>
      <c r="C241" s="33">
        <f t="shared" si="12"/>
        <v>46127</v>
      </c>
      <c r="D241" s="32">
        <v>3321</v>
      </c>
      <c r="E241" s="32">
        <v>337</v>
      </c>
      <c r="F241" s="32">
        <v>4</v>
      </c>
      <c r="G241" s="32">
        <v>5</v>
      </c>
      <c r="H241" s="32">
        <v>81506</v>
      </c>
      <c r="I241" s="32" t="s">
        <v>2689</v>
      </c>
      <c r="J241" s="32">
        <v>18769103</v>
      </c>
      <c r="K241" s="32" t="s">
        <v>3548</v>
      </c>
      <c r="L241" s="38" t="s">
        <v>3552</v>
      </c>
      <c r="M241" s="34">
        <v>289900</v>
      </c>
      <c r="N241" s="35">
        <f t="shared" si="11"/>
        <v>0.75</v>
      </c>
      <c r="O241" s="34">
        <f t="shared" si="9"/>
        <v>86970</v>
      </c>
      <c r="P241" s="32" t="s">
        <v>16</v>
      </c>
    </row>
    <row r="242" spans="1:16" x14ac:dyDescent="0.35">
      <c r="A242" s="32" t="str">
        <f t="shared" si="12"/>
        <v>2024 JAN-DEC DISC 75</v>
      </c>
      <c r="B242" s="33">
        <f t="shared" si="12"/>
        <v>46121</v>
      </c>
      <c r="C242" s="33">
        <f t="shared" si="12"/>
        <v>46127</v>
      </c>
      <c r="D242" s="32">
        <v>3321</v>
      </c>
      <c r="E242" s="32">
        <v>337</v>
      </c>
      <c r="F242" s="32">
        <v>4</v>
      </c>
      <c r="G242" s="32">
        <v>1</v>
      </c>
      <c r="H242" s="32">
        <v>81048</v>
      </c>
      <c r="I242" s="32" t="s">
        <v>2689</v>
      </c>
      <c r="J242" s="32">
        <v>18768702</v>
      </c>
      <c r="K242" s="32" t="s">
        <v>3459</v>
      </c>
      <c r="L242" s="38" t="s">
        <v>3460</v>
      </c>
      <c r="M242" s="34">
        <v>139900</v>
      </c>
      <c r="N242" s="35">
        <f t="shared" si="11"/>
        <v>0.75</v>
      </c>
      <c r="O242" s="34">
        <f t="shared" si="9"/>
        <v>41970</v>
      </c>
      <c r="P242" s="32" t="s">
        <v>16</v>
      </c>
    </row>
    <row r="243" spans="1:16" x14ac:dyDescent="0.35">
      <c r="A243" s="32" t="str">
        <f t="shared" si="12"/>
        <v>2024 JAN-DEC DISC 75</v>
      </c>
      <c r="B243" s="33">
        <f t="shared" si="12"/>
        <v>46121</v>
      </c>
      <c r="C243" s="33">
        <f t="shared" si="12"/>
        <v>46127</v>
      </c>
      <c r="D243" s="32">
        <v>3321</v>
      </c>
      <c r="E243" s="32">
        <v>337</v>
      </c>
      <c r="F243" s="32">
        <v>4</v>
      </c>
      <c r="G243" s="32">
        <v>1</v>
      </c>
      <c r="H243" s="32">
        <v>81048</v>
      </c>
      <c r="I243" s="32" t="s">
        <v>2689</v>
      </c>
      <c r="J243" s="32">
        <v>18768711</v>
      </c>
      <c r="K243" s="32" t="s">
        <v>3459</v>
      </c>
      <c r="L243" s="38" t="s">
        <v>3461</v>
      </c>
      <c r="M243" s="34">
        <v>139900</v>
      </c>
      <c r="N243" s="35">
        <f t="shared" si="11"/>
        <v>0.75</v>
      </c>
      <c r="O243" s="34">
        <f t="shared" si="9"/>
        <v>41970</v>
      </c>
      <c r="P243" s="32" t="s">
        <v>16</v>
      </c>
    </row>
    <row r="244" spans="1:16" x14ac:dyDescent="0.35">
      <c r="A244" s="32" t="str">
        <f t="shared" si="12"/>
        <v>2024 JAN-DEC DISC 75</v>
      </c>
      <c r="B244" s="33">
        <f t="shared" si="12"/>
        <v>46121</v>
      </c>
      <c r="C244" s="33">
        <f t="shared" si="12"/>
        <v>46127</v>
      </c>
      <c r="D244" s="32">
        <v>3321</v>
      </c>
      <c r="E244" s="32">
        <v>337</v>
      </c>
      <c r="F244" s="32">
        <v>4</v>
      </c>
      <c r="G244" s="32">
        <v>1</v>
      </c>
      <c r="H244" s="32">
        <v>81048</v>
      </c>
      <c r="I244" s="32" t="s">
        <v>2689</v>
      </c>
      <c r="J244" s="32">
        <v>18768720</v>
      </c>
      <c r="K244" s="32" t="s">
        <v>3459</v>
      </c>
      <c r="L244" s="38" t="s">
        <v>3462</v>
      </c>
      <c r="M244" s="34">
        <v>139900</v>
      </c>
      <c r="N244" s="35">
        <f t="shared" si="11"/>
        <v>0.75</v>
      </c>
      <c r="O244" s="34">
        <f t="shared" si="9"/>
        <v>41970</v>
      </c>
      <c r="P244" s="32" t="s">
        <v>16</v>
      </c>
    </row>
    <row r="245" spans="1:16" x14ac:dyDescent="0.35">
      <c r="A245" s="32" t="str">
        <f t="shared" si="12"/>
        <v>2024 JAN-DEC DISC 75</v>
      </c>
      <c r="B245" s="33">
        <f t="shared" si="12"/>
        <v>46121</v>
      </c>
      <c r="C245" s="33">
        <f t="shared" si="12"/>
        <v>46127</v>
      </c>
      <c r="D245" s="32">
        <v>3321</v>
      </c>
      <c r="E245" s="32">
        <v>337</v>
      </c>
      <c r="F245" s="32">
        <v>4</v>
      </c>
      <c r="G245" s="32">
        <v>1</v>
      </c>
      <c r="H245" s="32">
        <v>81048</v>
      </c>
      <c r="I245" s="32" t="s">
        <v>2689</v>
      </c>
      <c r="J245" s="32">
        <v>18768739</v>
      </c>
      <c r="K245" s="32" t="s">
        <v>3459</v>
      </c>
      <c r="L245" s="38" t="s">
        <v>3463</v>
      </c>
      <c r="M245" s="34">
        <v>139900</v>
      </c>
      <c r="N245" s="35">
        <f t="shared" si="11"/>
        <v>0.75</v>
      </c>
      <c r="O245" s="34">
        <f t="shared" si="9"/>
        <v>41970</v>
      </c>
      <c r="P245" s="32" t="s">
        <v>16</v>
      </c>
    </row>
    <row r="246" spans="1:16" x14ac:dyDescent="0.35">
      <c r="A246" s="32" t="str">
        <f t="shared" si="12"/>
        <v>2024 JAN-DEC DISC 75</v>
      </c>
      <c r="B246" s="33">
        <f t="shared" si="12"/>
        <v>46121</v>
      </c>
      <c r="C246" s="33">
        <f t="shared" si="12"/>
        <v>46127</v>
      </c>
      <c r="D246" s="32">
        <v>3321</v>
      </c>
      <c r="E246" s="32">
        <v>337</v>
      </c>
      <c r="F246" s="32">
        <v>4</v>
      </c>
      <c r="G246" s="32">
        <v>1</v>
      </c>
      <c r="H246" s="32">
        <v>81048</v>
      </c>
      <c r="I246" s="32" t="s">
        <v>2689</v>
      </c>
      <c r="J246" s="32">
        <v>18768748</v>
      </c>
      <c r="K246" s="32" t="s">
        <v>3464</v>
      </c>
      <c r="L246" s="38" t="s">
        <v>3465</v>
      </c>
      <c r="M246" s="34">
        <v>139900</v>
      </c>
      <c r="N246" s="35">
        <f t="shared" si="11"/>
        <v>0.75</v>
      </c>
      <c r="O246" s="34">
        <f t="shared" si="9"/>
        <v>41970</v>
      </c>
      <c r="P246" s="32" t="s">
        <v>16</v>
      </c>
    </row>
    <row r="247" spans="1:16" x14ac:dyDescent="0.35">
      <c r="A247" s="32" t="str">
        <f t="shared" si="12"/>
        <v>2024 JAN-DEC DISC 75</v>
      </c>
      <c r="B247" s="33">
        <f t="shared" si="12"/>
        <v>46121</v>
      </c>
      <c r="C247" s="33">
        <f t="shared" si="12"/>
        <v>46127</v>
      </c>
      <c r="D247" s="32">
        <v>3321</v>
      </c>
      <c r="E247" s="32">
        <v>337</v>
      </c>
      <c r="F247" s="32">
        <v>4</v>
      </c>
      <c r="G247" s="32">
        <v>1</v>
      </c>
      <c r="H247" s="32">
        <v>81048</v>
      </c>
      <c r="I247" s="32" t="s">
        <v>2689</v>
      </c>
      <c r="J247" s="32">
        <v>18768757</v>
      </c>
      <c r="K247" s="32" t="s">
        <v>3464</v>
      </c>
      <c r="L247" s="38" t="s">
        <v>3466</v>
      </c>
      <c r="M247" s="34">
        <v>139900</v>
      </c>
      <c r="N247" s="35">
        <f t="shared" si="11"/>
        <v>0.75</v>
      </c>
      <c r="O247" s="34">
        <f t="shared" si="9"/>
        <v>41970</v>
      </c>
      <c r="P247" s="32" t="s">
        <v>16</v>
      </c>
    </row>
    <row r="248" spans="1:16" x14ac:dyDescent="0.35">
      <c r="A248" s="32" t="str">
        <f t="shared" si="12"/>
        <v>2024 JAN-DEC DISC 75</v>
      </c>
      <c r="B248" s="33">
        <f t="shared" si="12"/>
        <v>46121</v>
      </c>
      <c r="C248" s="33">
        <f t="shared" si="12"/>
        <v>46127</v>
      </c>
      <c r="D248" s="32">
        <v>3321</v>
      </c>
      <c r="E248" s="32">
        <v>337</v>
      </c>
      <c r="F248" s="32">
        <v>4</v>
      </c>
      <c r="G248" s="32">
        <v>1</v>
      </c>
      <c r="H248" s="32">
        <v>81048</v>
      </c>
      <c r="I248" s="32" t="s">
        <v>2689</v>
      </c>
      <c r="J248" s="32">
        <v>18768828</v>
      </c>
      <c r="K248" s="32" t="s">
        <v>3464</v>
      </c>
      <c r="L248" s="38" t="s">
        <v>3467</v>
      </c>
      <c r="M248" s="34">
        <v>139900</v>
      </c>
      <c r="N248" s="35">
        <f t="shared" si="11"/>
        <v>0.75</v>
      </c>
      <c r="O248" s="34">
        <f t="shared" si="9"/>
        <v>41970</v>
      </c>
      <c r="P248" s="32" t="s">
        <v>16</v>
      </c>
    </row>
    <row r="249" spans="1:16" x14ac:dyDescent="0.35">
      <c r="A249" s="32" t="str">
        <f t="shared" si="12"/>
        <v>2024 JAN-DEC DISC 75</v>
      </c>
      <c r="B249" s="33">
        <f t="shared" si="12"/>
        <v>46121</v>
      </c>
      <c r="C249" s="33">
        <f t="shared" si="12"/>
        <v>46127</v>
      </c>
      <c r="D249" s="32">
        <v>3321</v>
      </c>
      <c r="E249" s="32">
        <v>337</v>
      </c>
      <c r="F249" s="32">
        <v>4</v>
      </c>
      <c r="G249" s="32">
        <v>1</v>
      </c>
      <c r="H249" s="32">
        <v>81048</v>
      </c>
      <c r="I249" s="32" t="s">
        <v>2689</v>
      </c>
      <c r="J249" s="32">
        <v>18768864</v>
      </c>
      <c r="K249" s="32" t="s">
        <v>3464</v>
      </c>
      <c r="L249" s="38" t="s">
        <v>3468</v>
      </c>
      <c r="M249" s="34">
        <v>139900</v>
      </c>
      <c r="N249" s="35">
        <f t="shared" si="11"/>
        <v>0.75</v>
      </c>
      <c r="O249" s="34">
        <f t="shared" si="9"/>
        <v>41970</v>
      </c>
      <c r="P249" s="32" t="s">
        <v>16</v>
      </c>
    </row>
    <row r="250" spans="1:16" x14ac:dyDescent="0.35">
      <c r="A250" s="32" t="str">
        <f t="shared" si="12"/>
        <v>2024 JAN-DEC DISC 75</v>
      </c>
      <c r="B250" s="33">
        <f t="shared" si="12"/>
        <v>46121</v>
      </c>
      <c r="C250" s="33">
        <f t="shared" si="12"/>
        <v>46127</v>
      </c>
      <c r="D250" s="32">
        <v>3321</v>
      </c>
      <c r="E250" s="32">
        <v>337</v>
      </c>
      <c r="F250" s="32">
        <v>4</v>
      </c>
      <c r="G250" s="32">
        <v>1</v>
      </c>
      <c r="H250" s="32">
        <v>81048</v>
      </c>
      <c r="I250" s="32" t="s">
        <v>2689</v>
      </c>
      <c r="J250" s="32">
        <v>18768873</v>
      </c>
      <c r="K250" s="32" t="s">
        <v>3469</v>
      </c>
      <c r="L250" s="38" t="s">
        <v>3470</v>
      </c>
      <c r="M250" s="34">
        <v>139900</v>
      </c>
      <c r="N250" s="35">
        <f t="shared" si="11"/>
        <v>0.75</v>
      </c>
      <c r="O250" s="34">
        <f t="shared" si="9"/>
        <v>41970</v>
      </c>
      <c r="P250" s="32" t="s">
        <v>16</v>
      </c>
    </row>
    <row r="251" spans="1:16" x14ac:dyDescent="0.35">
      <c r="A251" s="32" t="str">
        <f t="shared" si="12"/>
        <v>2024 JAN-DEC DISC 75</v>
      </c>
      <c r="B251" s="33">
        <f t="shared" si="12"/>
        <v>46121</v>
      </c>
      <c r="C251" s="33">
        <f t="shared" si="12"/>
        <v>46127</v>
      </c>
      <c r="D251" s="32">
        <v>3321</v>
      </c>
      <c r="E251" s="32">
        <v>337</v>
      </c>
      <c r="F251" s="32">
        <v>4</v>
      </c>
      <c r="G251" s="32">
        <v>1</v>
      </c>
      <c r="H251" s="32">
        <v>81048</v>
      </c>
      <c r="I251" s="32" t="s">
        <v>2689</v>
      </c>
      <c r="J251" s="32">
        <v>18768882</v>
      </c>
      <c r="K251" s="32" t="s">
        <v>3469</v>
      </c>
      <c r="L251" s="38" t="s">
        <v>3471</v>
      </c>
      <c r="M251" s="34">
        <v>139900</v>
      </c>
      <c r="N251" s="35">
        <f t="shared" si="11"/>
        <v>0.75</v>
      </c>
      <c r="O251" s="34">
        <f t="shared" si="9"/>
        <v>41970</v>
      </c>
      <c r="P251" s="32" t="s">
        <v>16</v>
      </c>
    </row>
    <row r="252" spans="1:16" x14ac:dyDescent="0.35">
      <c r="A252" s="32" t="str">
        <f t="shared" si="12"/>
        <v>2024 JAN-DEC DISC 75</v>
      </c>
      <c r="B252" s="33">
        <f t="shared" si="12"/>
        <v>46121</v>
      </c>
      <c r="C252" s="33">
        <f t="shared" si="12"/>
        <v>46127</v>
      </c>
      <c r="D252" s="32">
        <v>3321</v>
      </c>
      <c r="E252" s="32">
        <v>337</v>
      </c>
      <c r="F252" s="32">
        <v>4</v>
      </c>
      <c r="G252" s="32">
        <v>1</v>
      </c>
      <c r="H252" s="32">
        <v>81048</v>
      </c>
      <c r="I252" s="32" t="s">
        <v>2689</v>
      </c>
      <c r="J252" s="32">
        <v>18768891</v>
      </c>
      <c r="K252" s="32" t="s">
        <v>3469</v>
      </c>
      <c r="L252" s="38" t="s">
        <v>3472</v>
      </c>
      <c r="M252" s="34">
        <v>139900</v>
      </c>
      <c r="N252" s="35">
        <f t="shared" si="11"/>
        <v>0.75</v>
      </c>
      <c r="O252" s="34">
        <f t="shared" si="9"/>
        <v>41970</v>
      </c>
      <c r="P252" s="32" t="s">
        <v>16</v>
      </c>
    </row>
    <row r="253" spans="1:16" x14ac:dyDescent="0.35">
      <c r="A253" s="32" t="str">
        <f t="shared" si="12"/>
        <v>2024 JAN-DEC DISC 75</v>
      </c>
      <c r="B253" s="33">
        <f t="shared" si="12"/>
        <v>46121</v>
      </c>
      <c r="C253" s="33">
        <f t="shared" si="12"/>
        <v>46127</v>
      </c>
      <c r="D253" s="32">
        <v>3321</v>
      </c>
      <c r="E253" s="32">
        <v>337</v>
      </c>
      <c r="F253" s="32">
        <v>4</v>
      </c>
      <c r="G253" s="32">
        <v>1</v>
      </c>
      <c r="H253" s="32">
        <v>81048</v>
      </c>
      <c r="I253" s="32" t="s">
        <v>2689</v>
      </c>
      <c r="J253" s="32">
        <v>18768908</v>
      </c>
      <c r="K253" s="32" t="s">
        <v>3469</v>
      </c>
      <c r="L253" s="38" t="s">
        <v>3473</v>
      </c>
      <c r="M253" s="34">
        <v>139900</v>
      </c>
      <c r="N253" s="35">
        <f t="shared" si="11"/>
        <v>0.75</v>
      </c>
      <c r="O253" s="34">
        <f t="shared" si="9"/>
        <v>41970</v>
      </c>
      <c r="P253" s="32" t="s">
        <v>16</v>
      </c>
    </row>
    <row r="254" spans="1:16" x14ac:dyDescent="0.35">
      <c r="A254" s="32" t="str">
        <f t="shared" si="12"/>
        <v>2024 JAN-DEC DISC 75</v>
      </c>
      <c r="B254" s="33">
        <f t="shared" si="12"/>
        <v>46121</v>
      </c>
      <c r="C254" s="33">
        <f t="shared" si="12"/>
        <v>46127</v>
      </c>
      <c r="D254" s="32">
        <v>3321</v>
      </c>
      <c r="E254" s="32">
        <v>337</v>
      </c>
      <c r="F254" s="32">
        <v>4</v>
      </c>
      <c r="G254" s="32">
        <v>1</v>
      </c>
      <c r="H254" s="32">
        <v>81048</v>
      </c>
      <c r="I254" s="32" t="s">
        <v>2689</v>
      </c>
      <c r="J254" s="32">
        <v>18768917</v>
      </c>
      <c r="K254" s="32" t="s">
        <v>3474</v>
      </c>
      <c r="L254" s="38" t="s">
        <v>3475</v>
      </c>
      <c r="M254" s="34">
        <v>149900</v>
      </c>
      <c r="N254" s="35">
        <f t="shared" si="11"/>
        <v>0.75</v>
      </c>
      <c r="O254" s="34">
        <f t="shared" si="9"/>
        <v>44970</v>
      </c>
      <c r="P254" s="32" t="s">
        <v>16</v>
      </c>
    </row>
    <row r="255" spans="1:16" x14ac:dyDescent="0.35">
      <c r="A255" s="32" t="str">
        <f t="shared" si="12"/>
        <v>2024 JAN-DEC DISC 75</v>
      </c>
      <c r="B255" s="33">
        <f t="shared" si="12"/>
        <v>46121</v>
      </c>
      <c r="C255" s="33">
        <f t="shared" si="12"/>
        <v>46127</v>
      </c>
      <c r="D255" s="32">
        <v>3321</v>
      </c>
      <c r="E255" s="32">
        <v>337</v>
      </c>
      <c r="F255" s="32">
        <v>4</v>
      </c>
      <c r="G255" s="32">
        <v>1</v>
      </c>
      <c r="H255" s="32">
        <v>81048</v>
      </c>
      <c r="I255" s="32" t="s">
        <v>2689</v>
      </c>
      <c r="J255" s="32">
        <v>18768926</v>
      </c>
      <c r="K255" s="32" t="s">
        <v>3474</v>
      </c>
      <c r="L255" s="38" t="s">
        <v>3476</v>
      </c>
      <c r="M255" s="34">
        <v>149900</v>
      </c>
      <c r="N255" s="35">
        <f t="shared" si="11"/>
        <v>0.75</v>
      </c>
      <c r="O255" s="34">
        <f t="shared" si="9"/>
        <v>44970</v>
      </c>
      <c r="P255" s="32" t="s">
        <v>16</v>
      </c>
    </row>
    <row r="256" spans="1:16" x14ac:dyDescent="0.35">
      <c r="A256" s="32" t="str">
        <f t="shared" si="12"/>
        <v>2024 JAN-DEC DISC 75</v>
      </c>
      <c r="B256" s="33">
        <f t="shared" si="12"/>
        <v>46121</v>
      </c>
      <c r="C256" s="33">
        <f t="shared" si="12"/>
        <v>46127</v>
      </c>
      <c r="D256" s="32">
        <v>3321</v>
      </c>
      <c r="E256" s="32">
        <v>337</v>
      </c>
      <c r="F256" s="32">
        <v>4</v>
      </c>
      <c r="G256" s="32">
        <v>1</v>
      </c>
      <c r="H256" s="32">
        <v>81048</v>
      </c>
      <c r="I256" s="32" t="s">
        <v>2689</v>
      </c>
      <c r="J256" s="32">
        <v>18768935</v>
      </c>
      <c r="K256" s="32" t="s">
        <v>3474</v>
      </c>
      <c r="L256" s="38" t="s">
        <v>3477</v>
      </c>
      <c r="M256" s="34">
        <v>149900</v>
      </c>
      <c r="N256" s="35">
        <f t="shared" si="11"/>
        <v>0.75</v>
      </c>
      <c r="O256" s="34">
        <f t="shared" si="9"/>
        <v>44970</v>
      </c>
      <c r="P256" s="32" t="s">
        <v>16</v>
      </c>
    </row>
    <row r="257" spans="1:16" x14ac:dyDescent="0.35">
      <c r="A257" s="32" t="str">
        <f t="shared" si="12"/>
        <v>2024 JAN-DEC DISC 75</v>
      </c>
      <c r="B257" s="33">
        <f t="shared" si="12"/>
        <v>46121</v>
      </c>
      <c r="C257" s="33">
        <f t="shared" si="12"/>
        <v>46127</v>
      </c>
      <c r="D257" s="32">
        <v>3321</v>
      </c>
      <c r="E257" s="32">
        <v>337</v>
      </c>
      <c r="F257" s="32">
        <v>4</v>
      </c>
      <c r="G257" s="32">
        <v>1</v>
      </c>
      <c r="H257" s="32">
        <v>81048</v>
      </c>
      <c r="I257" s="32" t="s">
        <v>2689</v>
      </c>
      <c r="J257" s="32">
        <v>18768944</v>
      </c>
      <c r="K257" s="32" t="s">
        <v>3474</v>
      </c>
      <c r="L257" s="38" t="s">
        <v>3478</v>
      </c>
      <c r="M257" s="34">
        <v>149900</v>
      </c>
      <c r="N257" s="35">
        <f t="shared" si="11"/>
        <v>0.75</v>
      </c>
      <c r="O257" s="34">
        <f t="shared" si="9"/>
        <v>44970</v>
      </c>
      <c r="P257" s="32" t="s">
        <v>16</v>
      </c>
    </row>
    <row r="258" spans="1:16" x14ac:dyDescent="0.35">
      <c r="A258" s="32" t="str">
        <f t="shared" si="12"/>
        <v>2024 JAN-DEC DISC 75</v>
      </c>
      <c r="B258" s="33">
        <f t="shared" si="12"/>
        <v>46121</v>
      </c>
      <c r="C258" s="33">
        <f t="shared" si="12"/>
        <v>46127</v>
      </c>
      <c r="D258" s="32">
        <v>3321</v>
      </c>
      <c r="E258" s="32">
        <v>337</v>
      </c>
      <c r="F258" s="32">
        <v>4</v>
      </c>
      <c r="G258" s="32">
        <v>1</v>
      </c>
      <c r="H258" s="32">
        <v>81048</v>
      </c>
      <c r="I258" s="32" t="s">
        <v>2689</v>
      </c>
      <c r="J258" s="32">
        <v>18768953</v>
      </c>
      <c r="K258" s="32" t="s">
        <v>3479</v>
      </c>
      <c r="L258" s="38" t="s">
        <v>3480</v>
      </c>
      <c r="M258" s="34">
        <v>139900</v>
      </c>
      <c r="N258" s="35">
        <f t="shared" si="11"/>
        <v>0.75</v>
      </c>
      <c r="O258" s="34">
        <f t="shared" si="9"/>
        <v>41970</v>
      </c>
      <c r="P258" s="32" t="s">
        <v>16</v>
      </c>
    </row>
    <row r="259" spans="1:16" x14ac:dyDescent="0.35">
      <c r="A259" s="32" t="str">
        <f t="shared" si="12"/>
        <v>2024 JAN-DEC DISC 75</v>
      </c>
      <c r="B259" s="33">
        <f t="shared" si="12"/>
        <v>46121</v>
      </c>
      <c r="C259" s="33">
        <f t="shared" si="12"/>
        <v>46127</v>
      </c>
      <c r="D259" s="32">
        <v>3321</v>
      </c>
      <c r="E259" s="32">
        <v>337</v>
      </c>
      <c r="F259" s="32">
        <v>4</v>
      </c>
      <c r="G259" s="32">
        <v>1</v>
      </c>
      <c r="H259" s="32">
        <v>81048</v>
      </c>
      <c r="I259" s="32" t="s">
        <v>2689</v>
      </c>
      <c r="J259" s="32">
        <v>18768962</v>
      </c>
      <c r="K259" s="32" t="s">
        <v>3479</v>
      </c>
      <c r="L259" s="38" t="s">
        <v>3481</v>
      </c>
      <c r="M259" s="34">
        <v>139900</v>
      </c>
      <c r="N259" s="35">
        <f t="shared" si="11"/>
        <v>0.75</v>
      </c>
      <c r="O259" s="34">
        <f t="shared" ref="O259:O269" si="13">M259-((70*M259))/100</f>
        <v>41970</v>
      </c>
      <c r="P259" s="32" t="s">
        <v>16</v>
      </c>
    </row>
    <row r="260" spans="1:16" x14ac:dyDescent="0.35">
      <c r="A260" s="32" t="str">
        <f t="shared" si="12"/>
        <v>2024 JAN-DEC DISC 75</v>
      </c>
      <c r="B260" s="33">
        <f t="shared" si="12"/>
        <v>46121</v>
      </c>
      <c r="C260" s="33">
        <f t="shared" si="12"/>
        <v>46127</v>
      </c>
      <c r="D260" s="32">
        <v>3321</v>
      </c>
      <c r="E260" s="32">
        <v>337</v>
      </c>
      <c r="F260" s="32">
        <v>4</v>
      </c>
      <c r="G260" s="32">
        <v>1</v>
      </c>
      <c r="H260" s="32">
        <v>81048</v>
      </c>
      <c r="I260" s="32" t="s">
        <v>2689</v>
      </c>
      <c r="J260" s="32">
        <v>18768971</v>
      </c>
      <c r="K260" s="32" t="s">
        <v>3479</v>
      </c>
      <c r="L260" s="38" t="s">
        <v>3482</v>
      </c>
      <c r="M260" s="34">
        <v>139900</v>
      </c>
      <c r="N260" s="35">
        <f t="shared" ref="N260:N323" si="14">N259</f>
        <v>0.75</v>
      </c>
      <c r="O260" s="34">
        <f t="shared" si="13"/>
        <v>41970</v>
      </c>
      <c r="P260" s="32" t="s">
        <v>16</v>
      </c>
    </row>
    <row r="261" spans="1:16" x14ac:dyDescent="0.35">
      <c r="A261" s="32" t="str">
        <f t="shared" si="12"/>
        <v>2024 JAN-DEC DISC 75</v>
      </c>
      <c r="B261" s="33">
        <f t="shared" si="12"/>
        <v>46121</v>
      </c>
      <c r="C261" s="33">
        <f t="shared" si="12"/>
        <v>46127</v>
      </c>
      <c r="D261" s="32">
        <v>3321</v>
      </c>
      <c r="E261" s="32">
        <v>337</v>
      </c>
      <c r="F261" s="32">
        <v>4</v>
      </c>
      <c r="G261" s="32">
        <v>1</v>
      </c>
      <c r="H261" s="32">
        <v>81048</v>
      </c>
      <c r="I261" s="32" t="s">
        <v>2689</v>
      </c>
      <c r="J261" s="32">
        <v>18768980</v>
      </c>
      <c r="K261" s="32" t="s">
        <v>3479</v>
      </c>
      <c r="L261" s="38" t="s">
        <v>3483</v>
      </c>
      <c r="M261" s="34">
        <v>139900</v>
      </c>
      <c r="N261" s="35">
        <f t="shared" si="14"/>
        <v>0.75</v>
      </c>
      <c r="O261" s="34">
        <f t="shared" si="13"/>
        <v>41970</v>
      </c>
      <c r="P261" s="32" t="s">
        <v>16</v>
      </c>
    </row>
    <row r="262" spans="1:16" x14ac:dyDescent="0.35">
      <c r="A262" s="32" t="str">
        <f t="shared" si="12"/>
        <v>2024 JAN-DEC DISC 75</v>
      </c>
      <c r="B262" s="33">
        <f t="shared" si="12"/>
        <v>46121</v>
      </c>
      <c r="C262" s="33">
        <f t="shared" si="12"/>
        <v>46127</v>
      </c>
      <c r="D262" s="32">
        <v>3321</v>
      </c>
      <c r="E262" s="32">
        <v>337</v>
      </c>
      <c r="F262" s="32">
        <v>4</v>
      </c>
      <c r="G262" s="32">
        <v>1</v>
      </c>
      <c r="H262" s="32">
        <v>81048</v>
      </c>
      <c r="I262" s="32" t="s">
        <v>2689</v>
      </c>
      <c r="J262" s="32">
        <v>18768999</v>
      </c>
      <c r="K262" s="32" t="s">
        <v>3484</v>
      </c>
      <c r="L262" s="38" t="s">
        <v>3485</v>
      </c>
      <c r="M262" s="34">
        <v>139900</v>
      </c>
      <c r="N262" s="35">
        <f t="shared" si="14"/>
        <v>0.75</v>
      </c>
      <c r="O262" s="34">
        <f t="shared" si="13"/>
        <v>41970</v>
      </c>
      <c r="P262" s="32" t="s">
        <v>16</v>
      </c>
    </row>
    <row r="263" spans="1:16" x14ac:dyDescent="0.35">
      <c r="A263" s="32" t="str">
        <f t="shared" si="12"/>
        <v>2024 JAN-DEC DISC 75</v>
      </c>
      <c r="B263" s="33">
        <f t="shared" si="12"/>
        <v>46121</v>
      </c>
      <c r="C263" s="33">
        <f t="shared" si="12"/>
        <v>46127</v>
      </c>
      <c r="D263" s="32">
        <v>3321</v>
      </c>
      <c r="E263" s="32">
        <v>337</v>
      </c>
      <c r="F263" s="32">
        <v>4</v>
      </c>
      <c r="G263" s="32">
        <v>1</v>
      </c>
      <c r="H263" s="32">
        <v>81048</v>
      </c>
      <c r="I263" s="32" t="s">
        <v>2689</v>
      </c>
      <c r="J263" s="32">
        <v>18769005</v>
      </c>
      <c r="K263" s="32" t="s">
        <v>3484</v>
      </c>
      <c r="L263" s="38" t="s">
        <v>3486</v>
      </c>
      <c r="M263" s="34">
        <v>139900</v>
      </c>
      <c r="N263" s="35">
        <f t="shared" si="14"/>
        <v>0.75</v>
      </c>
      <c r="O263" s="34">
        <f t="shared" si="13"/>
        <v>41970</v>
      </c>
      <c r="P263" s="32" t="s">
        <v>16</v>
      </c>
    </row>
    <row r="264" spans="1:16" x14ac:dyDescent="0.35">
      <c r="A264" s="32" t="str">
        <f t="shared" si="12"/>
        <v>2024 JAN-DEC DISC 75</v>
      </c>
      <c r="B264" s="33">
        <f t="shared" si="12"/>
        <v>46121</v>
      </c>
      <c r="C264" s="33">
        <f t="shared" si="12"/>
        <v>46127</v>
      </c>
      <c r="D264" s="32">
        <v>3321</v>
      </c>
      <c r="E264" s="32">
        <v>337</v>
      </c>
      <c r="F264" s="32">
        <v>4</v>
      </c>
      <c r="G264" s="32">
        <v>1</v>
      </c>
      <c r="H264" s="32">
        <v>81048</v>
      </c>
      <c r="I264" s="32" t="s">
        <v>2689</v>
      </c>
      <c r="J264" s="32">
        <v>18769014</v>
      </c>
      <c r="K264" s="32" t="s">
        <v>3484</v>
      </c>
      <c r="L264" s="38" t="s">
        <v>3487</v>
      </c>
      <c r="M264" s="34">
        <v>139900</v>
      </c>
      <c r="N264" s="35">
        <f t="shared" si="14"/>
        <v>0.75</v>
      </c>
      <c r="O264" s="34">
        <f t="shared" si="13"/>
        <v>41970</v>
      </c>
      <c r="P264" s="32" t="s">
        <v>16</v>
      </c>
    </row>
    <row r="265" spans="1:16" x14ac:dyDescent="0.35">
      <c r="A265" s="32" t="str">
        <f t="shared" si="12"/>
        <v>2024 JAN-DEC DISC 75</v>
      </c>
      <c r="B265" s="33">
        <f t="shared" si="12"/>
        <v>46121</v>
      </c>
      <c r="C265" s="33">
        <f t="shared" si="12"/>
        <v>46127</v>
      </c>
      <c r="D265" s="32">
        <v>3321</v>
      </c>
      <c r="E265" s="32">
        <v>337</v>
      </c>
      <c r="F265" s="32">
        <v>4</v>
      </c>
      <c r="G265" s="32">
        <v>1</v>
      </c>
      <c r="H265" s="32">
        <v>81048</v>
      </c>
      <c r="I265" s="32" t="s">
        <v>2689</v>
      </c>
      <c r="J265" s="32">
        <v>18769023</v>
      </c>
      <c r="K265" s="32" t="s">
        <v>3484</v>
      </c>
      <c r="L265" s="38" t="s">
        <v>3488</v>
      </c>
      <c r="M265" s="34">
        <v>139900</v>
      </c>
      <c r="N265" s="35">
        <f t="shared" si="14"/>
        <v>0.75</v>
      </c>
      <c r="O265" s="34">
        <f t="shared" si="13"/>
        <v>41970</v>
      </c>
      <c r="P265" s="32" t="s">
        <v>16</v>
      </c>
    </row>
    <row r="266" spans="1:16" x14ac:dyDescent="0.35">
      <c r="A266" s="32" t="str">
        <f t="shared" si="12"/>
        <v>2024 JAN-DEC DISC 75</v>
      </c>
      <c r="B266" s="33">
        <f t="shared" si="12"/>
        <v>46121</v>
      </c>
      <c r="C266" s="33">
        <f t="shared" si="12"/>
        <v>46127</v>
      </c>
      <c r="D266" s="32">
        <v>3321</v>
      </c>
      <c r="E266" s="32">
        <v>337</v>
      </c>
      <c r="F266" s="32">
        <v>4</v>
      </c>
      <c r="G266" s="32">
        <v>1</v>
      </c>
      <c r="H266" s="32">
        <v>81048</v>
      </c>
      <c r="I266" s="32" t="s">
        <v>2689</v>
      </c>
      <c r="J266" s="32">
        <v>18769032</v>
      </c>
      <c r="K266" s="32" t="s">
        <v>3489</v>
      </c>
      <c r="L266" s="38" t="s">
        <v>3490</v>
      </c>
      <c r="M266" s="34">
        <v>149900</v>
      </c>
      <c r="N266" s="35">
        <f t="shared" si="14"/>
        <v>0.75</v>
      </c>
      <c r="O266" s="34">
        <f t="shared" si="13"/>
        <v>44970</v>
      </c>
      <c r="P266" s="32" t="s">
        <v>16</v>
      </c>
    </row>
    <row r="267" spans="1:16" x14ac:dyDescent="0.35">
      <c r="A267" s="32" t="str">
        <f t="shared" si="12"/>
        <v>2024 JAN-DEC DISC 75</v>
      </c>
      <c r="B267" s="33">
        <f t="shared" si="12"/>
        <v>46121</v>
      </c>
      <c r="C267" s="33">
        <f t="shared" si="12"/>
        <v>46127</v>
      </c>
      <c r="D267" s="32">
        <v>3321</v>
      </c>
      <c r="E267" s="32">
        <v>337</v>
      </c>
      <c r="F267" s="32">
        <v>4</v>
      </c>
      <c r="G267" s="32">
        <v>1</v>
      </c>
      <c r="H267" s="32">
        <v>81048</v>
      </c>
      <c r="I267" s="32" t="s">
        <v>2689</v>
      </c>
      <c r="J267" s="32">
        <v>18769041</v>
      </c>
      <c r="K267" s="32" t="s">
        <v>3489</v>
      </c>
      <c r="L267" s="38" t="s">
        <v>3491</v>
      </c>
      <c r="M267" s="34">
        <v>149900</v>
      </c>
      <c r="N267" s="35">
        <f t="shared" si="14"/>
        <v>0.75</v>
      </c>
      <c r="O267" s="34">
        <f t="shared" si="13"/>
        <v>44970</v>
      </c>
      <c r="P267" s="32" t="s">
        <v>16</v>
      </c>
    </row>
    <row r="268" spans="1:16" x14ac:dyDescent="0.35">
      <c r="A268" s="32" t="str">
        <f t="shared" si="12"/>
        <v>2024 JAN-DEC DISC 75</v>
      </c>
      <c r="B268" s="33">
        <f t="shared" si="12"/>
        <v>46121</v>
      </c>
      <c r="C268" s="33">
        <f t="shared" si="12"/>
        <v>46127</v>
      </c>
      <c r="D268" s="32">
        <v>3321</v>
      </c>
      <c r="E268" s="32">
        <v>337</v>
      </c>
      <c r="F268" s="32">
        <v>4</v>
      </c>
      <c r="G268" s="32">
        <v>1</v>
      </c>
      <c r="H268" s="32">
        <v>81048</v>
      </c>
      <c r="I268" s="32" t="s">
        <v>2689</v>
      </c>
      <c r="J268" s="32">
        <v>18769050</v>
      </c>
      <c r="K268" s="32" t="s">
        <v>3489</v>
      </c>
      <c r="L268" s="38" t="s">
        <v>3492</v>
      </c>
      <c r="M268" s="34">
        <v>149900</v>
      </c>
      <c r="N268" s="35">
        <f t="shared" si="14"/>
        <v>0.75</v>
      </c>
      <c r="O268" s="34">
        <f t="shared" si="13"/>
        <v>44970</v>
      </c>
      <c r="P268" s="32" t="s">
        <v>16</v>
      </c>
    </row>
    <row r="269" spans="1:16" x14ac:dyDescent="0.35">
      <c r="A269" s="32" t="str">
        <f t="shared" si="12"/>
        <v>2024 JAN-DEC DISC 75</v>
      </c>
      <c r="B269" s="33">
        <f t="shared" si="12"/>
        <v>46121</v>
      </c>
      <c r="C269" s="33">
        <f t="shared" si="12"/>
        <v>46127</v>
      </c>
      <c r="D269" s="32">
        <v>3321</v>
      </c>
      <c r="E269" s="32">
        <v>337</v>
      </c>
      <c r="F269" s="32">
        <v>4</v>
      </c>
      <c r="G269" s="32">
        <v>1</v>
      </c>
      <c r="H269" s="32">
        <v>81048</v>
      </c>
      <c r="I269" s="32" t="s">
        <v>2689</v>
      </c>
      <c r="J269" s="32">
        <v>18769069</v>
      </c>
      <c r="K269" s="32" t="s">
        <v>3489</v>
      </c>
      <c r="L269" s="38" t="s">
        <v>3493</v>
      </c>
      <c r="M269" s="34">
        <v>149900</v>
      </c>
      <c r="N269" s="35">
        <f t="shared" si="14"/>
        <v>0.75</v>
      </c>
      <c r="O269" s="34">
        <f t="shared" si="13"/>
        <v>44970</v>
      </c>
      <c r="P269" s="32" t="s">
        <v>16</v>
      </c>
    </row>
    <row r="270" spans="1:16" x14ac:dyDescent="0.35">
      <c r="A270" s="32" t="str">
        <f t="shared" ref="A270:C270" si="15">A269</f>
        <v>2024 JAN-DEC DISC 75</v>
      </c>
      <c r="B270" s="33">
        <f t="shared" si="15"/>
        <v>46121</v>
      </c>
      <c r="C270" s="33">
        <f t="shared" si="15"/>
        <v>46127</v>
      </c>
      <c r="D270" s="32">
        <v>3321</v>
      </c>
      <c r="E270" s="32">
        <v>337</v>
      </c>
      <c r="F270" s="32">
        <v>4</v>
      </c>
      <c r="G270" s="32">
        <v>1</v>
      </c>
      <c r="H270" s="32">
        <v>81676</v>
      </c>
      <c r="I270" s="32" t="s">
        <v>2689</v>
      </c>
      <c r="J270" s="32">
        <v>20597875</v>
      </c>
      <c r="K270" s="32" t="s">
        <v>3497</v>
      </c>
      <c r="L270" s="38" t="s">
        <v>3498</v>
      </c>
      <c r="M270" s="34">
        <v>129900</v>
      </c>
      <c r="N270" s="35">
        <f t="shared" si="14"/>
        <v>0.75</v>
      </c>
      <c r="O270" s="34">
        <f t="shared" ref="O270:O333" si="16">M270-((70*M270))/100</f>
        <v>38970</v>
      </c>
      <c r="P270" s="32" t="s">
        <v>16</v>
      </c>
    </row>
    <row r="271" spans="1:16" x14ac:dyDescent="0.35">
      <c r="A271" s="32" t="str">
        <f t="shared" ref="A271:C271" si="17">A270</f>
        <v>2024 JAN-DEC DISC 75</v>
      </c>
      <c r="B271" s="33">
        <f t="shared" si="17"/>
        <v>46121</v>
      </c>
      <c r="C271" s="33">
        <f t="shared" si="17"/>
        <v>46127</v>
      </c>
      <c r="D271" s="32">
        <v>3321</v>
      </c>
      <c r="E271" s="32">
        <v>337</v>
      </c>
      <c r="F271" s="32">
        <v>4</v>
      </c>
      <c r="G271" s="32">
        <v>1</v>
      </c>
      <c r="H271" s="32">
        <v>81676</v>
      </c>
      <c r="I271" s="32" t="s">
        <v>2689</v>
      </c>
      <c r="J271" s="32">
        <v>20597893</v>
      </c>
      <c r="K271" s="32" t="s">
        <v>3497</v>
      </c>
      <c r="L271" s="38" t="s">
        <v>3499</v>
      </c>
      <c r="M271" s="34">
        <v>129900</v>
      </c>
      <c r="N271" s="35">
        <f t="shared" si="14"/>
        <v>0.75</v>
      </c>
      <c r="O271" s="34">
        <f t="shared" si="16"/>
        <v>38970</v>
      </c>
      <c r="P271" s="32" t="s">
        <v>16</v>
      </c>
    </row>
    <row r="272" spans="1:16" x14ac:dyDescent="0.35">
      <c r="A272" s="32" t="str">
        <f t="shared" ref="A272:C272" si="18">A271</f>
        <v>2024 JAN-DEC DISC 75</v>
      </c>
      <c r="B272" s="33">
        <f t="shared" si="18"/>
        <v>46121</v>
      </c>
      <c r="C272" s="33">
        <f t="shared" si="18"/>
        <v>46127</v>
      </c>
      <c r="D272" s="32">
        <v>3321</v>
      </c>
      <c r="E272" s="32">
        <v>337</v>
      </c>
      <c r="F272" s="32">
        <v>4</v>
      </c>
      <c r="G272" s="32">
        <v>1</v>
      </c>
      <c r="H272" s="32">
        <v>81676</v>
      </c>
      <c r="I272" s="32" t="s">
        <v>2689</v>
      </c>
      <c r="J272" s="32">
        <v>20597900</v>
      </c>
      <c r="K272" s="32" t="s">
        <v>3497</v>
      </c>
      <c r="L272" s="38" t="s">
        <v>3500</v>
      </c>
      <c r="M272" s="34">
        <v>129900</v>
      </c>
      <c r="N272" s="35">
        <f t="shared" si="14"/>
        <v>0.75</v>
      </c>
      <c r="O272" s="34">
        <f t="shared" si="16"/>
        <v>38970</v>
      </c>
      <c r="P272" s="32" t="s">
        <v>16</v>
      </c>
    </row>
    <row r="273" spans="1:16" x14ac:dyDescent="0.35">
      <c r="A273" s="32" t="str">
        <f t="shared" ref="A273:C273" si="19">A272</f>
        <v>2024 JAN-DEC DISC 75</v>
      </c>
      <c r="B273" s="33">
        <f t="shared" si="19"/>
        <v>46121</v>
      </c>
      <c r="C273" s="33">
        <f t="shared" si="19"/>
        <v>46127</v>
      </c>
      <c r="D273" s="32">
        <v>3321</v>
      </c>
      <c r="E273" s="32">
        <v>337</v>
      </c>
      <c r="F273" s="32">
        <v>4</v>
      </c>
      <c r="G273" s="32">
        <v>1</v>
      </c>
      <c r="H273" s="32">
        <v>81676</v>
      </c>
      <c r="I273" s="32" t="s">
        <v>2689</v>
      </c>
      <c r="J273" s="32">
        <v>20597937</v>
      </c>
      <c r="K273" s="32" t="s">
        <v>3497</v>
      </c>
      <c r="L273" s="38" t="s">
        <v>3501</v>
      </c>
      <c r="M273" s="34">
        <v>129900</v>
      </c>
      <c r="N273" s="35">
        <f t="shared" si="14"/>
        <v>0.75</v>
      </c>
      <c r="O273" s="34">
        <f t="shared" si="16"/>
        <v>38970</v>
      </c>
      <c r="P273" s="32" t="s">
        <v>16</v>
      </c>
    </row>
    <row r="274" spans="1:16" x14ac:dyDescent="0.35">
      <c r="A274" s="32" t="str">
        <f t="shared" ref="A274:C274" si="20">A273</f>
        <v>2024 JAN-DEC DISC 75</v>
      </c>
      <c r="B274" s="33">
        <f t="shared" si="20"/>
        <v>46121</v>
      </c>
      <c r="C274" s="33">
        <f t="shared" si="20"/>
        <v>46127</v>
      </c>
      <c r="D274" s="32">
        <v>3321</v>
      </c>
      <c r="E274" s="32">
        <v>337</v>
      </c>
      <c r="F274" s="32">
        <v>4</v>
      </c>
      <c r="G274" s="32">
        <v>1</v>
      </c>
      <c r="H274" s="32">
        <v>81676</v>
      </c>
      <c r="I274" s="32" t="s">
        <v>2689</v>
      </c>
      <c r="J274" s="32">
        <v>20597955</v>
      </c>
      <c r="K274" s="32" t="s">
        <v>3502</v>
      </c>
      <c r="L274" s="38" t="s">
        <v>3503</v>
      </c>
      <c r="M274" s="34">
        <v>139900</v>
      </c>
      <c r="N274" s="35">
        <f t="shared" si="14"/>
        <v>0.75</v>
      </c>
      <c r="O274" s="34">
        <f t="shared" si="16"/>
        <v>41970</v>
      </c>
      <c r="P274" s="32" t="s">
        <v>16</v>
      </c>
    </row>
    <row r="275" spans="1:16" x14ac:dyDescent="0.35">
      <c r="A275" s="32" t="str">
        <f t="shared" ref="A275:C275" si="21">A274</f>
        <v>2024 JAN-DEC DISC 75</v>
      </c>
      <c r="B275" s="33">
        <f t="shared" si="21"/>
        <v>46121</v>
      </c>
      <c r="C275" s="33">
        <f t="shared" si="21"/>
        <v>46127</v>
      </c>
      <c r="D275" s="32">
        <v>3321</v>
      </c>
      <c r="E275" s="32">
        <v>337</v>
      </c>
      <c r="F275" s="32">
        <v>4</v>
      </c>
      <c r="G275" s="32">
        <v>1</v>
      </c>
      <c r="H275" s="32">
        <v>81676</v>
      </c>
      <c r="I275" s="32" t="s">
        <v>2689</v>
      </c>
      <c r="J275" s="32">
        <v>20597973</v>
      </c>
      <c r="K275" s="32" t="s">
        <v>3502</v>
      </c>
      <c r="L275" s="38" t="s">
        <v>3504</v>
      </c>
      <c r="M275" s="34">
        <v>139900</v>
      </c>
      <c r="N275" s="35">
        <f t="shared" si="14"/>
        <v>0.75</v>
      </c>
      <c r="O275" s="34">
        <f t="shared" si="16"/>
        <v>41970</v>
      </c>
      <c r="P275" s="32" t="s">
        <v>16</v>
      </c>
    </row>
    <row r="276" spans="1:16" x14ac:dyDescent="0.35">
      <c r="A276" s="32" t="str">
        <f t="shared" ref="A276:C276" si="22">A275</f>
        <v>2024 JAN-DEC DISC 75</v>
      </c>
      <c r="B276" s="33">
        <f t="shared" si="22"/>
        <v>46121</v>
      </c>
      <c r="C276" s="33">
        <f t="shared" si="22"/>
        <v>46127</v>
      </c>
      <c r="D276" s="32">
        <v>3321</v>
      </c>
      <c r="E276" s="32">
        <v>337</v>
      </c>
      <c r="F276" s="32">
        <v>4</v>
      </c>
      <c r="G276" s="32">
        <v>1</v>
      </c>
      <c r="H276" s="32">
        <v>81676</v>
      </c>
      <c r="I276" s="32" t="s">
        <v>2689</v>
      </c>
      <c r="J276" s="32">
        <v>20598007</v>
      </c>
      <c r="K276" s="32" t="s">
        <v>3502</v>
      </c>
      <c r="L276" s="38" t="s">
        <v>3505</v>
      </c>
      <c r="M276" s="34">
        <v>139900</v>
      </c>
      <c r="N276" s="35">
        <f t="shared" si="14"/>
        <v>0.75</v>
      </c>
      <c r="O276" s="34">
        <f t="shared" si="16"/>
        <v>41970</v>
      </c>
      <c r="P276" s="32" t="s">
        <v>16</v>
      </c>
    </row>
    <row r="277" spans="1:16" x14ac:dyDescent="0.35">
      <c r="A277" s="32" t="str">
        <f t="shared" ref="A277:C277" si="23">A276</f>
        <v>2024 JAN-DEC DISC 75</v>
      </c>
      <c r="B277" s="33">
        <f t="shared" si="23"/>
        <v>46121</v>
      </c>
      <c r="C277" s="33">
        <f t="shared" si="23"/>
        <v>46127</v>
      </c>
      <c r="D277" s="32">
        <v>3321</v>
      </c>
      <c r="E277" s="32">
        <v>337</v>
      </c>
      <c r="F277" s="32">
        <v>4</v>
      </c>
      <c r="G277" s="32">
        <v>1</v>
      </c>
      <c r="H277" s="32">
        <v>81676</v>
      </c>
      <c r="I277" s="32" t="s">
        <v>2689</v>
      </c>
      <c r="J277" s="32">
        <v>20598016</v>
      </c>
      <c r="K277" s="32" t="s">
        <v>3502</v>
      </c>
      <c r="L277" s="38" t="s">
        <v>3506</v>
      </c>
      <c r="M277" s="34">
        <v>139900</v>
      </c>
      <c r="N277" s="35">
        <f t="shared" si="14"/>
        <v>0.75</v>
      </c>
      <c r="O277" s="34">
        <f t="shared" si="16"/>
        <v>41970</v>
      </c>
      <c r="P277" s="32" t="s">
        <v>16</v>
      </c>
    </row>
    <row r="278" spans="1:16" x14ac:dyDescent="0.35">
      <c r="A278" s="32" t="str">
        <f t="shared" ref="A278:C278" si="24">A277</f>
        <v>2024 JAN-DEC DISC 75</v>
      </c>
      <c r="B278" s="33">
        <f t="shared" si="24"/>
        <v>46121</v>
      </c>
      <c r="C278" s="33">
        <f t="shared" si="24"/>
        <v>46127</v>
      </c>
      <c r="D278" s="32">
        <v>3321</v>
      </c>
      <c r="E278" s="32">
        <v>337</v>
      </c>
      <c r="F278" s="32">
        <v>4</v>
      </c>
      <c r="G278" s="32">
        <v>1</v>
      </c>
      <c r="H278" s="32">
        <v>81676</v>
      </c>
      <c r="I278" s="32" t="s">
        <v>2689</v>
      </c>
      <c r="J278" s="32">
        <v>21324854</v>
      </c>
      <c r="K278" s="32" t="s">
        <v>3507</v>
      </c>
      <c r="L278" s="38" t="s">
        <v>3508</v>
      </c>
      <c r="M278" s="34">
        <v>129900</v>
      </c>
      <c r="N278" s="35">
        <f t="shared" si="14"/>
        <v>0.75</v>
      </c>
      <c r="O278" s="34">
        <f t="shared" si="16"/>
        <v>38970</v>
      </c>
      <c r="P278" s="32" t="s">
        <v>16</v>
      </c>
    </row>
    <row r="279" spans="1:16" x14ac:dyDescent="0.35">
      <c r="A279" s="32" t="str">
        <f t="shared" ref="A279:C279" si="25">A278</f>
        <v>2024 JAN-DEC DISC 75</v>
      </c>
      <c r="B279" s="33">
        <f t="shared" si="25"/>
        <v>46121</v>
      </c>
      <c r="C279" s="33">
        <f t="shared" si="25"/>
        <v>46127</v>
      </c>
      <c r="D279" s="32">
        <v>3321</v>
      </c>
      <c r="E279" s="32">
        <v>337</v>
      </c>
      <c r="F279" s="32">
        <v>4</v>
      </c>
      <c r="G279" s="32">
        <v>1</v>
      </c>
      <c r="H279" s="32">
        <v>81676</v>
      </c>
      <c r="I279" s="32" t="s">
        <v>2689</v>
      </c>
      <c r="J279" s="32">
        <v>21324989</v>
      </c>
      <c r="K279" s="32" t="s">
        <v>3507</v>
      </c>
      <c r="L279" s="38" t="s">
        <v>3509</v>
      </c>
      <c r="M279" s="34">
        <v>129900</v>
      </c>
      <c r="N279" s="35">
        <f t="shared" si="14"/>
        <v>0.75</v>
      </c>
      <c r="O279" s="34">
        <f t="shared" si="16"/>
        <v>38970</v>
      </c>
      <c r="P279" s="32" t="s">
        <v>16</v>
      </c>
    </row>
    <row r="280" spans="1:16" x14ac:dyDescent="0.35">
      <c r="A280" s="32" t="str">
        <f t="shared" ref="A280:C280" si="26">A279</f>
        <v>2024 JAN-DEC DISC 75</v>
      </c>
      <c r="B280" s="33">
        <f t="shared" si="26"/>
        <v>46121</v>
      </c>
      <c r="C280" s="33">
        <f t="shared" si="26"/>
        <v>46127</v>
      </c>
      <c r="D280" s="32">
        <v>3321</v>
      </c>
      <c r="E280" s="32">
        <v>337</v>
      </c>
      <c r="F280" s="32">
        <v>4</v>
      </c>
      <c r="G280" s="32">
        <v>1</v>
      </c>
      <c r="H280" s="32">
        <v>81676</v>
      </c>
      <c r="I280" s="32" t="s">
        <v>2689</v>
      </c>
      <c r="J280" s="32">
        <v>21324998</v>
      </c>
      <c r="K280" s="32" t="s">
        <v>3507</v>
      </c>
      <c r="L280" s="38" t="s">
        <v>3510</v>
      </c>
      <c r="M280" s="34">
        <v>129900</v>
      </c>
      <c r="N280" s="35">
        <f t="shared" si="14"/>
        <v>0.75</v>
      </c>
      <c r="O280" s="34">
        <f t="shared" si="16"/>
        <v>38970</v>
      </c>
      <c r="P280" s="32" t="s">
        <v>16</v>
      </c>
    </row>
    <row r="281" spans="1:16" x14ac:dyDescent="0.35">
      <c r="A281" s="32" t="str">
        <f t="shared" ref="A281:C281" si="27">A280</f>
        <v>2024 JAN-DEC DISC 75</v>
      </c>
      <c r="B281" s="33">
        <f t="shared" si="27"/>
        <v>46121</v>
      </c>
      <c r="C281" s="33">
        <f t="shared" si="27"/>
        <v>46127</v>
      </c>
      <c r="D281" s="32">
        <v>3321</v>
      </c>
      <c r="E281" s="32">
        <v>337</v>
      </c>
      <c r="F281" s="32">
        <v>4</v>
      </c>
      <c r="G281" s="32">
        <v>1</v>
      </c>
      <c r="H281" s="32">
        <v>81676</v>
      </c>
      <c r="I281" s="32" t="s">
        <v>2689</v>
      </c>
      <c r="J281" s="32">
        <v>21325004</v>
      </c>
      <c r="K281" s="32" t="s">
        <v>3507</v>
      </c>
      <c r="L281" s="38" t="s">
        <v>3511</v>
      </c>
      <c r="M281" s="34">
        <v>129900</v>
      </c>
      <c r="N281" s="35">
        <f t="shared" si="14"/>
        <v>0.75</v>
      </c>
      <c r="O281" s="34">
        <f t="shared" si="16"/>
        <v>38970</v>
      </c>
      <c r="P281" s="32" t="s">
        <v>16</v>
      </c>
    </row>
    <row r="282" spans="1:16" x14ac:dyDescent="0.35">
      <c r="A282" s="32" t="str">
        <f t="shared" ref="A282:C282" si="28">A281</f>
        <v>2024 JAN-DEC DISC 75</v>
      </c>
      <c r="B282" s="33">
        <f t="shared" si="28"/>
        <v>46121</v>
      </c>
      <c r="C282" s="33">
        <f t="shared" si="28"/>
        <v>46127</v>
      </c>
      <c r="D282" s="32">
        <v>3321</v>
      </c>
      <c r="E282" s="32">
        <v>337</v>
      </c>
      <c r="F282" s="32">
        <v>4</v>
      </c>
      <c r="G282" s="32">
        <v>1</v>
      </c>
      <c r="H282" s="32">
        <v>81421</v>
      </c>
      <c r="I282" s="32" t="s">
        <v>2689</v>
      </c>
      <c r="J282" s="32">
        <v>20597615</v>
      </c>
      <c r="K282" s="32" t="s">
        <v>3812</v>
      </c>
      <c r="L282" s="38" t="s">
        <v>3796</v>
      </c>
      <c r="M282" s="34">
        <v>179900</v>
      </c>
      <c r="N282" s="35">
        <f t="shared" si="14"/>
        <v>0.75</v>
      </c>
      <c r="O282" s="34">
        <f t="shared" si="16"/>
        <v>53970</v>
      </c>
      <c r="P282" s="32" t="s">
        <v>16</v>
      </c>
    </row>
    <row r="283" spans="1:16" x14ac:dyDescent="0.35">
      <c r="A283" s="32" t="str">
        <f t="shared" ref="A283:C283" si="29">A282</f>
        <v>2024 JAN-DEC DISC 75</v>
      </c>
      <c r="B283" s="33">
        <f t="shared" si="29"/>
        <v>46121</v>
      </c>
      <c r="C283" s="33">
        <f t="shared" si="29"/>
        <v>46127</v>
      </c>
      <c r="D283" s="32">
        <v>3321</v>
      </c>
      <c r="E283" s="32">
        <v>337</v>
      </c>
      <c r="F283" s="32">
        <v>4</v>
      </c>
      <c r="G283" s="32">
        <v>1</v>
      </c>
      <c r="H283" s="32">
        <v>81421</v>
      </c>
      <c r="I283" s="32" t="s">
        <v>2689</v>
      </c>
      <c r="J283" s="32">
        <v>20597624</v>
      </c>
      <c r="K283" s="32" t="s">
        <v>3812</v>
      </c>
      <c r="L283" s="38" t="s">
        <v>3797</v>
      </c>
      <c r="M283" s="34">
        <v>179900</v>
      </c>
      <c r="N283" s="35">
        <f t="shared" si="14"/>
        <v>0.75</v>
      </c>
      <c r="O283" s="34">
        <f t="shared" si="16"/>
        <v>53970</v>
      </c>
      <c r="P283" s="32" t="s">
        <v>16</v>
      </c>
    </row>
    <row r="284" spans="1:16" x14ac:dyDescent="0.35">
      <c r="A284" s="32" t="str">
        <f t="shared" ref="A284:C284" si="30">A283</f>
        <v>2024 JAN-DEC DISC 75</v>
      </c>
      <c r="B284" s="33">
        <f t="shared" si="30"/>
        <v>46121</v>
      </c>
      <c r="C284" s="33">
        <f t="shared" si="30"/>
        <v>46127</v>
      </c>
      <c r="D284" s="32">
        <v>3321</v>
      </c>
      <c r="E284" s="32">
        <v>337</v>
      </c>
      <c r="F284" s="32">
        <v>4</v>
      </c>
      <c r="G284" s="32">
        <v>1</v>
      </c>
      <c r="H284" s="32">
        <v>81421</v>
      </c>
      <c r="I284" s="32" t="s">
        <v>2689</v>
      </c>
      <c r="J284" s="32">
        <v>20597633</v>
      </c>
      <c r="K284" s="32" t="s">
        <v>3812</v>
      </c>
      <c r="L284" s="38" t="s">
        <v>3798</v>
      </c>
      <c r="M284" s="34">
        <v>179900</v>
      </c>
      <c r="N284" s="35">
        <f t="shared" si="14"/>
        <v>0.75</v>
      </c>
      <c r="O284" s="34">
        <f t="shared" si="16"/>
        <v>53970</v>
      </c>
      <c r="P284" s="32" t="s">
        <v>16</v>
      </c>
    </row>
    <row r="285" spans="1:16" x14ac:dyDescent="0.35">
      <c r="A285" s="32" t="str">
        <f t="shared" ref="A285:C285" si="31">A284</f>
        <v>2024 JAN-DEC DISC 75</v>
      </c>
      <c r="B285" s="33">
        <f t="shared" si="31"/>
        <v>46121</v>
      </c>
      <c r="C285" s="33">
        <f t="shared" si="31"/>
        <v>46127</v>
      </c>
      <c r="D285" s="32">
        <v>3321</v>
      </c>
      <c r="E285" s="32">
        <v>337</v>
      </c>
      <c r="F285" s="32">
        <v>4</v>
      </c>
      <c r="G285" s="32">
        <v>1</v>
      </c>
      <c r="H285" s="32">
        <v>81421</v>
      </c>
      <c r="I285" s="32" t="s">
        <v>2689</v>
      </c>
      <c r="J285" s="32">
        <v>20597740</v>
      </c>
      <c r="K285" s="32" t="s">
        <v>3812</v>
      </c>
      <c r="L285" s="38" t="s">
        <v>3799</v>
      </c>
      <c r="M285" s="34">
        <v>179900</v>
      </c>
      <c r="N285" s="35">
        <f t="shared" si="14"/>
        <v>0.75</v>
      </c>
      <c r="O285" s="34">
        <f t="shared" si="16"/>
        <v>53970</v>
      </c>
      <c r="P285" s="32" t="s">
        <v>16</v>
      </c>
    </row>
    <row r="286" spans="1:16" x14ac:dyDescent="0.35">
      <c r="A286" s="32" t="str">
        <f t="shared" ref="A286:C286" si="32">A285</f>
        <v>2024 JAN-DEC DISC 75</v>
      </c>
      <c r="B286" s="33">
        <f t="shared" si="32"/>
        <v>46121</v>
      </c>
      <c r="C286" s="33">
        <f t="shared" si="32"/>
        <v>46127</v>
      </c>
      <c r="D286" s="32">
        <v>3321</v>
      </c>
      <c r="E286" s="32">
        <v>337</v>
      </c>
      <c r="F286" s="32">
        <v>4</v>
      </c>
      <c r="G286" s="32">
        <v>1</v>
      </c>
      <c r="H286" s="32">
        <v>81676</v>
      </c>
      <c r="I286" s="32" t="s">
        <v>2689</v>
      </c>
      <c r="J286" s="32">
        <v>22754021</v>
      </c>
      <c r="K286" s="32" t="s">
        <v>3813</v>
      </c>
      <c r="L286" s="38" t="s">
        <v>3800</v>
      </c>
      <c r="M286" s="34">
        <v>129900</v>
      </c>
      <c r="N286" s="35">
        <f t="shared" si="14"/>
        <v>0.75</v>
      </c>
      <c r="O286" s="34">
        <f t="shared" si="16"/>
        <v>38970</v>
      </c>
      <c r="P286" s="32" t="s">
        <v>16</v>
      </c>
    </row>
    <row r="287" spans="1:16" x14ac:dyDescent="0.35">
      <c r="A287" s="32" t="str">
        <f t="shared" ref="A287:C287" si="33">A286</f>
        <v>2024 JAN-DEC DISC 75</v>
      </c>
      <c r="B287" s="33">
        <f t="shared" si="33"/>
        <v>46121</v>
      </c>
      <c r="C287" s="33">
        <f t="shared" si="33"/>
        <v>46127</v>
      </c>
      <c r="D287" s="32">
        <v>3321</v>
      </c>
      <c r="E287" s="32">
        <v>337</v>
      </c>
      <c r="F287" s="32">
        <v>4</v>
      </c>
      <c r="G287" s="32">
        <v>1</v>
      </c>
      <c r="H287" s="32">
        <v>81676</v>
      </c>
      <c r="I287" s="32" t="s">
        <v>2689</v>
      </c>
      <c r="J287" s="32">
        <v>22754030</v>
      </c>
      <c r="K287" s="32" t="s">
        <v>3813</v>
      </c>
      <c r="L287" s="38" t="s">
        <v>3801</v>
      </c>
      <c r="M287" s="34">
        <v>129900</v>
      </c>
      <c r="N287" s="35">
        <f t="shared" si="14"/>
        <v>0.75</v>
      </c>
      <c r="O287" s="34">
        <f t="shared" si="16"/>
        <v>38970</v>
      </c>
      <c r="P287" s="32" t="s">
        <v>16</v>
      </c>
    </row>
    <row r="288" spans="1:16" x14ac:dyDescent="0.35">
      <c r="A288" s="32" t="str">
        <f t="shared" ref="A288:C288" si="34">A287</f>
        <v>2024 JAN-DEC DISC 75</v>
      </c>
      <c r="B288" s="33">
        <f t="shared" si="34"/>
        <v>46121</v>
      </c>
      <c r="C288" s="33">
        <f t="shared" si="34"/>
        <v>46127</v>
      </c>
      <c r="D288" s="32">
        <v>3321</v>
      </c>
      <c r="E288" s="32">
        <v>337</v>
      </c>
      <c r="F288" s="32">
        <v>4</v>
      </c>
      <c r="G288" s="32">
        <v>1</v>
      </c>
      <c r="H288" s="32">
        <v>81676</v>
      </c>
      <c r="I288" s="32" t="s">
        <v>2689</v>
      </c>
      <c r="J288" s="32">
        <v>22754049</v>
      </c>
      <c r="K288" s="32" t="s">
        <v>3813</v>
      </c>
      <c r="L288" s="38" t="s">
        <v>3802</v>
      </c>
      <c r="M288" s="34">
        <v>129900</v>
      </c>
      <c r="N288" s="35">
        <f t="shared" si="14"/>
        <v>0.75</v>
      </c>
      <c r="O288" s="34">
        <f t="shared" si="16"/>
        <v>38970</v>
      </c>
      <c r="P288" s="32" t="s">
        <v>16</v>
      </c>
    </row>
    <row r="289" spans="1:16" x14ac:dyDescent="0.35">
      <c r="A289" s="32" t="str">
        <f t="shared" ref="A289:C289" si="35">A288</f>
        <v>2024 JAN-DEC DISC 75</v>
      </c>
      <c r="B289" s="33">
        <f t="shared" si="35"/>
        <v>46121</v>
      </c>
      <c r="C289" s="33">
        <f t="shared" si="35"/>
        <v>46127</v>
      </c>
      <c r="D289" s="32">
        <v>3321</v>
      </c>
      <c r="E289" s="32">
        <v>337</v>
      </c>
      <c r="F289" s="32">
        <v>4</v>
      </c>
      <c r="G289" s="32">
        <v>1</v>
      </c>
      <c r="H289" s="32">
        <v>81676</v>
      </c>
      <c r="I289" s="32" t="s">
        <v>2689</v>
      </c>
      <c r="J289" s="32">
        <v>22754058</v>
      </c>
      <c r="K289" s="32" t="s">
        <v>3813</v>
      </c>
      <c r="L289" s="38" t="s">
        <v>3803</v>
      </c>
      <c r="M289" s="34">
        <v>129900</v>
      </c>
      <c r="N289" s="35">
        <f t="shared" si="14"/>
        <v>0.75</v>
      </c>
      <c r="O289" s="34">
        <f t="shared" si="16"/>
        <v>38970</v>
      </c>
      <c r="P289" s="32" t="s">
        <v>16</v>
      </c>
    </row>
    <row r="290" spans="1:16" x14ac:dyDescent="0.35">
      <c r="A290" s="32" t="str">
        <f t="shared" ref="A290:C290" si="36">A289</f>
        <v>2024 JAN-DEC DISC 75</v>
      </c>
      <c r="B290" s="33">
        <f t="shared" si="36"/>
        <v>46121</v>
      </c>
      <c r="C290" s="33">
        <f t="shared" si="36"/>
        <v>46127</v>
      </c>
      <c r="D290" s="32">
        <v>3321</v>
      </c>
      <c r="E290" s="32">
        <v>337</v>
      </c>
      <c r="F290" s="32">
        <v>4</v>
      </c>
      <c r="G290" s="32">
        <v>1</v>
      </c>
      <c r="H290" s="32">
        <v>81676</v>
      </c>
      <c r="I290" s="32" t="s">
        <v>2689</v>
      </c>
      <c r="J290" s="32">
        <v>22754067</v>
      </c>
      <c r="K290" s="32" t="s">
        <v>3814</v>
      </c>
      <c r="L290" s="38" t="s">
        <v>3804</v>
      </c>
      <c r="M290" s="34">
        <v>129900</v>
      </c>
      <c r="N290" s="35">
        <f t="shared" si="14"/>
        <v>0.75</v>
      </c>
      <c r="O290" s="34">
        <f t="shared" si="16"/>
        <v>38970</v>
      </c>
      <c r="P290" s="32" t="s">
        <v>16</v>
      </c>
    </row>
    <row r="291" spans="1:16" x14ac:dyDescent="0.35">
      <c r="A291" s="32" t="str">
        <f t="shared" ref="A291:C291" si="37">A290</f>
        <v>2024 JAN-DEC DISC 75</v>
      </c>
      <c r="B291" s="33">
        <f t="shared" si="37"/>
        <v>46121</v>
      </c>
      <c r="C291" s="33">
        <f t="shared" si="37"/>
        <v>46127</v>
      </c>
      <c r="D291" s="32">
        <v>3321</v>
      </c>
      <c r="E291" s="32">
        <v>337</v>
      </c>
      <c r="F291" s="32">
        <v>4</v>
      </c>
      <c r="G291" s="32">
        <v>1</v>
      </c>
      <c r="H291" s="32">
        <v>81676</v>
      </c>
      <c r="I291" s="32" t="s">
        <v>2689</v>
      </c>
      <c r="J291" s="32">
        <v>22754076</v>
      </c>
      <c r="K291" s="32" t="s">
        <v>3814</v>
      </c>
      <c r="L291" s="38" t="s">
        <v>3805</v>
      </c>
      <c r="M291" s="34">
        <v>129900</v>
      </c>
      <c r="N291" s="35">
        <f t="shared" si="14"/>
        <v>0.75</v>
      </c>
      <c r="O291" s="34">
        <f t="shared" si="16"/>
        <v>38970</v>
      </c>
      <c r="P291" s="32" t="s">
        <v>16</v>
      </c>
    </row>
    <row r="292" spans="1:16" x14ac:dyDescent="0.35">
      <c r="A292" s="32" t="str">
        <f t="shared" ref="A292:C292" si="38">A291</f>
        <v>2024 JAN-DEC DISC 75</v>
      </c>
      <c r="B292" s="33">
        <f t="shared" si="38"/>
        <v>46121</v>
      </c>
      <c r="C292" s="33">
        <f t="shared" si="38"/>
        <v>46127</v>
      </c>
      <c r="D292" s="32">
        <v>3321</v>
      </c>
      <c r="E292" s="32">
        <v>337</v>
      </c>
      <c r="F292" s="32">
        <v>4</v>
      </c>
      <c r="G292" s="32">
        <v>1</v>
      </c>
      <c r="H292" s="32">
        <v>81676</v>
      </c>
      <c r="I292" s="32" t="s">
        <v>2689</v>
      </c>
      <c r="J292" s="32">
        <v>22754405</v>
      </c>
      <c r="K292" s="32" t="s">
        <v>3814</v>
      </c>
      <c r="L292" s="38" t="s">
        <v>3806</v>
      </c>
      <c r="M292" s="34">
        <v>129900</v>
      </c>
      <c r="N292" s="35">
        <f t="shared" si="14"/>
        <v>0.75</v>
      </c>
      <c r="O292" s="34">
        <f t="shared" si="16"/>
        <v>38970</v>
      </c>
      <c r="P292" s="32" t="s">
        <v>16</v>
      </c>
    </row>
    <row r="293" spans="1:16" x14ac:dyDescent="0.35">
      <c r="A293" s="32" t="str">
        <f t="shared" ref="A293:C293" si="39">A292</f>
        <v>2024 JAN-DEC DISC 75</v>
      </c>
      <c r="B293" s="33">
        <f t="shared" si="39"/>
        <v>46121</v>
      </c>
      <c r="C293" s="33">
        <f t="shared" si="39"/>
        <v>46127</v>
      </c>
      <c r="D293" s="32">
        <v>3321</v>
      </c>
      <c r="E293" s="32">
        <v>337</v>
      </c>
      <c r="F293" s="32">
        <v>4</v>
      </c>
      <c r="G293" s="32">
        <v>1</v>
      </c>
      <c r="H293" s="32">
        <v>81676</v>
      </c>
      <c r="I293" s="32" t="s">
        <v>2689</v>
      </c>
      <c r="J293" s="32">
        <v>22754414</v>
      </c>
      <c r="K293" s="32" t="s">
        <v>3814</v>
      </c>
      <c r="L293" s="38" t="s">
        <v>3807</v>
      </c>
      <c r="M293" s="34">
        <v>129900</v>
      </c>
      <c r="N293" s="35">
        <f t="shared" si="14"/>
        <v>0.75</v>
      </c>
      <c r="O293" s="34">
        <f t="shared" si="16"/>
        <v>38970</v>
      </c>
      <c r="P293" s="32" t="s">
        <v>16</v>
      </c>
    </row>
    <row r="294" spans="1:16" x14ac:dyDescent="0.35">
      <c r="A294" s="32" t="str">
        <f t="shared" ref="A294:C294" si="40">A293</f>
        <v>2024 JAN-DEC DISC 75</v>
      </c>
      <c r="B294" s="33">
        <f t="shared" si="40"/>
        <v>46121</v>
      </c>
      <c r="C294" s="33">
        <f t="shared" si="40"/>
        <v>46127</v>
      </c>
      <c r="D294" s="32">
        <v>3321</v>
      </c>
      <c r="E294" s="32">
        <v>337</v>
      </c>
      <c r="F294" s="32">
        <v>4</v>
      </c>
      <c r="G294" s="32">
        <v>5</v>
      </c>
      <c r="H294" s="32">
        <v>81421</v>
      </c>
      <c r="I294" s="32" t="s">
        <v>2689</v>
      </c>
      <c r="J294" s="32">
        <v>20597571</v>
      </c>
      <c r="K294" s="32" t="s">
        <v>3815</v>
      </c>
      <c r="L294" s="38" t="s">
        <v>3808</v>
      </c>
      <c r="M294" s="34">
        <v>259900</v>
      </c>
      <c r="N294" s="35">
        <f t="shared" si="14"/>
        <v>0.75</v>
      </c>
      <c r="O294" s="34">
        <f t="shared" si="16"/>
        <v>77970</v>
      </c>
      <c r="P294" s="32" t="s">
        <v>16</v>
      </c>
    </row>
    <row r="295" spans="1:16" x14ac:dyDescent="0.35">
      <c r="A295" s="32" t="str">
        <f t="shared" ref="A295:C295" si="41">A294</f>
        <v>2024 JAN-DEC DISC 75</v>
      </c>
      <c r="B295" s="33">
        <f t="shared" si="41"/>
        <v>46121</v>
      </c>
      <c r="C295" s="33">
        <f t="shared" si="41"/>
        <v>46127</v>
      </c>
      <c r="D295" s="32">
        <v>3321</v>
      </c>
      <c r="E295" s="32">
        <v>337</v>
      </c>
      <c r="F295" s="32">
        <v>4</v>
      </c>
      <c r="G295" s="32">
        <v>5</v>
      </c>
      <c r="H295" s="32">
        <v>81421</v>
      </c>
      <c r="I295" s="32" t="s">
        <v>2689</v>
      </c>
      <c r="J295" s="32">
        <v>20597580</v>
      </c>
      <c r="K295" s="32" t="s">
        <v>3815</v>
      </c>
      <c r="L295" s="38" t="s">
        <v>3809</v>
      </c>
      <c r="M295" s="34">
        <v>259900</v>
      </c>
      <c r="N295" s="35">
        <f t="shared" si="14"/>
        <v>0.75</v>
      </c>
      <c r="O295" s="34">
        <f t="shared" si="16"/>
        <v>77970</v>
      </c>
      <c r="P295" s="32" t="s">
        <v>16</v>
      </c>
    </row>
    <row r="296" spans="1:16" x14ac:dyDescent="0.35">
      <c r="A296" s="32" t="str">
        <f t="shared" ref="A296:C296" si="42">A295</f>
        <v>2024 JAN-DEC DISC 75</v>
      </c>
      <c r="B296" s="33">
        <f t="shared" si="42"/>
        <v>46121</v>
      </c>
      <c r="C296" s="33">
        <f t="shared" si="42"/>
        <v>46127</v>
      </c>
      <c r="D296" s="32">
        <v>3321</v>
      </c>
      <c r="E296" s="32">
        <v>337</v>
      </c>
      <c r="F296" s="32">
        <v>4</v>
      </c>
      <c r="G296" s="32">
        <v>5</v>
      </c>
      <c r="H296" s="32">
        <v>81421</v>
      </c>
      <c r="I296" s="32" t="s">
        <v>2689</v>
      </c>
      <c r="J296" s="32">
        <v>20597599</v>
      </c>
      <c r="K296" s="32" t="s">
        <v>3815</v>
      </c>
      <c r="L296" s="38" t="s">
        <v>3810</v>
      </c>
      <c r="M296" s="34">
        <v>259900</v>
      </c>
      <c r="N296" s="35">
        <f t="shared" si="14"/>
        <v>0.75</v>
      </c>
      <c r="O296" s="34">
        <f t="shared" si="16"/>
        <v>77970</v>
      </c>
      <c r="P296" s="32" t="s">
        <v>16</v>
      </c>
    </row>
    <row r="297" spans="1:16" x14ac:dyDescent="0.35">
      <c r="A297" s="32" t="str">
        <f t="shared" ref="A297:C297" si="43">A296</f>
        <v>2024 JAN-DEC DISC 75</v>
      </c>
      <c r="B297" s="33">
        <f t="shared" si="43"/>
        <v>46121</v>
      </c>
      <c r="C297" s="33">
        <f t="shared" si="43"/>
        <v>46127</v>
      </c>
      <c r="D297" s="32">
        <v>3321</v>
      </c>
      <c r="E297" s="32">
        <v>337</v>
      </c>
      <c r="F297" s="32">
        <v>4</v>
      </c>
      <c r="G297" s="32">
        <v>5</v>
      </c>
      <c r="H297" s="32">
        <v>81421</v>
      </c>
      <c r="I297" s="32" t="s">
        <v>2689</v>
      </c>
      <c r="J297" s="32">
        <v>20597606</v>
      </c>
      <c r="K297" s="32" t="s">
        <v>3815</v>
      </c>
      <c r="L297" s="38" t="s">
        <v>3811</v>
      </c>
      <c r="M297" s="34">
        <v>259900</v>
      </c>
      <c r="N297" s="35">
        <f t="shared" si="14"/>
        <v>0.75</v>
      </c>
      <c r="O297" s="34">
        <f t="shared" si="16"/>
        <v>77970</v>
      </c>
      <c r="P297" s="32" t="s">
        <v>16</v>
      </c>
    </row>
    <row r="298" spans="1:16" x14ac:dyDescent="0.35">
      <c r="A298" s="32" t="str">
        <f t="shared" ref="A298:C298" si="44">A297</f>
        <v>2024 JAN-DEC DISC 75</v>
      </c>
      <c r="B298" s="33">
        <f t="shared" si="44"/>
        <v>46121</v>
      </c>
      <c r="C298" s="33">
        <f t="shared" si="44"/>
        <v>46127</v>
      </c>
      <c r="D298" s="32">
        <v>3321</v>
      </c>
      <c r="E298" s="32">
        <v>337</v>
      </c>
      <c r="F298" s="32">
        <v>4</v>
      </c>
      <c r="G298" s="32">
        <v>5</v>
      </c>
      <c r="H298" s="32">
        <v>81005</v>
      </c>
      <c r="I298" s="32" t="s">
        <v>2689</v>
      </c>
      <c r="J298" s="32">
        <v>22754423</v>
      </c>
      <c r="K298" s="32" t="s">
        <v>3835</v>
      </c>
      <c r="L298" s="38" t="s">
        <v>3836</v>
      </c>
      <c r="M298" s="34">
        <v>279900</v>
      </c>
      <c r="N298" s="35">
        <f t="shared" si="14"/>
        <v>0.75</v>
      </c>
      <c r="O298" s="34">
        <f t="shared" si="16"/>
        <v>83970</v>
      </c>
      <c r="P298" s="32" t="s">
        <v>16</v>
      </c>
    </row>
    <row r="299" spans="1:16" x14ac:dyDescent="0.35">
      <c r="A299" s="32" t="str">
        <f t="shared" ref="A299:C299" si="45">A298</f>
        <v>2024 JAN-DEC DISC 75</v>
      </c>
      <c r="B299" s="33">
        <f t="shared" si="45"/>
        <v>46121</v>
      </c>
      <c r="C299" s="33">
        <f t="shared" si="45"/>
        <v>46127</v>
      </c>
      <c r="D299" s="32">
        <v>3321</v>
      </c>
      <c r="E299" s="32">
        <v>337</v>
      </c>
      <c r="F299" s="32">
        <v>4</v>
      </c>
      <c r="G299" s="32">
        <v>5</v>
      </c>
      <c r="H299" s="32">
        <v>81005</v>
      </c>
      <c r="I299" s="32" t="s">
        <v>2689</v>
      </c>
      <c r="J299" s="32">
        <v>22754432</v>
      </c>
      <c r="K299" s="32" t="s">
        <v>3835</v>
      </c>
      <c r="L299" s="38" t="s">
        <v>3837</v>
      </c>
      <c r="M299" s="34">
        <v>279900</v>
      </c>
      <c r="N299" s="35">
        <f t="shared" si="14"/>
        <v>0.75</v>
      </c>
      <c r="O299" s="34">
        <f t="shared" si="16"/>
        <v>83970</v>
      </c>
      <c r="P299" s="32" t="s">
        <v>16</v>
      </c>
    </row>
    <row r="300" spans="1:16" x14ac:dyDescent="0.35">
      <c r="A300" s="32" t="str">
        <f t="shared" ref="A300:C300" si="46">A299</f>
        <v>2024 JAN-DEC DISC 75</v>
      </c>
      <c r="B300" s="33">
        <f t="shared" si="46"/>
        <v>46121</v>
      </c>
      <c r="C300" s="33">
        <f t="shared" si="46"/>
        <v>46127</v>
      </c>
      <c r="D300" s="32">
        <v>3321</v>
      </c>
      <c r="E300" s="32">
        <v>337</v>
      </c>
      <c r="F300" s="32">
        <v>4</v>
      </c>
      <c r="G300" s="32">
        <v>5</v>
      </c>
      <c r="H300" s="32">
        <v>81005</v>
      </c>
      <c r="I300" s="32" t="s">
        <v>2689</v>
      </c>
      <c r="J300" s="32">
        <v>22754441</v>
      </c>
      <c r="K300" s="32" t="s">
        <v>3835</v>
      </c>
      <c r="L300" s="38" t="s">
        <v>3838</v>
      </c>
      <c r="M300" s="34">
        <v>279900</v>
      </c>
      <c r="N300" s="35">
        <f t="shared" si="14"/>
        <v>0.75</v>
      </c>
      <c r="O300" s="34">
        <f t="shared" si="16"/>
        <v>83970</v>
      </c>
      <c r="P300" s="32" t="s">
        <v>16</v>
      </c>
    </row>
    <row r="301" spans="1:16" x14ac:dyDescent="0.35">
      <c r="A301" s="32" t="str">
        <f t="shared" ref="A301:C301" si="47">A300</f>
        <v>2024 JAN-DEC DISC 75</v>
      </c>
      <c r="B301" s="33">
        <f t="shared" si="47"/>
        <v>46121</v>
      </c>
      <c r="C301" s="33">
        <f t="shared" si="47"/>
        <v>46127</v>
      </c>
      <c r="D301" s="32">
        <v>3321</v>
      </c>
      <c r="E301" s="32">
        <v>337</v>
      </c>
      <c r="F301" s="32">
        <v>4</v>
      </c>
      <c r="G301" s="32">
        <v>5</v>
      </c>
      <c r="H301" s="32">
        <v>81005</v>
      </c>
      <c r="I301" s="32" t="s">
        <v>2689</v>
      </c>
      <c r="J301" s="32">
        <v>22754450</v>
      </c>
      <c r="K301" s="32" t="s">
        <v>3835</v>
      </c>
      <c r="L301" s="38" t="s">
        <v>3839</v>
      </c>
      <c r="M301" s="34">
        <v>279900</v>
      </c>
      <c r="N301" s="35">
        <f t="shared" si="14"/>
        <v>0.75</v>
      </c>
      <c r="O301" s="34">
        <f t="shared" si="16"/>
        <v>83970</v>
      </c>
      <c r="P301" s="32" t="s">
        <v>16</v>
      </c>
    </row>
    <row r="302" spans="1:16" x14ac:dyDescent="0.35">
      <c r="A302" s="32" t="str">
        <f t="shared" ref="A302:C302" si="48">A301</f>
        <v>2024 JAN-DEC DISC 75</v>
      </c>
      <c r="B302" s="33">
        <f t="shared" si="48"/>
        <v>46121</v>
      </c>
      <c r="C302" s="33">
        <f t="shared" si="48"/>
        <v>46127</v>
      </c>
      <c r="D302" s="32">
        <v>3321</v>
      </c>
      <c r="E302" s="32">
        <v>337</v>
      </c>
      <c r="F302" s="32">
        <v>4</v>
      </c>
      <c r="G302" s="32">
        <v>5</v>
      </c>
      <c r="H302" s="32">
        <v>81005</v>
      </c>
      <c r="I302" s="32" t="s">
        <v>2689</v>
      </c>
      <c r="J302" s="32">
        <v>22754469</v>
      </c>
      <c r="K302" s="32" t="s">
        <v>3835</v>
      </c>
      <c r="L302" s="38" t="s">
        <v>3840</v>
      </c>
      <c r="M302" s="34">
        <v>279900</v>
      </c>
      <c r="N302" s="35">
        <f t="shared" si="14"/>
        <v>0.75</v>
      </c>
      <c r="O302" s="34">
        <f t="shared" si="16"/>
        <v>83970</v>
      </c>
      <c r="P302" s="32" t="s">
        <v>16</v>
      </c>
    </row>
    <row r="303" spans="1:16" x14ac:dyDescent="0.35">
      <c r="A303" s="32" t="str">
        <f t="shared" ref="A303:C303" si="49">A302</f>
        <v>2024 JAN-DEC DISC 75</v>
      </c>
      <c r="B303" s="33">
        <f t="shared" si="49"/>
        <v>46121</v>
      </c>
      <c r="C303" s="33">
        <f t="shared" si="49"/>
        <v>46127</v>
      </c>
      <c r="D303" s="32">
        <v>3321</v>
      </c>
      <c r="E303" s="32">
        <v>337</v>
      </c>
      <c r="F303" s="32">
        <v>4</v>
      </c>
      <c r="G303" s="32">
        <v>1</v>
      </c>
      <c r="H303" s="32">
        <v>81048</v>
      </c>
      <c r="I303" s="32" t="s">
        <v>2689</v>
      </c>
      <c r="J303" s="32">
        <v>24391795</v>
      </c>
      <c r="K303" s="32" t="s">
        <v>3856</v>
      </c>
      <c r="L303" s="38" t="s">
        <v>3857</v>
      </c>
      <c r="M303" s="34">
        <v>159900</v>
      </c>
      <c r="N303" s="35">
        <f t="shared" si="14"/>
        <v>0.75</v>
      </c>
      <c r="O303" s="34">
        <f t="shared" si="16"/>
        <v>47970</v>
      </c>
      <c r="P303" s="32" t="s">
        <v>16</v>
      </c>
    </row>
    <row r="304" spans="1:16" x14ac:dyDescent="0.35">
      <c r="A304" s="32" t="str">
        <f t="shared" ref="A304:C304" si="50">A303</f>
        <v>2024 JAN-DEC DISC 75</v>
      </c>
      <c r="B304" s="33">
        <f t="shared" si="50"/>
        <v>46121</v>
      </c>
      <c r="C304" s="33">
        <f t="shared" si="50"/>
        <v>46127</v>
      </c>
      <c r="D304" s="32">
        <v>3321</v>
      </c>
      <c r="E304" s="32">
        <v>337</v>
      </c>
      <c r="F304" s="32">
        <v>4</v>
      </c>
      <c r="G304" s="32">
        <v>1</v>
      </c>
      <c r="H304" s="32">
        <v>81048</v>
      </c>
      <c r="I304" s="32" t="s">
        <v>2689</v>
      </c>
      <c r="J304" s="32">
        <v>24391802</v>
      </c>
      <c r="K304" s="32" t="s">
        <v>3856</v>
      </c>
      <c r="L304" s="38" t="s">
        <v>3858</v>
      </c>
      <c r="M304" s="34">
        <v>159900</v>
      </c>
      <c r="N304" s="35">
        <f t="shared" si="14"/>
        <v>0.75</v>
      </c>
      <c r="O304" s="34">
        <f t="shared" si="16"/>
        <v>47970</v>
      </c>
      <c r="P304" s="32" t="s">
        <v>16</v>
      </c>
    </row>
    <row r="305" spans="1:16" x14ac:dyDescent="0.35">
      <c r="A305" s="32" t="str">
        <f t="shared" ref="A305:C305" si="51">A304</f>
        <v>2024 JAN-DEC DISC 75</v>
      </c>
      <c r="B305" s="33">
        <f t="shared" si="51"/>
        <v>46121</v>
      </c>
      <c r="C305" s="33">
        <f t="shared" si="51"/>
        <v>46127</v>
      </c>
      <c r="D305" s="32">
        <v>3321</v>
      </c>
      <c r="E305" s="32">
        <v>337</v>
      </c>
      <c r="F305" s="32">
        <v>4</v>
      </c>
      <c r="G305" s="32">
        <v>1</v>
      </c>
      <c r="H305" s="32">
        <v>81048</v>
      </c>
      <c r="I305" s="32" t="s">
        <v>2689</v>
      </c>
      <c r="J305" s="32">
        <v>24391811</v>
      </c>
      <c r="K305" s="32" t="s">
        <v>3856</v>
      </c>
      <c r="L305" s="38" t="s">
        <v>3859</v>
      </c>
      <c r="M305" s="34">
        <v>159900</v>
      </c>
      <c r="N305" s="35">
        <f t="shared" si="14"/>
        <v>0.75</v>
      </c>
      <c r="O305" s="34">
        <f t="shared" si="16"/>
        <v>47970</v>
      </c>
      <c r="P305" s="32" t="s">
        <v>16</v>
      </c>
    </row>
    <row r="306" spans="1:16" x14ac:dyDescent="0.35">
      <c r="A306" s="32" t="str">
        <f t="shared" ref="A306:C306" si="52">A305</f>
        <v>2024 JAN-DEC DISC 75</v>
      </c>
      <c r="B306" s="33">
        <f t="shared" si="52"/>
        <v>46121</v>
      </c>
      <c r="C306" s="33">
        <f t="shared" si="52"/>
        <v>46127</v>
      </c>
      <c r="D306" s="32">
        <v>3321</v>
      </c>
      <c r="E306" s="32">
        <v>337</v>
      </c>
      <c r="F306" s="32">
        <v>4</v>
      </c>
      <c r="G306" s="32">
        <v>1</v>
      </c>
      <c r="H306" s="32">
        <v>81048</v>
      </c>
      <c r="I306" s="32" t="s">
        <v>2689</v>
      </c>
      <c r="J306" s="32">
        <v>24391820</v>
      </c>
      <c r="K306" s="32" t="s">
        <v>3856</v>
      </c>
      <c r="L306" s="38" t="s">
        <v>3860</v>
      </c>
      <c r="M306" s="34">
        <v>159900</v>
      </c>
      <c r="N306" s="35">
        <f t="shared" si="14"/>
        <v>0.75</v>
      </c>
      <c r="O306" s="34">
        <f t="shared" si="16"/>
        <v>47970</v>
      </c>
      <c r="P306" s="32" t="s">
        <v>16</v>
      </c>
    </row>
    <row r="307" spans="1:16" x14ac:dyDescent="0.35">
      <c r="A307" s="32" t="str">
        <f t="shared" ref="A307:C307" si="53">A306</f>
        <v>2024 JAN-DEC DISC 75</v>
      </c>
      <c r="B307" s="33">
        <f t="shared" si="53"/>
        <v>46121</v>
      </c>
      <c r="C307" s="33">
        <f t="shared" si="53"/>
        <v>46127</v>
      </c>
      <c r="D307" s="32">
        <v>3321</v>
      </c>
      <c r="E307" s="32">
        <v>337</v>
      </c>
      <c r="F307" s="32">
        <v>4</v>
      </c>
      <c r="G307" s="32">
        <v>1</v>
      </c>
      <c r="H307" s="32">
        <v>81048</v>
      </c>
      <c r="I307" s="32" t="s">
        <v>2689</v>
      </c>
      <c r="J307" s="32">
        <v>24390232</v>
      </c>
      <c r="K307" s="32" t="s">
        <v>3861</v>
      </c>
      <c r="L307" s="38" t="s">
        <v>3862</v>
      </c>
      <c r="M307" s="34">
        <v>149900</v>
      </c>
      <c r="N307" s="35">
        <f t="shared" si="14"/>
        <v>0.75</v>
      </c>
      <c r="O307" s="34">
        <f t="shared" si="16"/>
        <v>44970</v>
      </c>
      <c r="P307" s="32" t="s">
        <v>16</v>
      </c>
    </row>
    <row r="308" spans="1:16" x14ac:dyDescent="0.35">
      <c r="A308" s="32" t="str">
        <f t="shared" ref="A308:C308" si="54">A307</f>
        <v>2024 JAN-DEC DISC 75</v>
      </c>
      <c r="B308" s="33">
        <f t="shared" si="54"/>
        <v>46121</v>
      </c>
      <c r="C308" s="33">
        <f t="shared" si="54"/>
        <v>46127</v>
      </c>
      <c r="D308" s="32">
        <v>3321</v>
      </c>
      <c r="E308" s="32">
        <v>337</v>
      </c>
      <c r="F308" s="32">
        <v>4</v>
      </c>
      <c r="G308" s="32">
        <v>1</v>
      </c>
      <c r="H308" s="32">
        <v>81048</v>
      </c>
      <c r="I308" s="32" t="s">
        <v>2689</v>
      </c>
      <c r="J308" s="32">
        <v>24390241</v>
      </c>
      <c r="K308" s="32" t="s">
        <v>3861</v>
      </c>
      <c r="L308" s="38" t="s">
        <v>3863</v>
      </c>
      <c r="M308" s="34">
        <v>149900</v>
      </c>
      <c r="N308" s="35">
        <f t="shared" si="14"/>
        <v>0.75</v>
      </c>
      <c r="O308" s="34">
        <f t="shared" si="16"/>
        <v>44970</v>
      </c>
      <c r="P308" s="32" t="s">
        <v>16</v>
      </c>
    </row>
    <row r="309" spans="1:16" x14ac:dyDescent="0.35">
      <c r="A309" s="32" t="str">
        <f t="shared" ref="A309:C309" si="55">A308</f>
        <v>2024 JAN-DEC DISC 75</v>
      </c>
      <c r="B309" s="33">
        <f t="shared" si="55"/>
        <v>46121</v>
      </c>
      <c r="C309" s="33">
        <f t="shared" si="55"/>
        <v>46127</v>
      </c>
      <c r="D309" s="32">
        <v>3321</v>
      </c>
      <c r="E309" s="32">
        <v>337</v>
      </c>
      <c r="F309" s="32">
        <v>4</v>
      </c>
      <c r="G309" s="32">
        <v>1</v>
      </c>
      <c r="H309" s="32">
        <v>81048</v>
      </c>
      <c r="I309" s="32" t="s">
        <v>2689</v>
      </c>
      <c r="J309" s="32">
        <v>24390250</v>
      </c>
      <c r="K309" s="32" t="s">
        <v>3861</v>
      </c>
      <c r="L309" s="38" t="s">
        <v>3864</v>
      </c>
      <c r="M309" s="34">
        <v>149900</v>
      </c>
      <c r="N309" s="35">
        <f t="shared" si="14"/>
        <v>0.75</v>
      </c>
      <c r="O309" s="34">
        <f t="shared" si="16"/>
        <v>44970</v>
      </c>
      <c r="P309" s="32" t="s">
        <v>16</v>
      </c>
    </row>
    <row r="310" spans="1:16" x14ac:dyDescent="0.35">
      <c r="A310" s="32" t="str">
        <f t="shared" ref="A310:C310" si="56">A309</f>
        <v>2024 JAN-DEC DISC 75</v>
      </c>
      <c r="B310" s="33">
        <f t="shared" si="56"/>
        <v>46121</v>
      </c>
      <c r="C310" s="33">
        <f t="shared" si="56"/>
        <v>46127</v>
      </c>
      <c r="D310" s="32">
        <v>3321</v>
      </c>
      <c r="E310" s="32">
        <v>337</v>
      </c>
      <c r="F310" s="32">
        <v>4</v>
      </c>
      <c r="G310" s="32">
        <v>1</v>
      </c>
      <c r="H310" s="32">
        <v>81048</v>
      </c>
      <c r="I310" s="32" t="s">
        <v>2689</v>
      </c>
      <c r="J310" s="32">
        <v>24390269</v>
      </c>
      <c r="K310" s="32" t="s">
        <v>3861</v>
      </c>
      <c r="L310" s="38" t="s">
        <v>3865</v>
      </c>
      <c r="M310" s="34">
        <v>149900</v>
      </c>
      <c r="N310" s="35">
        <f t="shared" si="14"/>
        <v>0.75</v>
      </c>
      <c r="O310" s="34">
        <f t="shared" si="16"/>
        <v>44970</v>
      </c>
      <c r="P310" s="32" t="s">
        <v>16</v>
      </c>
    </row>
    <row r="311" spans="1:16" x14ac:dyDescent="0.35">
      <c r="A311" s="32" t="str">
        <f t="shared" ref="A311:C311" si="57">A310</f>
        <v>2024 JAN-DEC DISC 75</v>
      </c>
      <c r="B311" s="33">
        <f t="shared" si="57"/>
        <v>46121</v>
      </c>
      <c r="C311" s="33">
        <f t="shared" si="57"/>
        <v>46127</v>
      </c>
      <c r="D311" s="32">
        <v>3321</v>
      </c>
      <c r="E311" s="32">
        <v>337</v>
      </c>
      <c r="F311" s="32">
        <v>4</v>
      </c>
      <c r="G311" s="32">
        <v>1</v>
      </c>
      <c r="H311" s="32">
        <v>81048</v>
      </c>
      <c r="I311" s="32" t="s">
        <v>2689</v>
      </c>
      <c r="J311" s="32">
        <v>24391759</v>
      </c>
      <c r="K311" s="32" t="s">
        <v>3866</v>
      </c>
      <c r="L311" s="38" t="s">
        <v>3867</v>
      </c>
      <c r="M311" s="34">
        <v>159900</v>
      </c>
      <c r="N311" s="35">
        <f t="shared" si="14"/>
        <v>0.75</v>
      </c>
      <c r="O311" s="34">
        <f t="shared" si="16"/>
        <v>47970</v>
      </c>
      <c r="P311" s="32" t="s">
        <v>16</v>
      </c>
    </row>
    <row r="312" spans="1:16" x14ac:dyDescent="0.35">
      <c r="A312" s="32" t="str">
        <f t="shared" ref="A312:C312" si="58">A311</f>
        <v>2024 JAN-DEC DISC 75</v>
      </c>
      <c r="B312" s="33">
        <f t="shared" si="58"/>
        <v>46121</v>
      </c>
      <c r="C312" s="33">
        <f t="shared" si="58"/>
        <v>46127</v>
      </c>
      <c r="D312" s="32">
        <v>3321</v>
      </c>
      <c r="E312" s="32">
        <v>337</v>
      </c>
      <c r="F312" s="32">
        <v>4</v>
      </c>
      <c r="G312" s="32">
        <v>1</v>
      </c>
      <c r="H312" s="32">
        <v>81048</v>
      </c>
      <c r="I312" s="32" t="s">
        <v>2689</v>
      </c>
      <c r="J312" s="32">
        <v>24391768</v>
      </c>
      <c r="K312" s="32" t="s">
        <v>3866</v>
      </c>
      <c r="L312" s="38" t="s">
        <v>3868</v>
      </c>
      <c r="M312" s="34">
        <v>159900</v>
      </c>
      <c r="N312" s="35">
        <f t="shared" si="14"/>
        <v>0.75</v>
      </c>
      <c r="O312" s="34">
        <f t="shared" si="16"/>
        <v>47970</v>
      </c>
      <c r="P312" s="32" t="s">
        <v>16</v>
      </c>
    </row>
    <row r="313" spans="1:16" x14ac:dyDescent="0.35">
      <c r="A313" s="32" t="str">
        <f t="shared" ref="A313:C313" si="59">A312</f>
        <v>2024 JAN-DEC DISC 75</v>
      </c>
      <c r="B313" s="33">
        <f t="shared" si="59"/>
        <v>46121</v>
      </c>
      <c r="C313" s="33">
        <f t="shared" si="59"/>
        <v>46127</v>
      </c>
      <c r="D313" s="32">
        <v>3321</v>
      </c>
      <c r="E313" s="32">
        <v>337</v>
      </c>
      <c r="F313" s="32">
        <v>4</v>
      </c>
      <c r="G313" s="32">
        <v>1</v>
      </c>
      <c r="H313" s="32">
        <v>81048</v>
      </c>
      <c r="I313" s="32" t="s">
        <v>2689</v>
      </c>
      <c r="J313" s="32">
        <v>24391777</v>
      </c>
      <c r="K313" s="32" t="s">
        <v>3866</v>
      </c>
      <c r="L313" s="38" t="s">
        <v>3869</v>
      </c>
      <c r="M313" s="34">
        <v>159900</v>
      </c>
      <c r="N313" s="35">
        <f t="shared" si="14"/>
        <v>0.75</v>
      </c>
      <c r="O313" s="34">
        <f t="shared" si="16"/>
        <v>47970</v>
      </c>
      <c r="P313" s="32" t="s">
        <v>16</v>
      </c>
    </row>
    <row r="314" spans="1:16" x14ac:dyDescent="0.35">
      <c r="A314" s="32" t="str">
        <f t="shared" ref="A314:C314" si="60">A313</f>
        <v>2024 JAN-DEC DISC 75</v>
      </c>
      <c r="B314" s="33">
        <f t="shared" si="60"/>
        <v>46121</v>
      </c>
      <c r="C314" s="33">
        <f t="shared" si="60"/>
        <v>46127</v>
      </c>
      <c r="D314" s="32">
        <v>3321</v>
      </c>
      <c r="E314" s="32">
        <v>337</v>
      </c>
      <c r="F314" s="32">
        <v>4</v>
      </c>
      <c r="G314" s="32">
        <v>1</v>
      </c>
      <c r="H314" s="32">
        <v>81048</v>
      </c>
      <c r="I314" s="32" t="s">
        <v>2689</v>
      </c>
      <c r="J314" s="32">
        <v>24391786</v>
      </c>
      <c r="K314" s="32" t="s">
        <v>3866</v>
      </c>
      <c r="L314" s="38" t="s">
        <v>3870</v>
      </c>
      <c r="M314" s="34">
        <v>159900</v>
      </c>
      <c r="N314" s="35">
        <f t="shared" si="14"/>
        <v>0.75</v>
      </c>
      <c r="O314" s="34">
        <f t="shared" si="16"/>
        <v>47970</v>
      </c>
      <c r="P314" s="32" t="s">
        <v>16</v>
      </c>
    </row>
    <row r="315" spans="1:16" x14ac:dyDescent="0.35">
      <c r="A315" s="32" t="str">
        <f t="shared" ref="A315:C315" si="61">A314</f>
        <v>2024 JAN-DEC DISC 75</v>
      </c>
      <c r="B315" s="33">
        <f t="shared" si="61"/>
        <v>46121</v>
      </c>
      <c r="C315" s="33">
        <f t="shared" si="61"/>
        <v>46127</v>
      </c>
      <c r="D315" s="32">
        <v>3321</v>
      </c>
      <c r="E315" s="32">
        <v>337</v>
      </c>
      <c r="F315" s="32">
        <v>4</v>
      </c>
      <c r="G315" s="32">
        <v>1</v>
      </c>
      <c r="H315" s="32">
        <v>81048</v>
      </c>
      <c r="I315" s="32" t="s">
        <v>2689</v>
      </c>
      <c r="J315" s="32">
        <v>24391731</v>
      </c>
      <c r="K315" s="32" t="s">
        <v>3871</v>
      </c>
      <c r="L315" s="38" t="s">
        <v>3872</v>
      </c>
      <c r="M315" s="34">
        <v>159900</v>
      </c>
      <c r="N315" s="35">
        <f t="shared" si="14"/>
        <v>0.75</v>
      </c>
      <c r="O315" s="34">
        <f t="shared" si="16"/>
        <v>47970</v>
      </c>
      <c r="P315" s="32" t="s">
        <v>16</v>
      </c>
    </row>
    <row r="316" spans="1:16" x14ac:dyDescent="0.35">
      <c r="A316" s="32" t="str">
        <f t="shared" ref="A316:C316" si="62">A315</f>
        <v>2024 JAN-DEC DISC 75</v>
      </c>
      <c r="B316" s="33">
        <f t="shared" si="62"/>
        <v>46121</v>
      </c>
      <c r="C316" s="33">
        <f t="shared" si="62"/>
        <v>46127</v>
      </c>
      <c r="D316" s="32">
        <v>3321</v>
      </c>
      <c r="E316" s="32">
        <v>337</v>
      </c>
      <c r="F316" s="32">
        <v>4</v>
      </c>
      <c r="G316" s="32">
        <v>1</v>
      </c>
      <c r="H316" s="32">
        <v>81048</v>
      </c>
      <c r="I316" s="32" t="s">
        <v>2689</v>
      </c>
      <c r="J316" s="32">
        <v>24391713</v>
      </c>
      <c r="K316" s="32" t="s">
        <v>3871</v>
      </c>
      <c r="L316" s="38" t="s">
        <v>3873</v>
      </c>
      <c r="M316" s="34">
        <v>159900</v>
      </c>
      <c r="N316" s="35">
        <f t="shared" si="14"/>
        <v>0.75</v>
      </c>
      <c r="O316" s="34">
        <f t="shared" si="16"/>
        <v>47970</v>
      </c>
      <c r="P316" s="32" t="s">
        <v>16</v>
      </c>
    </row>
    <row r="317" spans="1:16" x14ac:dyDescent="0.35">
      <c r="A317" s="32" t="str">
        <f t="shared" ref="A317:C317" si="63">A316</f>
        <v>2024 JAN-DEC DISC 75</v>
      </c>
      <c r="B317" s="33">
        <f t="shared" si="63"/>
        <v>46121</v>
      </c>
      <c r="C317" s="33">
        <f t="shared" si="63"/>
        <v>46127</v>
      </c>
      <c r="D317" s="32">
        <v>3321</v>
      </c>
      <c r="E317" s="32">
        <v>337</v>
      </c>
      <c r="F317" s="32">
        <v>4</v>
      </c>
      <c r="G317" s="32">
        <v>1</v>
      </c>
      <c r="H317" s="32">
        <v>81048</v>
      </c>
      <c r="I317" s="32" t="s">
        <v>2689</v>
      </c>
      <c r="J317" s="32">
        <v>24391722</v>
      </c>
      <c r="K317" s="32" t="s">
        <v>3871</v>
      </c>
      <c r="L317" s="38" t="s">
        <v>6518</v>
      </c>
      <c r="M317" s="34">
        <v>159900</v>
      </c>
      <c r="N317" s="35">
        <f t="shared" si="14"/>
        <v>0.75</v>
      </c>
      <c r="O317" s="34">
        <f t="shared" si="16"/>
        <v>47970</v>
      </c>
      <c r="P317" s="32" t="s">
        <v>16</v>
      </c>
    </row>
    <row r="318" spans="1:16" x14ac:dyDescent="0.35">
      <c r="A318" s="32" t="str">
        <f t="shared" ref="A318:C318" si="64">A317</f>
        <v>2024 JAN-DEC DISC 75</v>
      </c>
      <c r="B318" s="33">
        <f t="shared" si="64"/>
        <v>46121</v>
      </c>
      <c r="C318" s="33">
        <f t="shared" si="64"/>
        <v>46127</v>
      </c>
      <c r="D318" s="32">
        <v>3321</v>
      </c>
      <c r="E318" s="32">
        <v>337</v>
      </c>
      <c r="F318" s="32">
        <v>4</v>
      </c>
      <c r="G318" s="32">
        <v>1</v>
      </c>
      <c r="H318" s="32">
        <v>81048</v>
      </c>
      <c r="I318" s="32" t="s">
        <v>2689</v>
      </c>
      <c r="J318" s="32">
        <v>24391740</v>
      </c>
      <c r="K318" s="32" t="s">
        <v>3871</v>
      </c>
      <c r="L318" s="38" t="s">
        <v>3874</v>
      </c>
      <c r="M318" s="34">
        <v>159900</v>
      </c>
      <c r="N318" s="35">
        <f t="shared" si="14"/>
        <v>0.75</v>
      </c>
      <c r="O318" s="34">
        <f t="shared" si="16"/>
        <v>47970</v>
      </c>
      <c r="P318" s="32" t="s">
        <v>16</v>
      </c>
    </row>
    <row r="319" spans="1:16" x14ac:dyDescent="0.35">
      <c r="A319" s="32" t="str">
        <f t="shared" ref="A319:C319" si="65">A318</f>
        <v>2024 JAN-DEC DISC 75</v>
      </c>
      <c r="B319" s="33">
        <f t="shared" si="65"/>
        <v>46121</v>
      </c>
      <c r="C319" s="33">
        <f t="shared" si="65"/>
        <v>46127</v>
      </c>
      <c r="D319" s="32">
        <v>3321</v>
      </c>
      <c r="E319" s="32">
        <v>337</v>
      </c>
      <c r="F319" s="32">
        <v>4</v>
      </c>
      <c r="G319" s="32">
        <v>1</v>
      </c>
      <c r="H319" s="32">
        <v>81676</v>
      </c>
      <c r="I319" s="32" t="s">
        <v>2689</v>
      </c>
      <c r="J319" s="32">
        <v>24391839</v>
      </c>
      <c r="K319" s="32" t="s">
        <v>3875</v>
      </c>
      <c r="L319" s="38" t="s">
        <v>3876</v>
      </c>
      <c r="M319" s="34">
        <v>129900</v>
      </c>
      <c r="N319" s="35">
        <f t="shared" si="14"/>
        <v>0.75</v>
      </c>
      <c r="O319" s="34">
        <f t="shared" si="16"/>
        <v>38970</v>
      </c>
      <c r="P319" s="32" t="s">
        <v>16</v>
      </c>
    </row>
    <row r="320" spans="1:16" x14ac:dyDescent="0.35">
      <c r="A320" s="32" t="str">
        <f t="shared" ref="A320:C320" si="66">A319</f>
        <v>2024 JAN-DEC DISC 75</v>
      </c>
      <c r="B320" s="33">
        <f t="shared" si="66"/>
        <v>46121</v>
      </c>
      <c r="C320" s="33">
        <f t="shared" si="66"/>
        <v>46127</v>
      </c>
      <c r="D320" s="32">
        <v>3321</v>
      </c>
      <c r="E320" s="32">
        <v>337</v>
      </c>
      <c r="F320" s="32">
        <v>4</v>
      </c>
      <c r="G320" s="32">
        <v>1</v>
      </c>
      <c r="H320" s="32">
        <v>81676</v>
      </c>
      <c r="I320" s="32" t="s">
        <v>2689</v>
      </c>
      <c r="J320" s="32">
        <v>24391848</v>
      </c>
      <c r="K320" s="32" t="s">
        <v>3875</v>
      </c>
      <c r="L320" s="38" t="s">
        <v>3877</v>
      </c>
      <c r="M320" s="34">
        <v>129900</v>
      </c>
      <c r="N320" s="35">
        <f t="shared" si="14"/>
        <v>0.75</v>
      </c>
      <c r="O320" s="34">
        <f t="shared" si="16"/>
        <v>38970</v>
      </c>
      <c r="P320" s="32" t="s">
        <v>16</v>
      </c>
    </row>
    <row r="321" spans="1:16" x14ac:dyDescent="0.35">
      <c r="A321" s="32" t="str">
        <f t="shared" ref="A321:C321" si="67">A320</f>
        <v>2024 JAN-DEC DISC 75</v>
      </c>
      <c r="B321" s="33">
        <f t="shared" si="67"/>
        <v>46121</v>
      </c>
      <c r="C321" s="33">
        <f t="shared" si="67"/>
        <v>46127</v>
      </c>
      <c r="D321" s="32">
        <v>3321</v>
      </c>
      <c r="E321" s="32">
        <v>337</v>
      </c>
      <c r="F321" s="32">
        <v>4</v>
      </c>
      <c r="G321" s="32">
        <v>1</v>
      </c>
      <c r="H321" s="32">
        <v>81676</v>
      </c>
      <c r="I321" s="32" t="s">
        <v>2689</v>
      </c>
      <c r="J321" s="32">
        <v>24391857</v>
      </c>
      <c r="K321" s="32" t="s">
        <v>3875</v>
      </c>
      <c r="L321" s="38" t="s">
        <v>3878</v>
      </c>
      <c r="M321" s="34">
        <v>129900</v>
      </c>
      <c r="N321" s="35">
        <f t="shared" si="14"/>
        <v>0.75</v>
      </c>
      <c r="O321" s="34">
        <f t="shared" si="16"/>
        <v>38970</v>
      </c>
      <c r="P321" s="32" t="s">
        <v>16</v>
      </c>
    </row>
    <row r="322" spans="1:16" x14ac:dyDescent="0.35">
      <c r="A322" s="32" t="str">
        <f t="shared" ref="A322:C322" si="68">A321</f>
        <v>2024 JAN-DEC DISC 75</v>
      </c>
      <c r="B322" s="33">
        <f t="shared" si="68"/>
        <v>46121</v>
      </c>
      <c r="C322" s="33">
        <f t="shared" si="68"/>
        <v>46127</v>
      </c>
      <c r="D322" s="32">
        <v>3321</v>
      </c>
      <c r="E322" s="32">
        <v>337</v>
      </c>
      <c r="F322" s="32">
        <v>4</v>
      </c>
      <c r="G322" s="32">
        <v>1</v>
      </c>
      <c r="H322" s="32">
        <v>81676</v>
      </c>
      <c r="I322" s="32" t="s">
        <v>2689</v>
      </c>
      <c r="J322" s="32">
        <v>24391866</v>
      </c>
      <c r="K322" s="32" t="s">
        <v>3875</v>
      </c>
      <c r="L322" s="38" t="s">
        <v>3879</v>
      </c>
      <c r="M322" s="34">
        <v>129900</v>
      </c>
      <c r="N322" s="35">
        <f t="shared" si="14"/>
        <v>0.75</v>
      </c>
      <c r="O322" s="34">
        <f t="shared" si="16"/>
        <v>38970</v>
      </c>
      <c r="P322" s="32" t="s">
        <v>16</v>
      </c>
    </row>
    <row r="323" spans="1:16" x14ac:dyDescent="0.35">
      <c r="A323" s="32" t="str">
        <f t="shared" ref="A323:C323" si="69">A322</f>
        <v>2024 JAN-DEC DISC 75</v>
      </c>
      <c r="B323" s="33">
        <f t="shared" si="69"/>
        <v>46121</v>
      </c>
      <c r="C323" s="33">
        <f t="shared" si="69"/>
        <v>46127</v>
      </c>
      <c r="D323" s="32">
        <v>3321</v>
      </c>
      <c r="E323" s="32">
        <v>337</v>
      </c>
      <c r="F323" s="32">
        <v>4</v>
      </c>
      <c r="G323" s="32">
        <v>1</v>
      </c>
      <c r="H323" s="32">
        <v>81676</v>
      </c>
      <c r="I323" s="32" t="s">
        <v>2689</v>
      </c>
      <c r="J323" s="32">
        <v>24390894</v>
      </c>
      <c r="K323" s="32" t="s">
        <v>3880</v>
      </c>
      <c r="L323" s="38" t="s">
        <v>3881</v>
      </c>
      <c r="M323" s="34">
        <v>119900</v>
      </c>
      <c r="N323" s="35">
        <f t="shared" si="14"/>
        <v>0.75</v>
      </c>
      <c r="O323" s="34">
        <f t="shared" si="16"/>
        <v>35970</v>
      </c>
      <c r="P323" s="32" t="s">
        <v>16</v>
      </c>
    </row>
    <row r="324" spans="1:16" x14ac:dyDescent="0.35">
      <c r="A324" s="32" t="str">
        <f t="shared" ref="A324:C324" si="70">A323</f>
        <v>2024 JAN-DEC DISC 75</v>
      </c>
      <c r="B324" s="33">
        <f t="shared" si="70"/>
        <v>46121</v>
      </c>
      <c r="C324" s="33">
        <f t="shared" si="70"/>
        <v>46127</v>
      </c>
      <c r="D324" s="32">
        <v>3321</v>
      </c>
      <c r="E324" s="32">
        <v>337</v>
      </c>
      <c r="F324" s="32">
        <v>4</v>
      </c>
      <c r="G324" s="32">
        <v>1</v>
      </c>
      <c r="H324" s="32">
        <v>81676</v>
      </c>
      <c r="I324" s="32" t="s">
        <v>2689</v>
      </c>
      <c r="J324" s="32">
        <v>24390901</v>
      </c>
      <c r="K324" s="32" t="s">
        <v>3880</v>
      </c>
      <c r="L324" s="38" t="s">
        <v>3882</v>
      </c>
      <c r="M324" s="34">
        <v>119900</v>
      </c>
      <c r="N324" s="35">
        <f t="shared" ref="N324:N387" si="71">N323</f>
        <v>0.75</v>
      </c>
      <c r="O324" s="34">
        <f t="shared" si="16"/>
        <v>35970</v>
      </c>
      <c r="P324" s="32" t="s">
        <v>16</v>
      </c>
    </row>
    <row r="325" spans="1:16" x14ac:dyDescent="0.35">
      <c r="A325" s="32" t="str">
        <f t="shared" ref="A325:C325" si="72">A324</f>
        <v>2024 JAN-DEC DISC 75</v>
      </c>
      <c r="B325" s="33">
        <f t="shared" si="72"/>
        <v>46121</v>
      </c>
      <c r="C325" s="33">
        <f t="shared" si="72"/>
        <v>46127</v>
      </c>
      <c r="D325" s="32">
        <v>3321</v>
      </c>
      <c r="E325" s="32">
        <v>337</v>
      </c>
      <c r="F325" s="32">
        <v>4</v>
      </c>
      <c r="G325" s="32">
        <v>1</v>
      </c>
      <c r="H325" s="32">
        <v>81676</v>
      </c>
      <c r="I325" s="32" t="s">
        <v>2689</v>
      </c>
      <c r="J325" s="32">
        <v>24390910</v>
      </c>
      <c r="K325" s="32" t="s">
        <v>3880</v>
      </c>
      <c r="L325" s="38" t="s">
        <v>3883</v>
      </c>
      <c r="M325" s="34">
        <v>119900</v>
      </c>
      <c r="N325" s="35">
        <f t="shared" si="71"/>
        <v>0.75</v>
      </c>
      <c r="O325" s="34">
        <f t="shared" si="16"/>
        <v>35970</v>
      </c>
      <c r="P325" s="32" t="s">
        <v>16</v>
      </c>
    </row>
    <row r="326" spans="1:16" x14ac:dyDescent="0.35">
      <c r="A326" s="32" t="str">
        <f t="shared" ref="A326:C326" si="73">A325</f>
        <v>2024 JAN-DEC DISC 75</v>
      </c>
      <c r="B326" s="33">
        <f t="shared" si="73"/>
        <v>46121</v>
      </c>
      <c r="C326" s="33">
        <f t="shared" si="73"/>
        <v>46127</v>
      </c>
      <c r="D326" s="32">
        <v>3321</v>
      </c>
      <c r="E326" s="32">
        <v>337</v>
      </c>
      <c r="F326" s="32">
        <v>4</v>
      </c>
      <c r="G326" s="32">
        <v>1</v>
      </c>
      <c r="H326" s="32">
        <v>81676</v>
      </c>
      <c r="I326" s="32" t="s">
        <v>2689</v>
      </c>
      <c r="J326" s="32">
        <v>24390974</v>
      </c>
      <c r="K326" s="32" t="s">
        <v>3880</v>
      </c>
      <c r="L326" s="38" t="s">
        <v>3884</v>
      </c>
      <c r="M326" s="34">
        <v>119900</v>
      </c>
      <c r="N326" s="35">
        <f t="shared" si="71"/>
        <v>0.75</v>
      </c>
      <c r="O326" s="34">
        <f t="shared" si="16"/>
        <v>35970</v>
      </c>
      <c r="P326" s="32" t="s">
        <v>16</v>
      </c>
    </row>
    <row r="327" spans="1:16" x14ac:dyDescent="0.35">
      <c r="A327" s="32" t="str">
        <f t="shared" ref="A327:C327" si="74">A326</f>
        <v>2024 JAN-DEC DISC 75</v>
      </c>
      <c r="B327" s="33">
        <f t="shared" si="74"/>
        <v>46121</v>
      </c>
      <c r="C327" s="33">
        <f t="shared" si="74"/>
        <v>46127</v>
      </c>
      <c r="D327" s="32">
        <v>3321</v>
      </c>
      <c r="E327" s="32">
        <v>337</v>
      </c>
      <c r="F327" s="32">
        <v>4</v>
      </c>
      <c r="G327" s="32">
        <v>1</v>
      </c>
      <c r="H327" s="32">
        <v>81676</v>
      </c>
      <c r="I327" s="32" t="s">
        <v>2689</v>
      </c>
      <c r="J327" s="32">
        <v>24391679</v>
      </c>
      <c r="K327" s="32" t="s">
        <v>3885</v>
      </c>
      <c r="L327" s="38" t="s">
        <v>3886</v>
      </c>
      <c r="M327" s="34">
        <v>119900</v>
      </c>
      <c r="N327" s="35">
        <f t="shared" si="71"/>
        <v>0.75</v>
      </c>
      <c r="O327" s="34">
        <f t="shared" si="16"/>
        <v>35970</v>
      </c>
      <c r="P327" s="32" t="s">
        <v>16</v>
      </c>
    </row>
    <row r="328" spans="1:16" x14ac:dyDescent="0.35">
      <c r="A328" s="32" t="str">
        <f t="shared" ref="A328:C328" si="75">A327</f>
        <v>2024 JAN-DEC DISC 75</v>
      </c>
      <c r="B328" s="33">
        <f t="shared" si="75"/>
        <v>46121</v>
      </c>
      <c r="C328" s="33">
        <f t="shared" si="75"/>
        <v>46127</v>
      </c>
      <c r="D328" s="32">
        <v>3321</v>
      </c>
      <c r="E328" s="32">
        <v>337</v>
      </c>
      <c r="F328" s="32">
        <v>4</v>
      </c>
      <c r="G328" s="32">
        <v>1</v>
      </c>
      <c r="H328" s="32">
        <v>81676</v>
      </c>
      <c r="I328" s="32" t="s">
        <v>2689</v>
      </c>
      <c r="J328" s="32">
        <v>24391688</v>
      </c>
      <c r="K328" s="32" t="s">
        <v>3885</v>
      </c>
      <c r="L328" s="38" t="s">
        <v>3887</v>
      </c>
      <c r="M328" s="34">
        <v>119900</v>
      </c>
      <c r="N328" s="35">
        <f t="shared" si="71"/>
        <v>0.75</v>
      </c>
      <c r="O328" s="34">
        <f t="shared" si="16"/>
        <v>35970</v>
      </c>
      <c r="P328" s="32" t="s">
        <v>16</v>
      </c>
    </row>
    <row r="329" spans="1:16" x14ac:dyDescent="0.35">
      <c r="A329" s="32" t="str">
        <f t="shared" ref="A329:C329" si="76">A328</f>
        <v>2024 JAN-DEC DISC 75</v>
      </c>
      <c r="B329" s="33">
        <f t="shared" si="76"/>
        <v>46121</v>
      </c>
      <c r="C329" s="33">
        <f t="shared" si="76"/>
        <v>46127</v>
      </c>
      <c r="D329" s="32">
        <v>3321</v>
      </c>
      <c r="E329" s="32">
        <v>337</v>
      </c>
      <c r="F329" s="32">
        <v>4</v>
      </c>
      <c r="G329" s="32">
        <v>1</v>
      </c>
      <c r="H329" s="32">
        <v>81676</v>
      </c>
      <c r="I329" s="32" t="s">
        <v>2689</v>
      </c>
      <c r="J329" s="32">
        <v>24391697</v>
      </c>
      <c r="K329" s="32" t="s">
        <v>3885</v>
      </c>
      <c r="L329" s="38" t="s">
        <v>3888</v>
      </c>
      <c r="M329" s="34">
        <v>119900</v>
      </c>
      <c r="N329" s="35">
        <f t="shared" si="71"/>
        <v>0.75</v>
      </c>
      <c r="O329" s="34">
        <f t="shared" si="16"/>
        <v>35970</v>
      </c>
      <c r="P329" s="32" t="s">
        <v>16</v>
      </c>
    </row>
    <row r="330" spans="1:16" x14ac:dyDescent="0.35">
      <c r="A330" s="32" t="str">
        <f t="shared" ref="A330:C330" si="77">A329</f>
        <v>2024 JAN-DEC DISC 75</v>
      </c>
      <c r="B330" s="33">
        <f t="shared" si="77"/>
        <v>46121</v>
      </c>
      <c r="C330" s="33">
        <f t="shared" si="77"/>
        <v>46127</v>
      </c>
      <c r="D330" s="32">
        <v>3321</v>
      </c>
      <c r="E330" s="32">
        <v>337</v>
      </c>
      <c r="F330" s="32">
        <v>4</v>
      </c>
      <c r="G330" s="32">
        <v>1</v>
      </c>
      <c r="H330" s="32">
        <v>81676</v>
      </c>
      <c r="I330" s="32" t="s">
        <v>2689</v>
      </c>
      <c r="J330" s="32">
        <v>24391704</v>
      </c>
      <c r="K330" s="32" t="s">
        <v>3885</v>
      </c>
      <c r="L330" s="38" t="s">
        <v>3889</v>
      </c>
      <c r="M330" s="34">
        <v>119900</v>
      </c>
      <c r="N330" s="35">
        <f t="shared" si="71"/>
        <v>0.75</v>
      </c>
      <c r="O330" s="34">
        <f t="shared" si="16"/>
        <v>35970</v>
      </c>
      <c r="P330" s="32" t="s">
        <v>16</v>
      </c>
    </row>
    <row r="331" spans="1:16" x14ac:dyDescent="0.35">
      <c r="A331" s="32" t="str">
        <f t="shared" ref="A331:C331" si="78">A330</f>
        <v>2024 JAN-DEC DISC 75</v>
      </c>
      <c r="B331" s="33">
        <f t="shared" si="78"/>
        <v>46121</v>
      </c>
      <c r="C331" s="33">
        <f t="shared" si="78"/>
        <v>46127</v>
      </c>
      <c r="D331" s="32">
        <v>3321</v>
      </c>
      <c r="E331" s="32">
        <v>337</v>
      </c>
      <c r="F331" s="32">
        <v>4</v>
      </c>
      <c r="G331" s="32">
        <v>5</v>
      </c>
      <c r="H331" s="32">
        <v>81698</v>
      </c>
      <c r="I331" s="32" t="s">
        <v>2689</v>
      </c>
      <c r="J331" s="32">
        <v>23115415</v>
      </c>
      <c r="K331" s="32" t="s">
        <v>3890</v>
      </c>
      <c r="L331" s="38" t="s">
        <v>3891</v>
      </c>
      <c r="M331" s="34">
        <v>289900</v>
      </c>
      <c r="N331" s="35">
        <f t="shared" si="71"/>
        <v>0.75</v>
      </c>
      <c r="O331" s="34">
        <f t="shared" si="16"/>
        <v>86970</v>
      </c>
      <c r="P331" s="32" t="s">
        <v>16</v>
      </c>
    </row>
    <row r="332" spans="1:16" x14ac:dyDescent="0.35">
      <c r="A332" s="32" t="str">
        <f t="shared" ref="A332:C332" si="79">A331</f>
        <v>2024 JAN-DEC DISC 75</v>
      </c>
      <c r="B332" s="33">
        <f t="shared" si="79"/>
        <v>46121</v>
      </c>
      <c r="C332" s="33">
        <f t="shared" si="79"/>
        <v>46127</v>
      </c>
      <c r="D332" s="32">
        <v>3321</v>
      </c>
      <c r="E332" s="32">
        <v>337</v>
      </c>
      <c r="F332" s="32">
        <v>4</v>
      </c>
      <c r="G332" s="32">
        <v>5</v>
      </c>
      <c r="H332" s="32">
        <v>81698</v>
      </c>
      <c r="I332" s="32" t="s">
        <v>2689</v>
      </c>
      <c r="J332" s="32">
        <v>23115424</v>
      </c>
      <c r="K332" s="32" t="s">
        <v>3890</v>
      </c>
      <c r="L332" s="38" t="s">
        <v>3892</v>
      </c>
      <c r="M332" s="34">
        <v>289900</v>
      </c>
      <c r="N332" s="35">
        <f t="shared" si="71"/>
        <v>0.75</v>
      </c>
      <c r="O332" s="34">
        <f t="shared" si="16"/>
        <v>86970</v>
      </c>
      <c r="P332" s="32" t="s">
        <v>16</v>
      </c>
    </row>
    <row r="333" spans="1:16" x14ac:dyDescent="0.35">
      <c r="A333" s="32" t="str">
        <f t="shared" ref="A333:C333" si="80">A332</f>
        <v>2024 JAN-DEC DISC 75</v>
      </c>
      <c r="B333" s="33">
        <f t="shared" si="80"/>
        <v>46121</v>
      </c>
      <c r="C333" s="33">
        <f t="shared" si="80"/>
        <v>46127</v>
      </c>
      <c r="D333" s="32">
        <v>3321</v>
      </c>
      <c r="E333" s="32">
        <v>337</v>
      </c>
      <c r="F333" s="32">
        <v>4</v>
      </c>
      <c r="G333" s="32">
        <v>5</v>
      </c>
      <c r="H333" s="32">
        <v>81698</v>
      </c>
      <c r="I333" s="32" t="s">
        <v>2689</v>
      </c>
      <c r="J333" s="32">
        <v>23115862</v>
      </c>
      <c r="K333" s="32" t="s">
        <v>3890</v>
      </c>
      <c r="L333" s="38" t="s">
        <v>3893</v>
      </c>
      <c r="M333" s="34">
        <v>289900</v>
      </c>
      <c r="N333" s="35">
        <f t="shared" si="71"/>
        <v>0.75</v>
      </c>
      <c r="O333" s="34">
        <f t="shared" si="16"/>
        <v>86970</v>
      </c>
      <c r="P333" s="32" t="s">
        <v>16</v>
      </c>
    </row>
    <row r="334" spans="1:16" x14ac:dyDescent="0.35">
      <c r="A334" s="32" t="str">
        <f t="shared" ref="A334:C334" si="81">A333</f>
        <v>2024 JAN-DEC DISC 75</v>
      </c>
      <c r="B334" s="33">
        <f t="shared" si="81"/>
        <v>46121</v>
      </c>
      <c r="C334" s="33">
        <f t="shared" si="81"/>
        <v>46127</v>
      </c>
      <c r="D334" s="32">
        <v>3321</v>
      </c>
      <c r="E334" s="32">
        <v>337</v>
      </c>
      <c r="F334" s="32">
        <v>4</v>
      </c>
      <c r="G334" s="32">
        <v>5</v>
      </c>
      <c r="H334" s="32">
        <v>81698</v>
      </c>
      <c r="I334" s="32" t="s">
        <v>2689</v>
      </c>
      <c r="J334" s="32">
        <v>23115871</v>
      </c>
      <c r="K334" s="32" t="s">
        <v>3890</v>
      </c>
      <c r="L334" s="38" t="s">
        <v>3894</v>
      </c>
      <c r="M334" s="34">
        <v>289900</v>
      </c>
      <c r="N334" s="35">
        <f t="shared" si="71"/>
        <v>0.75</v>
      </c>
      <c r="O334" s="34">
        <f t="shared" ref="O334:O397" si="82">M334-((70*M334))/100</f>
        <v>86970</v>
      </c>
      <c r="P334" s="32" t="s">
        <v>16</v>
      </c>
    </row>
    <row r="335" spans="1:16" x14ac:dyDescent="0.35">
      <c r="A335" s="32" t="str">
        <f t="shared" ref="A335:C335" si="83">A334</f>
        <v>2024 JAN-DEC DISC 75</v>
      </c>
      <c r="B335" s="33">
        <f t="shared" si="83"/>
        <v>46121</v>
      </c>
      <c r="C335" s="33">
        <f t="shared" si="83"/>
        <v>46127</v>
      </c>
      <c r="D335" s="32">
        <v>3321</v>
      </c>
      <c r="E335" s="32">
        <v>337</v>
      </c>
      <c r="F335" s="32">
        <v>4</v>
      </c>
      <c r="G335" s="32">
        <v>5</v>
      </c>
      <c r="H335" s="32">
        <v>81005</v>
      </c>
      <c r="I335" s="32" t="s">
        <v>2689</v>
      </c>
      <c r="J335" s="32">
        <v>23118476</v>
      </c>
      <c r="K335" s="32" t="s">
        <v>3895</v>
      </c>
      <c r="L335" s="38" t="s">
        <v>3896</v>
      </c>
      <c r="M335" s="34">
        <v>279900</v>
      </c>
      <c r="N335" s="35">
        <f t="shared" si="71"/>
        <v>0.75</v>
      </c>
      <c r="O335" s="34">
        <f t="shared" si="82"/>
        <v>83970</v>
      </c>
      <c r="P335" s="32" t="s">
        <v>16</v>
      </c>
    </row>
    <row r="336" spans="1:16" x14ac:dyDescent="0.35">
      <c r="A336" s="32" t="str">
        <f t="shared" ref="A336:C336" si="84">A335</f>
        <v>2024 JAN-DEC DISC 75</v>
      </c>
      <c r="B336" s="33">
        <f t="shared" si="84"/>
        <v>46121</v>
      </c>
      <c r="C336" s="33">
        <f t="shared" si="84"/>
        <v>46127</v>
      </c>
      <c r="D336" s="32">
        <v>3321</v>
      </c>
      <c r="E336" s="32">
        <v>337</v>
      </c>
      <c r="F336" s="32">
        <v>4</v>
      </c>
      <c r="G336" s="32">
        <v>5</v>
      </c>
      <c r="H336" s="32">
        <v>81005</v>
      </c>
      <c r="I336" s="32" t="s">
        <v>2689</v>
      </c>
      <c r="J336" s="32">
        <v>23118485</v>
      </c>
      <c r="K336" s="32" t="s">
        <v>3895</v>
      </c>
      <c r="L336" s="38" t="s">
        <v>3897</v>
      </c>
      <c r="M336" s="34">
        <v>279900</v>
      </c>
      <c r="N336" s="35">
        <f t="shared" si="71"/>
        <v>0.75</v>
      </c>
      <c r="O336" s="34">
        <f t="shared" si="82"/>
        <v>83970</v>
      </c>
      <c r="P336" s="32" t="s">
        <v>16</v>
      </c>
    </row>
    <row r="337" spans="1:16" x14ac:dyDescent="0.35">
      <c r="A337" s="32" t="str">
        <f t="shared" ref="A337:C337" si="85">A336</f>
        <v>2024 JAN-DEC DISC 75</v>
      </c>
      <c r="B337" s="33">
        <f t="shared" si="85"/>
        <v>46121</v>
      </c>
      <c r="C337" s="33">
        <f t="shared" si="85"/>
        <v>46127</v>
      </c>
      <c r="D337" s="32">
        <v>3321</v>
      </c>
      <c r="E337" s="32">
        <v>337</v>
      </c>
      <c r="F337" s="32">
        <v>4</v>
      </c>
      <c r="G337" s="32">
        <v>5</v>
      </c>
      <c r="H337" s="32">
        <v>81005</v>
      </c>
      <c r="I337" s="32" t="s">
        <v>2689</v>
      </c>
      <c r="J337" s="32">
        <v>23119386</v>
      </c>
      <c r="K337" s="32" t="s">
        <v>3895</v>
      </c>
      <c r="L337" s="38" t="s">
        <v>3898</v>
      </c>
      <c r="M337" s="34">
        <v>279900</v>
      </c>
      <c r="N337" s="35">
        <f t="shared" si="71"/>
        <v>0.75</v>
      </c>
      <c r="O337" s="34">
        <f t="shared" si="82"/>
        <v>83970</v>
      </c>
      <c r="P337" s="32" t="s">
        <v>16</v>
      </c>
    </row>
    <row r="338" spans="1:16" x14ac:dyDescent="0.35">
      <c r="A338" s="32" t="str">
        <f t="shared" ref="A338:C338" si="86">A337</f>
        <v>2024 JAN-DEC DISC 75</v>
      </c>
      <c r="B338" s="33">
        <f t="shared" si="86"/>
        <v>46121</v>
      </c>
      <c r="C338" s="33">
        <f t="shared" si="86"/>
        <v>46127</v>
      </c>
      <c r="D338" s="32">
        <v>3321</v>
      </c>
      <c r="E338" s="32">
        <v>337</v>
      </c>
      <c r="F338" s="32">
        <v>4</v>
      </c>
      <c r="G338" s="32">
        <v>5</v>
      </c>
      <c r="H338" s="32">
        <v>81005</v>
      </c>
      <c r="I338" s="32" t="s">
        <v>2689</v>
      </c>
      <c r="J338" s="32">
        <v>23119395</v>
      </c>
      <c r="K338" s="32" t="s">
        <v>3895</v>
      </c>
      <c r="L338" s="38" t="s">
        <v>3899</v>
      </c>
      <c r="M338" s="34">
        <v>279900</v>
      </c>
      <c r="N338" s="35">
        <f t="shared" si="71"/>
        <v>0.75</v>
      </c>
      <c r="O338" s="34">
        <f t="shared" si="82"/>
        <v>83970</v>
      </c>
      <c r="P338" s="32" t="s">
        <v>16</v>
      </c>
    </row>
    <row r="339" spans="1:16" x14ac:dyDescent="0.35">
      <c r="A339" s="32" t="str">
        <f t="shared" ref="A339:C339" si="87">A338</f>
        <v>2024 JAN-DEC DISC 75</v>
      </c>
      <c r="B339" s="33">
        <f t="shared" si="87"/>
        <v>46121</v>
      </c>
      <c r="C339" s="33">
        <f t="shared" si="87"/>
        <v>46127</v>
      </c>
      <c r="D339" s="32">
        <v>3321</v>
      </c>
      <c r="E339" s="32">
        <v>337</v>
      </c>
      <c r="F339" s="32">
        <v>4</v>
      </c>
      <c r="G339" s="32">
        <v>5</v>
      </c>
      <c r="H339" s="32">
        <v>81005</v>
      </c>
      <c r="I339" s="32" t="s">
        <v>2689</v>
      </c>
      <c r="J339" s="32">
        <v>23119402</v>
      </c>
      <c r="K339" s="32" t="s">
        <v>3895</v>
      </c>
      <c r="L339" s="38" t="s">
        <v>3900</v>
      </c>
      <c r="M339" s="34">
        <v>279900</v>
      </c>
      <c r="N339" s="35">
        <f t="shared" si="71"/>
        <v>0.75</v>
      </c>
      <c r="O339" s="34">
        <f t="shared" si="82"/>
        <v>83970</v>
      </c>
      <c r="P339" s="32" t="s">
        <v>16</v>
      </c>
    </row>
    <row r="340" spans="1:16" x14ac:dyDescent="0.35">
      <c r="A340" s="32" t="str">
        <f t="shared" ref="A340:C340" si="88">A339</f>
        <v>2024 JAN-DEC DISC 75</v>
      </c>
      <c r="B340" s="33">
        <f t="shared" si="88"/>
        <v>46121</v>
      </c>
      <c r="C340" s="33">
        <f t="shared" si="88"/>
        <v>46127</v>
      </c>
      <c r="D340" s="32">
        <v>3321</v>
      </c>
      <c r="E340" s="32">
        <v>337</v>
      </c>
      <c r="F340" s="32">
        <v>4</v>
      </c>
      <c r="G340" s="32">
        <v>1</v>
      </c>
      <c r="H340" s="32">
        <v>81676</v>
      </c>
      <c r="I340" s="32" t="s">
        <v>2689</v>
      </c>
      <c r="J340" s="32">
        <v>24390983</v>
      </c>
      <c r="K340" s="32" t="s">
        <v>3931</v>
      </c>
      <c r="L340" s="38" t="s">
        <v>3932</v>
      </c>
      <c r="M340" s="34">
        <v>119900</v>
      </c>
      <c r="N340" s="35">
        <f t="shared" si="71"/>
        <v>0.75</v>
      </c>
      <c r="O340" s="34">
        <f t="shared" si="82"/>
        <v>35970</v>
      </c>
      <c r="P340" s="32" t="s">
        <v>16</v>
      </c>
    </row>
    <row r="341" spans="1:16" x14ac:dyDescent="0.35">
      <c r="A341" s="32" t="str">
        <f t="shared" ref="A341:C341" si="89">A340</f>
        <v>2024 JAN-DEC DISC 75</v>
      </c>
      <c r="B341" s="33">
        <f t="shared" si="89"/>
        <v>46121</v>
      </c>
      <c r="C341" s="33">
        <f t="shared" si="89"/>
        <v>46127</v>
      </c>
      <c r="D341" s="32">
        <v>3321</v>
      </c>
      <c r="E341" s="32">
        <v>337</v>
      </c>
      <c r="F341" s="32">
        <v>4</v>
      </c>
      <c r="G341" s="32">
        <v>1</v>
      </c>
      <c r="H341" s="32">
        <v>81676</v>
      </c>
      <c r="I341" s="32" t="s">
        <v>2689</v>
      </c>
      <c r="J341" s="32">
        <v>24390992</v>
      </c>
      <c r="K341" s="32" t="s">
        <v>3931</v>
      </c>
      <c r="L341" s="38" t="s">
        <v>3933</v>
      </c>
      <c r="M341" s="34">
        <v>119900</v>
      </c>
      <c r="N341" s="35">
        <f t="shared" si="71"/>
        <v>0.75</v>
      </c>
      <c r="O341" s="34">
        <f t="shared" si="82"/>
        <v>35970</v>
      </c>
      <c r="P341" s="32" t="s">
        <v>16</v>
      </c>
    </row>
    <row r="342" spans="1:16" x14ac:dyDescent="0.35">
      <c r="A342" s="32" t="str">
        <f t="shared" ref="A342:C342" si="90">A341</f>
        <v>2024 JAN-DEC DISC 75</v>
      </c>
      <c r="B342" s="33">
        <f t="shared" si="90"/>
        <v>46121</v>
      </c>
      <c r="C342" s="33">
        <f t="shared" si="90"/>
        <v>46127</v>
      </c>
      <c r="D342" s="32">
        <v>3321</v>
      </c>
      <c r="E342" s="32">
        <v>337</v>
      </c>
      <c r="F342" s="32">
        <v>4</v>
      </c>
      <c r="G342" s="32">
        <v>1</v>
      </c>
      <c r="H342" s="32">
        <v>81676</v>
      </c>
      <c r="I342" s="32" t="s">
        <v>2689</v>
      </c>
      <c r="J342" s="32">
        <v>24391008</v>
      </c>
      <c r="K342" s="32" t="s">
        <v>3931</v>
      </c>
      <c r="L342" s="38" t="s">
        <v>3934</v>
      </c>
      <c r="M342" s="34">
        <v>119900</v>
      </c>
      <c r="N342" s="35">
        <f t="shared" si="71"/>
        <v>0.75</v>
      </c>
      <c r="O342" s="34">
        <f t="shared" si="82"/>
        <v>35970</v>
      </c>
      <c r="P342" s="32" t="s">
        <v>16</v>
      </c>
    </row>
    <row r="343" spans="1:16" x14ac:dyDescent="0.35">
      <c r="A343" s="32" t="str">
        <f t="shared" ref="A343:C343" si="91">A342</f>
        <v>2024 JAN-DEC DISC 75</v>
      </c>
      <c r="B343" s="33">
        <f t="shared" si="91"/>
        <v>46121</v>
      </c>
      <c r="C343" s="33">
        <f t="shared" si="91"/>
        <v>46127</v>
      </c>
      <c r="D343" s="32">
        <v>3321</v>
      </c>
      <c r="E343" s="32">
        <v>337</v>
      </c>
      <c r="F343" s="32">
        <v>4</v>
      </c>
      <c r="G343" s="32">
        <v>1</v>
      </c>
      <c r="H343" s="32">
        <v>81676</v>
      </c>
      <c r="I343" s="32" t="s">
        <v>2689</v>
      </c>
      <c r="J343" s="32">
        <v>24391017</v>
      </c>
      <c r="K343" s="32" t="s">
        <v>3931</v>
      </c>
      <c r="L343" s="38" t="s">
        <v>3935</v>
      </c>
      <c r="M343" s="34">
        <v>119900</v>
      </c>
      <c r="N343" s="35">
        <f t="shared" si="71"/>
        <v>0.75</v>
      </c>
      <c r="O343" s="34">
        <f t="shared" si="82"/>
        <v>35970</v>
      </c>
      <c r="P343" s="32" t="s">
        <v>16</v>
      </c>
    </row>
    <row r="344" spans="1:16" x14ac:dyDescent="0.35">
      <c r="A344" s="32" t="str">
        <f t="shared" ref="A344:C344" si="92">A343</f>
        <v>2024 JAN-DEC DISC 75</v>
      </c>
      <c r="B344" s="33">
        <f t="shared" si="92"/>
        <v>46121</v>
      </c>
      <c r="C344" s="33">
        <f t="shared" si="92"/>
        <v>46127</v>
      </c>
      <c r="D344" s="32">
        <v>3321</v>
      </c>
      <c r="E344" s="32">
        <v>337</v>
      </c>
      <c r="F344" s="32">
        <v>4</v>
      </c>
      <c r="G344" s="32">
        <v>5</v>
      </c>
      <c r="H344" s="32">
        <v>81005</v>
      </c>
      <c r="I344" s="32" t="s">
        <v>2689</v>
      </c>
      <c r="J344" s="32">
        <v>23119411</v>
      </c>
      <c r="K344" s="32" t="s">
        <v>3936</v>
      </c>
      <c r="L344" s="38" t="s">
        <v>3937</v>
      </c>
      <c r="M344" s="34">
        <v>279900</v>
      </c>
      <c r="N344" s="35">
        <f t="shared" si="71"/>
        <v>0.75</v>
      </c>
      <c r="O344" s="34">
        <f t="shared" si="82"/>
        <v>83970</v>
      </c>
      <c r="P344" s="32" t="s">
        <v>16</v>
      </c>
    </row>
    <row r="345" spans="1:16" x14ac:dyDescent="0.35">
      <c r="A345" s="32" t="str">
        <f t="shared" ref="A345:C345" si="93">A344</f>
        <v>2024 JAN-DEC DISC 75</v>
      </c>
      <c r="B345" s="33">
        <f t="shared" si="93"/>
        <v>46121</v>
      </c>
      <c r="C345" s="33">
        <f t="shared" si="93"/>
        <v>46127</v>
      </c>
      <c r="D345" s="32">
        <v>3321</v>
      </c>
      <c r="E345" s="32">
        <v>337</v>
      </c>
      <c r="F345" s="32">
        <v>4</v>
      </c>
      <c r="G345" s="32">
        <v>5</v>
      </c>
      <c r="H345" s="32">
        <v>81005</v>
      </c>
      <c r="I345" s="32" t="s">
        <v>2689</v>
      </c>
      <c r="J345" s="32">
        <v>23119993</v>
      </c>
      <c r="K345" s="32" t="s">
        <v>3936</v>
      </c>
      <c r="L345" s="38" t="s">
        <v>3938</v>
      </c>
      <c r="M345" s="34">
        <v>279900</v>
      </c>
      <c r="N345" s="35">
        <f t="shared" si="71"/>
        <v>0.75</v>
      </c>
      <c r="O345" s="34">
        <f t="shared" si="82"/>
        <v>83970</v>
      </c>
      <c r="P345" s="32" t="s">
        <v>16</v>
      </c>
    </row>
    <row r="346" spans="1:16" x14ac:dyDescent="0.35">
      <c r="A346" s="32" t="str">
        <f t="shared" ref="A346:C346" si="94">A345</f>
        <v>2024 JAN-DEC DISC 75</v>
      </c>
      <c r="B346" s="33">
        <f t="shared" si="94"/>
        <v>46121</v>
      </c>
      <c r="C346" s="33">
        <f t="shared" si="94"/>
        <v>46127</v>
      </c>
      <c r="D346" s="32">
        <v>3321</v>
      </c>
      <c r="E346" s="32">
        <v>337</v>
      </c>
      <c r="F346" s="32">
        <v>4</v>
      </c>
      <c r="G346" s="32">
        <v>5</v>
      </c>
      <c r="H346" s="32">
        <v>81005</v>
      </c>
      <c r="I346" s="32" t="s">
        <v>2689</v>
      </c>
      <c r="J346" s="32">
        <v>23120007</v>
      </c>
      <c r="K346" s="32" t="s">
        <v>3936</v>
      </c>
      <c r="L346" s="38" t="s">
        <v>3939</v>
      </c>
      <c r="M346" s="34">
        <v>279900</v>
      </c>
      <c r="N346" s="35">
        <f t="shared" si="71"/>
        <v>0.75</v>
      </c>
      <c r="O346" s="34">
        <f t="shared" si="82"/>
        <v>83970</v>
      </c>
      <c r="P346" s="32" t="s">
        <v>16</v>
      </c>
    </row>
    <row r="347" spans="1:16" x14ac:dyDescent="0.35">
      <c r="A347" s="32" t="str">
        <f t="shared" ref="A347:C347" si="95">A346</f>
        <v>2024 JAN-DEC DISC 75</v>
      </c>
      <c r="B347" s="33">
        <f t="shared" si="95"/>
        <v>46121</v>
      </c>
      <c r="C347" s="33">
        <f t="shared" si="95"/>
        <v>46127</v>
      </c>
      <c r="D347" s="32">
        <v>3321</v>
      </c>
      <c r="E347" s="32">
        <v>337</v>
      </c>
      <c r="F347" s="32">
        <v>4</v>
      </c>
      <c r="G347" s="32">
        <v>5</v>
      </c>
      <c r="H347" s="32">
        <v>81005</v>
      </c>
      <c r="I347" s="32" t="s">
        <v>2689</v>
      </c>
      <c r="J347" s="32">
        <v>23120016</v>
      </c>
      <c r="K347" s="32" t="s">
        <v>3936</v>
      </c>
      <c r="L347" s="38" t="s">
        <v>3940</v>
      </c>
      <c r="M347" s="34">
        <v>279900</v>
      </c>
      <c r="N347" s="35">
        <f t="shared" si="71"/>
        <v>0.75</v>
      </c>
      <c r="O347" s="34">
        <f t="shared" si="82"/>
        <v>83970</v>
      </c>
      <c r="P347" s="32" t="s">
        <v>16</v>
      </c>
    </row>
    <row r="348" spans="1:16" x14ac:dyDescent="0.35">
      <c r="A348" s="32" t="str">
        <f t="shared" ref="A348:C348" si="96">A347</f>
        <v>2024 JAN-DEC DISC 75</v>
      </c>
      <c r="B348" s="33">
        <f t="shared" si="96"/>
        <v>46121</v>
      </c>
      <c r="C348" s="33">
        <f t="shared" si="96"/>
        <v>46127</v>
      </c>
      <c r="D348" s="32">
        <v>3321</v>
      </c>
      <c r="E348" s="32">
        <v>337</v>
      </c>
      <c r="F348" s="32">
        <v>4</v>
      </c>
      <c r="G348" s="32">
        <v>5</v>
      </c>
      <c r="H348" s="32">
        <v>81005</v>
      </c>
      <c r="I348" s="32" t="s">
        <v>2689</v>
      </c>
      <c r="J348" s="32">
        <v>23120025</v>
      </c>
      <c r="K348" s="32" t="s">
        <v>3936</v>
      </c>
      <c r="L348" s="38" t="s">
        <v>3941</v>
      </c>
      <c r="M348" s="34">
        <v>279900</v>
      </c>
      <c r="N348" s="35">
        <f t="shared" si="71"/>
        <v>0.75</v>
      </c>
      <c r="O348" s="34">
        <f t="shared" si="82"/>
        <v>83970</v>
      </c>
      <c r="P348" s="32" t="s">
        <v>16</v>
      </c>
    </row>
    <row r="349" spans="1:16" x14ac:dyDescent="0.35">
      <c r="A349" s="32" t="str">
        <f t="shared" ref="A349:C349" si="97">A348</f>
        <v>2024 JAN-DEC DISC 75</v>
      </c>
      <c r="B349" s="33">
        <f t="shared" si="97"/>
        <v>46121</v>
      </c>
      <c r="C349" s="33">
        <f t="shared" si="97"/>
        <v>46127</v>
      </c>
      <c r="D349" s="32">
        <v>3321</v>
      </c>
      <c r="E349" s="32">
        <v>337</v>
      </c>
      <c r="F349" s="32">
        <v>4</v>
      </c>
      <c r="G349" s="32">
        <v>1</v>
      </c>
      <c r="H349" s="32">
        <v>81676</v>
      </c>
      <c r="I349" s="32" t="s">
        <v>2689</v>
      </c>
      <c r="J349" s="32">
        <v>24391320</v>
      </c>
      <c r="K349" s="32" t="s">
        <v>3942</v>
      </c>
      <c r="L349" s="38" t="s">
        <v>3943</v>
      </c>
      <c r="M349" s="34">
        <v>119900</v>
      </c>
      <c r="N349" s="35">
        <f t="shared" si="71"/>
        <v>0.75</v>
      </c>
      <c r="O349" s="34">
        <f t="shared" si="82"/>
        <v>35970</v>
      </c>
      <c r="P349" s="32" t="s">
        <v>16</v>
      </c>
    </row>
    <row r="350" spans="1:16" x14ac:dyDescent="0.35">
      <c r="A350" s="32" t="str">
        <f t="shared" ref="A350:C350" si="98">A349</f>
        <v>2024 JAN-DEC DISC 75</v>
      </c>
      <c r="B350" s="33">
        <f t="shared" si="98"/>
        <v>46121</v>
      </c>
      <c r="C350" s="33">
        <f t="shared" si="98"/>
        <v>46127</v>
      </c>
      <c r="D350" s="32">
        <v>3321</v>
      </c>
      <c r="E350" s="32">
        <v>337</v>
      </c>
      <c r="F350" s="32">
        <v>4</v>
      </c>
      <c r="G350" s="32">
        <v>1</v>
      </c>
      <c r="H350" s="32">
        <v>81676</v>
      </c>
      <c r="I350" s="32" t="s">
        <v>2689</v>
      </c>
      <c r="J350" s="32">
        <v>24391642</v>
      </c>
      <c r="K350" s="32" t="s">
        <v>3942</v>
      </c>
      <c r="L350" s="38" t="s">
        <v>3944</v>
      </c>
      <c r="M350" s="34">
        <v>119900</v>
      </c>
      <c r="N350" s="35">
        <f t="shared" si="71"/>
        <v>0.75</v>
      </c>
      <c r="O350" s="34">
        <f t="shared" si="82"/>
        <v>35970</v>
      </c>
      <c r="P350" s="32" t="s">
        <v>16</v>
      </c>
    </row>
    <row r="351" spans="1:16" x14ac:dyDescent="0.35">
      <c r="A351" s="32" t="str">
        <f t="shared" ref="A351:C351" si="99">A350</f>
        <v>2024 JAN-DEC DISC 75</v>
      </c>
      <c r="B351" s="33">
        <f t="shared" si="99"/>
        <v>46121</v>
      </c>
      <c r="C351" s="33">
        <f t="shared" si="99"/>
        <v>46127</v>
      </c>
      <c r="D351" s="32">
        <v>3321</v>
      </c>
      <c r="E351" s="32">
        <v>337</v>
      </c>
      <c r="F351" s="32">
        <v>4</v>
      </c>
      <c r="G351" s="32">
        <v>1</v>
      </c>
      <c r="H351" s="32">
        <v>81676</v>
      </c>
      <c r="I351" s="32" t="s">
        <v>2689</v>
      </c>
      <c r="J351" s="32">
        <v>24391651</v>
      </c>
      <c r="K351" s="32" t="s">
        <v>3942</v>
      </c>
      <c r="L351" s="38" t="s">
        <v>3945</v>
      </c>
      <c r="M351" s="34">
        <v>119900</v>
      </c>
      <c r="N351" s="35">
        <f t="shared" si="71"/>
        <v>0.75</v>
      </c>
      <c r="O351" s="34">
        <f t="shared" si="82"/>
        <v>35970</v>
      </c>
      <c r="P351" s="32" t="s">
        <v>16</v>
      </c>
    </row>
    <row r="352" spans="1:16" x14ac:dyDescent="0.35">
      <c r="A352" s="32" t="str">
        <f t="shared" ref="A352:C352" si="100">A351</f>
        <v>2024 JAN-DEC DISC 75</v>
      </c>
      <c r="B352" s="33">
        <f t="shared" si="100"/>
        <v>46121</v>
      </c>
      <c r="C352" s="33">
        <f t="shared" si="100"/>
        <v>46127</v>
      </c>
      <c r="D352" s="32">
        <v>3321</v>
      </c>
      <c r="E352" s="32">
        <v>337</v>
      </c>
      <c r="F352" s="32">
        <v>4</v>
      </c>
      <c r="G352" s="32">
        <v>1</v>
      </c>
      <c r="H352" s="32">
        <v>81676</v>
      </c>
      <c r="I352" s="32" t="s">
        <v>2689</v>
      </c>
      <c r="J352" s="32">
        <v>24391660</v>
      </c>
      <c r="K352" s="32" t="s">
        <v>3942</v>
      </c>
      <c r="L352" s="38" t="s">
        <v>3946</v>
      </c>
      <c r="M352" s="34">
        <v>119900</v>
      </c>
      <c r="N352" s="35">
        <f t="shared" si="71"/>
        <v>0.75</v>
      </c>
      <c r="O352" s="34">
        <f t="shared" si="82"/>
        <v>35970</v>
      </c>
      <c r="P352" s="32" t="s">
        <v>16</v>
      </c>
    </row>
    <row r="353" spans="1:16" x14ac:dyDescent="0.35">
      <c r="A353" s="32" t="str">
        <f t="shared" ref="A353:C353" si="101">A352</f>
        <v>2024 JAN-DEC DISC 75</v>
      </c>
      <c r="B353" s="33">
        <f t="shared" si="101"/>
        <v>46121</v>
      </c>
      <c r="C353" s="33">
        <f t="shared" si="101"/>
        <v>46127</v>
      </c>
      <c r="D353" s="32">
        <v>3321</v>
      </c>
      <c r="E353" s="32">
        <v>337</v>
      </c>
      <c r="F353" s="32">
        <v>4</v>
      </c>
      <c r="G353" s="32">
        <v>1</v>
      </c>
      <c r="H353" s="32">
        <v>81676</v>
      </c>
      <c r="I353" s="32" t="s">
        <v>2689</v>
      </c>
      <c r="J353" s="32">
        <v>24391875</v>
      </c>
      <c r="K353" s="32" t="s">
        <v>3947</v>
      </c>
      <c r="L353" s="38" t="s">
        <v>3948</v>
      </c>
      <c r="M353" s="34">
        <v>129900</v>
      </c>
      <c r="N353" s="35">
        <f t="shared" si="71"/>
        <v>0.75</v>
      </c>
      <c r="O353" s="34">
        <f t="shared" si="82"/>
        <v>38970</v>
      </c>
      <c r="P353" s="32" t="s">
        <v>16</v>
      </c>
    </row>
    <row r="354" spans="1:16" x14ac:dyDescent="0.35">
      <c r="A354" s="32" t="str">
        <f t="shared" ref="A354:C354" si="102">A353</f>
        <v>2024 JAN-DEC DISC 75</v>
      </c>
      <c r="B354" s="33">
        <f t="shared" si="102"/>
        <v>46121</v>
      </c>
      <c r="C354" s="33">
        <f t="shared" si="102"/>
        <v>46127</v>
      </c>
      <c r="D354" s="32">
        <v>3321</v>
      </c>
      <c r="E354" s="32">
        <v>337</v>
      </c>
      <c r="F354" s="32">
        <v>4</v>
      </c>
      <c r="G354" s="32">
        <v>1</v>
      </c>
      <c r="H354" s="32">
        <v>81676</v>
      </c>
      <c r="I354" s="32" t="s">
        <v>2689</v>
      </c>
      <c r="J354" s="32">
        <v>24392534</v>
      </c>
      <c r="K354" s="32" t="s">
        <v>3947</v>
      </c>
      <c r="L354" s="38" t="s">
        <v>3949</v>
      </c>
      <c r="M354" s="34">
        <v>129900</v>
      </c>
      <c r="N354" s="35">
        <f t="shared" si="71"/>
        <v>0.75</v>
      </c>
      <c r="O354" s="34">
        <f t="shared" si="82"/>
        <v>38970</v>
      </c>
      <c r="P354" s="32" t="s">
        <v>16</v>
      </c>
    </row>
    <row r="355" spans="1:16" x14ac:dyDescent="0.35">
      <c r="A355" s="32" t="str">
        <f t="shared" ref="A355:C355" si="103">A354</f>
        <v>2024 JAN-DEC DISC 75</v>
      </c>
      <c r="B355" s="33">
        <f t="shared" si="103"/>
        <v>46121</v>
      </c>
      <c r="C355" s="33">
        <f t="shared" si="103"/>
        <v>46127</v>
      </c>
      <c r="D355" s="32">
        <v>3321</v>
      </c>
      <c r="E355" s="32">
        <v>337</v>
      </c>
      <c r="F355" s="32">
        <v>4</v>
      </c>
      <c r="G355" s="32">
        <v>1</v>
      </c>
      <c r="H355" s="32">
        <v>81676</v>
      </c>
      <c r="I355" s="32" t="s">
        <v>2689</v>
      </c>
      <c r="J355" s="32">
        <v>24392552</v>
      </c>
      <c r="K355" s="32" t="s">
        <v>3947</v>
      </c>
      <c r="L355" s="38" t="s">
        <v>3950</v>
      </c>
      <c r="M355" s="34">
        <v>129900</v>
      </c>
      <c r="N355" s="35">
        <f t="shared" si="71"/>
        <v>0.75</v>
      </c>
      <c r="O355" s="34">
        <f t="shared" si="82"/>
        <v>38970</v>
      </c>
      <c r="P355" s="32" t="s">
        <v>16</v>
      </c>
    </row>
    <row r="356" spans="1:16" x14ac:dyDescent="0.35">
      <c r="A356" s="32" t="str">
        <f t="shared" ref="A356:C356" si="104">A355</f>
        <v>2024 JAN-DEC DISC 75</v>
      </c>
      <c r="B356" s="33">
        <f t="shared" si="104"/>
        <v>46121</v>
      </c>
      <c r="C356" s="33">
        <f t="shared" si="104"/>
        <v>46127</v>
      </c>
      <c r="D356" s="32">
        <v>3321</v>
      </c>
      <c r="E356" s="32">
        <v>337</v>
      </c>
      <c r="F356" s="32">
        <v>4</v>
      </c>
      <c r="G356" s="32">
        <v>1</v>
      </c>
      <c r="H356" s="32">
        <v>81676</v>
      </c>
      <c r="I356" s="32" t="s">
        <v>2689</v>
      </c>
      <c r="J356" s="32">
        <v>24392543</v>
      </c>
      <c r="K356" s="32" t="s">
        <v>3947</v>
      </c>
      <c r="L356" s="38" t="s">
        <v>3951</v>
      </c>
      <c r="M356" s="34">
        <v>129900</v>
      </c>
      <c r="N356" s="35">
        <f t="shared" si="71"/>
        <v>0.75</v>
      </c>
      <c r="O356" s="34">
        <f t="shared" si="82"/>
        <v>38970</v>
      </c>
      <c r="P356" s="32" t="s">
        <v>16</v>
      </c>
    </row>
    <row r="357" spans="1:16" x14ac:dyDescent="0.35">
      <c r="A357" s="32" t="str">
        <f t="shared" ref="A357:C357" si="105">A356</f>
        <v>2024 JAN-DEC DISC 75</v>
      </c>
      <c r="B357" s="33">
        <f t="shared" si="105"/>
        <v>46121</v>
      </c>
      <c r="C357" s="33">
        <f t="shared" si="105"/>
        <v>46127</v>
      </c>
      <c r="D357" s="32">
        <v>3321</v>
      </c>
      <c r="E357" s="32">
        <v>337</v>
      </c>
      <c r="F357" s="32">
        <v>4</v>
      </c>
      <c r="G357" s="32">
        <v>1</v>
      </c>
      <c r="H357" s="32">
        <v>81421</v>
      </c>
      <c r="I357" s="32" t="s">
        <v>2689</v>
      </c>
      <c r="J357" s="32">
        <v>23114970</v>
      </c>
      <c r="K357" s="32" t="s">
        <v>3952</v>
      </c>
      <c r="L357" s="38" t="s">
        <v>3953</v>
      </c>
      <c r="M357" s="34">
        <v>179900</v>
      </c>
      <c r="N357" s="35">
        <f t="shared" si="71"/>
        <v>0.75</v>
      </c>
      <c r="O357" s="34">
        <f t="shared" si="82"/>
        <v>53970</v>
      </c>
      <c r="P357" s="32" t="s">
        <v>16</v>
      </c>
    </row>
    <row r="358" spans="1:16" x14ac:dyDescent="0.35">
      <c r="A358" s="32" t="str">
        <f t="shared" ref="A358:C358" si="106">A357</f>
        <v>2024 JAN-DEC DISC 75</v>
      </c>
      <c r="B358" s="33">
        <f t="shared" si="106"/>
        <v>46121</v>
      </c>
      <c r="C358" s="33">
        <f t="shared" si="106"/>
        <v>46127</v>
      </c>
      <c r="D358" s="32">
        <v>3321</v>
      </c>
      <c r="E358" s="32">
        <v>337</v>
      </c>
      <c r="F358" s="32">
        <v>4</v>
      </c>
      <c r="G358" s="32">
        <v>1</v>
      </c>
      <c r="H358" s="32">
        <v>81421</v>
      </c>
      <c r="I358" s="32" t="s">
        <v>2689</v>
      </c>
      <c r="J358" s="32">
        <v>23114989</v>
      </c>
      <c r="K358" s="32" t="s">
        <v>3952</v>
      </c>
      <c r="L358" s="38" t="s">
        <v>3954</v>
      </c>
      <c r="M358" s="34">
        <v>179900</v>
      </c>
      <c r="N358" s="35">
        <f t="shared" si="71"/>
        <v>0.75</v>
      </c>
      <c r="O358" s="34">
        <f t="shared" si="82"/>
        <v>53970</v>
      </c>
      <c r="P358" s="32" t="s">
        <v>16</v>
      </c>
    </row>
    <row r="359" spans="1:16" x14ac:dyDescent="0.35">
      <c r="A359" s="32" t="str">
        <f t="shared" ref="A359:C359" si="107">A358</f>
        <v>2024 JAN-DEC DISC 75</v>
      </c>
      <c r="B359" s="33">
        <f t="shared" si="107"/>
        <v>46121</v>
      </c>
      <c r="C359" s="33">
        <f t="shared" si="107"/>
        <v>46127</v>
      </c>
      <c r="D359" s="32">
        <v>3321</v>
      </c>
      <c r="E359" s="32">
        <v>337</v>
      </c>
      <c r="F359" s="32">
        <v>4</v>
      </c>
      <c r="G359" s="32">
        <v>1</v>
      </c>
      <c r="H359" s="32">
        <v>81421</v>
      </c>
      <c r="I359" s="32" t="s">
        <v>2689</v>
      </c>
      <c r="J359" s="32">
        <v>23114998</v>
      </c>
      <c r="K359" s="32" t="s">
        <v>3952</v>
      </c>
      <c r="L359" s="38" t="s">
        <v>3955</v>
      </c>
      <c r="M359" s="34">
        <v>179900</v>
      </c>
      <c r="N359" s="35">
        <f t="shared" si="71"/>
        <v>0.75</v>
      </c>
      <c r="O359" s="34">
        <f t="shared" si="82"/>
        <v>53970</v>
      </c>
      <c r="P359" s="32" t="s">
        <v>16</v>
      </c>
    </row>
    <row r="360" spans="1:16" x14ac:dyDescent="0.35">
      <c r="A360" s="32" t="str">
        <f t="shared" ref="A360:C360" si="108">A359</f>
        <v>2024 JAN-DEC DISC 75</v>
      </c>
      <c r="B360" s="33">
        <f t="shared" si="108"/>
        <v>46121</v>
      </c>
      <c r="C360" s="33">
        <f t="shared" si="108"/>
        <v>46127</v>
      </c>
      <c r="D360" s="32">
        <v>3321</v>
      </c>
      <c r="E360" s="32">
        <v>337</v>
      </c>
      <c r="F360" s="32">
        <v>4</v>
      </c>
      <c r="G360" s="32">
        <v>1</v>
      </c>
      <c r="H360" s="32">
        <v>81421</v>
      </c>
      <c r="I360" s="32" t="s">
        <v>2689</v>
      </c>
      <c r="J360" s="32">
        <v>23115004</v>
      </c>
      <c r="K360" s="32" t="s">
        <v>3952</v>
      </c>
      <c r="L360" s="38" t="s">
        <v>3956</v>
      </c>
      <c r="M360" s="34">
        <v>179900</v>
      </c>
      <c r="N360" s="35">
        <f t="shared" si="71"/>
        <v>0.75</v>
      </c>
      <c r="O360" s="34">
        <f t="shared" si="82"/>
        <v>53970</v>
      </c>
      <c r="P360" s="32" t="s">
        <v>16</v>
      </c>
    </row>
    <row r="361" spans="1:16" x14ac:dyDescent="0.35">
      <c r="A361" s="32" t="str">
        <f t="shared" ref="A361:C361" si="109">A360</f>
        <v>2024 JAN-DEC DISC 75</v>
      </c>
      <c r="B361" s="33">
        <f t="shared" si="109"/>
        <v>46121</v>
      </c>
      <c r="C361" s="33">
        <f t="shared" si="109"/>
        <v>46127</v>
      </c>
      <c r="D361" s="32">
        <v>3321</v>
      </c>
      <c r="E361" s="32">
        <v>337</v>
      </c>
      <c r="F361" s="32">
        <v>4</v>
      </c>
      <c r="G361" s="32">
        <v>1</v>
      </c>
      <c r="H361" s="32">
        <v>81421</v>
      </c>
      <c r="I361" s="32" t="s">
        <v>2689</v>
      </c>
      <c r="J361" s="32">
        <v>23114612</v>
      </c>
      <c r="K361" s="32" t="s">
        <v>3957</v>
      </c>
      <c r="L361" s="38" t="s">
        <v>3958</v>
      </c>
      <c r="M361" s="34">
        <v>179900</v>
      </c>
      <c r="N361" s="35">
        <f t="shared" si="71"/>
        <v>0.75</v>
      </c>
      <c r="O361" s="34">
        <f t="shared" si="82"/>
        <v>53970</v>
      </c>
      <c r="P361" s="32" t="s">
        <v>16</v>
      </c>
    </row>
    <row r="362" spans="1:16" x14ac:dyDescent="0.35">
      <c r="A362" s="32" t="str">
        <f t="shared" ref="A362:C362" si="110">A361</f>
        <v>2024 JAN-DEC DISC 75</v>
      </c>
      <c r="B362" s="33">
        <f t="shared" si="110"/>
        <v>46121</v>
      </c>
      <c r="C362" s="33">
        <f t="shared" si="110"/>
        <v>46127</v>
      </c>
      <c r="D362" s="32">
        <v>3321</v>
      </c>
      <c r="E362" s="32">
        <v>337</v>
      </c>
      <c r="F362" s="32">
        <v>4</v>
      </c>
      <c r="G362" s="32">
        <v>1</v>
      </c>
      <c r="H362" s="32">
        <v>81421</v>
      </c>
      <c r="I362" s="32" t="s">
        <v>2689</v>
      </c>
      <c r="J362" s="32">
        <v>23114765</v>
      </c>
      <c r="K362" s="32" t="s">
        <v>3957</v>
      </c>
      <c r="L362" s="38" t="s">
        <v>3959</v>
      </c>
      <c r="M362" s="34">
        <v>179900</v>
      </c>
      <c r="N362" s="35">
        <f t="shared" si="71"/>
        <v>0.75</v>
      </c>
      <c r="O362" s="34">
        <f t="shared" si="82"/>
        <v>53970</v>
      </c>
      <c r="P362" s="32" t="s">
        <v>16</v>
      </c>
    </row>
    <row r="363" spans="1:16" x14ac:dyDescent="0.35">
      <c r="A363" s="32" t="str">
        <f t="shared" ref="A363:C363" si="111">A362</f>
        <v>2024 JAN-DEC DISC 75</v>
      </c>
      <c r="B363" s="33">
        <f t="shared" si="111"/>
        <v>46121</v>
      </c>
      <c r="C363" s="33">
        <f t="shared" si="111"/>
        <v>46127</v>
      </c>
      <c r="D363" s="32">
        <v>3321</v>
      </c>
      <c r="E363" s="32">
        <v>337</v>
      </c>
      <c r="F363" s="32">
        <v>4</v>
      </c>
      <c r="G363" s="32">
        <v>1</v>
      </c>
      <c r="H363" s="32">
        <v>81421</v>
      </c>
      <c r="I363" s="32" t="s">
        <v>2689</v>
      </c>
      <c r="J363" s="32">
        <v>23114818</v>
      </c>
      <c r="K363" s="32" t="s">
        <v>3957</v>
      </c>
      <c r="L363" s="38" t="s">
        <v>3960</v>
      </c>
      <c r="M363" s="34">
        <v>179900</v>
      </c>
      <c r="N363" s="35">
        <f t="shared" si="71"/>
        <v>0.75</v>
      </c>
      <c r="O363" s="34">
        <f t="shared" si="82"/>
        <v>53970</v>
      </c>
      <c r="P363" s="32" t="s">
        <v>16</v>
      </c>
    </row>
    <row r="364" spans="1:16" x14ac:dyDescent="0.35">
      <c r="A364" s="32" t="str">
        <f t="shared" ref="A364:C364" si="112">A363</f>
        <v>2024 JAN-DEC DISC 75</v>
      </c>
      <c r="B364" s="33">
        <f t="shared" si="112"/>
        <v>46121</v>
      </c>
      <c r="C364" s="33">
        <f t="shared" si="112"/>
        <v>46127</v>
      </c>
      <c r="D364" s="32">
        <v>3321</v>
      </c>
      <c r="E364" s="32">
        <v>337</v>
      </c>
      <c r="F364" s="32">
        <v>4</v>
      </c>
      <c r="G364" s="32">
        <v>1</v>
      </c>
      <c r="H364" s="32">
        <v>81421</v>
      </c>
      <c r="I364" s="32" t="s">
        <v>2689</v>
      </c>
      <c r="J364" s="32">
        <v>23114925</v>
      </c>
      <c r="K364" s="32" t="s">
        <v>3957</v>
      </c>
      <c r="L364" s="38" t="s">
        <v>3961</v>
      </c>
      <c r="M364" s="34">
        <v>179900</v>
      </c>
      <c r="N364" s="35">
        <f t="shared" si="71"/>
        <v>0.75</v>
      </c>
      <c r="O364" s="34">
        <f t="shared" si="82"/>
        <v>53970</v>
      </c>
      <c r="P364" s="32" t="s">
        <v>16</v>
      </c>
    </row>
    <row r="365" spans="1:16" x14ac:dyDescent="0.35">
      <c r="A365" s="32" t="str">
        <f t="shared" ref="A365:C365" si="113">A364</f>
        <v>2024 JAN-DEC DISC 75</v>
      </c>
      <c r="B365" s="33">
        <f t="shared" si="113"/>
        <v>46121</v>
      </c>
      <c r="C365" s="33">
        <f t="shared" si="113"/>
        <v>46127</v>
      </c>
      <c r="D365" s="32">
        <v>3321</v>
      </c>
      <c r="E365" s="32">
        <v>337</v>
      </c>
      <c r="F365" s="32">
        <v>4</v>
      </c>
      <c r="G365" s="32">
        <v>3</v>
      </c>
      <c r="H365" s="32">
        <v>81421</v>
      </c>
      <c r="I365" s="32" t="s">
        <v>2689</v>
      </c>
      <c r="J365" s="32">
        <v>23115013</v>
      </c>
      <c r="K365" s="32" t="s">
        <v>3962</v>
      </c>
      <c r="L365" s="38" t="s">
        <v>3963</v>
      </c>
      <c r="M365" s="34">
        <v>289900</v>
      </c>
      <c r="N365" s="35">
        <f t="shared" si="71"/>
        <v>0.75</v>
      </c>
      <c r="O365" s="34">
        <f t="shared" si="82"/>
        <v>86970</v>
      </c>
      <c r="P365" s="32" t="s">
        <v>16</v>
      </c>
    </row>
    <row r="366" spans="1:16" x14ac:dyDescent="0.35">
      <c r="A366" s="32" t="str">
        <f t="shared" ref="A366:C366" si="114">A365</f>
        <v>2024 JAN-DEC DISC 75</v>
      </c>
      <c r="B366" s="33">
        <f t="shared" si="114"/>
        <v>46121</v>
      </c>
      <c r="C366" s="33">
        <f t="shared" si="114"/>
        <v>46127</v>
      </c>
      <c r="D366" s="32">
        <v>3321</v>
      </c>
      <c r="E366" s="32">
        <v>337</v>
      </c>
      <c r="F366" s="32">
        <v>4</v>
      </c>
      <c r="G366" s="32">
        <v>3</v>
      </c>
      <c r="H366" s="32">
        <v>81421</v>
      </c>
      <c r="I366" s="32" t="s">
        <v>2689</v>
      </c>
      <c r="J366" s="32">
        <v>23115068</v>
      </c>
      <c r="K366" s="32" t="s">
        <v>3962</v>
      </c>
      <c r="L366" s="38" t="s">
        <v>3964</v>
      </c>
      <c r="M366" s="34">
        <v>289900</v>
      </c>
      <c r="N366" s="35">
        <f t="shared" si="71"/>
        <v>0.75</v>
      </c>
      <c r="O366" s="34">
        <f t="shared" si="82"/>
        <v>86970</v>
      </c>
      <c r="P366" s="32" t="s">
        <v>16</v>
      </c>
    </row>
    <row r="367" spans="1:16" x14ac:dyDescent="0.35">
      <c r="A367" s="32" t="str">
        <f t="shared" ref="A367:C367" si="115">A366</f>
        <v>2024 JAN-DEC DISC 75</v>
      </c>
      <c r="B367" s="33">
        <f t="shared" si="115"/>
        <v>46121</v>
      </c>
      <c r="C367" s="33">
        <f t="shared" si="115"/>
        <v>46127</v>
      </c>
      <c r="D367" s="32">
        <v>3321</v>
      </c>
      <c r="E367" s="32">
        <v>337</v>
      </c>
      <c r="F367" s="32">
        <v>4</v>
      </c>
      <c r="G367" s="32">
        <v>3</v>
      </c>
      <c r="H367" s="32">
        <v>81421</v>
      </c>
      <c r="I367" s="32" t="s">
        <v>2689</v>
      </c>
      <c r="J367" s="32">
        <v>25022842</v>
      </c>
      <c r="K367" s="32" t="s">
        <v>3962</v>
      </c>
      <c r="L367" s="38" t="s">
        <v>3965</v>
      </c>
      <c r="M367" s="34">
        <v>289900</v>
      </c>
      <c r="N367" s="35">
        <f t="shared" si="71"/>
        <v>0.75</v>
      </c>
      <c r="O367" s="34">
        <f t="shared" si="82"/>
        <v>86970</v>
      </c>
      <c r="P367" s="32" t="s">
        <v>16</v>
      </c>
    </row>
    <row r="368" spans="1:16" x14ac:dyDescent="0.35">
      <c r="A368" s="32" t="str">
        <f t="shared" ref="A368:C368" si="116">A367</f>
        <v>2024 JAN-DEC DISC 75</v>
      </c>
      <c r="B368" s="33">
        <f t="shared" si="116"/>
        <v>46121</v>
      </c>
      <c r="C368" s="33">
        <f t="shared" si="116"/>
        <v>46127</v>
      </c>
      <c r="D368" s="32">
        <v>3321</v>
      </c>
      <c r="E368" s="32">
        <v>337</v>
      </c>
      <c r="F368" s="32">
        <v>4</v>
      </c>
      <c r="G368" s="32">
        <v>3</v>
      </c>
      <c r="H368" s="32">
        <v>81421</v>
      </c>
      <c r="I368" s="32" t="s">
        <v>2689</v>
      </c>
      <c r="J368" s="32">
        <v>25022851</v>
      </c>
      <c r="K368" s="32" t="s">
        <v>3962</v>
      </c>
      <c r="L368" s="38" t="s">
        <v>3966</v>
      </c>
      <c r="M368" s="34">
        <v>289900</v>
      </c>
      <c r="N368" s="35">
        <f t="shared" si="71"/>
        <v>0.75</v>
      </c>
      <c r="O368" s="34">
        <f t="shared" si="82"/>
        <v>86970</v>
      </c>
      <c r="P368" s="32" t="s">
        <v>16</v>
      </c>
    </row>
    <row r="369" spans="1:16" x14ac:dyDescent="0.35">
      <c r="A369" s="32" t="str">
        <f t="shared" ref="A369:C369" si="117">A368</f>
        <v>2024 JAN-DEC DISC 75</v>
      </c>
      <c r="B369" s="33">
        <f t="shared" si="117"/>
        <v>46121</v>
      </c>
      <c r="C369" s="33">
        <f t="shared" si="117"/>
        <v>46127</v>
      </c>
      <c r="D369" s="32">
        <v>3321</v>
      </c>
      <c r="E369" s="32">
        <v>337</v>
      </c>
      <c r="F369" s="32">
        <v>4</v>
      </c>
      <c r="G369" s="32">
        <v>4</v>
      </c>
      <c r="H369" s="32">
        <v>81421</v>
      </c>
      <c r="I369" s="32" t="s">
        <v>2689</v>
      </c>
      <c r="J369" s="32">
        <v>23115148</v>
      </c>
      <c r="K369" s="32" t="s">
        <v>3967</v>
      </c>
      <c r="L369" s="38" t="s">
        <v>3968</v>
      </c>
      <c r="M369" s="34">
        <v>229900</v>
      </c>
      <c r="N369" s="35">
        <f t="shared" si="71"/>
        <v>0.75</v>
      </c>
      <c r="O369" s="34">
        <f t="shared" si="82"/>
        <v>68970</v>
      </c>
      <c r="P369" s="32" t="s">
        <v>16</v>
      </c>
    </row>
    <row r="370" spans="1:16" x14ac:dyDescent="0.35">
      <c r="A370" s="32" t="str">
        <f t="shared" ref="A370:C370" si="118">A369</f>
        <v>2024 JAN-DEC DISC 75</v>
      </c>
      <c r="B370" s="33">
        <f t="shared" si="118"/>
        <v>46121</v>
      </c>
      <c r="C370" s="33">
        <f t="shared" si="118"/>
        <v>46127</v>
      </c>
      <c r="D370" s="32">
        <v>3321</v>
      </c>
      <c r="E370" s="32">
        <v>337</v>
      </c>
      <c r="F370" s="32">
        <v>4</v>
      </c>
      <c r="G370" s="32">
        <v>4</v>
      </c>
      <c r="H370" s="32">
        <v>81421</v>
      </c>
      <c r="I370" s="32" t="s">
        <v>2689</v>
      </c>
      <c r="J370" s="32">
        <v>23115166</v>
      </c>
      <c r="K370" s="32" t="s">
        <v>3967</v>
      </c>
      <c r="L370" s="38" t="s">
        <v>3969</v>
      </c>
      <c r="M370" s="34">
        <v>229900</v>
      </c>
      <c r="N370" s="35">
        <f t="shared" si="71"/>
        <v>0.75</v>
      </c>
      <c r="O370" s="34">
        <f t="shared" si="82"/>
        <v>68970</v>
      </c>
      <c r="P370" s="32" t="s">
        <v>16</v>
      </c>
    </row>
    <row r="371" spans="1:16" x14ac:dyDescent="0.35">
      <c r="A371" s="32" t="str">
        <f t="shared" ref="A371:C371" si="119">A370</f>
        <v>2024 JAN-DEC DISC 75</v>
      </c>
      <c r="B371" s="33">
        <f t="shared" si="119"/>
        <v>46121</v>
      </c>
      <c r="C371" s="33">
        <f t="shared" si="119"/>
        <v>46127</v>
      </c>
      <c r="D371" s="32">
        <v>3321</v>
      </c>
      <c r="E371" s="32">
        <v>337</v>
      </c>
      <c r="F371" s="32">
        <v>4</v>
      </c>
      <c r="G371" s="32">
        <v>4</v>
      </c>
      <c r="H371" s="32">
        <v>81421</v>
      </c>
      <c r="I371" s="32" t="s">
        <v>2689</v>
      </c>
      <c r="J371" s="32">
        <v>25022888</v>
      </c>
      <c r="K371" s="32" t="s">
        <v>3967</v>
      </c>
      <c r="L371" s="38" t="s">
        <v>3970</v>
      </c>
      <c r="M371" s="34">
        <v>229900</v>
      </c>
      <c r="N371" s="35">
        <f t="shared" si="71"/>
        <v>0.75</v>
      </c>
      <c r="O371" s="34">
        <f t="shared" si="82"/>
        <v>68970</v>
      </c>
      <c r="P371" s="32" t="s">
        <v>16</v>
      </c>
    </row>
    <row r="372" spans="1:16" x14ac:dyDescent="0.35">
      <c r="A372" s="32" t="str">
        <f t="shared" ref="A372:C372" si="120">A371</f>
        <v>2024 JAN-DEC DISC 75</v>
      </c>
      <c r="B372" s="33">
        <f t="shared" si="120"/>
        <v>46121</v>
      </c>
      <c r="C372" s="33">
        <f t="shared" si="120"/>
        <v>46127</v>
      </c>
      <c r="D372" s="32">
        <v>3321</v>
      </c>
      <c r="E372" s="32">
        <v>337</v>
      </c>
      <c r="F372" s="32">
        <v>4</v>
      </c>
      <c r="G372" s="32">
        <v>4</v>
      </c>
      <c r="H372" s="32">
        <v>81421</v>
      </c>
      <c r="I372" s="32" t="s">
        <v>2689</v>
      </c>
      <c r="J372" s="32">
        <v>25022897</v>
      </c>
      <c r="K372" s="32" t="s">
        <v>3967</v>
      </c>
      <c r="L372" s="38" t="s">
        <v>3971</v>
      </c>
      <c r="M372" s="34">
        <v>229900</v>
      </c>
      <c r="N372" s="35">
        <f t="shared" si="71"/>
        <v>0.75</v>
      </c>
      <c r="O372" s="34">
        <f t="shared" si="82"/>
        <v>68970</v>
      </c>
      <c r="P372" s="32" t="s">
        <v>16</v>
      </c>
    </row>
    <row r="373" spans="1:16" x14ac:dyDescent="0.35">
      <c r="A373" s="32" t="str">
        <f t="shared" ref="A373:C373" si="121">A372</f>
        <v>2024 JAN-DEC DISC 75</v>
      </c>
      <c r="B373" s="33">
        <f t="shared" si="121"/>
        <v>46121</v>
      </c>
      <c r="C373" s="33">
        <f t="shared" si="121"/>
        <v>46127</v>
      </c>
      <c r="D373" s="32">
        <v>3321</v>
      </c>
      <c r="E373" s="32">
        <v>337</v>
      </c>
      <c r="F373" s="32">
        <v>4</v>
      </c>
      <c r="G373" s="32">
        <v>5</v>
      </c>
      <c r="H373" s="32">
        <v>81698</v>
      </c>
      <c r="I373" s="32" t="s">
        <v>2689</v>
      </c>
      <c r="J373" s="32">
        <v>23115880</v>
      </c>
      <c r="K373" s="32" t="s">
        <v>3972</v>
      </c>
      <c r="L373" s="38" t="s">
        <v>3973</v>
      </c>
      <c r="M373" s="34">
        <v>299900</v>
      </c>
      <c r="N373" s="35">
        <f t="shared" si="71"/>
        <v>0.75</v>
      </c>
      <c r="O373" s="34">
        <f t="shared" si="82"/>
        <v>89970</v>
      </c>
      <c r="P373" s="32" t="s">
        <v>16</v>
      </c>
    </row>
    <row r="374" spans="1:16" x14ac:dyDescent="0.35">
      <c r="A374" s="32" t="str">
        <f t="shared" ref="A374:C374" si="122">A373</f>
        <v>2024 JAN-DEC DISC 75</v>
      </c>
      <c r="B374" s="33">
        <f t="shared" si="122"/>
        <v>46121</v>
      </c>
      <c r="C374" s="33">
        <f t="shared" si="122"/>
        <v>46127</v>
      </c>
      <c r="D374" s="32">
        <v>3321</v>
      </c>
      <c r="E374" s="32">
        <v>337</v>
      </c>
      <c r="F374" s="32">
        <v>4</v>
      </c>
      <c r="G374" s="32">
        <v>5</v>
      </c>
      <c r="H374" s="32">
        <v>81698</v>
      </c>
      <c r="I374" s="32" t="s">
        <v>2689</v>
      </c>
      <c r="J374" s="32">
        <v>23115899</v>
      </c>
      <c r="K374" s="32" t="s">
        <v>3972</v>
      </c>
      <c r="L374" s="38" t="s">
        <v>3974</v>
      </c>
      <c r="M374" s="34">
        <v>299900</v>
      </c>
      <c r="N374" s="35">
        <f t="shared" si="71"/>
        <v>0.75</v>
      </c>
      <c r="O374" s="34">
        <f t="shared" si="82"/>
        <v>89970</v>
      </c>
      <c r="P374" s="32" t="s">
        <v>16</v>
      </c>
    </row>
    <row r="375" spans="1:16" x14ac:dyDescent="0.35">
      <c r="A375" s="32" t="str">
        <f t="shared" ref="A375:C375" si="123">A374</f>
        <v>2024 JAN-DEC DISC 75</v>
      </c>
      <c r="B375" s="33">
        <f t="shared" si="123"/>
        <v>46121</v>
      </c>
      <c r="C375" s="33">
        <f t="shared" si="123"/>
        <v>46127</v>
      </c>
      <c r="D375" s="32">
        <v>3321</v>
      </c>
      <c r="E375" s="32">
        <v>337</v>
      </c>
      <c r="F375" s="32">
        <v>4</v>
      </c>
      <c r="G375" s="32">
        <v>5</v>
      </c>
      <c r="H375" s="32">
        <v>81698</v>
      </c>
      <c r="I375" s="32" t="s">
        <v>2689</v>
      </c>
      <c r="J375" s="32">
        <v>23116683</v>
      </c>
      <c r="K375" s="32" t="s">
        <v>3972</v>
      </c>
      <c r="L375" s="38" t="s">
        <v>3975</v>
      </c>
      <c r="M375" s="34">
        <v>299900</v>
      </c>
      <c r="N375" s="35">
        <f t="shared" si="71"/>
        <v>0.75</v>
      </c>
      <c r="O375" s="34">
        <f t="shared" si="82"/>
        <v>89970</v>
      </c>
      <c r="P375" s="32" t="s">
        <v>16</v>
      </c>
    </row>
    <row r="376" spans="1:16" x14ac:dyDescent="0.35">
      <c r="A376" s="32" t="str">
        <f t="shared" ref="A376:C376" si="124">A375</f>
        <v>2024 JAN-DEC DISC 75</v>
      </c>
      <c r="B376" s="33">
        <f t="shared" si="124"/>
        <v>46121</v>
      </c>
      <c r="C376" s="33">
        <f t="shared" si="124"/>
        <v>46127</v>
      </c>
      <c r="D376" s="32">
        <v>3321</v>
      </c>
      <c r="E376" s="32">
        <v>337</v>
      </c>
      <c r="F376" s="32">
        <v>4</v>
      </c>
      <c r="G376" s="32">
        <v>5</v>
      </c>
      <c r="H376" s="32">
        <v>81698</v>
      </c>
      <c r="I376" s="32" t="s">
        <v>2689</v>
      </c>
      <c r="J376" s="32">
        <v>23116754</v>
      </c>
      <c r="K376" s="32" t="s">
        <v>3972</v>
      </c>
      <c r="L376" s="38" t="s">
        <v>3976</v>
      </c>
      <c r="M376" s="34">
        <v>299900</v>
      </c>
      <c r="N376" s="35">
        <f t="shared" si="71"/>
        <v>0.75</v>
      </c>
      <c r="O376" s="34">
        <f t="shared" si="82"/>
        <v>89970</v>
      </c>
      <c r="P376" s="32" t="s">
        <v>16</v>
      </c>
    </row>
    <row r="377" spans="1:16" x14ac:dyDescent="0.35">
      <c r="A377" s="32" t="str">
        <f t="shared" ref="A377:C377" si="125">A376</f>
        <v>2024 JAN-DEC DISC 75</v>
      </c>
      <c r="B377" s="33">
        <f t="shared" si="125"/>
        <v>46121</v>
      </c>
      <c r="C377" s="33">
        <f t="shared" si="125"/>
        <v>46127</v>
      </c>
      <c r="D377" s="32">
        <v>3321</v>
      </c>
      <c r="E377" s="32">
        <v>337</v>
      </c>
      <c r="F377" s="32">
        <v>4</v>
      </c>
      <c r="G377" s="32">
        <v>1</v>
      </c>
      <c r="H377" s="32">
        <v>81462</v>
      </c>
      <c r="I377" s="32" t="s">
        <v>2689</v>
      </c>
      <c r="J377" s="32">
        <v>26741886</v>
      </c>
      <c r="K377" s="32" t="s">
        <v>4087</v>
      </c>
      <c r="L377" s="38" t="s">
        <v>4088</v>
      </c>
      <c r="M377" s="34">
        <v>139900</v>
      </c>
      <c r="N377" s="35">
        <f t="shared" si="71"/>
        <v>0.75</v>
      </c>
      <c r="O377" s="34">
        <f t="shared" si="82"/>
        <v>41970</v>
      </c>
      <c r="P377" s="32" t="s">
        <v>16</v>
      </c>
    </row>
    <row r="378" spans="1:16" x14ac:dyDescent="0.35">
      <c r="A378" s="32" t="str">
        <f t="shared" ref="A378:C378" si="126">A377</f>
        <v>2024 JAN-DEC DISC 75</v>
      </c>
      <c r="B378" s="33">
        <f t="shared" si="126"/>
        <v>46121</v>
      </c>
      <c r="C378" s="33">
        <f t="shared" si="126"/>
        <v>46127</v>
      </c>
      <c r="D378" s="32">
        <v>3321</v>
      </c>
      <c r="E378" s="32">
        <v>337</v>
      </c>
      <c r="F378" s="32">
        <v>4</v>
      </c>
      <c r="G378" s="32">
        <v>1</v>
      </c>
      <c r="H378" s="32">
        <v>81462</v>
      </c>
      <c r="I378" s="32" t="s">
        <v>2689</v>
      </c>
      <c r="J378" s="32">
        <v>26741895</v>
      </c>
      <c r="K378" s="32" t="s">
        <v>4087</v>
      </c>
      <c r="L378" s="38" t="s">
        <v>4089</v>
      </c>
      <c r="M378" s="34">
        <v>139900</v>
      </c>
      <c r="N378" s="35">
        <f t="shared" si="71"/>
        <v>0.75</v>
      </c>
      <c r="O378" s="34">
        <f t="shared" si="82"/>
        <v>41970</v>
      </c>
      <c r="P378" s="32" t="s">
        <v>16</v>
      </c>
    </row>
    <row r="379" spans="1:16" x14ac:dyDescent="0.35">
      <c r="A379" s="32" t="str">
        <f t="shared" ref="A379:C379" si="127">A378</f>
        <v>2024 JAN-DEC DISC 75</v>
      </c>
      <c r="B379" s="33">
        <f t="shared" si="127"/>
        <v>46121</v>
      </c>
      <c r="C379" s="33">
        <f t="shared" si="127"/>
        <v>46127</v>
      </c>
      <c r="D379" s="32">
        <v>3321</v>
      </c>
      <c r="E379" s="32">
        <v>337</v>
      </c>
      <c r="F379" s="32">
        <v>4</v>
      </c>
      <c r="G379" s="32">
        <v>1</v>
      </c>
      <c r="H379" s="32">
        <v>81462</v>
      </c>
      <c r="I379" s="32" t="s">
        <v>2689</v>
      </c>
      <c r="J379" s="32">
        <v>26741902</v>
      </c>
      <c r="K379" s="32" t="s">
        <v>4087</v>
      </c>
      <c r="L379" s="38" t="s">
        <v>4090</v>
      </c>
      <c r="M379" s="34">
        <v>139900</v>
      </c>
      <c r="N379" s="35">
        <f t="shared" si="71"/>
        <v>0.75</v>
      </c>
      <c r="O379" s="34">
        <f t="shared" si="82"/>
        <v>41970</v>
      </c>
      <c r="P379" s="32" t="s">
        <v>16</v>
      </c>
    </row>
    <row r="380" spans="1:16" x14ac:dyDescent="0.35">
      <c r="A380" s="32" t="str">
        <f t="shared" ref="A380:C380" si="128">A379</f>
        <v>2024 JAN-DEC DISC 75</v>
      </c>
      <c r="B380" s="33">
        <f t="shared" si="128"/>
        <v>46121</v>
      </c>
      <c r="C380" s="33">
        <f t="shared" si="128"/>
        <v>46127</v>
      </c>
      <c r="D380" s="32">
        <v>3321</v>
      </c>
      <c r="E380" s="32">
        <v>337</v>
      </c>
      <c r="F380" s="32">
        <v>4</v>
      </c>
      <c r="G380" s="32">
        <v>1</v>
      </c>
      <c r="H380" s="32">
        <v>81462</v>
      </c>
      <c r="I380" s="32" t="s">
        <v>2689</v>
      </c>
      <c r="J380" s="32">
        <v>26741911</v>
      </c>
      <c r="K380" s="32" t="s">
        <v>4087</v>
      </c>
      <c r="L380" s="38" t="s">
        <v>4091</v>
      </c>
      <c r="M380" s="34">
        <v>139900</v>
      </c>
      <c r="N380" s="35">
        <f t="shared" si="71"/>
        <v>0.75</v>
      </c>
      <c r="O380" s="34">
        <f t="shared" si="82"/>
        <v>41970</v>
      </c>
      <c r="P380" s="32" t="s">
        <v>16</v>
      </c>
    </row>
    <row r="381" spans="1:16" x14ac:dyDescent="0.35">
      <c r="A381" s="32" t="str">
        <f t="shared" ref="A381:C381" si="129">A380</f>
        <v>2024 JAN-DEC DISC 75</v>
      </c>
      <c r="B381" s="33">
        <f t="shared" si="129"/>
        <v>46121</v>
      </c>
      <c r="C381" s="33">
        <f t="shared" si="129"/>
        <v>46127</v>
      </c>
      <c r="D381" s="32">
        <v>3321</v>
      </c>
      <c r="E381" s="32">
        <v>337</v>
      </c>
      <c r="F381" s="32">
        <v>4</v>
      </c>
      <c r="G381" s="32">
        <v>3</v>
      </c>
      <c r="H381" s="32">
        <v>81005</v>
      </c>
      <c r="I381" s="32" t="s">
        <v>2689</v>
      </c>
      <c r="J381" s="32">
        <v>26741760</v>
      </c>
      <c r="K381" s="32" t="s">
        <v>4092</v>
      </c>
      <c r="L381" s="38" t="s">
        <v>4093</v>
      </c>
      <c r="M381" s="34">
        <v>219900</v>
      </c>
      <c r="N381" s="35">
        <f t="shared" si="71"/>
        <v>0.75</v>
      </c>
      <c r="O381" s="34">
        <f t="shared" si="82"/>
        <v>65970</v>
      </c>
      <c r="P381" s="32" t="s">
        <v>16</v>
      </c>
    </row>
    <row r="382" spans="1:16" x14ac:dyDescent="0.35">
      <c r="A382" s="32" t="str">
        <f t="shared" ref="A382:C382" si="130">A381</f>
        <v>2024 JAN-DEC DISC 75</v>
      </c>
      <c r="B382" s="33">
        <f t="shared" si="130"/>
        <v>46121</v>
      </c>
      <c r="C382" s="33">
        <f t="shared" si="130"/>
        <v>46127</v>
      </c>
      <c r="D382" s="32">
        <v>3321</v>
      </c>
      <c r="E382" s="32">
        <v>337</v>
      </c>
      <c r="F382" s="32">
        <v>4</v>
      </c>
      <c r="G382" s="32">
        <v>3</v>
      </c>
      <c r="H382" s="32">
        <v>81005</v>
      </c>
      <c r="I382" s="32" t="s">
        <v>2689</v>
      </c>
      <c r="J382" s="32">
        <v>26741779</v>
      </c>
      <c r="K382" s="32" t="s">
        <v>4092</v>
      </c>
      <c r="L382" s="38" t="s">
        <v>4094</v>
      </c>
      <c r="M382" s="34">
        <v>219900</v>
      </c>
      <c r="N382" s="35">
        <f t="shared" si="71"/>
        <v>0.75</v>
      </c>
      <c r="O382" s="34">
        <f t="shared" si="82"/>
        <v>65970</v>
      </c>
      <c r="P382" s="32" t="s">
        <v>16</v>
      </c>
    </row>
    <row r="383" spans="1:16" x14ac:dyDescent="0.35">
      <c r="A383" s="32" t="str">
        <f t="shared" ref="A383:C383" si="131">A382</f>
        <v>2024 JAN-DEC DISC 75</v>
      </c>
      <c r="B383" s="33">
        <f t="shared" si="131"/>
        <v>46121</v>
      </c>
      <c r="C383" s="33">
        <f t="shared" si="131"/>
        <v>46127</v>
      </c>
      <c r="D383" s="32">
        <v>3321</v>
      </c>
      <c r="E383" s="32">
        <v>337</v>
      </c>
      <c r="F383" s="32">
        <v>4</v>
      </c>
      <c r="G383" s="32">
        <v>3</v>
      </c>
      <c r="H383" s="32">
        <v>81005</v>
      </c>
      <c r="I383" s="32" t="s">
        <v>2689</v>
      </c>
      <c r="J383" s="32">
        <v>26741788</v>
      </c>
      <c r="K383" s="32" t="s">
        <v>4092</v>
      </c>
      <c r="L383" s="38" t="s">
        <v>4095</v>
      </c>
      <c r="M383" s="34">
        <v>219900</v>
      </c>
      <c r="N383" s="35">
        <f t="shared" si="71"/>
        <v>0.75</v>
      </c>
      <c r="O383" s="34">
        <f t="shared" si="82"/>
        <v>65970</v>
      </c>
      <c r="P383" s="32" t="s">
        <v>16</v>
      </c>
    </row>
    <row r="384" spans="1:16" x14ac:dyDescent="0.35">
      <c r="A384" s="32" t="str">
        <f t="shared" ref="A384:C384" si="132">A383</f>
        <v>2024 JAN-DEC DISC 75</v>
      </c>
      <c r="B384" s="33">
        <f t="shared" si="132"/>
        <v>46121</v>
      </c>
      <c r="C384" s="33">
        <f t="shared" si="132"/>
        <v>46127</v>
      </c>
      <c r="D384" s="32">
        <v>3321</v>
      </c>
      <c r="E384" s="32">
        <v>337</v>
      </c>
      <c r="F384" s="32">
        <v>4</v>
      </c>
      <c r="G384" s="32">
        <v>3</v>
      </c>
      <c r="H384" s="32">
        <v>81005</v>
      </c>
      <c r="I384" s="32" t="s">
        <v>2689</v>
      </c>
      <c r="J384" s="32">
        <v>26741751</v>
      </c>
      <c r="K384" s="32" t="s">
        <v>4092</v>
      </c>
      <c r="L384" s="38" t="s">
        <v>4096</v>
      </c>
      <c r="M384" s="34">
        <v>219900</v>
      </c>
      <c r="N384" s="35">
        <f t="shared" si="71"/>
        <v>0.75</v>
      </c>
      <c r="O384" s="34">
        <f t="shared" si="82"/>
        <v>65970</v>
      </c>
      <c r="P384" s="32" t="s">
        <v>16</v>
      </c>
    </row>
    <row r="385" spans="1:16" x14ac:dyDescent="0.35">
      <c r="A385" s="32" t="str">
        <f t="shared" ref="A385:C385" si="133">A384</f>
        <v>2024 JAN-DEC DISC 75</v>
      </c>
      <c r="B385" s="33">
        <f t="shared" si="133"/>
        <v>46121</v>
      </c>
      <c r="C385" s="33">
        <f t="shared" si="133"/>
        <v>46127</v>
      </c>
      <c r="D385" s="32">
        <v>3321</v>
      </c>
      <c r="E385" s="32">
        <v>337</v>
      </c>
      <c r="F385" s="32">
        <v>4</v>
      </c>
      <c r="G385" s="32">
        <v>3</v>
      </c>
      <c r="H385" s="32">
        <v>81005</v>
      </c>
      <c r="I385" s="32" t="s">
        <v>2689</v>
      </c>
      <c r="J385" s="32">
        <v>26741797</v>
      </c>
      <c r="K385" s="32" t="s">
        <v>4092</v>
      </c>
      <c r="L385" s="38" t="s">
        <v>4097</v>
      </c>
      <c r="M385" s="34">
        <v>219900</v>
      </c>
      <c r="N385" s="35">
        <f t="shared" si="71"/>
        <v>0.75</v>
      </c>
      <c r="O385" s="34">
        <f t="shared" si="82"/>
        <v>65970</v>
      </c>
      <c r="P385" s="32" t="s">
        <v>16</v>
      </c>
    </row>
    <row r="386" spans="1:16" x14ac:dyDescent="0.35">
      <c r="A386" s="32" t="str">
        <f t="shared" ref="A386:C386" si="134">A385</f>
        <v>2024 JAN-DEC DISC 75</v>
      </c>
      <c r="B386" s="33">
        <f t="shared" si="134"/>
        <v>46121</v>
      </c>
      <c r="C386" s="33">
        <f t="shared" si="134"/>
        <v>46127</v>
      </c>
      <c r="D386" s="32">
        <v>3321</v>
      </c>
      <c r="E386" s="32">
        <v>337</v>
      </c>
      <c r="F386" s="32">
        <v>4</v>
      </c>
      <c r="G386" s="32">
        <v>5</v>
      </c>
      <c r="H386" s="32">
        <v>81421</v>
      </c>
      <c r="I386" s="32" t="s">
        <v>2689</v>
      </c>
      <c r="J386" s="32">
        <v>24392650</v>
      </c>
      <c r="K386" s="32" t="s">
        <v>4098</v>
      </c>
      <c r="L386" s="38" t="s">
        <v>4099</v>
      </c>
      <c r="M386" s="34">
        <v>299900</v>
      </c>
      <c r="N386" s="35">
        <f t="shared" si="71"/>
        <v>0.75</v>
      </c>
      <c r="O386" s="34">
        <f t="shared" si="82"/>
        <v>89970</v>
      </c>
      <c r="P386" s="32" t="s">
        <v>16</v>
      </c>
    </row>
    <row r="387" spans="1:16" x14ac:dyDescent="0.35">
      <c r="A387" s="32" t="str">
        <f t="shared" ref="A387:C387" si="135">A386</f>
        <v>2024 JAN-DEC DISC 75</v>
      </c>
      <c r="B387" s="33">
        <f t="shared" si="135"/>
        <v>46121</v>
      </c>
      <c r="C387" s="33">
        <f t="shared" si="135"/>
        <v>46127</v>
      </c>
      <c r="D387" s="32">
        <v>3321</v>
      </c>
      <c r="E387" s="32">
        <v>337</v>
      </c>
      <c r="F387" s="32">
        <v>4</v>
      </c>
      <c r="G387" s="32">
        <v>5</v>
      </c>
      <c r="H387" s="32">
        <v>81421</v>
      </c>
      <c r="I387" s="32" t="s">
        <v>2689</v>
      </c>
      <c r="J387" s="32">
        <v>24392669</v>
      </c>
      <c r="K387" s="32" t="s">
        <v>4098</v>
      </c>
      <c r="L387" s="38" t="s">
        <v>4100</v>
      </c>
      <c r="M387" s="34">
        <v>299900</v>
      </c>
      <c r="N387" s="35">
        <f t="shared" si="71"/>
        <v>0.75</v>
      </c>
      <c r="O387" s="34">
        <f t="shared" si="82"/>
        <v>89970</v>
      </c>
      <c r="P387" s="32" t="s">
        <v>16</v>
      </c>
    </row>
    <row r="388" spans="1:16" x14ac:dyDescent="0.35">
      <c r="A388" s="32" t="str">
        <f t="shared" ref="A388:C388" si="136">A387</f>
        <v>2024 JAN-DEC DISC 75</v>
      </c>
      <c r="B388" s="33">
        <f t="shared" si="136"/>
        <v>46121</v>
      </c>
      <c r="C388" s="33">
        <f t="shared" si="136"/>
        <v>46127</v>
      </c>
      <c r="D388" s="32">
        <v>3321</v>
      </c>
      <c r="E388" s="32">
        <v>337</v>
      </c>
      <c r="F388" s="32">
        <v>4</v>
      </c>
      <c r="G388" s="32">
        <v>5</v>
      </c>
      <c r="H388" s="32">
        <v>81421</v>
      </c>
      <c r="I388" s="32" t="s">
        <v>2689</v>
      </c>
      <c r="J388" s="32">
        <v>24392687</v>
      </c>
      <c r="K388" s="32" t="s">
        <v>4098</v>
      </c>
      <c r="L388" s="38" t="s">
        <v>4101</v>
      </c>
      <c r="M388" s="34">
        <v>299900</v>
      </c>
      <c r="N388" s="35">
        <f t="shared" ref="N388:N451" si="137">N387</f>
        <v>0.75</v>
      </c>
      <c r="O388" s="34">
        <f t="shared" si="82"/>
        <v>89970</v>
      </c>
      <c r="P388" s="32" t="s">
        <v>16</v>
      </c>
    </row>
    <row r="389" spans="1:16" x14ac:dyDescent="0.35">
      <c r="A389" s="32" t="str">
        <f t="shared" ref="A389:C389" si="138">A388</f>
        <v>2024 JAN-DEC DISC 75</v>
      </c>
      <c r="B389" s="33">
        <f t="shared" si="138"/>
        <v>46121</v>
      </c>
      <c r="C389" s="33">
        <f t="shared" si="138"/>
        <v>46127</v>
      </c>
      <c r="D389" s="32">
        <v>3321</v>
      </c>
      <c r="E389" s="32">
        <v>337</v>
      </c>
      <c r="F389" s="32">
        <v>4</v>
      </c>
      <c r="G389" s="32">
        <v>5</v>
      </c>
      <c r="H389" s="32">
        <v>81421</v>
      </c>
      <c r="I389" s="32" t="s">
        <v>2689</v>
      </c>
      <c r="J389" s="32">
        <v>24392678</v>
      </c>
      <c r="K389" s="32" t="s">
        <v>4098</v>
      </c>
      <c r="L389" s="38" t="s">
        <v>4102</v>
      </c>
      <c r="M389" s="34">
        <v>299900</v>
      </c>
      <c r="N389" s="35">
        <f t="shared" si="137"/>
        <v>0.75</v>
      </c>
      <c r="O389" s="34">
        <f t="shared" si="82"/>
        <v>89970</v>
      </c>
      <c r="P389" s="32" t="s">
        <v>16</v>
      </c>
    </row>
    <row r="390" spans="1:16" x14ac:dyDescent="0.35">
      <c r="A390" s="32" t="str">
        <f t="shared" ref="A390:C390" si="139">A389</f>
        <v>2024 JAN-DEC DISC 75</v>
      </c>
      <c r="B390" s="33">
        <f t="shared" si="139"/>
        <v>46121</v>
      </c>
      <c r="C390" s="33">
        <f t="shared" si="139"/>
        <v>46127</v>
      </c>
      <c r="D390" s="32">
        <v>3321</v>
      </c>
      <c r="E390" s="32">
        <v>337</v>
      </c>
      <c r="F390" s="32">
        <v>4</v>
      </c>
      <c r="G390" s="32">
        <v>4</v>
      </c>
      <c r="H390" s="32">
        <v>81421</v>
      </c>
      <c r="I390" s="32" t="s">
        <v>2689</v>
      </c>
      <c r="J390" s="32">
        <v>23115111</v>
      </c>
      <c r="K390" s="32" t="s">
        <v>4103</v>
      </c>
      <c r="L390" s="38" t="s">
        <v>4104</v>
      </c>
      <c r="M390" s="34">
        <v>229900</v>
      </c>
      <c r="N390" s="35">
        <f t="shared" si="137"/>
        <v>0.75</v>
      </c>
      <c r="O390" s="34">
        <f t="shared" si="82"/>
        <v>68970</v>
      </c>
      <c r="P390" s="32" t="s">
        <v>16</v>
      </c>
    </row>
    <row r="391" spans="1:16" x14ac:dyDescent="0.35">
      <c r="A391" s="32" t="str">
        <f t="shared" ref="A391:C391" si="140">A390</f>
        <v>2024 JAN-DEC DISC 75</v>
      </c>
      <c r="B391" s="33">
        <f t="shared" si="140"/>
        <v>46121</v>
      </c>
      <c r="C391" s="33">
        <f t="shared" si="140"/>
        <v>46127</v>
      </c>
      <c r="D391" s="32">
        <v>3321</v>
      </c>
      <c r="E391" s="32">
        <v>337</v>
      </c>
      <c r="F391" s="32">
        <v>4</v>
      </c>
      <c r="G391" s="32">
        <v>4</v>
      </c>
      <c r="H391" s="32">
        <v>81421</v>
      </c>
      <c r="I391" s="32" t="s">
        <v>2689</v>
      </c>
      <c r="J391" s="32">
        <v>23115102</v>
      </c>
      <c r="K391" s="32" t="s">
        <v>4103</v>
      </c>
      <c r="L391" s="38" t="s">
        <v>4105</v>
      </c>
      <c r="M391" s="34">
        <v>229900</v>
      </c>
      <c r="N391" s="35">
        <f t="shared" si="137"/>
        <v>0.75</v>
      </c>
      <c r="O391" s="34">
        <f t="shared" si="82"/>
        <v>68970</v>
      </c>
      <c r="P391" s="32" t="s">
        <v>16</v>
      </c>
    </row>
    <row r="392" spans="1:16" x14ac:dyDescent="0.35">
      <c r="A392" s="32" t="str">
        <f t="shared" ref="A392:C392" si="141">A391</f>
        <v>2024 JAN-DEC DISC 75</v>
      </c>
      <c r="B392" s="33">
        <f t="shared" si="141"/>
        <v>46121</v>
      </c>
      <c r="C392" s="33">
        <f t="shared" si="141"/>
        <v>46127</v>
      </c>
      <c r="D392" s="32">
        <v>3321</v>
      </c>
      <c r="E392" s="32">
        <v>337</v>
      </c>
      <c r="F392" s="32">
        <v>4</v>
      </c>
      <c r="G392" s="32">
        <v>4</v>
      </c>
      <c r="H392" s="32">
        <v>81421</v>
      </c>
      <c r="I392" s="32" t="s">
        <v>2689</v>
      </c>
      <c r="J392" s="32">
        <v>25022860</v>
      </c>
      <c r="K392" s="32" t="s">
        <v>4103</v>
      </c>
      <c r="L392" s="38" t="s">
        <v>4106</v>
      </c>
      <c r="M392" s="34">
        <v>229900</v>
      </c>
      <c r="N392" s="35">
        <f t="shared" si="137"/>
        <v>0.75</v>
      </c>
      <c r="O392" s="34">
        <f t="shared" si="82"/>
        <v>68970</v>
      </c>
      <c r="P392" s="32" t="s">
        <v>16</v>
      </c>
    </row>
    <row r="393" spans="1:16" x14ac:dyDescent="0.35">
      <c r="A393" s="32" t="str">
        <f t="shared" ref="A393:C393" si="142">A392</f>
        <v>2024 JAN-DEC DISC 75</v>
      </c>
      <c r="B393" s="33">
        <f t="shared" si="142"/>
        <v>46121</v>
      </c>
      <c r="C393" s="33">
        <f t="shared" si="142"/>
        <v>46127</v>
      </c>
      <c r="D393" s="32">
        <v>3321</v>
      </c>
      <c r="E393" s="32">
        <v>337</v>
      </c>
      <c r="F393" s="32">
        <v>4</v>
      </c>
      <c r="G393" s="32">
        <v>4</v>
      </c>
      <c r="H393" s="32">
        <v>81421</v>
      </c>
      <c r="I393" s="32" t="s">
        <v>2689</v>
      </c>
      <c r="J393" s="32">
        <v>25022879</v>
      </c>
      <c r="K393" s="32" t="s">
        <v>4103</v>
      </c>
      <c r="L393" s="38" t="s">
        <v>4107</v>
      </c>
      <c r="M393" s="34">
        <v>229900</v>
      </c>
      <c r="N393" s="35">
        <f t="shared" si="137"/>
        <v>0.75</v>
      </c>
      <c r="O393" s="34">
        <f t="shared" si="82"/>
        <v>68970</v>
      </c>
      <c r="P393" s="32" t="s">
        <v>16</v>
      </c>
    </row>
    <row r="394" spans="1:16" x14ac:dyDescent="0.35">
      <c r="A394" s="32" t="str">
        <f t="shared" ref="A394:C394" si="143">A393</f>
        <v>2024 JAN-DEC DISC 75</v>
      </c>
      <c r="B394" s="33">
        <f t="shared" si="143"/>
        <v>46121</v>
      </c>
      <c r="C394" s="33">
        <f t="shared" si="143"/>
        <v>46127</v>
      </c>
      <c r="D394" s="32">
        <v>3321</v>
      </c>
      <c r="E394" s="32">
        <v>337</v>
      </c>
      <c r="F394" s="32">
        <v>4</v>
      </c>
      <c r="G394" s="32">
        <v>5</v>
      </c>
      <c r="H394" s="32">
        <v>81421</v>
      </c>
      <c r="I394" s="32" t="s">
        <v>2689</v>
      </c>
      <c r="J394" s="32">
        <v>23117717</v>
      </c>
      <c r="K394" s="32" t="s">
        <v>4108</v>
      </c>
      <c r="L394" s="38" t="s">
        <v>4109</v>
      </c>
      <c r="M394" s="34">
        <v>259900</v>
      </c>
      <c r="N394" s="35">
        <f t="shared" si="137"/>
        <v>0.75</v>
      </c>
      <c r="O394" s="34">
        <f t="shared" si="82"/>
        <v>77970</v>
      </c>
      <c r="P394" s="32" t="s">
        <v>16</v>
      </c>
    </row>
    <row r="395" spans="1:16" x14ac:dyDescent="0.35">
      <c r="A395" s="32" t="str">
        <f t="shared" ref="A395:C395" si="144">A394</f>
        <v>2024 JAN-DEC DISC 75</v>
      </c>
      <c r="B395" s="33">
        <f t="shared" si="144"/>
        <v>46121</v>
      </c>
      <c r="C395" s="33">
        <f t="shared" si="144"/>
        <v>46127</v>
      </c>
      <c r="D395" s="32">
        <v>3321</v>
      </c>
      <c r="E395" s="32">
        <v>337</v>
      </c>
      <c r="F395" s="32">
        <v>4</v>
      </c>
      <c r="G395" s="32">
        <v>5</v>
      </c>
      <c r="H395" s="32">
        <v>81421</v>
      </c>
      <c r="I395" s="32" t="s">
        <v>2689</v>
      </c>
      <c r="J395" s="32">
        <v>23117824</v>
      </c>
      <c r="K395" s="32" t="s">
        <v>4108</v>
      </c>
      <c r="L395" s="38" t="s">
        <v>4110</v>
      </c>
      <c r="M395" s="34">
        <v>259900</v>
      </c>
      <c r="N395" s="35">
        <f t="shared" si="137"/>
        <v>0.75</v>
      </c>
      <c r="O395" s="34">
        <f t="shared" si="82"/>
        <v>77970</v>
      </c>
      <c r="P395" s="32" t="s">
        <v>16</v>
      </c>
    </row>
    <row r="396" spans="1:16" x14ac:dyDescent="0.35">
      <c r="A396" s="32" t="str">
        <f t="shared" ref="A396:C396" si="145">A395</f>
        <v>2024 JAN-DEC DISC 75</v>
      </c>
      <c r="B396" s="33">
        <f t="shared" si="145"/>
        <v>46121</v>
      </c>
      <c r="C396" s="33">
        <f t="shared" si="145"/>
        <v>46127</v>
      </c>
      <c r="D396" s="32">
        <v>3321</v>
      </c>
      <c r="E396" s="32">
        <v>337</v>
      </c>
      <c r="F396" s="32">
        <v>4</v>
      </c>
      <c r="G396" s="32">
        <v>5</v>
      </c>
      <c r="H396" s="32">
        <v>81421</v>
      </c>
      <c r="I396" s="32" t="s">
        <v>2689</v>
      </c>
      <c r="J396" s="32">
        <v>23117842</v>
      </c>
      <c r="K396" s="32" t="s">
        <v>4108</v>
      </c>
      <c r="L396" s="38" t="s">
        <v>4111</v>
      </c>
      <c r="M396" s="34">
        <v>259900</v>
      </c>
      <c r="N396" s="35">
        <f t="shared" si="137"/>
        <v>0.75</v>
      </c>
      <c r="O396" s="34">
        <f t="shared" si="82"/>
        <v>77970</v>
      </c>
      <c r="P396" s="32" t="s">
        <v>16</v>
      </c>
    </row>
    <row r="397" spans="1:16" x14ac:dyDescent="0.35">
      <c r="A397" s="32" t="str">
        <f t="shared" ref="A397:C397" si="146">A396</f>
        <v>2024 JAN-DEC DISC 75</v>
      </c>
      <c r="B397" s="33">
        <f t="shared" si="146"/>
        <v>46121</v>
      </c>
      <c r="C397" s="33">
        <f t="shared" si="146"/>
        <v>46127</v>
      </c>
      <c r="D397" s="32">
        <v>3321</v>
      </c>
      <c r="E397" s="32">
        <v>337</v>
      </c>
      <c r="F397" s="32">
        <v>4</v>
      </c>
      <c r="G397" s="32">
        <v>5</v>
      </c>
      <c r="H397" s="32">
        <v>81421</v>
      </c>
      <c r="I397" s="32" t="s">
        <v>2689</v>
      </c>
      <c r="J397" s="32">
        <v>23117833</v>
      </c>
      <c r="K397" s="32" t="s">
        <v>4108</v>
      </c>
      <c r="L397" s="38" t="s">
        <v>4112</v>
      </c>
      <c r="M397" s="34">
        <v>259900</v>
      </c>
      <c r="N397" s="35">
        <f t="shared" si="137"/>
        <v>0.75</v>
      </c>
      <c r="O397" s="34">
        <f t="shared" si="82"/>
        <v>77970</v>
      </c>
      <c r="P397" s="32" t="s">
        <v>16</v>
      </c>
    </row>
    <row r="398" spans="1:16" x14ac:dyDescent="0.35">
      <c r="A398" s="32" t="str">
        <f t="shared" ref="A398:C398" si="147">A397</f>
        <v>2024 JAN-DEC DISC 75</v>
      </c>
      <c r="B398" s="33">
        <f t="shared" si="147"/>
        <v>46121</v>
      </c>
      <c r="C398" s="33">
        <f t="shared" si="147"/>
        <v>46127</v>
      </c>
      <c r="D398" s="32">
        <v>3321</v>
      </c>
      <c r="E398" s="32">
        <v>337</v>
      </c>
      <c r="F398" s="32">
        <v>4</v>
      </c>
      <c r="G398" s="32">
        <v>1</v>
      </c>
      <c r="H398" s="32">
        <v>81676</v>
      </c>
      <c r="I398" s="32" t="s">
        <v>2689</v>
      </c>
      <c r="J398" s="32">
        <v>24392561</v>
      </c>
      <c r="K398" s="32" t="s">
        <v>4113</v>
      </c>
      <c r="L398" s="38" t="s">
        <v>4114</v>
      </c>
      <c r="M398" s="34">
        <v>129900</v>
      </c>
      <c r="N398" s="35">
        <f t="shared" si="137"/>
        <v>0.75</v>
      </c>
      <c r="O398" s="34">
        <f t="shared" ref="O398:O461" si="148">M398-((70*M398))/100</f>
        <v>38970</v>
      </c>
      <c r="P398" s="32" t="s">
        <v>16</v>
      </c>
    </row>
    <row r="399" spans="1:16" x14ac:dyDescent="0.35">
      <c r="A399" s="32" t="str">
        <f t="shared" ref="A399:C399" si="149">A398</f>
        <v>2024 JAN-DEC DISC 75</v>
      </c>
      <c r="B399" s="33">
        <f t="shared" si="149"/>
        <v>46121</v>
      </c>
      <c r="C399" s="33">
        <f t="shared" si="149"/>
        <v>46127</v>
      </c>
      <c r="D399" s="32">
        <v>3321</v>
      </c>
      <c r="E399" s="32">
        <v>337</v>
      </c>
      <c r="F399" s="32">
        <v>4</v>
      </c>
      <c r="G399" s="32">
        <v>1</v>
      </c>
      <c r="H399" s="32">
        <v>81676</v>
      </c>
      <c r="I399" s="32" t="s">
        <v>2689</v>
      </c>
      <c r="J399" s="32">
        <v>24392570</v>
      </c>
      <c r="K399" s="32" t="s">
        <v>4113</v>
      </c>
      <c r="L399" s="38" t="s">
        <v>4115</v>
      </c>
      <c r="M399" s="34">
        <v>129900</v>
      </c>
      <c r="N399" s="35">
        <f t="shared" si="137"/>
        <v>0.75</v>
      </c>
      <c r="O399" s="34">
        <f t="shared" si="148"/>
        <v>38970</v>
      </c>
      <c r="P399" s="32" t="s">
        <v>16</v>
      </c>
    </row>
    <row r="400" spans="1:16" x14ac:dyDescent="0.35">
      <c r="A400" s="32" t="str">
        <f t="shared" ref="A400:C400" si="150">A399</f>
        <v>2024 JAN-DEC DISC 75</v>
      </c>
      <c r="B400" s="33">
        <f t="shared" si="150"/>
        <v>46121</v>
      </c>
      <c r="C400" s="33">
        <f t="shared" si="150"/>
        <v>46127</v>
      </c>
      <c r="D400" s="32">
        <v>3321</v>
      </c>
      <c r="E400" s="32">
        <v>337</v>
      </c>
      <c r="F400" s="32">
        <v>4</v>
      </c>
      <c r="G400" s="32">
        <v>1</v>
      </c>
      <c r="H400" s="32">
        <v>81676</v>
      </c>
      <c r="I400" s="32" t="s">
        <v>2689</v>
      </c>
      <c r="J400" s="32">
        <v>24392589</v>
      </c>
      <c r="K400" s="32" t="s">
        <v>4113</v>
      </c>
      <c r="L400" s="38" t="s">
        <v>4116</v>
      </c>
      <c r="M400" s="34">
        <v>129900</v>
      </c>
      <c r="N400" s="35">
        <f t="shared" si="137"/>
        <v>0.75</v>
      </c>
      <c r="O400" s="34">
        <f t="shared" si="148"/>
        <v>38970</v>
      </c>
      <c r="P400" s="32" t="s">
        <v>16</v>
      </c>
    </row>
    <row r="401" spans="1:16" x14ac:dyDescent="0.35">
      <c r="A401" s="32" t="str">
        <f t="shared" ref="A401:C401" si="151">A400</f>
        <v>2024 JAN-DEC DISC 75</v>
      </c>
      <c r="B401" s="33">
        <f t="shared" si="151"/>
        <v>46121</v>
      </c>
      <c r="C401" s="33">
        <f t="shared" si="151"/>
        <v>46127</v>
      </c>
      <c r="D401" s="32">
        <v>3321</v>
      </c>
      <c r="E401" s="32">
        <v>337</v>
      </c>
      <c r="F401" s="32">
        <v>4</v>
      </c>
      <c r="G401" s="32">
        <v>1</v>
      </c>
      <c r="H401" s="32">
        <v>81676</v>
      </c>
      <c r="I401" s="32" t="s">
        <v>2689</v>
      </c>
      <c r="J401" s="32">
        <v>24392598</v>
      </c>
      <c r="K401" s="32" t="s">
        <v>4113</v>
      </c>
      <c r="L401" s="38" t="s">
        <v>4117</v>
      </c>
      <c r="M401" s="34">
        <v>129900</v>
      </c>
      <c r="N401" s="35">
        <f t="shared" si="137"/>
        <v>0.75</v>
      </c>
      <c r="O401" s="34">
        <f t="shared" si="148"/>
        <v>38970</v>
      </c>
      <c r="P401" s="32" t="s">
        <v>16</v>
      </c>
    </row>
    <row r="402" spans="1:16" x14ac:dyDescent="0.35">
      <c r="A402" s="32" t="str">
        <f t="shared" ref="A402:C402" si="152">A401</f>
        <v>2024 JAN-DEC DISC 75</v>
      </c>
      <c r="B402" s="33">
        <f t="shared" si="152"/>
        <v>46121</v>
      </c>
      <c r="C402" s="33">
        <f t="shared" si="152"/>
        <v>46127</v>
      </c>
      <c r="D402" s="32">
        <v>3321</v>
      </c>
      <c r="E402" s="32">
        <v>337</v>
      </c>
      <c r="F402" s="32">
        <v>4</v>
      </c>
      <c r="G402" s="32">
        <v>1</v>
      </c>
      <c r="H402" s="32">
        <v>81676</v>
      </c>
      <c r="I402" s="32" t="s">
        <v>2689</v>
      </c>
      <c r="J402" s="32">
        <v>24392623</v>
      </c>
      <c r="K402" s="32" t="s">
        <v>4118</v>
      </c>
      <c r="L402" s="38" t="s">
        <v>4119</v>
      </c>
      <c r="M402" s="34">
        <v>129900</v>
      </c>
      <c r="N402" s="35">
        <f t="shared" si="137"/>
        <v>0.75</v>
      </c>
      <c r="O402" s="34">
        <f t="shared" si="148"/>
        <v>38970</v>
      </c>
      <c r="P402" s="32" t="s">
        <v>16</v>
      </c>
    </row>
    <row r="403" spans="1:16" x14ac:dyDescent="0.35">
      <c r="A403" s="32" t="str">
        <f t="shared" ref="A403:C403" si="153">A402</f>
        <v>2024 JAN-DEC DISC 75</v>
      </c>
      <c r="B403" s="33">
        <f t="shared" si="153"/>
        <v>46121</v>
      </c>
      <c r="C403" s="33">
        <f t="shared" si="153"/>
        <v>46127</v>
      </c>
      <c r="D403" s="32">
        <v>3321</v>
      </c>
      <c r="E403" s="32">
        <v>337</v>
      </c>
      <c r="F403" s="32">
        <v>4</v>
      </c>
      <c r="G403" s="32">
        <v>1</v>
      </c>
      <c r="H403" s="32">
        <v>81676</v>
      </c>
      <c r="I403" s="32" t="s">
        <v>2689</v>
      </c>
      <c r="J403" s="32">
        <v>24392605</v>
      </c>
      <c r="K403" s="32" t="s">
        <v>4118</v>
      </c>
      <c r="L403" s="38" t="s">
        <v>4120</v>
      </c>
      <c r="M403" s="34">
        <v>129900</v>
      </c>
      <c r="N403" s="35">
        <f t="shared" si="137"/>
        <v>0.75</v>
      </c>
      <c r="O403" s="34">
        <f t="shared" si="148"/>
        <v>38970</v>
      </c>
      <c r="P403" s="32" t="s">
        <v>16</v>
      </c>
    </row>
    <row r="404" spans="1:16" x14ac:dyDescent="0.35">
      <c r="A404" s="32" t="str">
        <f t="shared" ref="A404:C404" si="154">A403</f>
        <v>2024 JAN-DEC DISC 75</v>
      </c>
      <c r="B404" s="33">
        <f t="shared" si="154"/>
        <v>46121</v>
      </c>
      <c r="C404" s="33">
        <f t="shared" si="154"/>
        <v>46127</v>
      </c>
      <c r="D404" s="32">
        <v>3321</v>
      </c>
      <c r="E404" s="32">
        <v>337</v>
      </c>
      <c r="F404" s="32">
        <v>4</v>
      </c>
      <c r="G404" s="32">
        <v>1</v>
      </c>
      <c r="H404" s="32">
        <v>81676</v>
      </c>
      <c r="I404" s="32" t="s">
        <v>2689</v>
      </c>
      <c r="J404" s="32">
        <v>24392632</v>
      </c>
      <c r="K404" s="32" t="s">
        <v>4118</v>
      </c>
      <c r="L404" s="38" t="s">
        <v>4121</v>
      </c>
      <c r="M404" s="34">
        <v>129900</v>
      </c>
      <c r="N404" s="35">
        <f t="shared" si="137"/>
        <v>0.75</v>
      </c>
      <c r="O404" s="34">
        <f t="shared" si="148"/>
        <v>38970</v>
      </c>
      <c r="P404" s="32" t="s">
        <v>16</v>
      </c>
    </row>
    <row r="405" spans="1:16" x14ac:dyDescent="0.35">
      <c r="A405" s="32" t="str">
        <f t="shared" ref="A405:C405" si="155">A404</f>
        <v>2024 JAN-DEC DISC 75</v>
      </c>
      <c r="B405" s="33">
        <f t="shared" si="155"/>
        <v>46121</v>
      </c>
      <c r="C405" s="33">
        <f t="shared" si="155"/>
        <v>46127</v>
      </c>
      <c r="D405" s="32">
        <v>3321</v>
      </c>
      <c r="E405" s="32">
        <v>337</v>
      </c>
      <c r="F405" s="32">
        <v>4</v>
      </c>
      <c r="G405" s="32">
        <v>1</v>
      </c>
      <c r="H405" s="32">
        <v>81676</v>
      </c>
      <c r="I405" s="32" t="s">
        <v>2689</v>
      </c>
      <c r="J405" s="32">
        <v>24392641</v>
      </c>
      <c r="K405" s="32" t="s">
        <v>4118</v>
      </c>
      <c r="L405" s="38" t="s">
        <v>4122</v>
      </c>
      <c r="M405" s="34">
        <v>129900</v>
      </c>
      <c r="N405" s="35">
        <f t="shared" si="137"/>
        <v>0.75</v>
      </c>
      <c r="O405" s="34">
        <f t="shared" si="148"/>
        <v>38970</v>
      </c>
      <c r="P405" s="32" t="s">
        <v>16</v>
      </c>
    </row>
    <row r="406" spans="1:16" x14ac:dyDescent="0.35">
      <c r="A406" s="32" t="str">
        <f t="shared" ref="A406:C406" si="156">A405</f>
        <v>2024 JAN-DEC DISC 75</v>
      </c>
      <c r="B406" s="33">
        <f t="shared" si="156"/>
        <v>46121</v>
      </c>
      <c r="C406" s="33">
        <f t="shared" si="156"/>
        <v>46127</v>
      </c>
      <c r="D406" s="32">
        <v>3321</v>
      </c>
      <c r="E406" s="32">
        <v>337</v>
      </c>
      <c r="F406" s="32">
        <v>4</v>
      </c>
      <c r="G406" s="32">
        <v>1</v>
      </c>
      <c r="H406" s="32">
        <v>81462</v>
      </c>
      <c r="I406" s="32" t="s">
        <v>2689</v>
      </c>
      <c r="J406" s="32">
        <v>26741920</v>
      </c>
      <c r="K406" s="32" t="s">
        <v>4123</v>
      </c>
      <c r="L406" s="38" t="s">
        <v>4124</v>
      </c>
      <c r="M406" s="34">
        <v>149900</v>
      </c>
      <c r="N406" s="35">
        <f t="shared" si="137"/>
        <v>0.75</v>
      </c>
      <c r="O406" s="34">
        <f t="shared" si="148"/>
        <v>44970</v>
      </c>
      <c r="P406" s="32" t="s">
        <v>16</v>
      </c>
    </row>
    <row r="407" spans="1:16" x14ac:dyDescent="0.35">
      <c r="A407" s="32" t="str">
        <f t="shared" ref="A407:C407" si="157">A406</f>
        <v>2024 JAN-DEC DISC 75</v>
      </c>
      <c r="B407" s="33">
        <f t="shared" si="157"/>
        <v>46121</v>
      </c>
      <c r="C407" s="33">
        <f t="shared" si="157"/>
        <v>46127</v>
      </c>
      <c r="D407" s="32">
        <v>3321</v>
      </c>
      <c r="E407" s="32">
        <v>337</v>
      </c>
      <c r="F407" s="32">
        <v>4</v>
      </c>
      <c r="G407" s="32">
        <v>1</v>
      </c>
      <c r="H407" s="32">
        <v>81462</v>
      </c>
      <c r="I407" s="32" t="s">
        <v>2689</v>
      </c>
      <c r="J407" s="32">
        <v>26741939</v>
      </c>
      <c r="K407" s="32" t="s">
        <v>4123</v>
      </c>
      <c r="L407" s="38" t="s">
        <v>4125</v>
      </c>
      <c r="M407" s="34">
        <v>149900</v>
      </c>
      <c r="N407" s="35">
        <f t="shared" si="137"/>
        <v>0.75</v>
      </c>
      <c r="O407" s="34">
        <f t="shared" si="148"/>
        <v>44970</v>
      </c>
      <c r="P407" s="32" t="s">
        <v>16</v>
      </c>
    </row>
    <row r="408" spans="1:16" x14ac:dyDescent="0.35">
      <c r="A408" s="32" t="str">
        <f t="shared" ref="A408:C408" si="158">A407</f>
        <v>2024 JAN-DEC DISC 75</v>
      </c>
      <c r="B408" s="33">
        <f t="shared" si="158"/>
        <v>46121</v>
      </c>
      <c r="C408" s="33">
        <f t="shared" si="158"/>
        <v>46127</v>
      </c>
      <c r="D408" s="32">
        <v>3321</v>
      </c>
      <c r="E408" s="32">
        <v>337</v>
      </c>
      <c r="F408" s="32">
        <v>4</v>
      </c>
      <c r="G408" s="32">
        <v>1</v>
      </c>
      <c r="H408" s="32">
        <v>81462</v>
      </c>
      <c r="I408" s="32" t="s">
        <v>2689</v>
      </c>
      <c r="J408" s="32">
        <v>26741948</v>
      </c>
      <c r="K408" s="32" t="s">
        <v>4123</v>
      </c>
      <c r="L408" s="38" t="s">
        <v>4126</v>
      </c>
      <c r="M408" s="34">
        <v>149900</v>
      </c>
      <c r="N408" s="35">
        <f t="shared" si="137"/>
        <v>0.75</v>
      </c>
      <c r="O408" s="34">
        <f t="shared" si="148"/>
        <v>44970</v>
      </c>
      <c r="P408" s="32" t="s">
        <v>16</v>
      </c>
    </row>
    <row r="409" spans="1:16" x14ac:dyDescent="0.35">
      <c r="A409" s="32" t="str">
        <f t="shared" ref="A409:C409" si="159">A408</f>
        <v>2024 JAN-DEC DISC 75</v>
      </c>
      <c r="B409" s="33">
        <f t="shared" si="159"/>
        <v>46121</v>
      </c>
      <c r="C409" s="33">
        <f t="shared" si="159"/>
        <v>46127</v>
      </c>
      <c r="D409" s="32">
        <v>3321</v>
      </c>
      <c r="E409" s="32">
        <v>337</v>
      </c>
      <c r="F409" s="32">
        <v>4</v>
      </c>
      <c r="G409" s="32">
        <v>1</v>
      </c>
      <c r="H409" s="32">
        <v>81462</v>
      </c>
      <c r="I409" s="32" t="s">
        <v>2689</v>
      </c>
      <c r="J409" s="32">
        <v>26741957</v>
      </c>
      <c r="K409" s="32" t="s">
        <v>4123</v>
      </c>
      <c r="L409" s="38" t="s">
        <v>4127</v>
      </c>
      <c r="M409" s="34">
        <v>149900</v>
      </c>
      <c r="N409" s="35">
        <f t="shared" si="137"/>
        <v>0.75</v>
      </c>
      <c r="O409" s="34">
        <f t="shared" si="148"/>
        <v>44970</v>
      </c>
      <c r="P409" s="32" t="s">
        <v>16</v>
      </c>
    </row>
    <row r="410" spans="1:16" x14ac:dyDescent="0.35">
      <c r="A410" s="32" t="str">
        <f t="shared" ref="A410:C410" si="160">A409</f>
        <v>2024 JAN-DEC DISC 75</v>
      </c>
      <c r="B410" s="33">
        <f t="shared" si="160"/>
        <v>46121</v>
      </c>
      <c r="C410" s="33">
        <f t="shared" si="160"/>
        <v>46127</v>
      </c>
      <c r="D410" s="32">
        <v>3321</v>
      </c>
      <c r="E410" s="32">
        <v>337</v>
      </c>
      <c r="F410" s="32">
        <v>4</v>
      </c>
      <c r="G410" s="32">
        <v>1</v>
      </c>
      <c r="H410" s="32">
        <v>81462</v>
      </c>
      <c r="I410" s="32" t="s">
        <v>2689</v>
      </c>
      <c r="J410" s="32">
        <v>26741840</v>
      </c>
      <c r="K410" s="32" t="s">
        <v>4128</v>
      </c>
      <c r="L410" s="38" t="s">
        <v>4129</v>
      </c>
      <c r="M410" s="34">
        <v>139900</v>
      </c>
      <c r="N410" s="35">
        <f t="shared" si="137"/>
        <v>0.75</v>
      </c>
      <c r="O410" s="34">
        <f t="shared" si="148"/>
        <v>41970</v>
      </c>
      <c r="P410" s="32" t="s">
        <v>16</v>
      </c>
    </row>
    <row r="411" spans="1:16" x14ac:dyDescent="0.35">
      <c r="A411" s="32" t="str">
        <f t="shared" ref="A411:C411" si="161">A410</f>
        <v>2024 JAN-DEC DISC 75</v>
      </c>
      <c r="B411" s="33">
        <f t="shared" si="161"/>
        <v>46121</v>
      </c>
      <c r="C411" s="33">
        <f t="shared" si="161"/>
        <v>46127</v>
      </c>
      <c r="D411" s="32">
        <v>3321</v>
      </c>
      <c r="E411" s="32">
        <v>337</v>
      </c>
      <c r="F411" s="32">
        <v>4</v>
      </c>
      <c r="G411" s="32">
        <v>1</v>
      </c>
      <c r="H411" s="32">
        <v>81462</v>
      </c>
      <c r="I411" s="32" t="s">
        <v>2689</v>
      </c>
      <c r="J411" s="32">
        <v>26741859</v>
      </c>
      <c r="K411" s="32" t="s">
        <v>4128</v>
      </c>
      <c r="L411" s="38" t="s">
        <v>4130</v>
      </c>
      <c r="M411" s="34">
        <v>139900</v>
      </c>
      <c r="N411" s="35">
        <f t="shared" si="137"/>
        <v>0.75</v>
      </c>
      <c r="O411" s="34">
        <f t="shared" si="148"/>
        <v>41970</v>
      </c>
      <c r="P411" s="32" t="s">
        <v>16</v>
      </c>
    </row>
    <row r="412" spans="1:16" x14ac:dyDescent="0.35">
      <c r="A412" s="32" t="str">
        <f t="shared" ref="A412:C412" si="162">A411</f>
        <v>2024 JAN-DEC DISC 75</v>
      </c>
      <c r="B412" s="33">
        <f t="shared" si="162"/>
        <v>46121</v>
      </c>
      <c r="C412" s="33">
        <f t="shared" si="162"/>
        <v>46127</v>
      </c>
      <c r="D412" s="32">
        <v>3321</v>
      </c>
      <c r="E412" s="32">
        <v>337</v>
      </c>
      <c r="F412" s="32">
        <v>4</v>
      </c>
      <c r="G412" s="32">
        <v>1</v>
      </c>
      <c r="H412" s="32">
        <v>81462</v>
      </c>
      <c r="I412" s="32" t="s">
        <v>2689</v>
      </c>
      <c r="J412" s="32">
        <v>26741868</v>
      </c>
      <c r="K412" s="32" t="s">
        <v>4128</v>
      </c>
      <c r="L412" s="38" t="s">
        <v>4131</v>
      </c>
      <c r="M412" s="34">
        <v>139900</v>
      </c>
      <c r="N412" s="35">
        <f t="shared" si="137"/>
        <v>0.75</v>
      </c>
      <c r="O412" s="34">
        <f t="shared" si="148"/>
        <v>41970</v>
      </c>
      <c r="P412" s="32" t="s">
        <v>16</v>
      </c>
    </row>
    <row r="413" spans="1:16" x14ac:dyDescent="0.35">
      <c r="A413" s="32" t="str">
        <f t="shared" ref="A413:C413" si="163">A412</f>
        <v>2024 JAN-DEC DISC 75</v>
      </c>
      <c r="B413" s="33">
        <f t="shared" si="163"/>
        <v>46121</v>
      </c>
      <c r="C413" s="33">
        <f t="shared" si="163"/>
        <v>46127</v>
      </c>
      <c r="D413" s="32">
        <v>3321</v>
      </c>
      <c r="E413" s="32">
        <v>337</v>
      </c>
      <c r="F413" s="32">
        <v>4</v>
      </c>
      <c r="G413" s="32">
        <v>1</v>
      </c>
      <c r="H413" s="32">
        <v>81462</v>
      </c>
      <c r="I413" s="32" t="s">
        <v>2689</v>
      </c>
      <c r="J413" s="32">
        <v>26741877</v>
      </c>
      <c r="K413" s="32" t="s">
        <v>4128</v>
      </c>
      <c r="L413" s="38" t="s">
        <v>4132</v>
      </c>
      <c r="M413" s="34">
        <v>139900</v>
      </c>
      <c r="N413" s="35">
        <f t="shared" si="137"/>
        <v>0.75</v>
      </c>
      <c r="O413" s="34">
        <f t="shared" si="148"/>
        <v>41970</v>
      </c>
      <c r="P413" s="32" t="s">
        <v>16</v>
      </c>
    </row>
    <row r="414" spans="1:16" x14ac:dyDescent="0.35">
      <c r="A414" s="32" t="str">
        <f t="shared" ref="A414:C414" si="164">A413</f>
        <v>2024 JAN-DEC DISC 75</v>
      </c>
      <c r="B414" s="33">
        <f t="shared" si="164"/>
        <v>46121</v>
      </c>
      <c r="C414" s="33">
        <f t="shared" si="164"/>
        <v>46127</v>
      </c>
      <c r="D414" s="32">
        <v>3321</v>
      </c>
      <c r="E414" s="32">
        <v>337</v>
      </c>
      <c r="F414" s="32">
        <v>4</v>
      </c>
      <c r="G414" s="32">
        <v>1</v>
      </c>
      <c r="H414" s="32">
        <v>81676</v>
      </c>
      <c r="I414" s="32" t="s">
        <v>2689</v>
      </c>
      <c r="J414" s="32">
        <v>45900187</v>
      </c>
      <c r="K414" s="32" t="s">
        <v>4133</v>
      </c>
      <c r="L414" s="38" t="s">
        <v>6514</v>
      </c>
      <c r="M414" s="34">
        <v>139900</v>
      </c>
      <c r="N414" s="35">
        <f t="shared" si="137"/>
        <v>0.75</v>
      </c>
      <c r="O414" s="34">
        <f t="shared" si="148"/>
        <v>41970</v>
      </c>
      <c r="P414" s="32" t="s">
        <v>16</v>
      </c>
    </row>
    <row r="415" spans="1:16" x14ac:dyDescent="0.35">
      <c r="A415" s="32" t="str">
        <f t="shared" ref="A415:C415" si="165">A414</f>
        <v>2024 JAN-DEC DISC 75</v>
      </c>
      <c r="B415" s="33">
        <f t="shared" si="165"/>
        <v>46121</v>
      </c>
      <c r="C415" s="33">
        <f t="shared" si="165"/>
        <v>46127</v>
      </c>
      <c r="D415" s="32">
        <v>3321</v>
      </c>
      <c r="E415" s="32">
        <v>337</v>
      </c>
      <c r="F415" s="32">
        <v>4</v>
      </c>
      <c r="G415" s="32">
        <v>1</v>
      </c>
      <c r="H415" s="32">
        <v>81676</v>
      </c>
      <c r="I415" s="32" t="s">
        <v>2689</v>
      </c>
      <c r="J415" s="32">
        <v>45900196</v>
      </c>
      <c r="K415" s="32" t="s">
        <v>4133</v>
      </c>
      <c r="L415" s="38" t="s">
        <v>6515</v>
      </c>
      <c r="M415" s="34">
        <v>139900</v>
      </c>
      <c r="N415" s="35">
        <f t="shared" si="137"/>
        <v>0.75</v>
      </c>
      <c r="O415" s="34">
        <f t="shared" si="148"/>
        <v>41970</v>
      </c>
      <c r="P415" s="32" t="s">
        <v>16</v>
      </c>
    </row>
    <row r="416" spans="1:16" x14ac:dyDescent="0.35">
      <c r="A416" s="32" t="str">
        <f t="shared" ref="A416:C416" si="166">A415</f>
        <v>2024 JAN-DEC DISC 75</v>
      </c>
      <c r="B416" s="33">
        <f t="shared" si="166"/>
        <v>46121</v>
      </c>
      <c r="C416" s="33">
        <f t="shared" si="166"/>
        <v>46127</v>
      </c>
      <c r="D416" s="32">
        <v>3321</v>
      </c>
      <c r="E416" s="32">
        <v>337</v>
      </c>
      <c r="F416" s="32">
        <v>4</v>
      </c>
      <c r="G416" s="32">
        <v>1</v>
      </c>
      <c r="H416" s="32">
        <v>81676</v>
      </c>
      <c r="I416" s="32" t="s">
        <v>2689</v>
      </c>
      <c r="J416" s="32">
        <v>45900203</v>
      </c>
      <c r="K416" s="32" t="s">
        <v>4133</v>
      </c>
      <c r="L416" s="38" t="s">
        <v>6516</v>
      </c>
      <c r="M416" s="34">
        <v>139900</v>
      </c>
      <c r="N416" s="35">
        <f t="shared" si="137"/>
        <v>0.75</v>
      </c>
      <c r="O416" s="34">
        <f t="shared" si="148"/>
        <v>41970</v>
      </c>
      <c r="P416" s="32" t="s">
        <v>16</v>
      </c>
    </row>
    <row r="417" spans="1:16" x14ac:dyDescent="0.35">
      <c r="A417" s="32" t="str">
        <f t="shared" ref="A417:C417" si="167">A416</f>
        <v>2024 JAN-DEC DISC 75</v>
      </c>
      <c r="B417" s="33">
        <f t="shared" si="167"/>
        <v>46121</v>
      </c>
      <c r="C417" s="33">
        <f t="shared" si="167"/>
        <v>46127</v>
      </c>
      <c r="D417" s="32">
        <v>3321</v>
      </c>
      <c r="E417" s="32">
        <v>337</v>
      </c>
      <c r="F417" s="32">
        <v>4</v>
      </c>
      <c r="G417" s="32">
        <v>1</v>
      </c>
      <c r="H417" s="32">
        <v>81676</v>
      </c>
      <c r="I417" s="32" t="s">
        <v>2689</v>
      </c>
      <c r="J417" s="32">
        <v>45900212</v>
      </c>
      <c r="K417" s="32" t="s">
        <v>4133</v>
      </c>
      <c r="L417" s="38" t="s">
        <v>6517</v>
      </c>
      <c r="M417" s="34">
        <v>139900</v>
      </c>
      <c r="N417" s="35">
        <f t="shared" si="137"/>
        <v>0.75</v>
      </c>
      <c r="O417" s="34">
        <f t="shared" si="148"/>
        <v>41970</v>
      </c>
      <c r="P417" s="32" t="s">
        <v>16</v>
      </c>
    </row>
    <row r="418" spans="1:16" x14ac:dyDescent="0.35">
      <c r="A418" s="32" t="str">
        <f t="shared" ref="A418:C418" si="168">A417</f>
        <v>2024 JAN-DEC DISC 75</v>
      </c>
      <c r="B418" s="33">
        <f t="shared" si="168"/>
        <v>46121</v>
      </c>
      <c r="C418" s="33">
        <f t="shared" si="168"/>
        <v>46127</v>
      </c>
      <c r="D418" s="32">
        <v>3321</v>
      </c>
      <c r="E418" s="32">
        <v>337</v>
      </c>
      <c r="F418" s="32">
        <v>4</v>
      </c>
      <c r="G418" s="32">
        <v>1</v>
      </c>
      <c r="H418" s="32">
        <v>81676</v>
      </c>
      <c r="I418" s="32" t="s">
        <v>2689</v>
      </c>
      <c r="J418" s="32">
        <v>45900258</v>
      </c>
      <c r="K418" s="32" t="s">
        <v>4134</v>
      </c>
      <c r="L418" s="38" t="s">
        <v>4135</v>
      </c>
      <c r="M418" s="34">
        <v>139900</v>
      </c>
      <c r="N418" s="35">
        <f t="shared" si="137"/>
        <v>0.75</v>
      </c>
      <c r="O418" s="34">
        <f t="shared" si="148"/>
        <v>41970</v>
      </c>
      <c r="P418" s="32" t="s">
        <v>16</v>
      </c>
    </row>
    <row r="419" spans="1:16" x14ac:dyDescent="0.35">
      <c r="A419" s="32" t="str">
        <f t="shared" ref="A419:C419" si="169">A418</f>
        <v>2024 JAN-DEC DISC 75</v>
      </c>
      <c r="B419" s="33">
        <f t="shared" si="169"/>
        <v>46121</v>
      </c>
      <c r="C419" s="33">
        <f t="shared" si="169"/>
        <v>46127</v>
      </c>
      <c r="D419" s="32">
        <v>3321</v>
      </c>
      <c r="E419" s="32">
        <v>337</v>
      </c>
      <c r="F419" s="32">
        <v>4</v>
      </c>
      <c r="G419" s="32">
        <v>1</v>
      </c>
      <c r="H419" s="32">
        <v>81676</v>
      </c>
      <c r="I419" s="32" t="s">
        <v>2689</v>
      </c>
      <c r="J419" s="32">
        <v>45900221</v>
      </c>
      <c r="K419" s="32" t="s">
        <v>4134</v>
      </c>
      <c r="L419" s="38" t="s">
        <v>4136</v>
      </c>
      <c r="M419" s="34">
        <v>139900</v>
      </c>
      <c r="N419" s="35">
        <f t="shared" si="137"/>
        <v>0.75</v>
      </c>
      <c r="O419" s="34">
        <f t="shared" si="148"/>
        <v>41970</v>
      </c>
      <c r="P419" s="32" t="s">
        <v>16</v>
      </c>
    </row>
    <row r="420" spans="1:16" x14ac:dyDescent="0.35">
      <c r="A420" s="32" t="str">
        <f t="shared" ref="A420:C420" si="170">A419</f>
        <v>2024 JAN-DEC DISC 75</v>
      </c>
      <c r="B420" s="33">
        <f t="shared" si="170"/>
        <v>46121</v>
      </c>
      <c r="C420" s="33">
        <f t="shared" si="170"/>
        <v>46127</v>
      </c>
      <c r="D420" s="32">
        <v>3321</v>
      </c>
      <c r="E420" s="32">
        <v>337</v>
      </c>
      <c r="F420" s="32">
        <v>4</v>
      </c>
      <c r="G420" s="32">
        <v>1</v>
      </c>
      <c r="H420" s="32">
        <v>81676</v>
      </c>
      <c r="I420" s="32" t="s">
        <v>2689</v>
      </c>
      <c r="J420" s="32">
        <v>45900230</v>
      </c>
      <c r="K420" s="32" t="s">
        <v>4134</v>
      </c>
      <c r="L420" s="38" t="s">
        <v>4137</v>
      </c>
      <c r="M420" s="34">
        <v>139900</v>
      </c>
      <c r="N420" s="35">
        <f t="shared" si="137"/>
        <v>0.75</v>
      </c>
      <c r="O420" s="34">
        <f t="shared" si="148"/>
        <v>41970</v>
      </c>
      <c r="P420" s="32" t="s">
        <v>16</v>
      </c>
    </row>
    <row r="421" spans="1:16" x14ac:dyDescent="0.35">
      <c r="A421" s="32" t="str">
        <f t="shared" ref="A421:C421" si="171">A420</f>
        <v>2024 JAN-DEC DISC 75</v>
      </c>
      <c r="B421" s="33">
        <f t="shared" si="171"/>
        <v>46121</v>
      </c>
      <c r="C421" s="33">
        <f t="shared" si="171"/>
        <v>46127</v>
      </c>
      <c r="D421" s="32">
        <v>3321</v>
      </c>
      <c r="E421" s="32">
        <v>337</v>
      </c>
      <c r="F421" s="32">
        <v>4</v>
      </c>
      <c r="G421" s="32">
        <v>1</v>
      </c>
      <c r="H421" s="32">
        <v>81676</v>
      </c>
      <c r="I421" s="32" t="s">
        <v>2689</v>
      </c>
      <c r="J421" s="32">
        <v>45900249</v>
      </c>
      <c r="K421" s="32" t="s">
        <v>4134</v>
      </c>
      <c r="L421" s="38" t="s">
        <v>4138</v>
      </c>
      <c r="M421" s="34">
        <v>139900</v>
      </c>
      <c r="N421" s="35">
        <f t="shared" si="137"/>
        <v>0.75</v>
      </c>
      <c r="O421" s="34">
        <f t="shared" si="148"/>
        <v>41970</v>
      </c>
      <c r="P421" s="32" t="s">
        <v>16</v>
      </c>
    </row>
    <row r="422" spans="1:16" x14ac:dyDescent="0.35">
      <c r="A422" s="32" t="str">
        <f t="shared" ref="A422:C422" si="172">A421</f>
        <v>2024 JAN-DEC DISC 75</v>
      </c>
      <c r="B422" s="33">
        <f t="shared" si="172"/>
        <v>46121</v>
      </c>
      <c r="C422" s="33">
        <f t="shared" si="172"/>
        <v>46127</v>
      </c>
      <c r="D422" s="32">
        <v>3321</v>
      </c>
      <c r="E422" s="32">
        <v>337</v>
      </c>
      <c r="F422" s="32">
        <v>4</v>
      </c>
      <c r="G422" s="32">
        <v>5</v>
      </c>
      <c r="H422" s="32">
        <v>81421</v>
      </c>
      <c r="I422" s="32" t="s">
        <v>2689</v>
      </c>
      <c r="J422" s="32">
        <v>23117048</v>
      </c>
      <c r="K422" s="32" t="s">
        <v>4139</v>
      </c>
      <c r="L422" s="38" t="s">
        <v>4140</v>
      </c>
      <c r="M422" s="34">
        <v>259900</v>
      </c>
      <c r="N422" s="35">
        <f t="shared" si="137"/>
        <v>0.75</v>
      </c>
      <c r="O422" s="34">
        <f t="shared" si="148"/>
        <v>77970</v>
      </c>
      <c r="P422" s="32" t="s">
        <v>16</v>
      </c>
    </row>
    <row r="423" spans="1:16" x14ac:dyDescent="0.35">
      <c r="A423" s="32" t="str">
        <f t="shared" ref="A423:C423" si="173">A422</f>
        <v>2024 JAN-DEC DISC 75</v>
      </c>
      <c r="B423" s="33">
        <f t="shared" si="173"/>
        <v>46121</v>
      </c>
      <c r="C423" s="33">
        <f t="shared" si="173"/>
        <v>46127</v>
      </c>
      <c r="D423" s="32">
        <v>3321</v>
      </c>
      <c r="E423" s="32">
        <v>337</v>
      </c>
      <c r="F423" s="32">
        <v>4</v>
      </c>
      <c r="G423" s="32">
        <v>5</v>
      </c>
      <c r="H423" s="32">
        <v>81421</v>
      </c>
      <c r="I423" s="32" t="s">
        <v>2689</v>
      </c>
      <c r="J423" s="32">
        <v>23117682</v>
      </c>
      <c r="K423" s="32" t="s">
        <v>4139</v>
      </c>
      <c r="L423" s="38" t="s">
        <v>4141</v>
      </c>
      <c r="M423" s="34">
        <v>259900</v>
      </c>
      <c r="N423" s="35">
        <f t="shared" si="137"/>
        <v>0.75</v>
      </c>
      <c r="O423" s="34">
        <f t="shared" si="148"/>
        <v>77970</v>
      </c>
      <c r="P423" s="32" t="s">
        <v>16</v>
      </c>
    </row>
    <row r="424" spans="1:16" x14ac:dyDescent="0.35">
      <c r="A424" s="32" t="str">
        <f t="shared" ref="A424:C424" si="174">A423</f>
        <v>2024 JAN-DEC DISC 75</v>
      </c>
      <c r="B424" s="33">
        <f t="shared" si="174"/>
        <v>46121</v>
      </c>
      <c r="C424" s="33">
        <f t="shared" si="174"/>
        <v>46127</v>
      </c>
      <c r="D424" s="32">
        <v>3321</v>
      </c>
      <c r="E424" s="32">
        <v>337</v>
      </c>
      <c r="F424" s="32">
        <v>4</v>
      </c>
      <c r="G424" s="32">
        <v>5</v>
      </c>
      <c r="H424" s="32">
        <v>81421</v>
      </c>
      <c r="I424" s="32" t="s">
        <v>2689</v>
      </c>
      <c r="J424" s="32">
        <v>23117691</v>
      </c>
      <c r="K424" s="32" t="s">
        <v>4139</v>
      </c>
      <c r="L424" s="38" t="s">
        <v>4142</v>
      </c>
      <c r="M424" s="34">
        <v>259900</v>
      </c>
      <c r="N424" s="35">
        <f t="shared" si="137"/>
        <v>0.75</v>
      </c>
      <c r="O424" s="34">
        <f t="shared" si="148"/>
        <v>77970</v>
      </c>
      <c r="P424" s="32" t="s">
        <v>16</v>
      </c>
    </row>
    <row r="425" spans="1:16" x14ac:dyDescent="0.35">
      <c r="A425" s="32" t="str">
        <f t="shared" ref="A425:C425" si="175">A424</f>
        <v>2024 JAN-DEC DISC 75</v>
      </c>
      <c r="B425" s="33">
        <f t="shared" si="175"/>
        <v>46121</v>
      </c>
      <c r="C425" s="33">
        <f t="shared" si="175"/>
        <v>46127</v>
      </c>
      <c r="D425" s="32">
        <v>3321</v>
      </c>
      <c r="E425" s="32">
        <v>337</v>
      </c>
      <c r="F425" s="32">
        <v>4</v>
      </c>
      <c r="G425" s="32">
        <v>5</v>
      </c>
      <c r="H425" s="32">
        <v>81421</v>
      </c>
      <c r="I425" s="32" t="s">
        <v>2689</v>
      </c>
      <c r="J425" s="32">
        <v>23117708</v>
      </c>
      <c r="K425" s="32" t="s">
        <v>4139</v>
      </c>
      <c r="L425" s="38" t="s">
        <v>4143</v>
      </c>
      <c r="M425" s="34">
        <v>259900</v>
      </c>
      <c r="N425" s="35">
        <f t="shared" si="137"/>
        <v>0.75</v>
      </c>
      <c r="O425" s="34">
        <f t="shared" si="148"/>
        <v>77970</v>
      </c>
      <c r="P425" s="32" t="s">
        <v>16</v>
      </c>
    </row>
    <row r="426" spans="1:16" x14ac:dyDescent="0.35">
      <c r="A426" s="32" t="str">
        <f t="shared" ref="A426:C426" si="176">A425</f>
        <v>2024 JAN-DEC DISC 75</v>
      </c>
      <c r="B426" s="33">
        <f t="shared" si="176"/>
        <v>46121</v>
      </c>
      <c r="C426" s="33">
        <f t="shared" si="176"/>
        <v>46127</v>
      </c>
      <c r="D426" s="32">
        <v>3321</v>
      </c>
      <c r="E426" s="32">
        <v>337</v>
      </c>
      <c r="F426" s="32">
        <v>4</v>
      </c>
      <c r="G426" s="32">
        <v>5</v>
      </c>
      <c r="H426" s="32">
        <v>81421</v>
      </c>
      <c r="I426" s="32" t="s">
        <v>2689</v>
      </c>
      <c r="J426" s="32">
        <v>45965957</v>
      </c>
      <c r="K426" s="32" t="s">
        <v>4144</v>
      </c>
      <c r="L426" s="38" t="s">
        <v>4145</v>
      </c>
      <c r="M426" s="34">
        <v>259900</v>
      </c>
      <c r="N426" s="35">
        <f t="shared" si="137"/>
        <v>0.75</v>
      </c>
      <c r="O426" s="34">
        <f t="shared" si="148"/>
        <v>77970</v>
      </c>
      <c r="P426" s="32" t="s">
        <v>16</v>
      </c>
    </row>
    <row r="427" spans="1:16" x14ac:dyDescent="0.35">
      <c r="A427" s="32" t="str">
        <f t="shared" ref="A427:C427" si="177">A426</f>
        <v>2024 JAN-DEC DISC 75</v>
      </c>
      <c r="B427" s="33">
        <f t="shared" si="177"/>
        <v>46121</v>
      </c>
      <c r="C427" s="33">
        <f t="shared" si="177"/>
        <v>46127</v>
      </c>
      <c r="D427" s="32">
        <v>3321</v>
      </c>
      <c r="E427" s="32">
        <v>337</v>
      </c>
      <c r="F427" s="32">
        <v>4</v>
      </c>
      <c r="G427" s="32">
        <v>5</v>
      </c>
      <c r="H427" s="32">
        <v>81421</v>
      </c>
      <c r="I427" s="32" t="s">
        <v>2689</v>
      </c>
      <c r="J427" s="32">
        <v>45965966</v>
      </c>
      <c r="K427" s="32" t="s">
        <v>4144</v>
      </c>
      <c r="L427" s="38" t="s">
        <v>4146</v>
      </c>
      <c r="M427" s="34">
        <v>259900</v>
      </c>
      <c r="N427" s="35">
        <f t="shared" si="137"/>
        <v>0.75</v>
      </c>
      <c r="O427" s="34">
        <f t="shared" si="148"/>
        <v>77970</v>
      </c>
      <c r="P427" s="32" t="s">
        <v>16</v>
      </c>
    </row>
    <row r="428" spans="1:16" x14ac:dyDescent="0.35">
      <c r="A428" s="32" t="str">
        <f t="shared" ref="A428:C428" si="178">A427</f>
        <v>2024 JAN-DEC DISC 75</v>
      </c>
      <c r="B428" s="33">
        <f t="shared" si="178"/>
        <v>46121</v>
      </c>
      <c r="C428" s="33">
        <f t="shared" si="178"/>
        <v>46127</v>
      </c>
      <c r="D428" s="32">
        <v>3321</v>
      </c>
      <c r="E428" s="32">
        <v>337</v>
      </c>
      <c r="F428" s="32">
        <v>4</v>
      </c>
      <c r="G428" s="32">
        <v>5</v>
      </c>
      <c r="H428" s="32">
        <v>81421</v>
      </c>
      <c r="I428" s="32" t="s">
        <v>2689</v>
      </c>
      <c r="J428" s="32">
        <v>45965975</v>
      </c>
      <c r="K428" s="32" t="s">
        <v>4144</v>
      </c>
      <c r="L428" s="38" t="s">
        <v>4147</v>
      </c>
      <c r="M428" s="34">
        <v>259900</v>
      </c>
      <c r="N428" s="35">
        <f t="shared" si="137"/>
        <v>0.75</v>
      </c>
      <c r="O428" s="34">
        <f t="shared" si="148"/>
        <v>77970</v>
      </c>
      <c r="P428" s="32" t="s">
        <v>16</v>
      </c>
    </row>
    <row r="429" spans="1:16" x14ac:dyDescent="0.35">
      <c r="A429" s="32" t="str">
        <f t="shared" ref="A429:C429" si="179">A428</f>
        <v>2024 JAN-DEC DISC 75</v>
      </c>
      <c r="B429" s="33">
        <f t="shared" si="179"/>
        <v>46121</v>
      </c>
      <c r="C429" s="33">
        <f t="shared" si="179"/>
        <v>46127</v>
      </c>
      <c r="D429" s="32">
        <v>3321</v>
      </c>
      <c r="E429" s="32">
        <v>337</v>
      </c>
      <c r="F429" s="32">
        <v>4</v>
      </c>
      <c r="G429" s="32">
        <v>5</v>
      </c>
      <c r="H429" s="32">
        <v>81421</v>
      </c>
      <c r="I429" s="32" t="s">
        <v>2689</v>
      </c>
      <c r="J429" s="32">
        <v>45965984</v>
      </c>
      <c r="K429" s="32" t="s">
        <v>4144</v>
      </c>
      <c r="L429" s="38" t="s">
        <v>4148</v>
      </c>
      <c r="M429" s="34">
        <v>259900</v>
      </c>
      <c r="N429" s="35">
        <f t="shared" si="137"/>
        <v>0.75</v>
      </c>
      <c r="O429" s="34">
        <f t="shared" si="148"/>
        <v>77970</v>
      </c>
      <c r="P429" s="32" t="s">
        <v>16</v>
      </c>
    </row>
    <row r="430" spans="1:16" x14ac:dyDescent="0.35">
      <c r="A430" s="32" t="str">
        <f t="shared" ref="A430:C430" si="180">A429</f>
        <v>2024 JAN-DEC DISC 75</v>
      </c>
      <c r="B430" s="33">
        <f t="shared" si="180"/>
        <v>46121</v>
      </c>
      <c r="C430" s="33">
        <f t="shared" si="180"/>
        <v>46127</v>
      </c>
      <c r="D430" s="32">
        <v>3321</v>
      </c>
      <c r="E430" s="32">
        <v>337</v>
      </c>
      <c r="F430" s="32">
        <v>4</v>
      </c>
      <c r="G430" s="32">
        <v>5</v>
      </c>
      <c r="H430" s="32">
        <v>81005</v>
      </c>
      <c r="I430" s="32" t="s">
        <v>2689</v>
      </c>
      <c r="J430" s="32">
        <v>26742081</v>
      </c>
      <c r="K430" s="32" t="s">
        <v>4149</v>
      </c>
      <c r="L430" s="38" t="s">
        <v>4150</v>
      </c>
      <c r="M430" s="34">
        <v>259900</v>
      </c>
      <c r="N430" s="35">
        <f t="shared" si="137"/>
        <v>0.75</v>
      </c>
      <c r="O430" s="34">
        <f t="shared" si="148"/>
        <v>77970</v>
      </c>
      <c r="P430" s="32" t="s">
        <v>16</v>
      </c>
    </row>
    <row r="431" spans="1:16" x14ac:dyDescent="0.35">
      <c r="A431" s="32" t="str">
        <f t="shared" ref="A431:C431" si="181">A430</f>
        <v>2024 JAN-DEC DISC 75</v>
      </c>
      <c r="B431" s="33">
        <f t="shared" si="181"/>
        <v>46121</v>
      </c>
      <c r="C431" s="33">
        <f t="shared" si="181"/>
        <v>46127</v>
      </c>
      <c r="D431" s="32">
        <v>3321</v>
      </c>
      <c r="E431" s="32">
        <v>337</v>
      </c>
      <c r="F431" s="32">
        <v>4</v>
      </c>
      <c r="G431" s="32">
        <v>5</v>
      </c>
      <c r="H431" s="32">
        <v>81005</v>
      </c>
      <c r="I431" s="32" t="s">
        <v>2689</v>
      </c>
      <c r="J431" s="32">
        <v>26742090</v>
      </c>
      <c r="K431" s="32" t="s">
        <v>4149</v>
      </c>
      <c r="L431" s="38" t="s">
        <v>4151</v>
      </c>
      <c r="M431" s="34">
        <v>259900</v>
      </c>
      <c r="N431" s="35">
        <f t="shared" si="137"/>
        <v>0.75</v>
      </c>
      <c r="O431" s="34">
        <f t="shared" si="148"/>
        <v>77970</v>
      </c>
      <c r="P431" s="32" t="s">
        <v>16</v>
      </c>
    </row>
    <row r="432" spans="1:16" x14ac:dyDescent="0.35">
      <c r="A432" s="32" t="str">
        <f t="shared" ref="A432:C432" si="182">A431</f>
        <v>2024 JAN-DEC DISC 75</v>
      </c>
      <c r="B432" s="33">
        <f t="shared" si="182"/>
        <v>46121</v>
      </c>
      <c r="C432" s="33">
        <f t="shared" si="182"/>
        <v>46127</v>
      </c>
      <c r="D432" s="32">
        <v>3321</v>
      </c>
      <c r="E432" s="32">
        <v>337</v>
      </c>
      <c r="F432" s="32">
        <v>4</v>
      </c>
      <c r="G432" s="32">
        <v>5</v>
      </c>
      <c r="H432" s="32">
        <v>81005</v>
      </c>
      <c r="I432" s="32" t="s">
        <v>2689</v>
      </c>
      <c r="J432" s="32">
        <v>26742107</v>
      </c>
      <c r="K432" s="32" t="s">
        <v>4149</v>
      </c>
      <c r="L432" s="38" t="s">
        <v>4152</v>
      </c>
      <c r="M432" s="34">
        <v>259900</v>
      </c>
      <c r="N432" s="35">
        <f t="shared" si="137"/>
        <v>0.75</v>
      </c>
      <c r="O432" s="34">
        <f t="shared" si="148"/>
        <v>77970</v>
      </c>
      <c r="P432" s="32" t="s">
        <v>16</v>
      </c>
    </row>
    <row r="433" spans="1:16" x14ac:dyDescent="0.35">
      <c r="A433" s="32" t="str">
        <f t="shared" ref="A433:C433" si="183">A432</f>
        <v>2024 JAN-DEC DISC 75</v>
      </c>
      <c r="B433" s="33">
        <f t="shared" si="183"/>
        <v>46121</v>
      </c>
      <c r="C433" s="33">
        <f t="shared" si="183"/>
        <v>46127</v>
      </c>
      <c r="D433" s="32">
        <v>3321</v>
      </c>
      <c r="E433" s="32">
        <v>337</v>
      </c>
      <c r="F433" s="32">
        <v>4</v>
      </c>
      <c r="G433" s="32">
        <v>5</v>
      </c>
      <c r="H433" s="32">
        <v>81005</v>
      </c>
      <c r="I433" s="32" t="s">
        <v>2689</v>
      </c>
      <c r="J433" s="32">
        <v>26742116</v>
      </c>
      <c r="K433" s="32" t="s">
        <v>4149</v>
      </c>
      <c r="L433" s="38" t="s">
        <v>4153</v>
      </c>
      <c r="M433" s="34">
        <v>259900</v>
      </c>
      <c r="N433" s="35">
        <f t="shared" si="137"/>
        <v>0.75</v>
      </c>
      <c r="O433" s="34">
        <f t="shared" si="148"/>
        <v>77970</v>
      </c>
      <c r="P433" s="32" t="s">
        <v>16</v>
      </c>
    </row>
    <row r="434" spans="1:16" x14ac:dyDescent="0.35">
      <c r="A434" s="32" t="str">
        <f t="shared" ref="A434:C434" si="184">A433</f>
        <v>2024 JAN-DEC DISC 75</v>
      </c>
      <c r="B434" s="33">
        <f t="shared" si="184"/>
        <v>46121</v>
      </c>
      <c r="C434" s="33">
        <f t="shared" si="184"/>
        <v>46127</v>
      </c>
      <c r="D434" s="32">
        <v>3321</v>
      </c>
      <c r="E434" s="32">
        <v>337</v>
      </c>
      <c r="F434" s="32">
        <v>4</v>
      </c>
      <c r="G434" s="32">
        <v>5</v>
      </c>
      <c r="H434" s="32">
        <v>81005</v>
      </c>
      <c r="I434" s="32" t="s">
        <v>2689</v>
      </c>
      <c r="J434" s="32">
        <v>26742125</v>
      </c>
      <c r="K434" s="32" t="s">
        <v>4149</v>
      </c>
      <c r="L434" s="38" t="s">
        <v>4154</v>
      </c>
      <c r="M434" s="34">
        <v>259900</v>
      </c>
      <c r="N434" s="35">
        <f t="shared" si="137"/>
        <v>0.75</v>
      </c>
      <c r="O434" s="34">
        <f t="shared" si="148"/>
        <v>77970</v>
      </c>
      <c r="P434" s="32" t="s">
        <v>16</v>
      </c>
    </row>
    <row r="435" spans="1:16" x14ac:dyDescent="0.35">
      <c r="A435" s="32" t="str">
        <f t="shared" ref="A435:C435" si="185">A434</f>
        <v>2024 JAN-DEC DISC 75</v>
      </c>
      <c r="B435" s="33">
        <f t="shared" si="185"/>
        <v>46121</v>
      </c>
      <c r="C435" s="33">
        <f t="shared" si="185"/>
        <v>46127</v>
      </c>
      <c r="D435" s="32">
        <v>3321</v>
      </c>
      <c r="E435" s="32">
        <v>337</v>
      </c>
      <c r="F435" s="32">
        <v>4</v>
      </c>
      <c r="G435" s="32">
        <v>5</v>
      </c>
      <c r="H435" s="32">
        <v>81005</v>
      </c>
      <c r="I435" s="32" t="s">
        <v>2689</v>
      </c>
      <c r="J435" s="32">
        <v>26742134</v>
      </c>
      <c r="K435" s="32" t="s">
        <v>4155</v>
      </c>
      <c r="L435" s="38" t="s">
        <v>4156</v>
      </c>
      <c r="M435" s="34">
        <v>259900</v>
      </c>
      <c r="N435" s="35">
        <f t="shared" si="137"/>
        <v>0.75</v>
      </c>
      <c r="O435" s="34">
        <f t="shared" si="148"/>
        <v>77970</v>
      </c>
      <c r="P435" s="32" t="s">
        <v>16</v>
      </c>
    </row>
    <row r="436" spans="1:16" x14ac:dyDescent="0.35">
      <c r="A436" s="32" t="str">
        <f t="shared" ref="A436:C436" si="186">A435</f>
        <v>2024 JAN-DEC DISC 75</v>
      </c>
      <c r="B436" s="33">
        <f t="shared" si="186"/>
        <v>46121</v>
      </c>
      <c r="C436" s="33">
        <f t="shared" si="186"/>
        <v>46127</v>
      </c>
      <c r="D436" s="32">
        <v>3321</v>
      </c>
      <c r="E436" s="32">
        <v>337</v>
      </c>
      <c r="F436" s="32">
        <v>4</v>
      </c>
      <c r="G436" s="32">
        <v>5</v>
      </c>
      <c r="H436" s="32">
        <v>81005</v>
      </c>
      <c r="I436" s="32" t="s">
        <v>2689</v>
      </c>
      <c r="J436" s="32">
        <v>26742143</v>
      </c>
      <c r="K436" s="32" t="s">
        <v>4155</v>
      </c>
      <c r="L436" s="38" t="s">
        <v>4157</v>
      </c>
      <c r="M436" s="34">
        <v>259900</v>
      </c>
      <c r="N436" s="35">
        <f t="shared" si="137"/>
        <v>0.75</v>
      </c>
      <c r="O436" s="34">
        <f t="shared" si="148"/>
        <v>77970</v>
      </c>
      <c r="P436" s="32" t="s">
        <v>16</v>
      </c>
    </row>
    <row r="437" spans="1:16" x14ac:dyDescent="0.35">
      <c r="A437" s="32" t="str">
        <f t="shared" ref="A437:C437" si="187">A436</f>
        <v>2024 JAN-DEC DISC 75</v>
      </c>
      <c r="B437" s="33">
        <f t="shared" si="187"/>
        <v>46121</v>
      </c>
      <c r="C437" s="33">
        <f t="shared" si="187"/>
        <v>46127</v>
      </c>
      <c r="D437" s="32">
        <v>3321</v>
      </c>
      <c r="E437" s="32">
        <v>337</v>
      </c>
      <c r="F437" s="32">
        <v>4</v>
      </c>
      <c r="G437" s="32">
        <v>5</v>
      </c>
      <c r="H437" s="32">
        <v>81005</v>
      </c>
      <c r="I437" s="32" t="s">
        <v>2689</v>
      </c>
      <c r="J437" s="32">
        <v>26742152</v>
      </c>
      <c r="K437" s="32" t="s">
        <v>4155</v>
      </c>
      <c r="L437" s="38" t="s">
        <v>4158</v>
      </c>
      <c r="M437" s="34">
        <v>259900</v>
      </c>
      <c r="N437" s="35">
        <f t="shared" si="137"/>
        <v>0.75</v>
      </c>
      <c r="O437" s="34">
        <f t="shared" si="148"/>
        <v>77970</v>
      </c>
      <c r="P437" s="32" t="s">
        <v>16</v>
      </c>
    </row>
    <row r="438" spans="1:16" x14ac:dyDescent="0.35">
      <c r="A438" s="32" t="str">
        <f t="shared" ref="A438:C438" si="188">A437</f>
        <v>2024 JAN-DEC DISC 75</v>
      </c>
      <c r="B438" s="33">
        <f t="shared" si="188"/>
        <v>46121</v>
      </c>
      <c r="C438" s="33">
        <f t="shared" si="188"/>
        <v>46127</v>
      </c>
      <c r="D438" s="32">
        <v>3321</v>
      </c>
      <c r="E438" s="32">
        <v>337</v>
      </c>
      <c r="F438" s="32">
        <v>4</v>
      </c>
      <c r="G438" s="32">
        <v>5</v>
      </c>
      <c r="H438" s="32">
        <v>81005</v>
      </c>
      <c r="I438" s="32" t="s">
        <v>2689</v>
      </c>
      <c r="J438" s="32">
        <v>26742161</v>
      </c>
      <c r="K438" s="32" t="s">
        <v>4155</v>
      </c>
      <c r="L438" s="38" t="s">
        <v>4159</v>
      </c>
      <c r="M438" s="34">
        <v>259900</v>
      </c>
      <c r="N438" s="35">
        <f t="shared" si="137"/>
        <v>0.75</v>
      </c>
      <c r="O438" s="34">
        <f t="shared" si="148"/>
        <v>77970</v>
      </c>
      <c r="P438" s="32" t="s">
        <v>16</v>
      </c>
    </row>
    <row r="439" spans="1:16" x14ac:dyDescent="0.35">
      <c r="A439" s="32" t="str">
        <f t="shared" ref="A439:C439" si="189">A438</f>
        <v>2024 JAN-DEC DISC 75</v>
      </c>
      <c r="B439" s="33">
        <f t="shared" si="189"/>
        <v>46121</v>
      </c>
      <c r="C439" s="33">
        <f t="shared" si="189"/>
        <v>46127</v>
      </c>
      <c r="D439" s="32">
        <v>3321</v>
      </c>
      <c r="E439" s="32">
        <v>337</v>
      </c>
      <c r="F439" s="32">
        <v>4</v>
      </c>
      <c r="G439" s="32">
        <v>5</v>
      </c>
      <c r="H439" s="32">
        <v>81005</v>
      </c>
      <c r="I439" s="32" t="s">
        <v>2689</v>
      </c>
      <c r="J439" s="32">
        <v>26742170</v>
      </c>
      <c r="K439" s="32" t="s">
        <v>4155</v>
      </c>
      <c r="L439" s="38" t="s">
        <v>4160</v>
      </c>
      <c r="M439" s="34">
        <v>259900</v>
      </c>
      <c r="N439" s="35">
        <f t="shared" si="137"/>
        <v>0.75</v>
      </c>
      <c r="O439" s="34">
        <f t="shared" si="148"/>
        <v>77970</v>
      </c>
      <c r="P439" s="32" t="s">
        <v>16</v>
      </c>
    </row>
    <row r="440" spans="1:16" x14ac:dyDescent="0.35">
      <c r="A440" s="32" t="str">
        <f t="shared" ref="A440:C440" si="190">A439</f>
        <v>2024 JAN-DEC DISC 75</v>
      </c>
      <c r="B440" s="33">
        <f t="shared" si="190"/>
        <v>46121</v>
      </c>
      <c r="C440" s="33">
        <f t="shared" si="190"/>
        <v>46127</v>
      </c>
      <c r="D440" s="32">
        <v>3321</v>
      </c>
      <c r="E440" s="32">
        <v>337</v>
      </c>
      <c r="F440" s="32">
        <v>4</v>
      </c>
      <c r="G440" s="32">
        <v>1</v>
      </c>
      <c r="H440" s="32">
        <v>81421</v>
      </c>
      <c r="I440" s="32" t="s">
        <v>2689</v>
      </c>
      <c r="J440" s="32">
        <v>26741804</v>
      </c>
      <c r="K440" s="32" t="s">
        <v>4161</v>
      </c>
      <c r="L440" s="38" t="s">
        <v>4162</v>
      </c>
      <c r="M440" s="34">
        <v>179900</v>
      </c>
      <c r="N440" s="35">
        <f t="shared" si="137"/>
        <v>0.75</v>
      </c>
      <c r="O440" s="34">
        <f t="shared" si="148"/>
        <v>53970</v>
      </c>
      <c r="P440" s="32" t="s">
        <v>16</v>
      </c>
    </row>
    <row r="441" spans="1:16" x14ac:dyDescent="0.35">
      <c r="A441" s="32" t="str">
        <f t="shared" ref="A441:C441" si="191">A440</f>
        <v>2024 JAN-DEC DISC 75</v>
      </c>
      <c r="B441" s="33">
        <f t="shared" si="191"/>
        <v>46121</v>
      </c>
      <c r="C441" s="33">
        <f t="shared" si="191"/>
        <v>46127</v>
      </c>
      <c r="D441" s="32">
        <v>3321</v>
      </c>
      <c r="E441" s="32">
        <v>337</v>
      </c>
      <c r="F441" s="32">
        <v>4</v>
      </c>
      <c r="G441" s="32">
        <v>1</v>
      </c>
      <c r="H441" s="32">
        <v>81421</v>
      </c>
      <c r="I441" s="32" t="s">
        <v>2689</v>
      </c>
      <c r="J441" s="32">
        <v>26741813</v>
      </c>
      <c r="K441" s="32" t="s">
        <v>4161</v>
      </c>
      <c r="L441" s="38" t="s">
        <v>4163</v>
      </c>
      <c r="M441" s="34">
        <v>179900</v>
      </c>
      <c r="N441" s="35">
        <f t="shared" si="137"/>
        <v>0.75</v>
      </c>
      <c r="O441" s="34">
        <f t="shared" si="148"/>
        <v>53970</v>
      </c>
      <c r="P441" s="32" t="s">
        <v>16</v>
      </c>
    </row>
    <row r="442" spans="1:16" x14ac:dyDescent="0.35">
      <c r="A442" s="32" t="str">
        <f t="shared" ref="A442:C442" si="192">A441</f>
        <v>2024 JAN-DEC DISC 75</v>
      </c>
      <c r="B442" s="33">
        <f t="shared" si="192"/>
        <v>46121</v>
      </c>
      <c r="C442" s="33">
        <f t="shared" si="192"/>
        <v>46127</v>
      </c>
      <c r="D442" s="32">
        <v>3321</v>
      </c>
      <c r="E442" s="32">
        <v>337</v>
      </c>
      <c r="F442" s="32">
        <v>4</v>
      </c>
      <c r="G442" s="32">
        <v>1</v>
      </c>
      <c r="H442" s="32">
        <v>81421</v>
      </c>
      <c r="I442" s="32" t="s">
        <v>2689</v>
      </c>
      <c r="J442" s="32">
        <v>26741822</v>
      </c>
      <c r="K442" s="32" t="s">
        <v>4161</v>
      </c>
      <c r="L442" s="38" t="s">
        <v>4164</v>
      </c>
      <c r="M442" s="34">
        <v>179900</v>
      </c>
      <c r="N442" s="35">
        <f t="shared" si="137"/>
        <v>0.75</v>
      </c>
      <c r="O442" s="34">
        <f t="shared" si="148"/>
        <v>53970</v>
      </c>
      <c r="P442" s="32" t="s">
        <v>16</v>
      </c>
    </row>
    <row r="443" spans="1:16" x14ac:dyDescent="0.35">
      <c r="A443" s="32" t="str">
        <f t="shared" ref="A443:C443" si="193">A442</f>
        <v>2024 JAN-DEC DISC 75</v>
      </c>
      <c r="B443" s="33">
        <f t="shared" si="193"/>
        <v>46121</v>
      </c>
      <c r="C443" s="33">
        <f t="shared" si="193"/>
        <v>46127</v>
      </c>
      <c r="D443" s="32">
        <v>3321</v>
      </c>
      <c r="E443" s="32">
        <v>337</v>
      </c>
      <c r="F443" s="32">
        <v>4</v>
      </c>
      <c r="G443" s="32">
        <v>3</v>
      </c>
      <c r="H443" s="32">
        <v>81421</v>
      </c>
      <c r="I443" s="32" t="s">
        <v>2689</v>
      </c>
      <c r="J443" s="32">
        <v>26741966</v>
      </c>
      <c r="K443" s="32" t="s">
        <v>4166</v>
      </c>
      <c r="L443" s="38" t="s">
        <v>4167</v>
      </c>
      <c r="M443" s="34">
        <v>229900</v>
      </c>
      <c r="N443" s="35">
        <f t="shared" si="137"/>
        <v>0.75</v>
      </c>
      <c r="O443" s="34">
        <f t="shared" si="148"/>
        <v>68970</v>
      </c>
      <c r="P443" s="32" t="s">
        <v>16</v>
      </c>
    </row>
    <row r="444" spans="1:16" x14ac:dyDescent="0.35">
      <c r="A444" s="32" t="str">
        <f t="shared" ref="A444:C444" si="194">A443</f>
        <v>2024 JAN-DEC DISC 75</v>
      </c>
      <c r="B444" s="33">
        <f t="shared" si="194"/>
        <v>46121</v>
      </c>
      <c r="C444" s="33">
        <f t="shared" si="194"/>
        <v>46127</v>
      </c>
      <c r="D444" s="32">
        <v>3321</v>
      </c>
      <c r="E444" s="32">
        <v>337</v>
      </c>
      <c r="F444" s="32">
        <v>4</v>
      </c>
      <c r="G444" s="32">
        <v>3</v>
      </c>
      <c r="H444" s="32">
        <v>81421</v>
      </c>
      <c r="I444" s="32" t="s">
        <v>2689</v>
      </c>
      <c r="J444" s="32">
        <v>26741975</v>
      </c>
      <c r="K444" s="32" t="s">
        <v>4166</v>
      </c>
      <c r="L444" s="38" t="s">
        <v>4168</v>
      </c>
      <c r="M444" s="34">
        <v>229900</v>
      </c>
      <c r="N444" s="35">
        <f t="shared" si="137"/>
        <v>0.75</v>
      </c>
      <c r="O444" s="34">
        <f t="shared" si="148"/>
        <v>68970</v>
      </c>
      <c r="P444" s="32" t="s">
        <v>16</v>
      </c>
    </row>
    <row r="445" spans="1:16" x14ac:dyDescent="0.35">
      <c r="A445" s="32" t="str">
        <f t="shared" ref="A445:C445" si="195">A444</f>
        <v>2024 JAN-DEC DISC 75</v>
      </c>
      <c r="B445" s="33">
        <f t="shared" si="195"/>
        <v>46121</v>
      </c>
      <c r="C445" s="33">
        <f t="shared" si="195"/>
        <v>46127</v>
      </c>
      <c r="D445" s="32">
        <v>3321</v>
      </c>
      <c r="E445" s="32">
        <v>337</v>
      </c>
      <c r="F445" s="32">
        <v>4</v>
      </c>
      <c r="G445" s="32">
        <v>3</v>
      </c>
      <c r="H445" s="32">
        <v>81421</v>
      </c>
      <c r="I445" s="32" t="s">
        <v>2689</v>
      </c>
      <c r="J445" s="32">
        <v>26742027</v>
      </c>
      <c r="K445" s="32" t="s">
        <v>4166</v>
      </c>
      <c r="L445" s="38" t="s">
        <v>4169</v>
      </c>
      <c r="M445" s="34">
        <v>229900</v>
      </c>
      <c r="N445" s="35">
        <f t="shared" si="137"/>
        <v>0.75</v>
      </c>
      <c r="O445" s="34">
        <f t="shared" si="148"/>
        <v>68970</v>
      </c>
      <c r="P445" s="32" t="s">
        <v>16</v>
      </c>
    </row>
    <row r="446" spans="1:16" x14ac:dyDescent="0.35">
      <c r="A446" s="32" t="str">
        <f t="shared" ref="A446:C446" si="196">A445</f>
        <v>2024 JAN-DEC DISC 75</v>
      </c>
      <c r="B446" s="33">
        <f t="shared" si="196"/>
        <v>46121</v>
      </c>
      <c r="C446" s="33">
        <f t="shared" si="196"/>
        <v>46127</v>
      </c>
      <c r="D446" s="32">
        <v>3321</v>
      </c>
      <c r="E446" s="32">
        <v>337</v>
      </c>
      <c r="F446" s="32">
        <v>4</v>
      </c>
      <c r="G446" s="32">
        <v>1</v>
      </c>
      <c r="H446" s="32">
        <v>81421</v>
      </c>
      <c r="I446" s="32" t="s">
        <v>2689</v>
      </c>
      <c r="J446" s="32">
        <v>26741831</v>
      </c>
      <c r="K446" s="32" t="s">
        <v>4161</v>
      </c>
      <c r="L446" s="38" t="s">
        <v>4165</v>
      </c>
      <c r="M446" s="34">
        <v>179900</v>
      </c>
      <c r="N446" s="35">
        <f t="shared" si="137"/>
        <v>0.75</v>
      </c>
      <c r="O446" s="34">
        <f t="shared" si="148"/>
        <v>53970</v>
      </c>
      <c r="P446" s="32" t="s">
        <v>16</v>
      </c>
    </row>
    <row r="447" spans="1:16" x14ac:dyDescent="0.35">
      <c r="A447" s="32" t="str">
        <f t="shared" ref="A447:C447" si="197">A446</f>
        <v>2024 JAN-DEC DISC 75</v>
      </c>
      <c r="B447" s="33">
        <f t="shared" si="197"/>
        <v>46121</v>
      </c>
      <c r="C447" s="33">
        <f t="shared" si="197"/>
        <v>46127</v>
      </c>
      <c r="D447" s="32">
        <v>3321</v>
      </c>
      <c r="E447" s="32">
        <v>337</v>
      </c>
      <c r="F447" s="32">
        <v>4</v>
      </c>
      <c r="G447" s="32">
        <v>3</v>
      </c>
      <c r="H447" s="32">
        <v>81421</v>
      </c>
      <c r="I447" s="32" t="s">
        <v>2689</v>
      </c>
      <c r="J447" s="32">
        <v>26742036</v>
      </c>
      <c r="K447" s="32" t="s">
        <v>4166</v>
      </c>
      <c r="L447" s="38" t="s">
        <v>4170</v>
      </c>
      <c r="M447" s="34">
        <v>229900</v>
      </c>
      <c r="N447" s="35">
        <f t="shared" si="137"/>
        <v>0.75</v>
      </c>
      <c r="O447" s="34">
        <f t="shared" si="148"/>
        <v>68970</v>
      </c>
      <c r="P447" s="32" t="s">
        <v>16</v>
      </c>
    </row>
    <row r="448" spans="1:16" x14ac:dyDescent="0.35">
      <c r="A448" s="32" t="str">
        <f t="shared" ref="A448:C448" si="198">A447</f>
        <v>2024 JAN-DEC DISC 75</v>
      </c>
      <c r="B448" s="33">
        <f t="shared" si="198"/>
        <v>46121</v>
      </c>
      <c r="C448" s="33">
        <f t="shared" si="198"/>
        <v>46127</v>
      </c>
      <c r="D448" s="32">
        <v>3321</v>
      </c>
      <c r="E448" s="32">
        <v>337</v>
      </c>
      <c r="F448" s="32">
        <v>4</v>
      </c>
      <c r="G448" s="32">
        <v>3</v>
      </c>
      <c r="H448" s="32">
        <v>81005</v>
      </c>
      <c r="I448" s="32" t="s">
        <v>2689</v>
      </c>
      <c r="J448" s="32">
        <v>50028085</v>
      </c>
      <c r="K448" s="32" t="s">
        <v>4171</v>
      </c>
      <c r="L448" s="38" t="s">
        <v>4172</v>
      </c>
      <c r="M448" s="34">
        <v>269900</v>
      </c>
      <c r="N448" s="35">
        <f t="shared" si="137"/>
        <v>0.75</v>
      </c>
      <c r="O448" s="34">
        <f t="shared" si="148"/>
        <v>80970</v>
      </c>
      <c r="P448" s="32" t="s">
        <v>16</v>
      </c>
    </row>
    <row r="449" spans="1:16" x14ac:dyDescent="0.35">
      <c r="A449" s="32" t="str">
        <f t="shared" ref="A449:C449" si="199">A448</f>
        <v>2024 JAN-DEC DISC 75</v>
      </c>
      <c r="B449" s="33">
        <f t="shared" si="199"/>
        <v>46121</v>
      </c>
      <c r="C449" s="33">
        <f t="shared" si="199"/>
        <v>46127</v>
      </c>
      <c r="D449" s="32">
        <v>3321</v>
      </c>
      <c r="E449" s="32">
        <v>337</v>
      </c>
      <c r="F449" s="32">
        <v>4</v>
      </c>
      <c r="G449" s="32">
        <v>3</v>
      </c>
      <c r="H449" s="32">
        <v>81005</v>
      </c>
      <c r="I449" s="32" t="s">
        <v>2689</v>
      </c>
      <c r="J449" s="32">
        <v>50028094</v>
      </c>
      <c r="K449" s="32" t="s">
        <v>4171</v>
      </c>
      <c r="L449" s="38" t="s">
        <v>4173</v>
      </c>
      <c r="M449" s="34">
        <v>269900</v>
      </c>
      <c r="N449" s="35">
        <f t="shared" si="137"/>
        <v>0.75</v>
      </c>
      <c r="O449" s="34">
        <f t="shared" si="148"/>
        <v>80970</v>
      </c>
      <c r="P449" s="32" t="s">
        <v>16</v>
      </c>
    </row>
    <row r="450" spans="1:16" x14ac:dyDescent="0.35">
      <c r="A450" s="32" t="str">
        <f t="shared" ref="A450:C450" si="200">A449</f>
        <v>2024 JAN-DEC DISC 75</v>
      </c>
      <c r="B450" s="33">
        <f t="shared" si="200"/>
        <v>46121</v>
      </c>
      <c r="C450" s="33">
        <f t="shared" si="200"/>
        <v>46127</v>
      </c>
      <c r="D450" s="32">
        <v>3321</v>
      </c>
      <c r="E450" s="32">
        <v>337</v>
      </c>
      <c r="F450" s="32">
        <v>4</v>
      </c>
      <c r="G450" s="32">
        <v>3</v>
      </c>
      <c r="H450" s="32">
        <v>81005</v>
      </c>
      <c r="I450" s="32" t="s">
        <v>2689</v>
      </c>
      <c r="J450" s="32">
        <v>50028101</v>
      </c>
      <c r="K450" s="32" t="s">
        <v>4171</v>
      </c>
      <c r="L450" s="38" t="s">
        <v>4174</v>
      </c>
      <c r="M450" s="34">
        <v>269900</v>
      </c>
      <c r="N450" s="35">
        <f t="shared" si="137"/>
        <v>0.75</v>
      </c>
      <c r="O450" s="34">
        <f t="shared" si="148"/>
        <v>80970</v>
      </c>
      <c r="P450" s="32" t="s">
        <v>16</v>
      </c>
    </row>
    <row r="451" spans="1:16" x14ac:dyDescent="0.35">
      <c r="A451" s="32" t="str">
        <f t="shared" ref="A451:C451" si="201">A450</f>
        <v>2024 JAN-DEC DISC 75</v>
      </c>
      <c r="B451" s="33">
        <f t="shared" si="201"/>
        <v>46121</v>
      </c>
      <c r="C451" s="33">
        <f t="shared" si="201"/>
        <v>46127</v>
      </c>
      <c r="D451" s="32">
        <v>3321</v>
      </c>
      <c r="E451" s="32">
        <v>337</v>
      </c>
      <c r="F451" s="32">
        <v>4</v>
      </c>
      <c r="G451" s="32">
        <v>3</v>
      </c>
      <c r="H451" s="32">
        <v>81005</v>
      </c>
      <c r="I451" s="32" t="s">
        <v>2689</v>
      </c>
      <c r="J451" s="32">
        <v>50028110</v>
      </c>
      <c r="K451" s="32" t="s">
        <v>4171</v>
      </c>
      <c r="L451" s="38" t="s">
        <v>4175</v>
      </c>
      <c r="M451" s="34">
        <v>269900</v>
      </c>
      <c r="N451" s="35">
        <f t="shared" si="137"/>
        <v>0.75</v>
      </c>
      <c r="O451" s="34">
        <f t="shared" si="148"/>
        <v>80970</v>
      </c>
      <c r="P451" s="32" t="s">
        <v>16</v>
      </c>
    </row>
    <row r="452" spans="1:16" x14ac:dyDescent="0.35">
      <c r="A452" s="32" t="str">
        <f t="shared" ref="A452:C452" si="202">A451</f>
        <v>2024 JAN-DEC DISC 75</v>
      </c>
      <c r="B452" s="33">
        <f t="shared" si="202"/>
        <v>46121</v>
      </c>
      <c r="C452" s="33">
        <f t="shared" si="202"/>
        <v>46127</v>
      </c>
      <c r="D452" s="32">
        <v>3321</v>
      </c>
      <c r="E452" s="32">
        <v>337</v>
      </c>
      <c r="F452" s="32">
        <v>4</v>
      </c>
      <c r="G452" s="32">
        <v>3</v>
      </c>
      <c r="H452" s="32">
        <v>81800</v>
      </c>
      <c r="I452" s="32" t="s">
        <v>2689</v>
      </c>
      <c r="J452" s="32">
        <v>50028049</v>
      </c>
      <c r="K452" s="32" t="s">
        <v>4176</v>
      </c>
      <c r="L452" s="38" t="s">
        <v>4177</v>
      </c>
      <c r="M452" s="34">
        <v>239900</v>
      </c>
      <c r="N452" s="35">
        <f t="shared" ref="N452:N512" si="203">N451</f>
        <v>0.75</v>
      </c>
      <c r="O452" s="34">
        <f t="shared" si="148"/>
        <v>71970</v>
      </c>
      <c r="P452" s="32" t="s">
        <v>16</v>
      </c>
    </row>
    <row r="453" spans="1:16" x14ac:dyDescent="0.35">
      <c r="A453" s="32" t="str">
        <f t="shared" ref="A453:C453" si="204">A452</f>
        <v>2024 JAN-DEC DISC 75</v>
      </c>
      <c r="B453" s="33">
        <f t="shared" si="204"/>
        <v>46121</v>
      </c>
      <c r="C453" s="33">
        <f t="shared" si="204"/>
        <v>46127</v>
      </c>
      <c r="D453" s="32">
        <v>3321</v>
      </c>
      <c r="E453" s="32">
        <v>337</v>
      </c>
      <c r="F453" s="32">
        <v>4</v>
      </c>
      <c r="G453" s="32">
        <v>3</v>
      </c>
      <c r="H453" s="32">
        <v>81800</v>
      </c>
      <c r="I453" s="32" t="s">
        <v>2689</v>
      </c>
      <c r="J453" s="32">
        <v>50028058</v>
      </c>
      <c r="K453" s="32" t="s">
        <v>4176</v>
      </c>
      <c r="L453" s="38" t="s">
        <v>4178</v>
      </c>
      <c r="M453" s="34">
        <v>239900</v>
      </c>
      <c r="N453" s="35">
        <f t="shared" si="203"/>
        <v>0.75</v>
      </c>
      <c r="O453" s="34">
        <f t="shared" si="148"/>
        <v>71970</v>
      </c>
      <c r="P453" s="32" t="s">
        <v>16</v>
      </c>
    </row>
    <row r="454" spans="1:16" x14ac:dyDescent="0.35">
      <c r="A454" s="32" t="str">
        <f t="shared" ref="A454:C454" si="205">A453</f>
        <v>2024 JAN-DEC DISC 75</v>
      </c>
      <c r="B454" s="33">
        <f t="shared" si="205"/>
        <v>46121</v>
      </c>
      <c r="C454" s="33">
        <f t="shared" si="205"/>
        <v>46127</v>
      </c>
      <c r="D454" s="32">
        <v>3321</v>
      </c>
      <c r="E454" s="32">
        <v>337</v>
      </c>
      <c r="F454" s="32">
        <v>4</v>
      </c>
      <c r="G454" s="32">
        <v>3</v>
      </c>
      <c r="H454" s="32">
        <v>81800</v>
      </c>
      <c r="I454" s="32" t="s">
        <v>2689</v>
      </c>
      <c r="J454" s="32">
        <v>50028067</v>
      </c>
      <c r="K454" s="32" t="s">
        <v>4176</v>
      </c>
      <c r="L454" s="38" t="s">
        <v>4179</v>
      </c>
      <c r="M454" s="34">
        <v>239900</v>
      </c>
      <c r="N454" s="35">
        <f t="shared" si="203"/>
        <v>0.75</v>
      </c>
      <c r="O454" s="34">
        <f t="shared" si="148"/>
        <v>71970</v>
      </c>
      <c r="P454" s="32" t="s">
        <v>16</v>
      </c>
    </row>
    <row r="455" spans="1:16" x14ac:dyDescent="0.35">
      <c r="A455" s="32" t="str">
        <f t="shared" ref="A455:C455" si="206">A454</f>
        <v>2024 JAN-DEC DISC 75</v>
      </c>
      <c r="B455" s="33">
        <f t="shared" si="206"/>
        <v>46121</v>
      </c>
      <c r="C455" s="33">
        <f t="shared" si="206"/>
        <v>46127</v>
      </c>
      <c r="D455" s="32">
        <v>3321</v>
      </c>
      <c r="E455" s="32">
        <v>337</v>
      </c>
      <c r="F455" s="32">
        <v>4</v>
      </c>
      <c r="G455" s="32">
        <v>3</v>
      </c>
      <c r="H455" s="32">
        <v>81800</v>
      </c>
      <c r="I455" s="32" t="s">
        <v>2689</v>
      </c>
      <c r="J455" s="32">
        <v>50028076</v>
      </c>
      <c r="K455" s="32" t="s">
        <v>4176</v>
      </c>
      <c r="L455" s="38" t="s">
        <v>4180</v>
      </c>
      <c r="M455" s="34">
        <v>239900</v>
      </c>
      <c r="N455" s="35">
        <f t="shared" si="203"/>
        <v>0.75</v>
      </c>
      <c r="O455" s="34">
        <f t="shared" si="148"/>
        <v>71970</v>
      </c>
      <c r="P455" s="32" t="s">
        <v>16</v>
      </c>
    </row>
    <row r="456" spans="1:16" x14ac:dyDescent="0.35">
      <c r="A456" s="32" t="str">
        <f t="shared" ref="A456:C456" si="207">A455</f>
        <v>2024 JAN-DEC DISC 75</v>
      </c>
      <c r="B456" s="33">
        <f t="shared" si="207"/>
        <v>46121</v>
      </c>
      <c r="C456" s="33">
        <f t="shared" si="207"/>
        <v>46127</v>
      </c>
      <c r="D456" s="32">
        <v>3321</v>
      </c>
      <c r="E456" s="32">
        <v>337</v>
      </c>
      <c r="F456" s="32">
        <v>4</v>
      </c>
      <c r="G456" s="32">
        <v>4</v>
      </c>
      <c r="H456" s="32">
        <v>81800</v>
      </c>
      <c r="I456" s="32" t="s">
        <v>2689</v>
      </c>
      <c r="J456" s="32">
        <v>50028129</v>
      </c>
      <c r="K456" s="32" t="s">
        <v>4181</v>
      </c>
      <c r="L456" s="38" t="s">
        <v>4182</v>
      </c>
      <c r="M456" s="34">
        <v>249900</v>
      </c>
      <c r="N456" s="35">
        <f t="shared" si="203"/>
        <v>0.75</v>
      </c>
      <c r="O456" s="34">
        <f t="shared" si="148"/>
        <v>74970</v>
      </c>
      <c r="P456" s="32" t="s">
        <v>16</v>
      </c>
    </row>
    <row r="457" spans="1:16" x14ac:dyDescent="0.35">
      <c r="A457" s="32" t="str">
        <f t="shared" ref="A457:C457" si="208">A456</f>
        <v>2024 JAN-DEC DISC 75</v>
      </c>
      <c r="B457" s="33">
        <f t="shared" si="208"/>
        <v>46121</v>
      </c>
      <c r="C457" s="33">
        <f t="shared" si="208"/>
        <v>46127</v>
      </c>
      <c r="D457" s="32">
        <v>3321</v>
      </c>
      <c r="E457" s="32">
        <v>337</v>
      </c>
      <c r="F457" s="32">
        <v>4</v>
      </c>
      <c r="G457" s="32">
        <v>4</v>
      </c>
      <c r="H457" s="32">
        <v>81800</v>
      </c>
      <c r="I457" s="32" t="s">
        <v>2689</v>
      </c>
      <c r="J457" s="32">
        <v>50028138</v>
      </c>
      <c r="K457" s="32" t="s">
        <v>4181</v>
      </c>
      <c r="L457" s="38" t="s">
        <v>4183</v>
      </c>
      <c r="M457" s="34">
        <v>249900</v>
      </c>
      <c r="N457" s="35">
        <f t="shared" si="203"/>
        <v>0.75</v>
      </c>
      <c r="O457" s="34">
        <f t="shared" si="148"/>
        <v>74970</v>
      </c>
      <c r="P457" s="32" t="s">
        <v>16</v>
      </c>
    </row>
    <row r="458" spans="1:16" x14ac:dyDescent="0.35">
      <c r="A458" s="32" t="str">
        <f t="shared" ref="A458:C458" si="209">A457</f>
        <v>2024 JAN-DEC DISC 75</v>
      </c>
      <c r="B458" s="33">
        <f t="shared" si="209"/>
        <v>46121</v>
      </c>
      <c r="C458" s="33">
        <f t="shared" si="209"/>
        <v>46127</v>
      </c>
      <c r="D458" s="32">
        <v>3321</v>
      </c>
      <c r="E458" s="32">
        <v>337</v>
      </c>
      <c r="F458" s="32">
        <v>4</v>
      </c>
      <c r="G458" s="32">
        <v>4</v>
      </c>
      <c r="H458" s="32">
        <v>81800</v>
      </c>
      <c r="I458" s="32" t="s">
        <v>2689</v>
      </c>
      <c r="J458" s="32">
        <v>50028147</v>
      </c>
      <c r="K458" s="32" t="s">
        <v>4181</v>
      </c>
      <c r="L458" s="38" t="s">
        <v>4184</v>
      </c>
      <c r="M458" s="34">
        <v>249900</v>
      </c>
      <c r="N458" s="35">
        <f t="shared" si="203"/>
        <v>0.75</v>
      </c>
      <c r="O458" s="34">
        <f t="shared" si="148"/>
        <v>74970</v>
      </c>
      <c r="P458" s="32" t="s">
        <v>16</v>
      </c>
    </row>
    <row r="459" spans="1:16" x14ac:dyDescent="0.35">
      <c r="A459" s="32" t="str">
        <f t="shared" ref="A459:C459" si="210">A458</f>
        <v>2024 JAN-DEC DISC 75</v>
      </c>
      <c r="B459" s="33">
        <f t="shared" si="210"/>
        <v>46121</v>
      </c>
      <c r="C459" s="33">
        <f t="shared" si="210"/>
        <v>46127</v>
      </c>
      <c r="D459" s="32">
        <v>3321</v>
      </c>
      <c r="E459" s="32">
        <v>337</v>
      </c>
      <c r="F459" s="32">
        <v>4</v>
      </c>
      <c r="G459" s="32">
        <v>4</v>
      </c>
      <c r="H459" s="32">
        <v>81800</v>
      </c>
      <c r="I459" s="32" t="s">
        <v>2689</v>
      </c>
      <c r="J459" s="32">
        <v>50028156</v>
      </c>
      <c r="K459" s="32" t="s">
        <v>4181</v>
      </c>
      <c r="L459" s="38" t="s">
        <v>4185</v>
      </c>
      <c r="M459" s="34">
        <v>249900</v>
      </c>
      <c r="N459" s="35">
        <f t="shared" si="203"/>
        <v>0.75</v>
      </c>
      <c r="O459" s="34">
        <f t="shared" si="148"/>
        <v>74970</v>
      </c>
      <c r="P459" s="32" t="s">
        <v>16</v>
      </c>
    </row>
    <row r="460" spans="1:16" x14ac:dyDescent="0.35">
      <c r="A460" s="32" t="str">
        <f t="shared" ref="A460:C460" si="211">A459</f>
        <v>2024 JAN-DEC DISC 75</v>
      </c>
      <c r="B460" s="33">
        <f t="shared" si="211"/>
        <v>46121</v>
      </c>
      <c r="C460" s="33">
        <f t="shared" si="211"/>
        <v>46127</v>
      </c>
      <c r="D460" s="32">
        <v>3321</v>
      </c>
      <c r="E460" s="32">
        <v>337</v>
      </c>
      <c r="F460" s="32">
        <v>4</v>
      </c>
      <c r="G460" s="32">
        <v>5</v>
      </c>
      <c r="H460" s="32">
        <v>81421</v>
      </c>
      <c r="I460" s="32" t="s">
        <v>2689</v>
      </c>
      <c r="J460" s="32">
        <v>26742278</v>
      </c>
      <c r="K460" s="32" t="s">
        <v>4186</v>
      </c>
      <c r="L460" s="38" t="s">
        <v>4187</v>
      </c>
      <c r="M460" s="34">
        <v>279900</v>
      </c>
      <c r="N460" s="35">
        <f t="shared" si="203"/>
        <v>0.75</v>
      </c>
      <c r="O460" s="34">
        <f t="shared" si="148"/>
        <v>83970</v>
      </c>
      <c r="P460" s="32" t="s">
        <v>16</v>
      </c>
    </row>
    <row r="461" spans="1:16" x14ac:dyDescent="0.35">
      <c r="A461" s="32" t="str">
        <f t="shared" ref="A461:C461" si="212">A460</f>
        <v>2024 JAN-DEC DISC 75</v>
      </c>
      <c r="B461" s="33">
        <f t="shared" si="212"/>
        <v>46121</v>
      </c>
      <c r="C461" s="33">
        <f t="shared" si="212"/>
        <v>46127</v>
      </c>
      <c r="D461" s="32">
        <v>3321</v>
      </c>
      <c r="E461" s="32">
        <v>337</v>
      </c>
      <c r="F461" s="32">
        <v>4</v>
      </c>
      <c r="G461" s="32">
        <v>5</v>
      </c>
      <c r="H461" s="32">
        <v>81421</v>
      </c>
      <c r="I461" s="32" t="s">
        <v>2689</v>
      </c>
      <c r="J461" s="32">
        <v>26742287</v>
      </c>
      <c r="K461" s="32" t="s">
        <v>4186</v>
      </c>
      <c r="L461" s="38" t="s">
        <v>4188</v>
      </c>
      <c r="M461" s="34">
        <v>279900</v>
      </c>
      <c r="N461" s="35">
        <f t="shared" si="203"/>
        <v>0.75</v>
      </c>
      <c r="O461" s="34">
        <f t="shared" si="148"/>
        <v>83970</v>
      </c>
      <c r="P461" s="32" t="s">
        <v>16</v>
      </c>
    </row>
    <row r="462" spans="1:16" x14ac:dyDescent="0.35">
      <c r="A462" s="32" t="str">
        <f t="shared" ref="A462:C462" si="213">A461</f>
        <v>2024 JAN-DEC DISC 75</v>
      </c>
      <c r="B462" s="33">
        <f t="shared" si="213"/>
        <v>46121</v>
      </c>
      <c r="C462" s="33">
        <f t="shared" si="213"/>
        <v>46127</v>
      </c>
      <c r="D462" s="32">
        <v>3321</v>
      </c>
      <c r="E462" s="32">
        <v>337</v>
      </c>
      <c r="F462" s="32">
        <v>4</v>
      </c>
      <c r="G462" s="32">
        <v>5</v>
      </c>
      <c r="H462" s="32">
        <v>81421</v>
      </c>
      <c r="I462" s="32" t="s">
        <v>2689</v>
      </c>
      <c r="J462" s="32">
        <v>26742296</v>
      </c>
      <c r="K462" s="32" t="s">
        <v>4186</v>
      </c>
      <c r="L462" s="38" t="s">
        <v>4189</v>
      </c>
      <c r="M462" s="34">
        <v>279900</v>
      </c>
      <c r="N462" s="35">
        <f t="shared" si="203"/>
        <v>0.75</v>
      </c>
      <c r="O462" s="34">
        <f t="shared" ref="O462:O512" si="214">M462-((70*M462))/100</f>
        <v>83970</v>
      </c>
      <c r="P462" s="32" t="s">
        <v>16</v>
      </c>
    </row>
    <row r="463" spans="1:16" x14ac:dyDescent="0.35">
      <c r="A463" s="32" t="str">
        <f t="shared" ref="A463:C463" si="215">A462</f>
        <v>2024 JAN-DEC DISC 75</v>
      </c>
      <c r="B463" s="33">
        <f t="shared" si="215"/>
        <v>46121</v>
      </c>
      <c r="C463" s="33">
        <f t="shared" si="215"/>
        <v>46127</v>
      </c>
      <c r="D463" s="32">
        <v>3321</v>
      </c>
      <c r="E463" s="32">
        <v>337</v>
      </c>
      <c r="F463" s="32">
        <v>4</v>
      </c>
      <c r="G463" s="32">
        <v>5</v>
      </c>
      <c r="H463" s="32">
        <v>81421</v>
      </c>
      <c r="I463" s="32" t="s">
        <v>2689</v>
      </c>
      <c r="J463" s="32">
        <v>26742303</v>
      </c>
      <c r="K463" s="32" t="s">
        <v>4186</v>
      </c>
      <c r="L463" s="38" t="s">
        <v>4190</v>
      </c>
      <c r="M463" s="34">
        <v>279900</v>
      </c>
      <c r="N463" s="35">
        <f t="shared" si="203"/>
        <v>0.75</v>
      </c>
      <c r="O463" s="34">
        <f t="shared" si="214"/>
        <v>83970</v>
      </c>
      <c r="P463" s="32" t="s">
        <v>16</v>
      </c>
    </row>
    <row r="464" spans="1:16" x14ac:dyDescent="0.35">
      <c r="A464" s="32" t="str">
        <f t="shared" ref="A464:C464" si="216">A463</f>
        <v>2024 JAN-DEC DISC 75</v>
      </c>
      <c r="B464" s="33">
        <f t="shared" si="216"/>
        <v>46121</v>
      </c>
      <c r="C464" s="33">
        <f t="shared" si="216"/>
        <v>46127</v>
      </c>
      <c r="D464" s="32">
        <v>3321</v>
      </c>
      <c r="E464" s="32">
        <v>337</v>
      </c>
      <c r="F464" s="32">
        <v>4</v>
      </c>
      <c r="G464" s="32">
        <v>5</v>
      </c>
      <c r="H464" s="32">
        <v>81421</v>
      </c>
      <c r="I464" s="32" t="s">
        <v>2689</v>
      </c>
      <c r="J464" s="32">
        <v>26742358</v>
      </c>
      <c r="K464" s="32" t="s">
        <v>4191</v>
      </c>
      <c r="L464" s="38" t="s">
        <v>4192</v>
      </c>
      <c r="M464" s="34">
        <v>279900</v>
      </c>
      <c r="N464" s="35">
        <f t="shared" si="203"/>
        <v>0.75</v>
      </c>
      <c r="O464" s="34">
        <f t="shared" si="214"/>
        <v>83970</v>
      </c>
      <c r="P464" s="32" t="s">
        <v>16</v>
      </c>
    </row>
    <row r="465" spans="1:16" x14ac:dyDescent="0.35">
      <c r="A465" s="32" t="str">
        <f t="shared" ref="A465:C465" si="217">A464</f>
        <v>2024 JAN-DEC DISC 75</v>
      </c>
      <c r="B465" s="33">
        <f t="shared" si="217"/>
        <v>46121</v>
      </c>
      <c r="C465" s="33">
        <f t="shared" si="217"/>
        <v>46127</v>
      </c>
      <c r="D465" s="32">
        <v>3321</v>
      </c>
      <c r="E465" s="32">
        <v>337</v>
      </c>
      <c r="F465" s="32">
        <v>4</v>
      </c>
      <c r="G465" s="32">
        <v>5</v>
      </c>
      <c r="H465" s="32">
        <v>81421</v>
      </c>
      <c r="I465" s="32" t="s">
        <v>2689</v>
      </c>
      <c r="J465" s="32">
        <v>26742367</v>
      </c>
      <c r="K465" s="32" t="s">
        <v>4191</v>
      </c>
      <c r="L465" s="38" t="s">
        <v>4193</v>
      </c>
      <c r="M465" s="34">
        <v>279900</v>
      </c>
      <c r="N465" s="35">
        <f t="shared" si="203"/>
        <v>0.75</v>
      </c>
      <c r="O465" s="34">
        <f t="shared" si="214"/>
        <v>83970</v>
      </c>
      <c r="P465" s="32" t="s">
        <v>16</v>
      </c>
    </row>
    <row r="466" spans="1:16" x14ac:dyDescent="0.35">
      <c r="A466" s="32" t="str">
        <f t="shared" ref="A466:C466" si="218">A465</f>
        <v>2024 JAN-DEC DISC 75</v>
      </c>
      <c r="B466" s="33">
        <f t="shared" si="218"/>
        <v>46121</v>
      </c>
      <c r="C466" s="33">
        <f t="shared" si="218"/>
        <v>46127</v>
      </c>
      <c r="D466" s="32">
        <v>3321</v>
      </c>
      <c r="E466" s="32">
        <v>337</v>
      </c>
      <c r="F466" s="32">
        <v>4</v>
      </c>
      <c r="G466" s="32">
        <v>5</v>
      </c>
      <c r="H466" s="32">
        <v>81421</v>
      </c>
      <c r="I466" s="32" t="s">
        <v>2689</v>
      </c>
      <c r="J466" s="32">
        <v>26742376</v>
      </c>
      <c r="K466" s="32" t="s">
        <v>4191</v>
      </c>
      <c r="L466" s="38" t="s">
        <v>4194</v>
      </c>
      <c r="M466" s="34">
        <v>279900</v>
      </c>
      <c r="N466" s="35">
        <f t="shared" si="203"/>
        <v>0.75</v>
      </c>
      <c r="O466" s="34">
        <f t="shared" si="214"/>
        <v>83970</v>
      </c>
      <c r="P466" s="32" t="s">
        <v>16</v>
      </c>
    </row>
    <row r="467" spans="1:16" x14ac:dyDescent="0.35">
      <c r="A467" s="32" t="str">
        <f t="shared" ref="A467:C467" si="219">A466</f>
        <v>2024 JAN-DEC DISC 75</v>
      </c>
      <c r="B467" s="33">
        <f t="shared" si="219"/>
        <v>46121</v>
      </c>
      <c r="C467" s="33">
        <f t="shared" si="219"/>
        <v>46127</v>
      </c>
      <c r="D467" s="32">
        <v>3321</v>
      </c>
      <c r="E467" s="32">
        <v>337</v>
      </c>
      <c r="F467" s="32">
        <v>4</v>
      </c>
      <c r="G467" s="32">
        <v>5</v>
      </c>
      <c r="H467" s="32">
        <v>81421</v>
      </c>
      <c r="I467" s="32" t="s">
        <v>2689</v>
      </c>
      <c r="J467" s="32">
        <v>26742385</v>
      </c>
      <c r="K467" s="32" t="s">
        <v>4191</v>
      </c>
      <c r="L467" s="38" t="s">
        <v>4195</v>
      </c>
      <c r="M467" s="34">
        <v>279900</v>
      </c>
      <c r="N467" s="35">
        <f t="shared" si="203"/>
        <v>0.75</v>
      </c>
      <c r="O467" s="34">
        <f t="shared" si="214"/>
        <v>83970</v>
      </c>
      <c r="P467" s="32" t="s">
        <v>16</v>
      </c>
    </row>
    <row r="468" spans="1:16" x14ac:dyDescent="0.35">
      <c r="A468" s="32" t="str">
        <f t="shared" ref="A468:C468" si="220">A467</f>
        <v>2024 JAN-DEC DISC 75</v>
      </c>
      <c r="B468" s="33">
        <f t="shared" si="220"/>
        <v>46121</v>
      </c>
      <c r="C468" s="33">
        <f t="shared" si="220"/>
        <v>46127</v>
      </c>
      <c r="D468" s="32">
        <v>3321</v>
      </c>
      <c r="E468" s="32">
        <v>337</v>
      </c>
      <c r="F468" s="32">
        <v>4</v>
      </c>
      <c r="G468" s="32">
        <v>5</v>
      </c>
      <c r="H468" s="32">
        <v>81800</v>
      </c>
      <c r="I468" s="32" t="s">
        <v>2689</v>
      </c>
      <c r="J468" s="32">
        <v>50028183</v>
      </c>
      <c r="K468" s="32" t="s">
        <v>4196</v>
      </c>
      <c r="L468" s="38" t="s">
        <v>4197</v>
      </c>
      <c r="M468" s="34">
        <v>299900</v>
      </c>
      <c r="N468" s="35">
        <f t="shared" si="203"/>
        <v>0.75</v>
      </c>
      <c r="O468" s="34">
        <f t="shared" si="214"/>
        <v>89970</v>
      </c>
      <c r="P468" s="32" t="s">
        <v>16</v>
      </c>
    </row>
    <row r="469" spans="1:16" x14ac:dyDescent="0.35">
      <c r="A469" s="32" t="str">
        <f t="shared" ref="A469:C469" si="221">A468</f>
        <v>2024 JAN-DEC DISC 75</v>
      </c>
      <c r="B469" s="33">
        <f t="shared" si="221"/>
        <v>46121</v>
      </c>
      <c r="C469" s="33">
        <f t="shared" si="221"/>
        <v>46127</v>
      </c>
      <c r="D469" s="32">
        <v>3321</v>
      </c>
      <c r="E469" s="32">
        <v>337</v>
      </c>
      <c r="F469" s="32">
        <v>4</v>
      </c>
      <c r="G469" s="32">
        <v>5</v>
      </c>
      <c r="H469" s="32">
        <v>81800</v>
      </c>
      <c r="I469" s="32" t="s">
        <v>2689</v>
      </c>
      <c r="J469" s="32">
        <v>50028192</v>
      </c>
      <c r="K469" s="32" t="s">
        <v>4196</v>
      </c>
      <c r="L469" s="38" t="s">
        <v>4198</v>
      </c>
      <c r="M469" s="34">
        <v>299900</v>
      </c>
      <c r="N469" s="35">
        <f t="shared" si="203"/>
        <v>0.75</v>
      </c>
      <c r="O469" s="34">
        <f t="shared" si="214"/>
        <v>89970</v>
      </c>
      <c r="P469" s="32" t="s">
        <v>16</v>
      </c>
    </row>
    <row r="470" spans="1:16" x14ac:dyDescent="0.35">
      <c r="A470" s="32" t="str">
        <f t="shared" ref="A470:C470" si="222">A469</f>
        <v>2024 JAN-DEC DISC 75</v>
      </c>
      <c r="B470" s="33">
        <f t="shared" si="222"/>
        <v>46121</v>
      </c>
      <c r="C470" s="33">
        <f t="shared" si="222"/>
        <v>46127</v>
      </c>
      <c r="D470" s="32">
        <v>3321</v>
      </c>
      <c r="E470" s="32">
        <v>337</v>
      </c>
      <c r="F470" s="32">
        <v>4</v>
      </c>
      <c r="G470" s="32">
        <v>5</v>
      </c>
      <c r="H470" s="32">
        <v>81800</v>
      </c>
      <c r="I470" s="32" t="s">
        <v>2689</v>
      </c>
      <c r="J470" s="32">
        <v>50028209</v>
      </c>
      <c r="K470" s="32" t="s">
        <v>4196</v>
      </c>
      <c r="L470" s="38" t="s">
        <v>4199</v>
      </c>
      <c r="M470" s="34">
        <v>299900</v>
      </c>
      <c r="N470" s="35">
        <f t="shared" si="203"/>
        <v>0.75</v>
      </c>
      <c r="O470" s="34">
        <f t="shared" si="214"/>
        <v>89970</v>
      </c>
      <c r="P470" s="32" t="s">
        <v>16</v>
      </c>
    </row>
    <row r="471" spans="1:16" x14ac:dyDescent="0.35">
      <c r="A471" s="32" t="str">
        <f t="shared" ref="A471:C471" si="223">A470</f>
        <v>2024 JAN-DEC DISC 75</v>
      </c>
      <c r="B471" s="33">
        <f t="shared" si="223"/>
        <v>46121</v>
      </c>
      <c r="C471" s="33">
        <f t="shared" si="223"/>
        <v>46127</v>
      </c>
      <c r="D471" s="32">
        <v>3321</v>
      </c>
      <c r="E471" s="32">
        <v>337</v>
      </c>
      <c r="F471" s="32">
        <v>4</v>
      </c>
      <c r="G471" s="32">
        <v>5</v>
      </c>
      <c r="H471" s="32">
        <v>81800</v>
      </c>
      <c r="I471" s="32" t="s">
        <v>2689</v>
      </c>
      <c r="J471" s="32">
        <v>50028218</v>
      </c>
      <c r="K471" s="32" t="s">
        <v>4196</v>
      </c>
      <c r="L471" s="38" t="s">
        <v>4200</v>
      </c>
      <c r="M471" s="34">
        <v>299900</v>
      </c>
      <c r="N471" s="35">
        <f t="shared" si="203"/>
        <v>0.75</v>
      </c>
      <c r="O471" s="34">
        <f t="shared" si="214"/>
        <v>89970</v>
      </c>
      <c r="P471" s="32" t="s">
        <v>16</v>
      </c>
    </row>
    <row r="472" spans="1:16" x14ac:dyDescent="0.35">
      <c r="A472" s="32" t="str">
        <f t="shared" ref="A472:C472" si="224">A471</f>
        <v>2024 JAN-DEC DISC 75</v>
      </c>
      <c r="B472" s="33">
        <f t="shared" si="224"/>
        <v>46121</v>
      </c>
      <c r="C472" s="33">
        <f t="shared" si="224"/>
        <v>46127</v>
      </c>
      <c r="D472" s="32">
        <v>3321</v>
      </c>
      <c r="E472" s="32">
        <v>337</v>
      </c>
      <c r="F472" s="32">
        <v>4</v>
      </c>
      <c r="G472" s="32">
        <v>1</v>
      </c>
      <c r="H472" s="32">
        <v>81421</v>
      </c>
      <c r="I472" s="32" t="s">
        <v>2689</v>
      </c>
      <c r="J472" s="32">
        <v>50028174</v>
      </c>
      <c r="K472" s="32" t="s">
        <v>3952</v>
      </c>
      <c r="L472" s="38" t="s">
        <v>4201</v>
      </c>
      <c r="M472" s="34">
        <v>179900</v>
      </c>
      <c r="N472" s="35">
        <f t="shared" si="203"/>
        <v>0.75</v>
      </c>
      <c r="O472" s="34">
        <f t="shared" si="214"/>
        <v>53970</v>
      </c>
      <c r="P472" s="32" t="s">
        <v>16</v>
      </c>
    </row>
    <row r="473" spans="1:16" x14ac:dyDescent="0.35">
      <c r="A473" s="32" t="str">
        <f t="shared" ref="A473:C473" si="225">A472</f>
        <v>2024 JAN-DEC DISC 75</v>
      </c>
      <c r="B473" s="33">
        <f t="shared" si="225"/>
        <v>46121</v>
      </c>
      <c r="C473" s="33">
        <f t="shared" si="225"/>
        <v>46127</v>
      </c>
      <c r="D473" s="32">
        <v>3321</v>
      </c>
      <c r="E473" s="32">
        <v>337</v>
      </c>
      <c r="F473" s="32">
        <v>4</v>
      </c>
      <c r="G473" s="32">
        <v>1</v>
      </c>
      <c r="H473" s="32">
        <v>81421</v>
      </c>
      <c r="I473" s="32" t="s">
        <v>2689</v>
      </c>
      <c r="J473" s="32">
        <v>50028165</v>
      </c>
      <c r="K473" s="32" t="s">
        <v>3952</v>
      </c>
      <c r="L473" s="38" t="s">
        <v>4202</v>
      </c>
      <c r="M473" s="34">
        <v>179900</v>
      </c>
      <c r="N473" s="35">
        <f t="shared" si="203"/>
        <v>0.75</v>
      </c>
      <c r="O473" s="34">
        <f t="shared" si="214"/>
        <v>53970</v>
      </c>
      <c r="P473" s="32" t="s">
        <v>16</v>
      </c>
    </row>
    <row r="474" spans="1:16" x14ac:dyDescent="0.35">
      <c r="A474" s="32" t="str">
        <f t="shared" ref="A474:C474" si="226">A473</f>
        <v>2024 JAN-DEC DISC 75</v>
      </c>
      <c r="B474" s="33">
        <f t="shared" si="226"/>
        <v>46121</v>
      </c>
      <c r="C474" s="33">
        <f t="shared" si="226"/>
        <v>46127</v>
      </c>
      <c r="D474" s="32">
        <v>3321</v>
      </c>
      <c r="E474" s="32">
        <v>337</v>
      </c>
      <c r="F474" s="32">
        <v>4</v>
      </c>
      <c r="G474" s="32">
        <v>3</v>
      </c>
      <c r="H474" s="32">
        <v>81005</v>
      </c>
      <c r="I474" s="32" t="s">
        <v>2689</v>
      </c>
      <c r="J474" s="32">
        <v>50028325</v>
      </c>
      <c r="K474" s="32" t="s">
        <v>4203</v>
      </c>
      <c r="L474" s="38" t="s">
        <v>4204</v>
      </c>
      <c r="M474" s="34">
        <v>219900</v>
      </c>
      <c r="N474" s="35">
        <f t="shared" si="203"/>
        <v>0.75</v>
      </c>
      <c r="O474" s="34">
        <f t="shared" si="214"/>
        <v>65970</v>
      </c>
      <c r="P474" s="32" t="s">
        <v>16</v>
      </c>
    </row>
    <row r="475" spans="1:16" x14ac:dyDescent="0.35">
      <c r="A475" s="32" t="str">
        <f t="shared" ref="A475:C475" si="227">A474</f>
        <v>2024 JAN-DEC DISC 75</v>
      </c>
      <c r="B475" s="33">
        <f t="shared" si="227"/>
        <v>46121</v>
      </c>
      <c r="C475" s="33">
        <f t="shared" si="227"/>
        <v>46127</v>
      </c>
      <c r="D475" s="32">
        <v>3321</v>
      </c>
      <c r="E475" s="32">
        <v>337</v>
      </c>
      <c r="F475" s="32">
        <v>4</v>
      </c>
      <c r="G475" s="32">
        <v>3</v>
      </c>
      <c r="H475" s="32">
        <v>81005</v>
      </c>
      <c r="I475" s="32" t="s">
        <v>2689</v>
      </c>
      <c r="J475" s="32">
        <v>50028352</v>
      </c>
      <c r="K475" s="32" t="s">
        <v>4203</v>
      </c>
      <c r="L475" s="38" t="s">
        <v>4205</v>
      </c>
      <c r="M475" s="34">
        <v>219900</v>
      </c>
      <c r="N475" s="35">
        <f t="shared" si="203"/>
        <v>0.75</v>
      </c>
      <c r="O475" s="34">
        <f t="shared" si="214"/>
        <v>65970</v>
      </c>
      <c r="P475" s="32" t="s">
        <v>16</v>
      </c>
    </row>
    <row r="476" spans="1:16" x14ac:dyDescent="0.35">
      <c r="A476" s="32" t="str">
        <f t="shared" ref="A476:C476" si="228">A475</f>
        <v>2024 JAN-DEC DISC 75</v>
      </c>
      <c r="B476" s="33">
        <f t="shared" si="228"/>
        <v>46121</v>
      </c>
      <c r="C476" s="33">
        <f t="shared" si="228"/>
        <v>46127</v>
      </c>
      <c r="D476" s="32">
        <v>3321</v>
      </c>
      <c r="E476" s="32">
        <v>337</v>
      </c>
      <c r="F476" s="32">
        <v>4</v>
      </c>
      <c r="G476" s="32">
        <v>3</v>
      </c>
      <c r="H476" s="32">
        <v>81005</v>
      </c>
      <c r="I476" s="32" t="s">
        <v>2689</v>
      </c>
      <c r="J476" s="32">
        <v>50028343</v>
      </c>
      <c r="K476" s="32" t="s">
        <v>4203</v>
      </c>
      <c r="L476" s="38" t="s">
        <v>4206</v>
      </c>
      <c r="M476" s="34">
        <v>219900</v>
      </c>
      <c r="N476" s="35">
        <f t="shared" si="203"/>
        <v>0.75</v>
      </c>
      <c r="O476" s="34">
        <f t="shared" si="214"/>
        <v>65970</v>
      </c>
      <c r="P476" s="32" t="s">
        <v>16</v>
      </c>
    </row>
    <row r="477" spans="1:16" x14ac:dyDescent="0.35">
      <c r="A477" s="32" t="str">
        <f t="shared" ref="A477:C477" si="229">A476</f>
        <v>2024 JAN-DEC DISC 75</v>
      </c>
      <c r="B477" s="33">
        <f t="shared" si="229"/>
        <v>46121</v>
      </c>
      <c r="C477" s="33">
        <f t="shared" si="229"/>
        <v>46127</v>
      </c>
      <c r="D477" s="32">
        <v>3321</v>
      </c>
      <c r="E477" s="32">
        <v>337</v>
      </c>
      <c r="F477" s="32">
        <v>4</v>
      </c>
      <c r="G477" s="32">
        <v>3</v>
      </c>
      <c r="H477" s="32">
        <v>81005</v>
      </c>
      <c r="I477" s="32" t="s">
        <v>2689</v>
      </c>
      <c r="J477" s="32">
        <v>50028334</v>
      </c>
      <c r="K477" s="32" t="s">
        <v>4203</v>
      </c>
      <c r="L477" s="38" t="s">
        <v>4207</v>
      </c>
      <c r="M477" s="34">
        <v>219900</v>
      </c>
      <c r="N477" s="35">
        <f t="shared" si="203"/>
        <v>0.75</v>
      </c>
      <c r="O477" s="34">
        <f t="shared" si="214"/>
        <v>65970</v>
      </c>
      <c r="P477" s="32" t="s">
        <v>16</v>
      </c>
    </row>
    <row r="478" spans="1:16" x14ac:dyDescent="0.35">
      <c r="A478" s="32" t="str">
        <f t="shared" ref="A478:C478" si="230">A477</f>
        <v>2024 JAN-DEC DISC 75</v>
      </c>
      <c r="B478" s="33">
        <f t="shared" si="230"/>
        <v>46121</v>
      </c>
      <c r="C478" s="33">
        <f t="shared" si="230"/>
        <v>46127</v>
      </c>
      <c r="D478" s="32">
        <v>3321</v>
      </c>
      <c r="E478" s="32">
        <v>337</v>
      </c>
      <c r="F478" s="32">
        <v>4</v>
      </c>
      <c r="G478" s="32">
        <v>3</v>
      </c>
      <c r="H478" s="32">
        <v>81005</v>
      </c>
      <c r="I478" s="32" t="s">
        <v>2689</v>
      </c>
      <c r="J478" s="32">
        <v>50028316</v>
      </c>
      <c r="K478" s="32" t="s">
        <v>4203</v>
      </c>
      <c r="L478" s="38" t="s">
        <v>4208</v>
      </c>
      <c r="M478" s="34">
        <v>219900</v>
      </c>
      <c r="N478" s="35">
        <f t="shared" si="203"/>
        <v>0.75</v>
      </c>
      <c r="O478" s="34">
        <f t="shared" si="214"/>
        <v>65970</v>
      </c>
      <c r="P478" s="32" t="s">
        <v>16</v>
      </c>
    </row>
    <row r="479" spans="1:16" x14ac:dyDescent="0.35">
      <c r="A479" s="32" t="str">
        <f t="shared" ref="A479:C479" si="231">A478</f>
        <v>2024 JAN-DEC DISC 75</v>
      </c>
      <c r="B479" s="33">
        <f t="shared" si="231"/>
        <v>46121</v>
      </c>
      <c r="C479" s="33">
        <f t="shared" si="231"/>
        <v>46127</v>
      </c>
      <c r="D479" s="32">
        <v>3321</v>
      </c>
      <c r="E479" s="32">
        <v>337</v>
      </c>
      <c r="F479" s="32">
        <v>4</v>
      </c>
      <c r="G479" s="32">
        <v>3</v>
      </c>
      <c r="H479" s="32">
        <v>81800</v>
      </c>
      <c r="I479" s="32" t="s">
        <v>2689</v>
      </c>
      <c r="J479" s="32">
        <v>50028290</v>
      </c>
      <c r="K479" s="32" t="s">
        <v>4209</v>
      </c>
      <c r="L479" s="38" t="s">
        <v>4210</v>
      </c>
      <c r="M479" s="34">
        <v>299900</v>
      </c>
      <c r="N479" s="35">
        <f t="shared" si="203"/>
        <v>0.75</v>
      </c>
      <c r="O479" s="34">
        <f t="shared" si="214"/>
        <v>89970</v>
      </c>
      <c r="P479" s="32" t="s">
        <v>16</v>
      </c>
    </row>
    <row r="480" spans="1:16" x14ac:dyDescent="0.35">
      <c r="A480" s="32" t="str">
        <f t="shared" ref="A480:C480" si="232">A479</f>
        <v>2024 JAN-DEC DISC 75</v>
      </c>
      <c r="B480" s="33">
        <f t="shared" si="232"/>
        <v>46121</v>
      </c>
      <c r="C480" s="33">
        <f t="shared" si="232"/>
        <v>46127</v>
      </c>
      <c r="D480" s="32">
        <v>3321</v>
      </c>
      <c r="E480" s="32">
        <v>337</v>
      </c>
      <c r="F480" s="32">
        <v>4</v>
      </c>
      <c r="G480" s="32">
        <v>3</v>
      </c>
      <c r="H480" s="32">
        <v>81800</v>
      </c>
      <c r="I480" s="32" t="s">
        <v>2689</v>
      </c>
      <c r="J480" s="32">
        <v>50028307</v>
      </c>
      <c r="K480" s="32" t="s">
        <v>4209</v>
      </c>
      <c r="L480" s="38" t="s">
        <v>4211</v>
      </c>
      <c r="M480" s="34">
        <v>299900</v>
      </c>
      <c r="N480" s="35">
        <f t="shared" si="203"/>
        <v>0.75</v>
      </c>
      <c r="O480" s="34">
        <f t="shared" si="214"/>
        <v>89970</v>
      </c>
      <c r="P480" s="32" t="s">
        <v>16</v>
      </c>
    </row>
    <row r="481" spans="1:16" x14ac:dyDescent="0.35">
      <c r="A481" s="32" t="str">
        <f t="shared" ref="A481:C481" si="233">A480</f>
        <v>2024 JAN-DEC DISC 75</v>
      </c>
      <c r="B481" s="33">
        <f t="shared" si="233"/>
        <v>46121</v>
      </c>
      <c r="C481" s="33">
        <f t="shared" si="233"/>
        <v>46127</v>
      </c>
      <c r="D481" s="32">
        <v>3321</v>
      </c>
      <c r="E481" s="32">
        <v>337</v>
      </c>
      <c r="F481" s="32">
        <v>4</v>
      </c>
      <c r="G481" s="32">
        <v>3</v>
      </c>
      <c r="H481" s="32">
        <v>81800</v>
      </c>
      <c r="I481" s="32" t="s">
        <v>2689</v>
      </c>
      <c r="J481" s="32">
        <v>50028281</v>
      </c>
      <c r="K481" s="32" t="s">
        <v>4209</v>
      </c>
      <c r="L481" s="38" t="s">
        <v>4212</v>
      </c>
      <c r="M481" s="34">
        <v>299900</v>
      </c>
      <c r="N481" s="35">
        <f t="shared" si="203"/>
        <v>0.75</v>
      </c>
      <c r="O481" s="34">
        <f t="shared" si="214"/>
        <v>89970</v>
      </c>
      <c r="P481" s="32" t="s">
        <v>16</v>
      </c>
    </row>
    <row r="482" spans="1:16" x14ac:dyDescent="0.35">
      <c r="A482" s="32" t="str">
        <f t="shared" ref="A482:C482" si="234">A481</f>
        <v>2024 JAN-DEC DISC 75</v>
      </c>
      <c r="B482" s="33">
        <f t="shared" si="234"/>
        <v>46121</v>
      </c>
      <c r="C482" s="33">
        <f t="shared" si="234"/>
        <v>46127</v>
      </c>
      <c r="D482" s="32">
        <v>3321</v>
      </c>
      <c r="E482" s="32">
        <v>337</v>
      </c>
      <c r="F482" s="32">
        <v>4</v>
      </c>
      <c r="G482" s="32">
        <v>3</v>
      </c>
      <c r="H482" s="32">
        <v>81800</v>
      </c>
      <c r="I482" s="32" t="s">
        <v>2689</v>
      </c>
      <c r="J482" s="32">
        <v>50028272</v>
      </c>
      <c r="K482" s="32" t="s">
        <v>4209</v>
      </c>
      <c r="L482" s="38" t="s">
        <v>4213</v>
      </c>
      <c r="M482" s="34">
        <v>299900</v>
      </c>
      <c r="N482" s="35">
        <f t="shared" si="203"/>
        <v>0.75</v>
      </c>
      <c r="O482" s="34">
        <f t="shared" si="214"/>
        <v>89970</v>
      </c>
      <c r="P482" s="32" t="s">
        <v>16</v>
      </c>
    </row>
    <row r="483" spans="1:16" x14ac:dyDescent="0.35">
      <c r="A483" s="32" t="str">
        <f t="shared" ref="A483:C483" si="235">A482</f>
        <v>2024 JAN-DEC DISC 75</v>
      </c>
      <c r="B483" s="33">
        <f t="shared" si="235"/>
        <v>46121</v>
      </c>
      <c r="C483" s="33">
        <f t="shared" si="235"/>
        <v>46127</v>
      </c>
      <c r="D483" s="32">
        <v>3321</v>
      </c>
      <c r="E483" s="32">
        <v>337</v>
      </c>
      <c r="F483" s="32">
        <v>4</v>
      </c>
      <c r="G483" s="32">
        <v>5</v>
      </c>
      <c r="H483" s="32">
        <v>81005</v>
      </c>
      <c r="I483" s="32" t="s">
        <v>2689</v>
      </c>
      <c r="J483" s="32">
        <v>26742241</v>
      </c>
      <c r="K483" s="32" t="s">
        <v>4214</v>
      </c>
      <c r="L483" s="38" t="s">
        <v>4215</v>
      </c>
      <c r="M483" s="34">
        <v>259900</v>
      </c>
      <c r="N483" s="35">
        <f t="shared" si="203"/>
        <v>0.75</v>
      </c>
      <c r="O483" s="34">
        <f t="shared" si="214"/>
        <v>77970</v>
      </c>
      <c r="P483" s="32" t="s">
        <v>16</v>
      </c>
    </row>
    <row r="484" spans="1:16" x14ac:dyDescent="0.35">
      <c r="A484" s="32" t="str">
        <f t="shared" ref="A484:C484" si="236">A483</f>
        <v>2024 JAN-DEC DISC 75</v>
      </c>
      <c r="B484" s="33">
        <f t="shared" si="236"/>
        <v>46121</v>
      </c>
      <c r="C484" s="33">
        <f t="shared" si="236"/>
        <v>46127</v>
      </c>
      <c r="D484" s="32">
        <v>3321</v>
      </c>
      <c r="E484" s="32">
        <v>337</v>
      </c>
      <c r="F484" s="32">
        <v>4</v>
      </c>
      <c r="G484" s="32">
        <v>5</v>
      </c>
      <c r="H484" s="32">
        <v>81005</v>
      </c>
      <c r="I484" s="32" t="s">
        <v>2689</v>
      </c>
      <c r="J484" s="32">
        <v>26742250</v>
      </c>
      <c r="K484" s="32" t="s">
        <v>4214</v>
      </c>
      <c r="L484" s="38" t="s">
        <v>4216</v>
      </c>
      <c r="M484" s="34">
        <v>259900</v>
      </c>
      <c r="N484" s="35">
        <f t="shared" si="203"/>
        <v>0.75</v>
      </c>
      <c r="O484" s="34">
        <f t="shared" si="214"/>
        <v>77970</v>
      </c>
      <c r="P484" s="32" t="s">
        <v>16</v>
      </c>
    </row>
    <row r="485" spans="1:16" x14ac:dyDescent="0.35">
      <c r="A485" s="32" t="str">
        <f t="shared" ref="A485:C485" si="237">A484</f>
        <v>2024 JAN-DEC DISC 75</v>
      </c>
      <c r="B485" s="33">
        <f t="shared" si="237"/>
        <v>46121</v>
      </c>
      <c r="C485" s="33">
        <f t="shared" si="237"/>
        <v>46127</v>
      </c>
      <c r="D485" s="32">
        <v>3321</v>
      </c>
      <c r="E485" s="32">
        <v>337</v>
      </c>
      <c r="F485" s="32">
        <v>4</v>
      </c>
      <c r="G485" s="32">
        <v>5</v>
      </c>
      <c r="H485" s="32">
        <v>81005</v>
      </c>
      <c r="I485" s="32" t="s">
        <v>2689</v>
      </c>
      <c r="J485" s="32">
        <v>26742269</v>
      </c>
      <c r="K485" s="32" t="s">
        <v>4214</v>
      </c>
      <c r="L485" s="38" t="s">
        <v>4217</v>
      </c>
      <c r="M485" s="34">
        <v>259900</v>
      </c>
      <c r="N485" s="35">
        <f t="shared" si="203"/>
        <v>0.75</v>
      </c>
      <c r="O485" s="34">
        <f t="shared" si="214"/>
        <v>77970</v>
      </c>
      <c r="P485" s="32" t="s">
        <v>16</v>
      </c>
    </row>
    <row r="486" spans="1:16" x14ac:dyDescent="0.35">
      <c r="A486" s="32" t="str">
        <f t="shared" ref="A486:C486" si="238">A485</f>
        <v>2024 JAN-DEC DISC 75</v>
      </c>
      <c r="B486" s="33">
        <f t="shared" si="238"/>
        <v>46121</v>
      </c>
      <c r="C486" s="33">
        <f t="shared" si="238"/>
        <v>46127</v>
      </c>
      <c r="D486" s="32">
        <v>3321</v>
      </c>
      <c r="E486" s="32">
        <v>337</v>
      </c>
      <c r="F486" s="32">
        <v>4</v>
      </c>
      <c r="G486" s="32">
        <v>5</v>
      </c>
      <c r="H486" s="32">
        <v>81005</v>
      </c>
      <c r="I486" s="32" t="s">
        <v>2689</v>
      </c>
      <c r="J486" s="32">
        <v>26742223</v>
      </c>
      <c r="K486" s="32" t="s">
        <v>4214</v>
      </c>
      <c r="L486" s="38" t="s">
        <v>4218</v>
      </c>
      <c r="M486" s="34">
        <v>259900</v>
      </c>
      <c r="N486" s="35">
        <f t="shared" si="203"/>
        <v>0.75</v>
      </c>
      <c r="O486" s="34">
        <f t="shared" si="214"/>
        <v>77970</v>
      </c>
      <c r="P486" s="32" t="s">
        <v>16</v>
      </c>
    </row>
    <row r="487" spans="1:16" x14ac:dyDescent="0.35">
      <c r="A487" s="32" t="str">
        <f t="shared" ref="A487:C487" si="239">A486</f>
        <v>2024 JAN-DEC DISC 75</v>
      </c>
      <c r="B487" s="33">
        <f t="shared" si="239"/>
        <v>46121</v>
      </c>
      <c r="C487" s="33">
        <f t="shared" si="239"/>
        <v>46127</v>
      </c>
      <c r="D487" s="32">
        <v>3321</v>
      </c>
      <c r="E487" s="32">
        <v>337</v>
      </c>
      <c r="F487" s="32">
        <v>4</v>
      </c>
      <c r="G487" s="32">
        <v>5</v>
      </c>
      <c r="H487" s="32">
        <v>81005</v>
      </c>
      <c r="I487" s="32" t="s">
        <v>2689</v>
      </c>
      <c r="J487" s="32">
        <v>26742232</v>
      </c>
      <c r="K487" s="32" t="s">
        <v>4214</v>
      </c>
      <c r="L487" s="38" t="s">
        <v>4219</v>
      </c>
      <c r="M487" s="34">
        <v>259900</v>
      </c>
      <c r="N487" s="35">
        <f t="shared" si="203"/>
        <v>0.75</v>
      </c>
      <c r="O487" s="34">
        <f t="shared" si="214"/>
        <v>77970</v>
      </c>
      <c r="P487" s="32" t="s">
        <v>16</v>
      </c>
    </row>
    <row r="488" spans="1:16" x14ac:dyDescent="0.35">
      <c r="A488" s="32" t="str">
        <f t="shared" ref="A488:C488" si="240">A487</f>
        <v>2024 JAN-DEC DISC 75</v>
      </c>
      <c r="B488" s="33">
        <f t="shared" si="240"/>
        <v>46121</v>
      </c>
      <c r="C488" s="33">
        <f t="shared" si="240"/>
        <v>46127</v>
      </c>
      <c r="D488" s="32">
        <v>3321</v>
      </c>
      <c r="E488" s="32">
        <v>337</v>
      </c>
      <c r="F488" s="32">
        <v>4</v>
      </c>
      <c r="G488" s="32">
        <v>1</v>
      </c>
      <c r="H488" s="32">
        <v>81048</v>
      </c>
      <c r="I488" s="32" t="s">
        <v>2689</v>
      </c>
      <c r="J488" s="32">
        <v>50189867</v>
      </c>
      <c r="K488" s="32" t="s">
        <v>4315</v>
      </c>
      <c r="L488" s="38" t="s">
        <v>4316</v>
      </c>
      <c r="M488" s="34">
        <v>149900</v>
      </c>
      <c r="N488" s="35">
        <f t="shared" si="203"/>
        <v>0.75</v>
      </c>
      <c r="O488" s="34">
        <f t="shared" si="214"/>
        <v>44970</v>
      </c>
      <c r="P488" s="32" t="s">
        <v>16</v>
      </c>
    </row>
    <row r="489" spans="1:16" x14ac:dyDescent="0.35">
      <c r="A489" s="32" t="str">
        <f t="shared" ref="A489:C489" si="241">A488</f>
        <v>2024 JAN-DEC DISC 75</v>
      </c>
      <c r="B489" s="33">
        <f t="shared" si="241"/>
        <v>46121</v>
      </c>
      <c r="C489" s="33">
        <f t="shared" si="241"/>
        <v>46127</v>
      </c>
      <c r="D489" s="32">
        <v>3321</v>
      </c>
      <c r="E489" s="32">
        <v>337</v>
      </c>
      <c r="F489" s="32">
        <v>4</v>
      </c>
      <c r="G489" s="32">
        <v>1</v>
      </c>
      <c r="H489" s="32">
        <v>81048</v>
      </c>
      <c r="I489" s="32" t="s">
        <v>2689</v>
      </c>
      <c r="J489" s="32">
        <v>50189876</v>
      </c>
      <c r="K489" s="32" t="s">
        <v>4315</v>
      </c>
      <c r="L489" s="38" t="s">
        <v>4319</v>
      </c>
      <c r="M489" s="34">
        <v>149900</v>
      </c>
      <c r="N489" s="35">
        <f t="shared" si="203"/>
        <v>0.75</v>
      </c>
      <c r="O489" s="34">
        <f t="shared" si="214"/>
        <v>44970</v>
      </c>
      <c r="P489" s="32" t="s">
        <v>16</v>
      </c>
    </row>
    <row r="490" spans="1:16" x14ac:dyDescent="0.35">
      <c r="A490" s="32" t="str">
        <f t="shared" ref="A490:C490" si="242">A489</f>
        <v>2024 JAN-DEC DISC 75</v>
      </c>
      <c r="B490" s="33">
        <f t="shared" si="242"/>
        <v>46121</v>
      </c>
      <c r="C490" s="33">
        <f t="shared" si="242"/>
        <v>46127</v>
      </c>
      <c r="D490" s="32">
        <v>3321</v>
      </c>
      <c r="E490" s="32">
        <v>337</v>
      </c>
      <c r="F490" s="32">
        <v>4</v>
      </c>
      <c r="G490" s="32">
        <v>1</v>
      </c>
      <c r="H490" s="32">
        <v>81048</v>
      </c>
      <c r="I490" s="32" t="s">
        <v>2689</v>
      </c>
      <c r="J490" s="32">
        <v>50189885</v>
      </c>
      <c r="K490" s="32" t="s">
        <v>4315</v>
      </c>
      <c r="L490" s="38" t="s">
        <v>4321</v>
      </c>
      <c r="M490" s="34">
        <v>149900</v>
      </c>
      <c r="N490" s="35">
        <f t="shared" si="203"/>
        <v>0.75</v>
      </c>
      <c r="O490" s="34">
        <f t="shared" si="214"/>
        <v>44970</v>
      </c>
      <c r="P490" s="32" t="s">
        <v>16</v>
      </c>
    </row>
    <row r="491" spans="1:16" x14ac:dyDescent="0.35">
      <c r="A491" s="32" t="str">
        <f t="shared" ref="A491:C491" si="243">A490</f>
        <v>2024 JAN-DEC DISC 75</v>
      </c>
      <c r="B491" s="33">
        <f t="shared" si="243"/>
        <v>46121</v>
      </c>
      <c r="C491" s="33">
        <f t="shared" si="243"/>
        <v>46127</v>
      </c>
      <c r="D491" s="32">
        <v>3321</v>
      </c>
      <c r="E491" s="32">
        <v>337</v>
      </c>
      <c r="F491" s="32">
        <v>4</v>
      </c>
      <c r="G491" s="32">
        <v>1</v>
      </c>
      <c r="H491" s="32">
        <v>81048</v>
      </c>
      <c r="I491" s="32" t="s">
        <v>2689</v>
      </c>
      <c r="J491" s="32">
        <v>50189858</v>
      </c>
      <c r="K491" s="32" t="s">
        <v>4315</v>
      </c>
      <c r="L491" s="38" t="s">
        <v>4324</v>
      </c>
      <c r="M491" s="34">
        <v>149900</v>
      </c>
      <c r="N491" s="35">
        <f t="shared" si="203"/>
        <v>0.75</v>
      </c>
      <c r="O491" s="34">
        <f t="shared" si="214"/>
        <v>44970</v>
      </c>
      <c r="P491" s="32" t="s">
        <v>16</v>
      </c>
    </row>
    <row r="492" spans="1:16" x14ac:dyDescent="0.35">
      <c r="A492" s="32" t="str">
        <f t="shared" ref="A492:C492" si="244">A491</f>
        <v>2024 JAN-DEC DISC 75</v>
      </c>
      <c r="B492" s="33">
        <f t="shared" si="244"/>
        <v>46121</v>
      </c>
      <c r="C492" s="33">
        <f t="shared" si="244"/>
        <v>46127</v>
      </c>
      <c r="D492" s="32">
        <v>3321</v>
      </c>
      <c r="E492" s="32">
        <v>337</v>
      </c>
      <c r="F492" s="32">
        <v>4</v>
      </c>
      <c r="G492" s="32">
        <v>1</v>
      </c>
      <c r="H492" s="32">
        <v>81048</v>
      </c>
      <c r="I492" s="32" t="s">
        <v>2689</v>
      </c>
      <c r="J492" s="32">
        <v>50189910</v>
      </c>
      <c r="K492" s="32" t="s">
        <v>4317</v>
      </c>
      <c r="L492" s="38" t="s">
        <v>4318</v>
      </c>
      <c r="M492" s="34">
        <v>149900</v>
      </c>
      <c r="N492" s="35">
        <f t="shared" si="203"/>
        <v>0.75</v>
      </c>
      <c r="O492" s="34">
        <f t="shared" si="214"/>
        <v>44970</v>
      </c>
      <c r="P492" s="32" t="s">
        <v>16</v>
      </c>
    </row>
    <row r="493" spans="1:16" x14ac:dyDescent="0.35">
      <c r="A493" s="32" t="str">
        <f t="shared" ref="A493:C493" si="245">A492</f>
        <v>2024 JAN-DEC DISC 75</v>
      </c>
      <c r="B493" s="33">
        <f t="shared" si="245"/>
        <v>46121</v>
      </c>
      <c r="C493" s="33">
        <f t="shared" si="245"/>
        <v>46127</v>
      </c>
      <c r="D493" s="32">
        <v>3321</v>
      </c>
      <c r="E493" s="32">
        <v>337</v>
      </c>
      <c r="F493" s="32">
        <v>4</v>
      </c>
      <c r="G493" s="32">
        <v>1</v>
      </c>
      <c r="H493" s="32">
        <v>81048</v>
      </c>
      <c r="I493" s="32" t="s">
        <v>2689</v>
      </c>
      <c r="J493" s="32">
        <v>50189901</v>
      </c>
      <c r="K493" s="32" t="s">
        <v>4317</v>
      </c>
      <c r="L493" s="38" t="s">
        <v>4320</v>
      </c>
      <c r="M493" s="34">
        <v>149900</v>
      </c>
      <c r="N493" s="35">
        <f t="shared" si="203"/>
        <v>0.75</v>
      </c>
      <c r="O493" s="34">
        <f t="shared" si="214"/>
        <v>44970</v>
      </c>
      <c r="P493" s="32" t="s">
        <v>16</v>
      </c>
    </row>
    <row r="494" spans="1:16" x14ac:dyDescent="0.35">
      <c r="A494" s="32" t="str">
        <f t="shared" ref="A494:C494" si="246">A493</f>
        <v>2024 JAN-DEC DISC 75</v>
      </c>
      <c r="B494" s="33">
        <f t="shared" si="246"/>
        <v>46121</v>
      </c>
      <c r="C494" s="33">
        <f t="shared" si="246"/>
        <v>46127</v>
      </c>
      <c r="D494" s="32">
        <v>3321</v>
      </c>
      <c r="E494" s="32">
        <v>337</v>
      </c>
      <c r="F494" s="32">
        <v>4</v>
      </c>
      <c r="G494" s="32">
        <v>1</v>
      </c>
      <c r="H494" s="32">
        <v>81048</v>
      </c>
      <c r="I494" s="32" t="s">
        <v>2689</v>
      </c>
      <c r="J494" s="32">
        <v>50189929</v>
      </c>
      <c r="K494" s="32" t="s">
        <v>4317</v>
      </c>
      <c r="L494" s="38" t="s">
        <v>4322</v>
      </c>
      <c r="M494" s="34">
        <v>149900</v>
      </c>
      <c r="N494" s="35">
        <f t="shared" si="203"/>
        <v>0.75</v>
      </c>
      <c r="O494" s="34">
        <f t="shared" si="214"/>
        <v>44970</v>
      </c>
      <c r="P494" s="32" t="s">
        <v>16</v>
      </c>
    </row>
    <row r="495" spans="1:16" x14ac:dyDescent="0.35">
      <c r="A495" s="32" t="str">
        <f t="shared" ref="A495:C495" si="247">A494</f>
        <v>2024 JAN-DEC DISC 75</v>
      </c>
      <c r="B495" s="33">
        <f t="shared" si="247"/>
        <v>46121</v>
      </c>
      <c r="C495" s="33">
        <f t="shared" si="247"/>
        <v>46127</v>
      </c>
      <c r="D495" s="32">
        <v>3321</v>
      </c>
      <c r="E495" s="32">
        <v>337</v>
      </c>
      <c r="F495" s="32">
        <v>4</v>
      </c>
      <c r="G495" s="32">
        <v>1</v>
      </c>
      <c r="H495" s="32">
        <v>81048</v>
      </c>
      <c r="I495" s="32" t="s">
        <v>2689</v>
      </c>
      <c r="J495" s="32">
        <v>50189894</v>
      </c>
      <c r="K495" s="32" t="s">
        <v>4317</v>
      </c>
      <c r="L495" s="38" t="s">
        <v>4323</v>
      </c>
      <c r="M495" s="34">
        <v>149900</v>
      </c>
      <c r="N495" s="35">
        <f t="shared" si="203"/>
        <v>0.75</v>
      </c>
      <c r="O495" s="34">
        <f t="shared" si="214"/>
        <v>44970</v>
      </c>
      <c r="P495" s="32" t="s">
        <v>16</v>
      </c>
    </row>
    <row r="496" spans="1:16" x14ac:dyDescent="0.35">
      <c r="A496" s="32" t="str">
        <f t="shared" ref="A496:C496" si="248">A495</f>
        <v>2024 JAN-DEC DISC 75</v>
      </c>
      <c r="B496" s="33">
        <f t="shared" si="248"/>
        <v>46121</v>
      </c>
      <c r="C496" s="33">
        <f t="shared" si="248"/>
        <v>46127</v>
      </c>
      <c r="D496" s="32">
        <v>3321</v>
      </c>
      <c r="E496" s="32">
        <v>337</v>
      </c>
      <c r="F496" s="32">
        <v>4</v>
      </c>
      <c r="G496" s="32">
        <v>4</v>
      </c>
      <c r="H496" s="32">
        <v>81676</v>
      </c>
      <c r="I496" s="32" t="s">
        <v>2689</v>
      </c>
      <c r="J496" s="32">
        <v>51122257</v>
      </c>
      <c r="K496" s="32" t="s">
        <v>4325</v>
      </c>
      <c r="L496" s="38" t="s">
        <v>4326</v>
      </c>
      <c r="M496" s="34">
        <v>229900</v>
      </c>
      <c r="N496" s="35">
        <f t="shared" si="203"/>
        <v>0.75</v>
      </c>
      <c r="O496" s="34">
        <f t="shared" si="214"/>
        <v>68970</v>
      </c>
      <c r="P496" s="32" t="s">
        <v>16</v>
      </c>
    </row>
    <row r="497" spans="1:16" x14ac:dyDescent="0.35">
      <c r="A497" s="32" t="str">
        <f t="shared" ref="A497:C497" si="249">A496</f>
        <v>2024 JAN-DEC DISC 75</v>
      </c>
      <c r="B497" s="33">
        <f t="shared" si="249"/>
        <v>46121</v>
      </c>
      <c r="C497" s="33">
        <f t="shared" si="249"/>
        <v>46127</v>
      </c>
      <c r="D497" s="32">
        <v>3321</v>
      </c>
      <c r="E497" s="32">
        <v>337</v>
      </c>
      <c r="F497" s="32">
        <v>4</v>
      </c>
      <c r="G497" s="32">
        <v>4</v>
      </c>
      <c r="H497" s="32">
        <v>81676</v>
      </c>
      <c r="I497" s="32" t="s">
        <v>2689</v>
      </c>
      <c r="J497" s="32">
        <v>51122284</v>
      </c>
      <c r="K497" s="32" t="s">
        <v>4325</v>
      </c>
      <c r="L497" s="38" t="s">
        <v>4327</v>
      </c>
      <c r="M497" s="34">
        <v>229900</v>
      </c>
      <c r="N497" s="35">
        <f t="shared" si="203"/>
        <v>0.75</v>
      </c>
      <c r="O497" s="34">
        <f t="shared" si="214"/>
        <v>68970</v>
      </c>
      <c r="P497" s="32" t="s">
        <v>16</v>
      </c>
    </row>
    <row r="498" spans="1:16" x14ac:dyDescent="0.35">
      <c r="A498" s="32" t="str">
        <f t="shared" ref="A498:C498" si="250">A497</f>
        <v>2024 JAN-DEC DISC 75</v>
      </c>
      <c r="B498" s="33">
        <f t="shared" si="250"/>
        <v>46121</v>
      </c>
      <c r="C498" s="33">
        <f t="shared" si="250"/>
        <v>46127</v>
      </c>
      <c r="D498" s="32">
        <v>3321</v>
      </c>
      <c r="E498" s="32">
        <v>337</v>
      </c>
      <c r="F498" s="32">
        <v>4</v>
      </c>
      <c r="G498" s="32">
        <v>4</v>
      </c>
      <c r="H498" s="32">
        <v>81676</v>
      </c>
      <c r="I498" s="32" t="s">
        <v>2689</v>
      </c>
      <c r="J498" s="32">
        <v>51122275</v>
      </c>
      <c r="K498" s="32" t="s">
        <v>4325</v>
      </c>
      <c r="L498" s="38" t="s">
        <v>4328</v>
      </c>
      <c r="M498" s="34">
        <v>229900</v>
      </c>
      <c r="N498" s="35">
        <f t="shared" si="203"/>
        <v>0.75</v>
      </c>
      <c r="O498" s="34">
        <f t="shared" si="214"/>
        <v>68970</v>
      </c>
      <c r="P498" s="32" t="s">
        <v>16</v>
      </c>
    </row>
    <row r="499" spans="1:16" x14ac:dyDescent="0.35">
      <c r="A499" s="32" t="str">
        <f t="shared" ref="A499:C499" si="251">A498</f>
        <v>2024 JAN-DEC DISC 75</v>
      </c>
      <c r="B499" s="33">
        <f t="shared" si="251"/>
        <v>46121</v>
      </c>
      <c r="C499" s="33">
        <f t="shared" si="251"/>
        <v>46127</v>
      </c>
      <c r="D499" s="32">
        <v>3321</v>
      </c>
      <c r="E499" s="32">
        <v>337</v>
      </c>
      <c r="F499" s="32">
        <v>4</v>
      </c>
      <c r="G499" s="32">
        <v>4</v>
      </c>
      <c r="H499" s="32">
        <v>81676</v>
      </c>
      <c r="I499" s="32" t="s">
        <v>2689</v>
      </c>
      <c r="J499" s="32">
        <v>51122266</v>
      </c>
      <c r="K499" s="32" t="s">
        <v>4325</v>
      </c>
      <c r="L499" s="38" t="s">
        <v>4329</v>
      </c>
      <c r="M499" s="34">
        <v>229900</v>
      </c>
      <c r="N499" s="35">
        <f t="shared" si="203"/>
        <v>0.75</v>
      </c>
      <c r="O499" s="34">
        <f t="shared" si="214"/>
        <v>68970</v>
      </c>
      <c r="P499" s="32" t="s">
        <v>16</v>
      </c>
    </row>
    <row r="500" spans="1:16" x14ac:dyDescent="0.35">
      <c r="A500" s="32" t="str">
        <f t="shared" ref="A500:C500" si="252">A499</f>
        <v>2024 JAN-DEC DISC 75</v>
      </c>
      <c r="B500" s="33">
        <f t="shared" si="252"/>
        <v>46121</v>
      </c>
      <c r="C500" s="33">
        <f t="shared" si="252"/>
        <v>46127</v>
      </c>
      <c r="D500" s="32">
        <v>3321</v>
      </c>
      <c r="E500" s="32">
        <v>337</v>
      </c>
      <c r="F500" s="32">
        <v>4</v>
      </c>
      <c r="G500" s="32">
        <v>5</v>
      </c>
      <c r="H500" s="32">
        <v>81005</v>
      </c>
      <c r="I500" s="32" t="s">
        <v>2689</v>
      </c>
      <c r="J500" s="32">
        <v>50028361</v>
      </c>
      <c r="K500" s="32" t="s">
        <v>4330</v>
      </c>
      <c r="L500" s="38" t="s">
        <v>4331</v>
      </c>
      <c r="M500" s="34">
        <v>299900</v>
      </c>
      <c r="N500" s="35">
        <f t="shared" si="203"/>
        <v>0.75</v>
      </c>
      <c r="O500" s="34">
        <f t="shared" si="214"/>
        <v>89970</v>
      </c>
      <c r="P500" s="32" t="s">
        <v>16</v>
      </c>
    </row>
    <row r="501" spans="1:16" x14ac:dyDescent="0.35">
      <c r="A501" s="32" t="str">
        <f t="shared" ref="A501:C501" si="253">A500</f>
        <v>2024 JAN-DEC DISC 75</v>
      </c>
      <c r="B501" s="33">
        <f t="shared" si="253"/>
        <v>46121</v>
      </c>
      <c r="C501" s="33">
        <f t="shared" si="253"/>
        <v>46127</v>
      </c>
      <c r="D501" s="32">
        <v>3321</v>
      </c>
      <c r="E501" s="32">
        <v>337</v>
      </c>
      <c r="F501" s="32">
        <v>4</v>
      </c>
      <c r="G501" s="32">
        <v>5</v>
      </c>
      <c r="H501" s="32">
        <v>81005</v>
      </c>
      <c r="I501" s="32" t="s">
        <v>2689</v>
      </c>
      <c r="J501" s="32">
        <v>50028405</v>
      </c>
      <c r="K501" s="32" t="s">
        <v>4330</v>
      </c>
      <c r="L501" s="38" t="s">
        <v>4332</v>
      </c>
      <c r="M501" s="34">
        <v>299900</v>
      </c>
      <c r="N501" s="35">
        <f t="shared" si="203"/>
        <v>0.75</v>
      </c>
      <c r="O501" s="34">
        <f t="shared" si="214"/>
        <v>89970</v>
      </c>
      <c r="P501" s="32" t="s">
        <v>16</v>
      </c>
    </row>
    <row r="502" spans="1:16" x14ac:dyDescent="0.35">
      <c r="A502" s="32" t="str">
        <f t="shared" ref="A502:C502" si="254">A501</f>
        <v>2024 JAN-DEC DISC 75</v>
      </c>
      <c r="B502" s="33">
        <f t="shared" si="254"/>
        <v>46121</v>
      </c>
      <c r="C502" s="33">
        <f t="shared" si="254"/>
        <v>46127</v>
      </c>
      <c r="D502" s="32">
        <v>3321</v>
      </c>
      <c r="E502" s="32">
        <v>337</v>
      </c>
      <c r="F502" s="32">
        <v>4</v>
      </c>
      <c r="G502" s="32">
        <v>5</v>
      </c>
      <c r="H502" s="32">
        <v>81005</v>
      </c>
      <c r="I502" s="32" t="s">
        <v>2689</v>
      </c>
      <c r="J502" s="32">
        <v>50028389</v>
      </c>
      <c r="K502" s="32" t="s">
        <v>4330</v>
      </c>
      <c r="L502" s="38" t="s">
        <v>4333</v>
      </c>
      <c r="M502" s="34">
        <v>299900</v>
      </c>
      <c r="N502" s="35">
        <f t="shared" si="203"/>
        <v>0.75</v>
      </c>
      <c r="O502" s="34">
        <f t="shared" si="214"/>
        <v>89970</v>
      </c>
      <c r="P502" s="32" t="s">
        <v>16</v>
      </c>
    </row>
    <row r="503" spans="1:16" x14ac:dyDescent="0.35">
      <c r="A503" s="32" t="str">
        <f t="shared" ref="A503:C503" si="255">A502</f>
        <v>2024 JAN-DEC DISC 75</v>
      </c>
      <c r="B503" s="33">
        <f t="shared" si="255"/>
        <v>46121</v>
      </c>
      <c r="C503" s="33">
        <f t="shared" si="255"/>
        <v>46127</v>
      </c>
      <c r="D503" s="32">
        <v>3321</v>
      </c>
      <c r="E503" s="32">
        <v>337</v>
      </c>
      <c r="F503" s="32">
        <v>4</v>
      </c>
      <c r="G503" s="32">
        <v>5</v>
      </c>
      <c r="H503" s="32">
        <v>81005</v>
      </c>
      <c r="I503" s="32" t="s">
        <v>2689</v>
      </c>
      <c r="J503" s="32">
        <v>50028370</v>
      </c>
      <c r="K503" s="32" t="s">
        <v>4330</v>
      </c>
      <c r="L503" s="38" t="s">
        <v>4334</v>
      </c>
      <c r="M503" s="34">
        <v>299900</v>
      </c>
      <c r="N503" s="35">
        <f t="shared" si="203"/>
        <v>0.75</v>
      </c>
      <c r="O503" s="34">
        <f t="shared" si="214"/>
        <v>89970</v>
      </c>
      <c r="P503" s="32" t="s">
        <v>16</v>
      </c>
    </row>
    <row r="504" spans="1:16" x14ac:dyDescent="0.35">
      <c r="A504" s="32" t="str">
        <f t="shared" ref="A504:C504" si="256">A503</f>
        <v>2024 JAN-DEC DISC 75</v>
      </c>
      <c r="B504" s="33">
        <f t="shared" si="256"/>
        <v>46121</v>
      </c>
      <c r="C504" s="33">
        <f t="shared" si="256"/>
        <v>46127</v>
      </c>
      <c r="D504" s="32">
        <v>3321</v>
      </c>
      <c r="E504" s="32">
        <v>337</v>
      </c>
      <c r="F504" s="32">
        <v>4</v>
      </c>
      <c r="G504" s="32">
        <v>5</v>
      </c>
      <c r="H504" s="32">
        <v>81005</v>
      </c>
      <c r="I504" s="32" t="s">
        <v>2689</v>
      </c>
      <c r="J504" s="32">
        <v>50028398</v>
      </c>
      <c r="K504" s="32" t="s">
        <v>4330</v>
      </c>
      <c r="L504" s="38" t="s">
        <v>4335</v>
      </c>
      <c r="M504" s="34">
        <v>299900</v>
      </c>
      <c r="N504" s="35">
        <f t="shared" si="203"/>
        <v>0.75</v>
      </c>
      <c r="O504" s="34">
        <f t="shared" si="214"/>
        <v>89970</v>
      </c>
      <c r="P504" s="32" t="s">
        <v>16</v>
      </c>
    </row>
    <row r="505" spans="1:16" x14ac:dyDescent="0.35">
      <c r="A505" s="32" t="str">
        <f t="shared" ref="A505:C505" si="257">A504</f>
        <v>2024 JAN-DEC DISC 75</v>
      </c>
      <c r="B505" s="33">
        <f t="shared" si="257"/>
        <v>46121</v>
      </c>
      <c r="C505" s="33">
        <f t="shared" si="257"/>
        <v>46127</v>
      </c>
      <c r="D505" s="32">
        <v>3321</v>
      </c>
      <c r="E505" s="32">
        <v>337</v>
      </c>
      <c r="F505" s="32">
        <v>4</v>
      </c>
      <c r="G505" s="32">
        <v>5</v>
      </c>
      <c r="H505" s="32">
        <v>81698</v>
      </c>
      <c r="I505" s="32" t="s">
        <v>2689</v>
      </c>
      <c r="J505" s="32">
        <v>23115380</v>
      </c>
      <c r="K505" s="32" t="s">
        <v>4336</v>
      </c>
      <c r="L505" s="38" t="s">
        <v>4337</v>
      </c>
      <c r="M505" s="34">
        <v>289900</v>
      </c>
      <c r="N505" s="35">
        <f t="shared" si="203"/>
        <v>0.75</v>
      </c>
      <c r="O505" s="34">
        <f t="shared" si="214"/>
        <v>86970</v>
      </c>
      <c r="P505" s="32" t="s">
        <v>16</v>
      </c>
    </row>
    <row r="506" spans="1:16" x14ac:dyDescent="0.35">
      <c r="A506" s="32" t="str">
        <f t="shared" ref="A506:C506" si="258">A505</f>
        <v>2024 JAN-DEC DISC 75</v>
      </c>
      <c r="B506" s="33">
        <f t="shared" si="258"/>
        <v>46121</v>
      </c>
      <c r="C506" s="33">
        <f t="shared" si="258"/>
        <v>46127</v>
      </c>
      <c r="D506" s="32">
        <v>3321</v>
      </c>
      <c r="E506" s="32">
        <v>337</v>
      </c>
      <c r="F506" s="32">
        <v>4</v>
      </c>
      <c r="G506" s="32">
        <v>5</v>
      </c>
      <c r="H506" s="32">
        <v>81698</v>
      </c>
      <c r="I506" s="32" t="s">
        <v>2689</v>
      </c>
      <c r="J506" s="32">
        <v>23115399</v>
      </c>
      <c r="K506" s="32" t="s">
        <v>4336</v>
      </c>
      <c r="L506" s="38" t="s">
        <v>4338</v>
      </c>
      <c r="M506" s="34">
        <v>289900</v>
      </c>
      <c r="N506" s="35">
        <f t="shared" si="203"/>
        <v>0.75</v>
      </c>
      <c r="O506" s="34">
        <f t="shared" si="214"/>
        <v>86970</v>
      </c>
      <c r="P506" s="32" t="s">
        <v>16</v>
      </c>
    </row>
    <row r="507" spans="1:16" x14ac:dyDescent="0.35">
      <c r="A507" s="32" t="str">
        <f t="shared" ref="A507:C507" si="259">A506</f>
        <v>2024 JAN-DEC DISC 75</v>
      </c>
      <c r="B507" s="33">
        <f t="shared" si="259"/>
        <v>46121</v>
      </c>
      <c r="C507" s="33">
        <f t="shared" si="259"/>
        <v>46127</v>
      </c>
      <c r="D507" s="32">
        <v>3321</v>
      </c>
      <c r="E507" s="32">
        <v>337</v>
      </c>
      <c r="F507" s="32">
        <v>4</v>
      </c>
      <c r="G507" s="32">
        <v>5</v>
      </c>
      <c r="H507" s="32">
        <v>81698</v>
      </c>
      <c r="I507" s="32" t="s">
        <v>2689</v>
      </c>
      <c r="J507" s="32">
        <v>23115371</v>
      </c>
      <c r="K507" s="32" t="s">
        <v>4336</v>
      </c>
      <c r="L507" s="38" t="s">
        <v>4339</v>
      </c>
      <c r="M507" s="34">
        <v>289900</v>
      </c>
      <c r="N507" s="35">
        <f t="shared" si="203"/>
        <v>0.75</v>
      </c>
      <c r="O507" s="34">
        <f t="shared" si="214"/>
        <v>86970</v>
      </c>
      <c r="P507" s="32" t="s">
        <v>16</v>
      </c>
    </row>
    <row r="508" spans="1:16" x14ac:dyDescent="0.35">
      <c r="A508" s="32" t="str">
        <f t="shared" ref="A508:C508" si="260">A507</f>
        <v>2024 JAN-DEC DISC 75</v>
      </c>
      <c r="B508" s="33">
        <f t="shared" si="260"/>
        <v>46121</v>
      </c>
      <c r="C508" s="33">
        <f t="shared" si="260"/>
        <v>46127</v>
      </c>
      <c r="D508" s="32">
        <v>3321</v>
      </c>
      <c r="E508" s="32">
        <v>337</v>
      </c>
      <c r="F508" s="32">
        <v>4</v>
      </c>
      <c r="G508" s="32">
        <v>5</v>
      </c>
      <c r="H508" s="32">
        <v>81698</v>
      </c>
      <c r="I508" s="32" t="s">
        <v>2689</v>
      </c>
      <c r="J508" s="32">
        <v>23115406</v>
      </c>
      <c r="K508" s="32" t="s">
        <v>4336</v>
      </c>
      <c r="L508" s="38" t="s">
        <v>4340</v>
      </c>
      <c r="M508" s="34">
        <v>289900</v>
      </c>
      <c r="N508" s="35">
        <f t="shared" si="203"/>
        <v>0.75</v>
      </c>
      <c r="O508" s="34">
        <f t="shared" si="214"/>
        <v>86970</v>
      </c>
      <c r="P508" s="32" t="s">
        <v>16</v>
      </c>
    </row>
    <row r="509" spans="1:16" x14ac:dyDescent="0.35">
      <c r="A509" s="32" t="str">
        <f t="shared" ref="A509:C509" si="261">A508</f>
        <v>2024 JAN-DEC DISC 75</v>
      </c>
      <c r="B509" s="33">
        <f t="shared" si="261"/>
        <v>46121</v>
      </c>
      <c r="C509" s="33">
        <f t="shared" si="261"/>
        <v>46127</v>
      </c>
      <c r="D509" s="32">
        <v>3321</v>
      </c>
      <c r="E509" s="32">
        <v>337</v>
      </c>
      <c r="F509" s="32">
        <v>4</v>
      </c>
      <c r="G509" s="32">
        <v>5</v>
      </c>
      <c r="H509" s="32">
        <v>81698</v>
      </c>
      <c r="I509" s="32" t="s">
        <v>2689</v>
      </c>
      <c r="J509" s="32">
        <v>26742205</v>
      </c>
      <c r="K509" s="32" t="s">
        <v>4341</v>
      </c>
      <c r="L509" s="38" t="s">
        <v>4342</v>
      </c>
      <c r="M509" s="34">
        <v>319900</v>
      </c>
      <c r="N509" s="35">
        <f t="shared" si="203"/>
        <v>0.75</v>
      </c>
      <c r="O509" s="34">
        <f t="shared" si="214"/>
        <v>95970</v>
      </c>
      <c r="P509" s="32" t="s">
        <v>16</v>
      </c>
    </row>
    <row r="510" spans="1:16" x14ac:dyDescent="0.35">
      <c r="A510" s="32" t="str">
        <f t="shared" ref="A510:C510" si="262">A509</f>
        <v>2024 JAN-DEC DISC 75</v>
      </c>
      <c r="B510" s="33">
        <f t="shared" si="262"/>
        <v>46121</v>
      </c>
      <c r="C510" s="33">
        <f t="shared" si="262"/>
        <v>46127</v>
      </c>
      <c r="D510" s="32">
        <v>3321</v>
      </c>
      <c r="E510" s="32">
        <v>337</v>
      </c>
      <c r="F510" s="32">
        <v>4</v>
      </c>
      <c r="G510" s="32">
        <v>5</v>
      </c>
      <c r="H510" s="32">
        <v>81698</v>
      </c>
      <c r="I510" s="32" t="s">
        <v>2689</v>
      </c>
      <c r="J510" s="32">
        <v>26742189</v>
      </c>
      <c r="K510" s="32" t="s">
        <v>4341</v>
      </c>
      <c r="L510" s="38" t="s">
        <v>4343</v>
      </c>
      <c r="M510" s="34">
        <v>319900</v>
      </c>
      <c r="N510" s="35">
        <f t="shared" si="203"/>
        <v>0.75</v>
      </c>
      <c r="O510" s="34">
        <f t="shared" si="214"/>
        <v>95970</v>
      </c>
      <c r="P510" s="32" t="s">
        <v>16</v>
      </c>
    </row>
    <row r="511" spans="1:16" x14ac:dyDescent="0.35">
      <c r="A511" s="32" t="str">
        <f t="shared" ref="A511:C511" si="263">A510</f>
        <v>2024 JAN-DEC DISC 75</v>
      </c>
      <c r="B511" s="33">
        <f t="shared" si="263"/>
        <v>46121</v>
      </c>
      <c r="C511" s="33">
        <f t="shared" si="263"/>
        <v>46127</v>
      </c>
      <c r="D511" s="32">
        <v>3321</v>
      </c>
      <c r="E511" s="32">
        <v>337</v>
      </c>
      <c r="F511" s="32">
        <v>4</v>
      </c>
      <c r="G511" s="32">
        <v>5</v>
      </c>
      <c r="H511" s="32">
        <v>81698</v>
      </c>
      <c r="I511" s="32" t="s">
        <v>2689</v>
      </c>
      <c r="J511" s="32">
        <v>26742214</v>
      </c>
      <c r="K511" s="32" t="s">
        <v>4341</v>
      </c>
      <c r="L511" s="38" t="s">
        <v>4344</v>
      </c>
      <c r="M511" s="34">
        <v>319900</v>
      </c>
      <c r="N511" s="35">
        <f t="shared" si="203"/>
        <v>0.75</v>
      </c>
      <c r="O511" s="34">
        <f t="shared" si="214"/>
        <v>95970</v>
      </c>
      <c r="P511" s="32" t="s">
        <v>16</v>
      </c>
    </row>
    <row r="512" spans="1:16" x14ac:dyDescent="0.35">
      <c r="A512" s="32" t="str">
        <f t="shared" ref="A512:C512" si="264">A511</f>
        <v>2024 JAN-DEC DISC 75</v>
      </c>
      <c r="B512" s="33">
        <f t="shared" si="264"/>
        <v>46121</v>
      </c>
      <c r="C512" s="33">
        <f t="shared" si="264"/>
        <v>46127</v>
      </c>
      <c r="D512" s="32">
        <v>3321</v>
      </c>
      <c r="E512" s="32">
        <v>337</v>
      </c>
      <c r="F512" s="32">
        <v>4</v>
      </c>
      <c r="G512" s="32">
        <v>5</v>
      </c>
      <c r="H512" s="32">
        <v>81698</v>
      </c>
      <c r="I512" s="32" t="s">
        <v>2689</v>
      </c>
      <c r="J512" s="32">
        <v>26742198</v>
      </c>
      <c r="K512" s="32" t="s">
        <v>4341</v>
      </c>
      <c r="L512" s="38" t="s">
        <v>4345</v>
      </c>
      <c r="M512" s="34">
        <v>319900</v>
      </c>
      <c r="N512" s="35">
        <f t="shared" si="203"/>
        <v>0.75</v>
      </c>
      <c r="O512" s="34">
        <f t="shared" si="214"/>
        <v>95970</v>
      </c>
      <c r="P512" s="32" t="s">
        <v>16</v>
      </c>
    </row>
  </sheetData>
  <autoFilter ref="A1:P1" xr:uid="{00000000-0009-0000-0000-000002000000}"/>
  <conditionalFormatting sqref="J1:J269 J513:J1048576">
    <cfRule type="duplicateValues" dxfId="26" priority="2"/>
  </conditionalFormatting>
  <conditionalFormatting sqref="J270:J512">
    <cfRule type="duplicateValues" dxfId="2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3BEA-77AC-4CA9-9279-BF88360B7461}">
  <dimension ref="A1:P73"/>
  <sheetViews>
    <sheetView zoomScale="59" zoomScaleNormal="100" workbookViewId="0">
      <pane ySplit="1" topLeftCell="A2" activePane="bottomLeft" state="frozen"/>
      <selection activeCell="M23" sqref="M23"/>
      <selection pane="bottomLeft" activeCell="L14" sqref="L14"/>
    </sheetView>
  </sheetViews>
  <sheetFormatPr defaultColWidth="8.6328125" defaultRowHeight="14.5" x14ac:dyDescent="0.35"/>
  <cols>
    <col min="1" max="1" width="21.6328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3.453125" style="17" customWidth="1"/>
    <col min="13" max="13" width="17.81640625" style="4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6423</v>
      </c>
      <c r="B2" s="33">
        <f>'2025 JUNSEPT B1G1 - 3321'!B6</f>
        <v>46121</v>
      </c>
      <c r="C2" s="33">
        <f>'2025 JUNSEPT B1G1 - 3321'!C6</f>
        <v>46127</v>
      </c>
      <c r="D2" s="6">
        <v>3321</v>
      </c>
      <c r="E2" s="6">
        <v>337</v>
      </c>
      <c r="F2" s="6">
        <v>4</v>
      </c>
      <c r="G2" s="23">
        <v>1</v>
      </c>
      <c r="H2" s="23">
        <v>81421</v>
      </c>
      <c r="I2" s="6" t="s">
        <v>2689</v>
      </c>
      <c r="J2" s="45">
        <v>14608392</v>
      </c>
      <c r="K2" s="45" t="s">
        <v>2586</v>
      </c>
      <c r="L2" s="45" t="s">
        <v>2587</v>
      </c>
      <c r="M2" s="46">
        <v>149900</v>
      </c>
      <c r="N2" s="9">
        <v>0.9</v>
      </c>
      <c r="O2" s="8">
        <f>M2-((90*M2)/100)</f>
        <v>14990</v>
      </c>
      <c r="P2" s="6" t="s">
        <v>16</v>
      </c>
    </row>
    <row r="3" spans="1:16" x14ac:dyDescent="0.35">
      <c r="A3" s="32" t="s">
        <v>6423</v>
      </c>
      <c r="B3" s="7">
        <f>B2</f>
        <v>46121</v>
      </c>
      <c r="C3" s="7">
        <f>C2</f>
        <v>46127</v>
      </c>
      <c r="D3" s="6">
        <v>3321</v>
      </c>
      <c r="E3" s="6">
        <v>337</v>
      </c>
      <c r="F3" s="6">
        <v>4</v>
      </c>
      <c r="G3" s="23">
        <v>1</v>
      </c>
      <c r="H3" s="23">
        <v>81421</v>
      </c>
      <c r="I3" s="32" t="s">
        <v>2689</v>
      </c>
      <c r="J3" s="45">
        <v>14608418</v>
      </c>
      <c r="K3" s="45" t="s">
        <v>2586</v>
      </c>
      <c r="L3" s="45" t="s">
        <v>2588</v>
      </c>
      <c r="M3" s="46">
        <v>149900</v>
      </c>
      <c r="N3" s="35">
        <v>0.9</v>
      </c>
      <c r="O3" s="34">
        <f>M3-((90*M3)/100)</f>
        <v>14990</v>
      </c>
      <c r="P3" s="6" t="s">
        <v>16</v>
      </c>
    </row>
    <row r="4" spans="1:16" x14ac:dyDescent="0.35">
      <c r="A4" s="32" t="s">
        <v>6423</v>
      </c>
      <c r="B4" s="7">
        <f t="shared" ref="B4:B67" si="0">B3</f>
        <v>46121</v>
      </c>
      <c r="C4" s="7">
        <f t="shared" ref="C4:C67" si="1">C3</f>
        <v>46127</v>
      </c>
      <c r="D4" s="6">
        <v>3321</v>
      </c>
      <c r="E4" s="6">
        <v>337</v>
      </c>
      <c r="F4" s="6">
        <v>4</v>
      </c>
      <c r="G4" s="23">
        <v>1</v>
      </c>
      <c r="H4" s="23">
        <v>81421</v>
      </c>
      <c r="I4" s="32" t="s">
        <v>2689</v>
      </c>
      <c r="J4" s="45">
        <v>14608427</v>
      </c>
      <c r="K4" s="45" t="s">
        <v>2586</v>
      </c>
      <c r="L4" s="45" t="s">
        <v>2589</v>
      </c>
      <c r="M4" s="46">
        <v>149900</v>
      </c>
      <c r="N4" s="35">
        <v>0.9</v>
      </c>
      <c r="O4" s="34">
        <f t="shared" ref="O4:O67" si="2">M4-((90*M4)/100)</f>
        <v>14990</v>
      </c>
      <c r="P4" s="6" t="s">
        <v>16</v>
      </c>
    </row>
    <row r="5" spans="1:16" x14ac:dyDescent="0.35">
      <c r="A5" s="32" t="s">
        <v>6423</v>
      </c>
      <c r="B5" s="7">
        <f t="shared" si="0"/>
        <v>46121</v>
      </c>
      <c r="C5" s="7">
        <f t="shared" si="1"/>
        <v>46127</v>
      </c>
      <c r="D5" s="6">
        <v>3321</v>
      </c>
      <c r="E5" s="6">
        <v>337</v>
      </c>
      <c r="F5" s="6">
        <v>4</v>
      </c>
      <c r="G5" s="23">
        <v>1</v>
      </c>
      <c r="H5" s="23">
        <v>81421</v>
      </c>
      <c r="I5" s="32" t="s">
        <v>2689</v>
      </c>
      <c r="J5" s="45">
        <v>14608436</v>
      </c>
      <c r="K5" s="45" t="s">
        <v>2590</v>
      </c>
      <c r="L5" s="45" t="s">
        <v>2591</v>
      </c>
      <c r="M5" s="46">
        <v>149900</v>
      </c>
      <c r="N5" s="35">
        <v>0.9</v>
      </c>
      <c r="O5" s="34">
        <f t="shared" si="2"/>
        <v>14990</v>
      </c>
      <c r="P5" s="6" t="s">
        <v>16</v>
      </c>
    </row>
    <row r="6" spans="1:16" x14ac:dyDescent="0.35">
      <c r="A6" s="32" t="s">
        <v>6423</v>
      </c>
      <c r="B6" s="7">
        <f t="shared" si="0"/>
        <v>46121</v>
      </c>
      <c r="C6" s="7">
        <f t="shared" si="1"/>
        <v>46127</v>
      </c>
      <c r="D6" s="6">
        <v>3321</v>
      </c>
      <c r="E6" s="6">
        <v>337</v>
      </c>
      <c r="F6" s="6">
        <v>4</v>
      </c>
      <c r="G6" s="23">
        <v>1</v>
      </c>
      <c r="H6" s="23">
        <v>81421</v>
      </c>
      <c r="I6" s="32" t="s">
        <v>2689</v>
      </c>
      <c r="J6" s="45">
        <v>14608445</v>
      </c>
      <c r="K6" s="45" t="s">
        <v>2590</v>
      </c>
      <c r="L6" s="45" t="s">
        <v>2592</v>
      </c>
      <c r="M6" s="46">
        <v>149900</v>
      </c>
      <c r="N6" s="35">
        <v>0.9</v>
      </c>
      <c r="O6" s="34">
        <f t="shared" si="2"/>
        <v>14990</v>
      </c>
      <c r="P6" s="6" t="s">
        <v>16</v>
      </c>
    </row>
    <row r="7" spans="1:16" x14ac:dyDescent="0.35">
      <c r="A7" s="32" t="s">
        <v>6423</v>
      </c>
      <c r="B7" s="7">
        <f t="shared" si="0"/>
        <v>46121</v>
      </c>
      <c r="C7" s="7">
        <f t="shared" si="1"/>
        <v>46127</v>
      </c>
      <c r="D7" s="6">
        <v>3321</v>
      </c>
      <c r="E7" s="6">
        <v>337</v>
      </c>
      <c r="F7" s="6">
        <v>4</v>
      </c>
      <c r="G7" s="23">
        <v>1</v>
      </c>
      <c r="H7" s="23">
        <v>81421</v>
      </c>
      <c r="I7" s="32" t="s">
        <v>2689</v>
      </c>
      <c r="J7" s="45">
        <v>14608454</v>
      </c>
      <c r="K7" s="45" t="s">
        <v>2590</v>
      </c>
      <c r="L7" s="45" t="s">
        <v>2593</v>
      </c>
      <c r="M7" s="46">
        <v>149900</v>
      </c>
      <c r="N7" s="35">
        <v>0.9</v>
      </c>
      <c r="O7" s="34">
        <f t="shared" si="2"/>
        <v>14990</v>
      </c>
      <c r="P7" s="6" t="s">
        <v>16</v>
      </c>
    </row>
    <row r="8" spans="1:16" x14ac:dyDescent="0.35">
      <c r="A8" s="32" t="s">
        <v>6423</v>
      </c>
      <c r="B8" s="7">
        <f t="shared" si="0"/>
        <v>46121</v>
      </c>
      <c r="C8" s="7">
        <f t="shared" si="1"/>
        <v>46127</v>
      </c>
      <c r="D8" s="6">
        <v>3321</v>
      </c>
      <c r="E8" s="6">
        <v>337</v>
      </c>
      <c r="F8" s="6">
        <v>4</v>
      </c>
      <c r="G8" s="23">
        <v>1</v>
      </c>
      <c r="H8" s="23">
        <v>81462</v>
      </c>
      <c r="I8" s="32" t="s">
        <v>2689</v>
      </c>
      <c r="J8" s="45">
        <v>14292278</v>
      </c>
      <c r="K8" s="45" t="s">
        <v>2594</v>
      </c>
      <c r="L8" s="45" t="s">
        <v>2595</v>
      </c>
      <c r="M8" s="46">
        <v>149900</v>
      </c>
      <c r="N8" s="35">
        <v>0.9</v>
      </c>
      <c r="O8" s="34">
        <f t="shared" si="2"/>
        <v>14990</v>
      </c>
      <c r="P8" s="6" t="s">
        <v>16</v>
      </c>
    </row>
    <row r="9" spans="1:16" x14ac:dyDescent="0.35">
      <c r="A9" s="32" t="s">
        <v>6423</v>
      </c>
      <c r="B9" s="7">
        <f t="shared" si="0"/>
        <v>46121</v>
      </c>
      <c r="C9" s="7">
        <f t="shared" si="1"/>
        <v>46127</v>
      </c>
      <c r="D9" s="6">
        <v>3321</v>
      </c>
      <c r="E9" s="6">
        <v>337</v>
      </c>
      <c r="F9" s="6">
        <v>4</v>
      </c>
      <c r="G9" s="23">
        <v>1</v>
      </c>
      <c r="H9" s="23">
        <v>81462</v>
      </c>
      <c r="I9" s="32" t="s">
        <v>2689</v>
      </c>
      <c r="J9" s="45">
        <v>14292287</v>
      </c>
      <c r="K9" s="45" t="s">
        <v>2594</v>
      </c>
      <c r="L9" s="45" t="s">
        <v>2596</v>
      </c>
      <c r="M9" s="46">
        <v>149900</v>
      </c>
      <c r="N9" s="35">
        <v>0.9</v>
      </c>
      <c r="O9" s="34">
        <f t="shared" si="2"/>
        <v>14990</v>
      </c>
      <c r="P9" s="6" t="s">
        <v>16</v>
      </c>
    </row>
    <row r="10" spans="1:16" x14ac:dyDescent="0.35">
      <c r="A10" s="32" t="s">
        <v>6423</v>
      </c>
      <c r="B10" s="7">
        <f t="shared" si="0"/>
        <v>46121</v>
      </c>
      <c r="C10" s="7">
        <f t="shared" si="1"/>
        <v>46127</v>
      </c>
      <c r="D10" s="6">
        <v>3321</v>
      </c>
      <c r="E10" s="6">
        <v>337</v>
      </c>
      <c r="F10" s="6">
        <v>4</v>
      </c>
      <c r="G10" s="23">
        <v>1</v>
      </c>
      <c r="H10" s="23">
        <v>81462</v>
      </c>
      <c r="I10" s="32" t="s">
        <v>2689</v>
      </c>
      <c r="J10" s="45">
        <v>14292303</v>
      </c>
      <c r="K10" s="45" t="s">
        <v>2594</v>
      </c>
      <c r="L10" s="45" t="s">
        <v>2597</v>
      </c>
      <c r="M10" s="46">
        <v>149900</v>
      </c>
      <c r="N10" s="35">
        <v>0.9</v>
      </c>
      <c r="O10" s="34">
        <f t="shared" si="2"/>
        <v>14990</v>
      </c>
      <c r="P10" s="6" t="s">
        <v>16</v>
      </c>
    </row>
    <row r="11" spans="1:16" x14ac:dyDescent="0.35">
      <c r="A11" s="32" t="s">
        <v>6423</v>
      </c>
      <c r="B11" s="7">
        <f t="shared" si="0"/>
        <v>46121</v>
      </c>
      <c r="C11" s="7">
        <f t="shared" si="1"/>
        <v>46127</v>
      </c>
      <c r="D11" s="6">
        <v>3321</v>
      </c>
      <c r="E11" s="6">
        <v>337</v>
      </c>
      <c r="F11" s="6">
        <v>4</v>
      </c>
      <c r="G11" s="23">
        <v>1</v>
      </c>
      <c r="H11" s="23">
        <v>81462</v>
      </c>
      <c r="I11" s="32" t="s">
        <v>2689</v>
      </c>
      <c r="J11" s="45">
        <v>14292312</v>
      </c>
      <c r="K11" s="45" t="s">
        <v>2598</v>
      </c>
      <c r="L11" s="45" t="s">
        <v>2599</v>
      </c>
      <c r="M11" s="46">
        <v>149900</v>
      </c>
      <c r="N11" s="35">
        <v>0.9</v>
      </c>
      <c r="O11" s="34">
        <f t="shared" si="2"/>
        <v>14990</v>
      </c>
      <c r="P11" s="6" t="s">
        <v>16</v>
      </c>
    </row>
    <row r="12" spans="1:16" x14ac:dyDescent="0.35">
      <c r="A12" s="32" t="s">
        <v>6423</v>
      </c>
      <c r="B12" s="7">
        <f t="shared" si="0"/>
        <v>46121</v>
      </c>
      <c r="C12" s="7">
        <f t="shared" si="1"/>
        <v>46127</v>
      </c>
      <c r="D12" s="6">
        <v>3321</v>
      </c>
      <c r="E12" s="6">
        <v>337</v>
      </c>
      <c r="F12" s="6">
        <v>4</v>
      </c>
      <c r="G12" s="23">
        <v>1</v>
      </c>
      <c r="H12" s="23">
        <v>81462</v>
      </c>
      <c r="I12" s="32" t="s">
        <v>2689</v>
      </c>
      <c r="J12" s="45">
        <v>14292349</v>
      </c>
      <c r="K12" s="45" t="s">
        <v>2598</v>
      </c>
      <c r="L12" s="45" t="s">
        <v>2600</v>
      </c>
      <c r="M12" s="46">
        <v>149900</v>
      </c>
      <c r="N12" s="35">
        <v>0.9</v>
      </c>
      <c r="O12" s="34">
        <f t="shared" si="2"/>
        <v>14990</v>
      </c>
      <c r="P12" s="6" t="s">
        <v>16</v>
      </c>
    </row>
    <row r="13" spans="1:16" x14ac:dyDescent="0.35">
      <c r="A13" s="32" t="s">
        <v>6423</v>
      </c>
      <c r="B13" s="7">
        <f t="shared" si="0"/>
        <v>46121</v>
      </c>
      <c r="C13" s="7">
        <f t="shared" si="1"/>
        <v>46127</v>
      </c>
      <c r="D13" s="6">
        <v>3321</v>
      </c>
      <c r="E13" s="6">
        <v>337</v>
      </c>
      <c r="F13" s="6">
        <v>4</v>
      </c>
      <c r="G13" s="23">
        <v>1</v>
      </c>
      <c r="H13" s="23">
        <v>81462</v>
      </c>
      <c r="I13" s="32" t="s">
        <v>2689</v>
      </c>
      <c r="J13" s="45">
        <v>14927225</v>
      </c>
      <c r="K13" s="45" t="s">
        <v>2601</v>
      </c>
      <c r="L13" s="45" t="s">
        <v>2602</v>
      </c>
      <c r="M13" s="46">
        <v>149900</v>
      </c>
      <c r="N13" s="35">
        <v>0.9</v>
      </c>
      <c r="O13" s="34">
        <f t="shared" si="2"/>
        <v>14990</v>
      </c>
      <c r="P13" s="6" t="s">
        <v>16</v>
      </c>
    </row>
    <row r="14" spans="1:16" x14ac:dyDescent="0.35">
      <c r="A14" s="32" t="s">
        <v>6423</v>
      </c>
      <c r="B14" s="7">
        <f t="shared" si="0"/>
        <v>46121</v>
      </c>
      <c r="C14" s="7">
        <f t="shared" si="1"/>
        <v>46127</v>
      </c>
      <c r="D14" s="6">
        <v>3321</v>
      </c>
      <c r="E14" s="6">
        <v>337</v>
      </c>
      <c r="F14" s="6">
        <v>4</v>
      </c>
      <c r="G14" s="23">
        <v>1</v>
      </c>
      <c r="H14" s="23">
        <v>81462</v>
      </c>
      <c r="I14" s="32" t="s">
        <v>2689</v>
      </c>
      <c r="J14" s="45">
        <v>14927243</v>
      </c>
      <c r="K14" s="45" t="s">
        <v>2601</v>
      </c>
      <c r="L14" s="45" t="s">
        <v>2603</v>
      </c>
      <c r="M14" s="46">
        <v>149900</v>
      </c>
      <c r="N14" s="35">
        <v>0.9</v>
      </c>
      <c r="O14" s="34">
        <f t="shared" si="2"/>
        <v>14990</v>
      </c>
      <c r="P14" s="6" t="s">
        <v>16</v>
      </c>
    </row>
    <row r="15" spans="1:16" x14ac:dyDescent="0.35">
      <c r="A15" s="32" t="s">
        <v>6423</v>
      </c>
      <c r="B15" s="7">
        <f t="shared" si="0"/>
        <v>46121</v>
      </c>
      <c r="C15" s="7">
        <f t="shared" si="1"/>
        <v>46127</v>
      </c>
      <c r="D15" s="6">
        <v>3321</v>
      </c>
      <c r="E15" s="6">
        <v>337</v>
      </c>
      <c r="F15" s="6">
        <v>4</v>
      </c>
      <c r="G15" s="23">
        <v>1</v>
      </c>
      <c r="H15" s="23">
        <v>81462</v>
      </c>
      <c r="I15" s="32" t="s">
        <v>2689</v>
      </c>
      <c r="J15" s="45">
        <v>14927252</v>
      </c>
      <c r="K15" s="45" t="s">
        <v>2601</v>
      </c>
      <c r="L15" s="45" t="s">
        <v>2604</v>
      </c>
      <c r="M15" s="46">
        <v>149900</v>
      </c>
      <c r="N15" s="35">
        <v>0.9</v>
      </c>
      <c r="O15" s="34">
        <f t="shared" si="2"/>
        <v>14990</v>
      </c>
      <c r="P15" s="6" t="s">
        <v>16</v>
      </c>
    </row>
    <row r="16" spans="1:16" x14ac:dyDescent="0.35">
      <c r="A16" s="32" t="s">
        <v>6423</v>
      </c>
      <c r="B16" s="7">
        <f t="shared" si="0"/>
        <v>46121</v>
      </c>
      <c r="C16" s="7">
        <f t="shared" si="1"/>
        <v>46127</v>
      </c>
      <c r="D16" s="6">
        <v>3321</v>
      </c>
      <c r="E16" s="6">
        <v>337</v>
      </c>
      <c r="F16" s="6">
        <v>4</v>
      </c>
      <c r="G16" s="23">
        <v>1</v>
      </c>
      <c r="H16" s="23">
        <v>81676</v>
      </c>
      <c r="I16" s="32" t="s">
        <v>2689</v>
      </c>
      <c r="J16" s="45">
        <v>16047557</v>
      </c>
      <c r="K16" s="45" t="s">
        <v>2606</v>
      </c>
      <c r="L16" s="45" t="s">
        <v>2607</v>
      </c>
      <c r="M16" s="46">
        <v>149900</v>
      </c>
      <c r="N16" s="35">
        <v>0.9</v>
      </c>
      <c r="O16" s="34">
        <f t="shared" si="2"/>
        <v>14990</v>
      </c>
      <c r="P16" s="6" t="s">
        <v>16</v>
      </c>
    </row>
    <row r="17" spans="1:16" x14ac:dyDescent="0.35">
      <c r="A17" s="32" t="s">
        <v>6423</v>
      </c>
      <c r="B17" s="7">
        <f t="shared" si="0"/>
        <v>46121</v>
      </c>
      <c r="C17" s="7">
        <f t="shared" si="1"/>
        <v>46127</v>
      </c>
      <c r="D17" s="6">
        <v>3321</v>
      </c>
      <c r="E17" s="6">
        <v>337</v>
      </c>
      <c r="F17" s="6">
        <v>4</v>
      </c>
      <c r="G17" s="23">
        <v>1</v>
      </c>
      <c r="H17" s="23">
        <v>81676</v>
      </c>
      <c r="I17" s="32" t="s">
        <v>2689</v>
      </c>
      <c r="J17" s="45">
        <v>16047593</v>
      </c>
      <c r="K17" s="45" t="s">
        <v>2608</v>
      </c>
      <c r="L17" s="45" t="s">
        <v>2609</v>
      </c>
      <c r="M17" s="46">
        <v>149900</v>
      </c>
      <c r="N17" s="35">
        <v>0.9</v>
      </c>
      <c r="O17" s="34">
        <f t="shared" si="2"/>
        <v>14990</v>
      </c>
      <c r="P17" s="6" t="s">
        <v>16</v>
      </c>
    </row>
    <row r="18" spans="1:16" x14ac:dyDescent="0.35">
      <c r="A18" s="32" t="s">
        <v>6423</v>
      </c>
      <c r="B18" s="7">
        <f t="shared" si="0"/>
        <v>46121</v>
      </c>
      <c r="C18" s="7">
        <f t="shared" si="1"/>
        <v>46127</v>
      </c>
      <c r="D18" s="6">
        <v>3321</v>
      </c>
      <c r="E18" s="6">
        <v>337</v>
      </c>
      <c r="F18" s="6">
        <v>4</v>
      </c>
      <c r="G18" s="23">
        <v>1</v>
      </c>
      <c r="H18" s="23">
        <v>81676</v>
      </c>
      <c r="I18" s="32" t="s">
        <v>2689</v>
      </c>
      <c r="J18" s="45">
        <v>16047646</v>
      </c>
      <c r="K18" s="45" t="s">
        <v>2610</v>
      </c>
      <c r="L18" s="45" t="s">
        <v>2611</v>
      </c>
      <c r="M18" s="46">
        <v>149900</v>
      </c>
      <c r="N18" s="35">
        <v>0.9</v>
      </c>
      <c r="O18" s="34">
        <f t="shared" si="2"/>
        <v>14990</v>
      </c>
      <c r="P18" s="6" t="s">
        <v>16</v>
      </c>
    </row>
    <row r="19" spans="1:16" x14ac:dyDescent="0.35">
      <c r="A19" s="32" t="s">
        <v>6423</v>
      </c>
      <c r="B19" s="7">
        <f t="shared" si="0"/>
        <v>46121</v>
      </c>
      <c r="C19" s="7">
        <f t="shared" si="1"/>
        <v>46127</v>
      </c>
      <c r="D19" s="6">
        <v>3321</v>
      </c>
      <c r="E19" s="6">
        <v>337</v>
      </c>
      <c r="F19" s="6">
        <v>4</v>
      </c>
      <c r="G19" s="23">
        <v>1</v>
      </c>
      <c r="H19" s="23">
        <v>81676</v>
      </c>
      <c r="I19" s="32" t="s">
        <v>2689</v>
      </c>
      <c r="J19" s="45">
        <v>16047655</v>
      </c>
      <c r="K19" s="45" t="s">
        <v>2610</v>
      </c>
      <c r="L19" s="45" t="s">
        <v>2612</v>
      </c>
      <c r="M19" s="46">
        <v>149900</v>
      </c>
      <c r="N19" s="35">
        <v>0.9</v>
      </c>
      <c r="O19" s="34">
        <f t="shared" si="2"/>
        <v>14990</v>
      </c>
      <c r="P19" s="6" t="s">
        <v>16</v>
      </c>
    </row>
    <row r="20" spans="1:16" x14ac:dyDescent="0.35">
      <c r="A20" s="32" t="s">
        <v>6423</v>
      </c>
      <c r="B20" s="7">
        <f t="shared" si="0"/>
        <v>46121</v>
      </c>
      <c r="C20" s="7">
        <f t="shared" si="1"/>
        <v>46127</v>
      </c>
      <c r="D20" s="6">
        <v>3321</v>
      </c>
      <c r="E20" s="6">
        <v>337</v>
      </c>
      <c r="F20" s="6">
        <v>4</v>
      </c>
      <c r="G20" s="23">
        <v>1</v>
      </c>
      <c r="H20" s="23">
        <v>81676</v>
      </c>
      <c r="I20" s="32" t="s">
        <v>2689</v>
      </c>
      <c r="J20" s="45">
        <v>16047664</v>
      </c>
      <c r="K20" s="45" t="s">
        <v>2610</v>
      </c>
      <c r="L20" s="45" t="s">
        <v>2613</v>
      </c>
      <c r="M20" s="46">
        <v>149900</v>
      </c>
      <c r="N20" s="35">
        <v>0.9</v>
      </c>
      <c r="O20" s="34">
        <f t="shared" si="2"/>
        <v>14990</v>
      </c>
      <c r="P20" s="6" t="s">
        <v>16</v>
      </c>
    </row>
    <row r="21" spans="1:16" x14ac:dyDescent="0.35">
      <c r="A21" s="32" t="s">
        <v>6423</v>
      </c>
      <c r="B21" s="7">
        <f t="shared" si="0"/>
        <v>46121</v>
      </c>
      <c r="C21" s="7">
        <f t="shared" si="1"/>
        <v>46127</v>
      </c>
      <c r="D21" s="6">
        <v>3321</v>
      </c>
      <c r="E21" s="6">
        <v>337</v>
      </c>
      <c r="F21" s="6">
        <v>4</v>
      </c>
      <c r="G21" s="23">
        <v>1</v>
      </c>
      <c r="H21" s="23">
        <v>81676</v>
      </c>
      <c r="I21" s="32" t="s">
        <v>2689</v>
      </c>
      <c r="J21" s="45">
        <v>16047717</v>
      </c>
      <c r="K21" s="45" t="s">
        <v>2614</v>
      </c>
      <c r="L21" s="45" t="s">
        <v>2615</v>
      </c>
      <c r="M21" s="46">
        <v>149900</v>
      </c>
      <c r="N21" s="35">
        <v>0.9</v>
      </c>
      <c r="O21" s="34">
        <f t="shared" si="2"/>
        <v>14990</v>
      </c>
      <c r="P21" s="6" t="s">
        <v>16</v>
      </c>
    </row>
    <row r="22" spans="1:16" x14ac:dyDescent="0.35">
      <c r="A22" s="32" t="s">
        <v>6423</v>
      </c>
      <c r="B22" s="7">
        <f t="shared" si="0"/>
        <v>46121</v>
      </c>
      <c r="C22" s="7">
        <f t="shared" si="1"/>
        <v>46127</v>
      </c>
      <c r="D22" s="6">
        <v>3321</v>
      </c>
      <c r="E22" s="6">
        <v>337</v>
      </c>
      <c r="F22" s="6">
        <v>4</v>
      </c>
      <c r="G22" s="23">
        <v>1</v>
      </c>
      <c r="H22" s="23">
        <v>81800</v>
      </c>
      <c r="I22" s="32" t="s">
        <v>2689</v>
      </c>
      <c r="J22" s="45">
        <v>82958707</v>
      </c>
      <c r="K22" s="45" t="s">
        <v>2652</v>
      </c>
      <c r="L22" s="45" t="s">
        <v>6421</v>
      </c>
      <c r="M22" s="46">
        <v>159900</v>
      </c>
      <c r="N22" s="35">
        <v>0.9</v>
      </c>
      <c r="O22" s="34">
        <f t="shared" si="2"/>
        <v>15990</v>
      </c>
      <c r="P22" s="6" t="s">
        <v>16</v>
      </c>
    </row>
    <row r="23" spans="1:16" x14ac:dyDescent="0.35">
      <c r="A23" s="32" t="s">
        <v>6423</v>
      </c>
      <c r="B23" s="7">
        <f t="shared" si="0"/>
        <v>46121</v>
      </c>
      <c r="C23" s="7">
        <f t="shared" si="1"/>
        <v>46127</v>
      </c>
      <c r="D23" s="6">
        <v>3321</v>
      </c>
      <c r="E23" s="6">
        <v>337</v>
      </c>
      <c r="F23" s="6">
        <v>4</v>
      </c>
      <c r="G23" s="23">
        <v>1</v>
      </c>
      <c r="H23" s="23">
        <v>81800</v>
      </c>
      <c r="I23" s="32" t="s">
        <v>2689</v>
      </c>
      <c r="J23" s="45">
        <v>13492938</v>
      </c>
      <c r="K23" s="45" t="s">
        <v>2616</v>
      </c>
      <c r="L23" s="45" t="s">
        <v>2617</v>
      </c>
      <c r="M23" s="46">
        <v>159900</v>
      </c>
      <c r="N23" s="35">
        <v>0.9</v>
      </c>
      <c r="O23" s="34">
        <f t="shared" si="2"/>
        <v>15990</v>
      </c>
      <c r="P23" s="6" t="s">
        <v>16</v>
      </c>
    </row>
    <row r="24" spans="1:16" x14ac:dyDescent="0.35">
      <c r="A24" s="32" t="s">
        <v>6423</v>
      </c>
      <c r="B24" s="7">
        <f t="shared" si="0"/>
        <v>46121</v>
      </c>
      <c r="C24" s="7">
        <f t="shared" si="1"/>
        <v>46127</v>
      </c>
      <c r="D24" s="6">
        <v>3321</v>
      </c>
      <c r="E24" s="6">
        <v>337</v>
      </c>
      <c r="F24" s="6">
        <v>4</v>
      </c>
      <c r="G24" s="23">
        <v>1</v>
      </c>
      <c r="H24" s="23">
        <v>81800</v>
      </c>
      <c r="I24" s="32" t="s">
        <v>2689</v>
      </c>
      <c r="J24" s="45">
        <v>13492947</v>
      </c>
      <c r="K24" s="45" t="s">
        <v>2616</v>
      </c>
      <c r="L24" s="45" t="s">
        <v>2618</v>
      </c>
      <c r="M24" s="46">
        <v>159900</v>
      </c>
      <c r="N24" s="35">
        <v>0.9</v>
      </c>
      <c r="O24" s="34">
        <f t="shared" si="2"/>
        <v>15990</v>
      </c>
      <c r="P24" s="6" t="s">
        <v>16</v>
      </c>
    </row>
    <row r="25" spans="1:16" x14ac:dyDescent="0.35">
      <c r="A25" s="32" t="s">
        <v>6423</v>
      </c>
      <c r="B25" s="7">
        <f t="shared" si="0"/>
        <v>46121</v>
      </c>
      <c r="C25" s="7">
        <f t="shared" si="1"/>
        <v>46127</v>
      </c>
      <c r="D25" s="6">
        <v>3321</v>
      </c>
      <c r="E25" s="6">
        <v>337</v>
      </c>
      <c r="F25" s="6">
        <v>4</v>
      </c>
      <c r="G25" s="23">
        <v>1</v>
      </c>
      <c r="H25" s="23">
        <v>81800</v>
      </c>
      <c r="I25" s="32" t="s">
        <v>2689</v>
      </c>
      <c r="J25" s="45">
        <v>13492956</v>
      </c>
      <c r="K25" s="45" t="s">
        <v>2616</v>
      </c>
      <c r="L25" s="45" t="s">
        <v>2619</v>
      </c>
      <c r="M25" s="46">
        <v>159900</v>
      </c>
      <c r="N25" s="35">
        <v>0.9</v>
      </c>
      <c r="O25" s="34">
        <f t="shared" si="2"/>
        <v>15990</v>
      </c>
      <c r="P25" s="6" t="s">
        <v>16</v>
      </c>
    </row>
    <row r="26" spans="1:16" x14ac:dyDescent="0.35">
      <c r="A26" s="32" t="s">
        <v>6423</v>
      </c>
      <c r="B26" s="7">
        <f t="shared" si="0"/>
        <v>46121</v>
      </c>
      <c r="C26" s="7">
        <f t="shared" si="1"/>
        <v>46127</v>
      </c>
      <c r="D26" s="6">
        <v>3321</v>
      </c>
      <c r="E26" s="6">
        <v>337</v>
      </c>
      <c r="F26" s="6">
        <v>4</v>
      </c>
      <c r="G26" s="23">
        <v>1</v>
      </c>
      <c r="H26" s="23">
        <v>81800</v>
      </c>
      <c r="I26" s="32" t="s">
        <v>2689</v>
      </c>
      <c r="J26" s="45">
        <v>13492965</v>
      </c>
      <c r="K26" s="45" t="s">
        <v>2620</v>
      </c>
      <c r="L26" s="45" t="s">
        <v>2621</v>
      </c>
      <c r="M26" s="46">
        <v>159900</v>
      </c>
      <c r="N26" s="35">
        <v>0.9</v>
      </c>
      <c r="O26" s="34">
        <f t="shared" si="2"/>
        <v>15990</v>
      </c>
      <c r="P26" s="6" t="s">
        <v>16</v>
      </c>
    </row>
    <row r="27" spans="1:16" x14ac:dyDescent="0.35">
      <c r="A27" s="32" t="s">
        <v>6423</v>
      </c>
      <c r="B27" s="7">
        <f t="shared" si="0"/>
        <v>46121</v>
      </c>
      <c r="C27" s="7">
        <f t="shared" si="1"/>
        <v>46127</v>
      </c>
      <c r="D27" s="6">
        <v>3321</v>
      </c>
      <c r="E27" s="6">
        <v>337</v>
      </c>
      <c r="F27" s="6">
        <v>4</v>
      </c>
      <c r="G27" s="23">
        <v>1</v>
      </c>
      <c r="H27" s="23">
        <v>81800</v>
      </c>
      <c r="I27" s="32" t="s">
        <v>2689</v>
      </c>
      <c r="J27" s="45">
        <v>13492974</v>
      </c>
      <c r="K27" s="45" t="s">
        <v>2620</v>
      </c>
      <c r="L27" s="45" t="s">
        <v>2622</v>
      </c>
      <c r="M27" s="46">
        <v>159900</v>
      </c>
      <c r="N27" s="35">
        <v>0.9</v>
      </c>
      <c r="O27" s="34">
        <f t="shared" si="2"/>
        <v>15990</v>
      </c>
      <c r="P27" s="6" t="s">
        <v>16</v>
      </c>
    </row>
    <row r="28" spans="1:16" x14ac:dyDescent="0.35">
      <c r="A28" s="32" t="s">
        <v>6423</v>
      </c>
      <c r="B28" s="7">
        <f t="shared" si="0"/>
        <v>46121</v>
      </c>
      <c r="C28" s="7">
        <f t="shared" si="1"/>
        <v>46127</v>
      </c>
      <c r="D28" s="6">
        <v>3321</v>
      </c>
      <c r="E28" s="6">
        <v>337</v>
      </c>
      <c r="F28" s="6">
        <v>4</v>
      </c>
      <c r="G28" s="23">
        <v>1</v>
      </c>
      <c r="H28" s="23">
        <v>81800</v>
      </c>
      <c r="I28" s="32" t="s">
        <v>2689</v>
      </c>
      <c r="J28" s="45">
        <v>13492983</v>
      </c>
      <c r="K28" s="45" t="s">
        <v>2620</v>
      </c>
      <c r="L28" s="45" t="s">
        <v>2623</v>
      </c>
      <c r="M28" s="46">
        <v>159900</v>
      </c>
      <c r="N28" s="35">
        <v>0.9</v>
      </c>
      <c r="O28" s="34">
        <f t="shared" si="2"/>
        <v>15990</v>
      </c>
      <c r="P28" s="6" t="s">
        <v>16</v>
      </c>
    </row>
    <row r="29" spans="1:16" x14ac:dyDescent="0.35">
      <c r="A29" s="32" t="s">
        <v>6423</v>
      </c>
      <c r="B29" s="7">
        <f t="shared" si="0"/>
        <v>46121</v>
      </c>
      <c r="C29" s="7">
        <f t="shared" si="1"/>
        <v>46127</v>
      </c>
      <c r="D29" s="6">
        <v>3321</v>
      </c>
      <c r="E29" s="6">
        <v>337</v>
      </c>
      <c r="F29" s="6">
        <v>4</v>
      </c>
      <c r="G29" s="23">
        <v>1</v>
      </c>
      <c r="H29" s="23">
        <v>81800</v>
      </c>
      <c r="I29" s="32" t="s">
        <v>2689</v>
      </c>
      <c r="J29" s="45">
        <v>13492992</v>
      </c>
      <c r="K29" s="45" t="s">
        <v>2620</v>
      </c>
      <c r="L29" s="45" t="s">
        <v>2624</v>
      </c>
      <c r="M29" s="46">
        <v>159900</v>
      </c>
      <c r="N29" s="35">
        <v>0.9</v>
      </c>
      <c r="O29" s="34">
        <f t="shared" si="2"/>
        <v>15990</v>
      </c>
      <c r="P29" s="6" t="s">
        <v>16</v>
      </c>
    </row>
    <row r="30" spans="1:16" x14ac:dyDescent="0.35">
      <c r="A30" s="32" t="s">
        <v>6423</v>
      </c>
      <c r="B30" s="7">
        <f t="shared" si="0"/>
        <v>46121</v>
      </c>
      <c r="C30" s="7">
        <f t="shared" si="1"/>
        <v>46127</v>
      </c>
      <c r="D30" s="6">
        <v>3321</v>
      </c>
      <c r="E30" s="6">
        <v>337</v>
      </c>
      <c r="F30" s="6">
        <v>4</v>
      </c>
      <c r="G30" s="23">
        <v>1</v>
      </c>
      <c r="H30" s="23">
        <v>81800</v>
      </c>
      <c r="I30" s="32" t="s">
        <v>2689</v>
      </c>
      <c r="J30" s="45">
        <v>13493017</v>
      </c>
      <c r="K30" s="45" t="s">
        <v>2625</v>
      </c>
      <c r="L30" s="45" t="s">
        <v>2626</v>
      </c>
      <c r="M30" s="46">
        <v>159900</v>
      </c>
      <c r="N30" s="35">
        <v>0.9</v>
      </c>
      <c r="O30" s="34">
        <f t="shared" si="2"/>
        <v>15990</v>
      </c>
      <c r="P30" s="6" t="s">
        <v>16</v>
      </c>
    </row>
    <row r="31" spans="1:16" x14ac:dyDescent="0.35">
      <c r="A31" s="32" t="s">
        <v>6423</v>
      </c>
      <c r="B31" s="7">
        <f t="shared" si="0"/>
        <v>46121</v>
      </c>
      <c r="C31" s="7">
        <f t="shared" si="1"/>
        <v>46127</v>
      </c>
      <c r="D31" s="6">
        <v>3321</v>
      </c>
      <c r="E31" s="6">
        <v>337</v>
      </c>
      <c r="F31" s="6">
        <v>4</v>
      </c>
      <c r="G31" s="23">
        <v>1</v>
      </c>
      <c r="H31" s="23">
        <v>81800</v>
      </c>
      <c r="I31" s="32" t="s">
        <v>2689</v>
      </c>
      <c r="J31" s="45">
        <v>13493026</v>
      </c>
      <c r="K31" s="45" t="s">
        <v>2625</v>
      </c>
      <c r="L31" s="45" t="s">
        <v>2627</v>
      </c>
      <c r="M31" s="46">
        <v>159900</v>
      </c>
      <c r="N31" s="35">
        <v>0.9</v>
      </c>
      <c r="O31" s="34">
        <f t="shared" si="2"/>
        <v>15990</v>
      </c>
      <c r="P31" s="6" t="s">
        <v>16</v>
      </c>
    </row>
    <row r="32" spans="1:16" x14ac:dyDescent="0.35">
      <c r="A32" s="32" t="s">
        <v>6423</v>
      </c>
      <c r="B32" s="7">
        <f t="shared" si="0"/>
        <v>46121</v>
      </c>
      <c r="C32" s="7">
        <f t="shared" si="1"/>
        <v>46127</v>
      </c>
      <c r="D32" s="6">
        <v>3321</v>
      </c>
      <c r="E32" s="6">
        <v>337</v>
      </c>
      <c r="F32" s="6">
        <v>4</v>
      </c>
      <c r="G32" s="23">
        <v>1</v>
      </c>
      <c r="H32" s="23">
        <v>81800</v>
      </c>
      <c r="I32" s="32" t="s">
        <v>2689</v>
      </c>
      <c r="J32" s="45">
        <v>13493044</v>
      </c>
      <c r="K32" s="45" t="s">
        <v>2628</v>
      </c>
      <c r="L32" s="45" t="s">
        <v>2629</v>
      </c>
      <c r="M32" s="46">
        <v>159900</v>
      </c>
      <c r="N32" s="35">
        <v>0.9</v>
      </c>
      <c r="O32" s="34">
        <f t="shared" si="2"/>
        <v>15990</v>
      </c>
      <c r="P32" s="6" t="s">
        <v>16</v>
      </c>
    </row>
    <row r="33" spans="1:16" x14ac:dyDescent="0.35">
      <c r="A33" s="32" t="s">
        <v>6423</v>
      </c>
      <c r="B33" s="7">
        <f t="shared" si="0"/>
        <v>46121</v>
      </c>
      <c r="C33" s="7">
        <f t="shared" si="1"/>
        <v>46127</v>
      </c>
      <c r="D33" s="6">
        <v>3321</v>
      </c>
      <c r="E33" s="6">
        <v>337</v>
      </c>
      <c r="F33" s="6">
        <v>4</v>
      </c>
      <c r="G33" s="23">
        <v>1</v>
      </c>
      <c r="H33" s="23">
        <v>81800</v>
      </c>
      <c r="I33" s="32" t="s">
        <v>2689</v>
      </c>
      <c r="J33" s="45">
        <v>13493053</v>
      </c>
      <c r="K33" s="45" t="s">
        <v>2628</v>
      </c>
      <c r="L33" s="45" t="s">
        <v>2630</v>
      </c>
      <c r="M33" s="46">
        <v>159900</v>
      </c>
      <c r="N33" s="35">
        <v>0.9</v>
      </c>
      <c r="O33" s="34">
        <f t="shared" si="2"/>
        <v>15990</v>
      </c>
      <c r="P33" s="6" t="s">
        <v>16</v>
      </c>
    </row>
    <row r="34" spans="1:16" x14ac:dyDescent="0.35">
      <c r="A34" s="32" t="s">
        <v>6423</v>
      </c>
      <c r="B34" s="7">
        <f t="shared" si="0"/>
        <v>46121</v>
      </c>
      <c r="C34" s="7">
        <f t="shared" si="1"/>
        <v>46127</v>
      </c>
      <c r="D34" s="6">
        <v>3321</v>
      </c>
      <c r="E34" s="6">
        <v>337</v>
      </c>
      <c r="F34" s="6">
        <v>4</v>
      </c>
      <c r="G34" s="23">
        <v>1</v>
      </c>
      <c r="H34" s="23">
        <v>81800</v>
      </c>
      <c r="I34" s="32" t="s">
        <v>2689</v>
      </c>
      <c r="J34" s="45">
        <v>13493071</v>
      </c>
      <c r="K34" s="45" t="s">
        <v>2628</v>
      </c>
      <c r="L34" s="45" t="s">
        <v>2631</v>
      </c>
      <c r="M34" s="46">
        <v>159900</v>
      </c>
      <c r="N34" s="35">
        <v>0.9</v>
      </c>
      <c r="O34" s="34">
        <f t="shared" si="2"/>
        <v>15990</v>
      </c>
      <c r="P34" s="6" t="s">
        <v>16</v>
      </c>
    </row>
    <row r="35" spans="1:16" x14ac:dyDescent="0.35">
      <c r="A35" s="32" t="s">
        <v>6423</v>
      </c>
      <c r="B35" s="7">
        <f t="shared" si="0"/>
        <v>46121</v>
      </c>
      <c r="C35" s="7">
        <f t="shared" si="1"/>
        <v>46127</v>
      </c>
      <c r="D35" s="6">
        <v>3321</v>
      </c>
      <c r="E35" s="6">
        <v>337</v>
      </c>
      <c r="F35" s="6">
        <v>4</v>
      </c>
      <c r="G35" s="23">
        <v>1</v>
      </c>
      <c r="H35" s="23">
        <v>81800</v>
      </c>
      <c r="I35" s="32" t="s">
        <v>2689</v>
      </c>
      <c r="J35" s="45">
        <v>13846921</v>
      </c>
      <c r="K35" s="45" t="s">
        <v>2632</v>
      </c>
      <c r="L35" s="45" t="s">
        <v>2633</v>
      </c>
      <c r="M35" s="46">
        <v>159900</v>
      </c>
      <c r="N35" s="35">
        <v>0.9</v>
      </c>
      <c r="O35" s="34">
        <f t="shared" si="2"/>
        <v>15990</v>
      </c>
      <c r="P35" s="6" t="s">
        <v>16</v>
      </c>
    </row>
    <row r="36" spans="1:16" x14ac:dyDescent="0.35">
      <c r="A36" s="32" t="s">
        <v>6423</v>
      </c>
      <c r="B36" s="7">
        <f t="shared" si="0"/>
        <v>46121</v>
      </c>
      <c r="C36" s="7">
        <f t="shared" si="1"/>
        <v>46127</v>
      </c>
      <c r="D36" s="6">
        <v>3321</v>
      </c>
      <c r="E36" s="6">
        <v>337</v>
      </c>
      <c r="F36" s="6">
        <v>4</v>
      </c>
      <c r="G36" s="23">
        <v>1</v>
      </c>
      <c r="H36" s="23">
        <v>81800</v>
      </c>
      <c r="I36" s="32" t="s">
        <v>2689</v>
      </c>
      <c r="J36" s="45">
        <v>13846930</v>
      </c>
      <c r="K36" s="45" t="s">
        <v>2632</v>
      </c>
      <c r="L36" s="45" t="s">
        <v>2634</v>
      </c>
      <c r="M36" s="46">
        <v>159900</v>
      </c>
      <c r="N36" s="35">
        <v>0.9</v>
      </c>
      <c r="O36" s="34">
        <f t="shared" si="2"/>
        <v>15990</v>
      </c>
      <c r="P36" s="6" t="s">
        <v>16</v>
      </c>
    </row>
    <row r="37" spans="1:16" x14ac:dyDescent="0.35">
      <c r="A37" s="32" t="s">
        <v>6423</v>
      </c>
      <c r="B37" s="7">
        <f t="shared" si="0"/>
        <v>46121</v>
      </c>
      <c r="C37" s="7">
        <f t="shared" si="1"/>
        <v>46127</v>
      </c>
      <c r="D37" s="6">
        <v>3321</v>
      </c>
      <c r="E37" s="6">
        <v>337</v>
      </c>
      <c r="F37" s="6">
        <v>4</v>
      </c>
      <c r="G37" s="23">
        <v>1</v>
      </c>
      <c r="H37" s="23">
        <v>81800</v>
      </c>
      <c r="I37" s="32" t="s">
        <v>2689</v>
      </c>
      <c r="J37" s="45">
        <v>13846949</v>
      </c>
      <c r="K37" s="45" t="s">
        <v>2632</v>
      </c>
      <c r="L37" s="45" t="s">
        <v>2635</v>
      </c>
      <c r="M37" s="46">
        <v>159900</v>
      </c>
      <c r="N37" s="35">
        <v>0.9</v>
      </c>
      <c r="O37" s="34">
        <f t="shared" si="2"/>
        <v>15990</v>
      </c>
      <c r="P37" s="6" t="s">
        <v>16</v>
      </c>
    </row>
    <row r="38" spans="1:16" x14ac:dyDescent="0.35">
      <c r="A38" s="32" t="s">
        <v>6423</v>
      </c>
      <c r="B38" s="7">
        <f t="shared" si="0"/>
        <v>46121</v>
      </c>
      <c r="C38" s="7">
        <f t="shared" si="1"/>
        <v>46127</v>
      </c>
      <c r="D38" s="6">
        <v>3321</v>
      </c>
      <c r="E38" s="6">
        <v>337</v>
      </c>
      <c r="F38" s="6">
        <v>4</v>
      </c>
      <c r="G38" s="23">
        <v>1</v>
      </c>
      <c r="H38" s="23">
        <v>81800</v>
      </c>
      <c r="I38" s="32" t="s">
        <v>2689</v>
      </c>
      <c r="J38" s="45">
        <v>14100957</v>
      </c>
      <c r="K38" s="45" t="s">
        <v>2636</v>
      </c>
      <c r="L38" s="45" t="s">
        <v>2637</v>
      </c>
      <c r="M38" s="46">
        <v>159900</v>
      </c>
      <c r="N38" s="35">
        <v>0.9</v>
      </c>
      <c r="O38" s="34">
        <f t="shared" si="2"/>
        <v>15990</v>
      </c>
      <c r="P38" s="6" t="s">
        <v>16</v>
      </c>
    </row>
    <row r="39" spans="1:16" x14ac:dyDescent="0.35">
      <c r="A39" s="32" t="s">
        <v>6423</v>
      </c>
      <c r="B39" s="7">
        <f t="shared" si="0"/>
        <v>46121</v>
      </c>
      <c r="C39" s="7">
        <f t="shared" si="1"/>
        <v>46127</v>
      </c>
      <c r="D39" s="6">
        <v>3321</v>
      </c>
      <c r="E39" s="6">
        <v>337</v>
      </c>
      <c r="F39" s="6">
        <v>4</v>
      </c>
      <c r="G39" s="23">
        <v>1</v>
      </c>
      <c r="H39" s="23">
        <v>81800</v>
      </c>
      <c r="I39" s="32" t="s">
        <v>2689</v>
      </c>
      <c r="J39" s="45">
        <v>14100966</v>
      </c>
      <c r="K39" s="45" t="s">
        <v>2638</v>
      </c>
      <c r="L39" s="45" t="s">
        <v>2639</v>
      </c>
      <c r="M39" s="46">
        <v>159900</v>
      </c>
      <c r="N39" s="35">
        <v>0.9</v>
      </c>
      <c r="O39" s="34">
        <f t="shared" si="2"/>
        <v>15990</v>
      </c>
      <c r="P39" s="6" t="s">
        <v>16</v>
      </c>
    </row>
    <row r="40" spans="1:16" x14ac:dyDescent="0.35">
      <c r="A40" s="32" t="s">
        <v>6423</v>
      </c>
      <c r="B40" s="7">
        <f t="shared" si="0"/>
        <v>46121</v>
      </c>
      <c r="C40" s="7">
        <f t="shared" si="1"/>
        <v>46127</v>
      </c>
      <c r="D40" s="6">
        <v>3321</v>
      </c>
      <c r="E40" s="6">
        <v>337</v>
      </c>
      <c r="F40" s="6">
        <v>4</v>
      </c>
      <c r="G40" s="23">
        <v>1</v>
      </c>
      <c r="H40" s="23">
        <v>81800</v>
      </c>
      <c r="I40" s="32" t="s">
        <v>2689</v>
      </c>
      <c r="J40" s="45">
        <v>14100975</v>
      </c>
      <c r="K40" s="45" t="s">
        <v>2638</v>
      </c>
      <c r="L40" s="45" t="s">
        <v>2640</v>
      </c>
      <c r="M40" s="46">
        <v>159900</v>
      </c>
      <c r="N40" s="35">
        <v>0.9</v>
      </c>
      <c r="O40" s="34">
        <f t="shared" si="2"/>
        <v>15990</v>
      </c>
      <c r="P40" s="6" t="s">
        <v>16</v>
      </c>
    </row>
    <row r="41" spans="1:16" x14ac:dyDescent="0.35">
      <c r="A41" s="32" t="s">
        <v>6423</v>
      </c>
      <c r="B41" s="7">
        <f t="shared" si="0"/>
        <v>46121</v>
      </c>
      <c r="C41" s="7">
        <f t="shared" si="1"/>
        <v>46127</v>
      </c>
      <c r="D41" s="6">
        <v>3321</v>
      </c>
      <c r="E41" s="6">
        <v>337</v>
      </c>
      <c r="F41" s="6">
        <v>4</v>
      </c>
      <c r="G41" s="23">
        <v>1</v>
      </c>
      <c r="H41" s="23">
        <v>81800</v>
      </c>
      <c r="I41" s="32" t="s">
        <v>2689</v>
      </c>
      <c r="J41" s="45">
        <v>14100984</v>
      </c>
      <c r="K41" s="45" t="s">
        <v>2638</v>
      </c>
      <c r="L41" s="45" t="s">
        <v>2641</v>
      </c>
      <c r="M41" s="46">
        <v>159900</v>
      </c>
      <c r="N41" s="35">
        <v>0.9</v>
      </c>
      <c r="O41" s="34">
        <f t="shared" si="2"/>
        <v>15990</v>
      </c>
      <c r="P41" s="6" t="s">
        <v>16</v>
      </c>
    </row>
    <row r="42" spans="1:16" x14ac:dyDescent="0.35">
      <c r="A42" s="32" t="s">
        <v>6423</v>
      </c>
      <c r="B42" s="7">
        <f t="shared" si="0"/>
        <v>46121</v>
      </c>
      <c r="C42" s="7">
        <f t="shared" si="1"/>
        <v>46127</v>
      </c>
      <c r="D42" s="6">
        <v>3321</v>
      </c>
      <c r="E42" s="6">
        <v>337</v>
      </c>
      <c r="F42" s="6">
        <v>4</v>
      </c>
      <c r="G42" s="23">
        <v>1</v>
      </c>
      <c r="H42" s="23">
        <v>81800</v>
      </c>
      <c r="I42" s="32" t="s">
        <v>2689</v>
      </c>
      <c r="J42" s="45">
        <v>14100993</v>
      </c>
      <c r="K42" s="45" t="s">
        <v>2638</v>
      </c>
      <c r="L42" s="45" t="s">
        <v>2642</v>
      </c>
      <c r="M42" s="46">
        <v>159900</v>
      </c>
      <c r="N42" s="35">
        <v>0.9</v>
      </c>
      <c r="O42" s="34">
        <f t="shared" si="2"/>
        <v>15990</v>
      </c>
      <c r="P42" s="6" t="s">
        <v>16</v>
      </c>
    </row>
    <row r="43" spans="1:16" x14ac:dyDescent="0.35">
      <c r="A43" s="32" t="s">
        <v>6423</v>
      </c>
      <c r="B43" s="7">
        <f t="shared" si="0"/>
        <v>46121</v>
      </c>
      <c r="C43" s="7">
        <f t="shared" si="1"/>
        <v>46127</v>
      </c>
      <c r="D43" s="6">
        <v>3321</v>
      </c>
      <c r="E43" s="6">
        <v>337</v>
      </c>
      <c r="F43" s="6">
        <v>4</v>
      </c>
      <c r="G43" s="23">
        <v>1</v>
      </c>
      <c r="H43" s="23">
        <v>81800</v>
      </c>
      <c r="I43" s="32" t="s">
        <v>2689</v>
      </c>
      <c r="J43" s="45">
        <v>14101009</v>
      </c>
      <c r="K43" s="45" t="s">
        <v>2643</v>
      </c>
      <c r="L43" s="45" t="s">
        <v>2644</v>
      </c>
      <c r="M43" s="46">
        <v>159900</v>
      </c>
      <c r="N43" s="35">
        <v>0.9</v>
      </c>
      <c r="O43" s="34">
        <f t="shared" si="2"/>
        <v>15990</v>
      </c>
      <c r="P43" s="6" t="s">
        <v>16</v>
      </c>
    </row>
    <row r="44" spans="1:16" x14ac:dyDescent="0.35">
      <c r="A44" s="32" t="s">
        <v>6423</v>
      </c>
      <c r="B44" s="7">
        <f t="shared" si="0"/>
        <v>46121</v>
      </c>
      <c r="C44" s="7">
        <f t="shared" si="1"/>
        <v>46127</v>
      </c>
      <c r="D44" s="6">
        <v>3321</v>
      </c>
      <c r="E44" s="6">
        <v>337</v>
      </c>
      <c r="F44" s="6">
        <v>4</v>
      </c>
      <c r="G44" s="23">
        <v>1</v>
      </c>
      <c r="H44" s="23">
        <v>81800</v>
      </c>
      <c r="I44" s="32" t="s">
        <v>2689</v>
      </c>
      <c r="J44" s="45">
        <v>14101018</v>
      </c>
      <c r="K44" s="45" t="s">
        <v>2643</v>
      </c>
      <c r="L44" s="45" t="s">
        <v>2645</v>
      </c>
      <c r="M44" s="46">
        <v>159900</v>
      </c>
      <c r="N44" s="35">
        <v>0.9</v>
      </c>
      <c r="O44" s="34">
        <f t="shared" si="2"/>
        <v>15990</v>
      </c>
      <c r="P44" s="6" t="s">
        <v>16</v>
      </c>
    </row>
    <row r="45" spans="1:16" x14ac:dyDescent="0.35">
      <c r="A45" s="32" t="s">
        <v>6423</v>
      </c>
      <c r="B45" s="7">
        <f t="shared" si="0"/>
        <v>46121</v>
      </c>
      <c r="C45" s="7">
        <f t="shared" si="1"/>
        <v>46127</v>
      </c>
      <c r="D45" s="6">
        <v>3321</v>
      </c>
      <c r="E45" s="6">
        <v>337</v>
      </c>
      <c r="F45" s="6">
        <v>4</v>
      </c>
      <c r="G45" s="23">
        <v>1</v>
      </c>
      <c r="H45" s="23">
        <v>81800</v>
      </c>
      <c r="I45" s="32" t="s">
        <v>2689</v>
      </c>
      <c r="J45" s="45">
        <v>14101027</v>
      </c>
      <c r="K45" s="45" t="s">
        <v>2643</v>
      </c>
      <c r="L45" s="45" t="s">
        <v>2646</v>
      </c>
      <c r="M45" s="46">
        <v>159900</v>
      </c>
      <c r="N45" s="35">
        <v>0.9</v>
      </c>
      <c r="O45" s="34">
        <f t="shared" si="2"/>
        <v>15990</v>
      </c>
      <c r="P45" s="6" t="s">
        <v>16</v>
      </c>
    </row>
    <row r="46" spans="1:16" x14ac:dyDescent="0.35">
      <c r="A46" s="32" t="s">
        <v>6423</v>
      </c>
      <c r="B46" s="7">
        <f t="shared" si="0"/>
        <v>46121</v>
      </c>
      <c r="C46" s="7">
        <f t="shared" si="1"/>
        <v>46127</v>
      </c>
      <c r="D46" s="6">
        <v>3321</v>
      </c>
      <c r="E46" s="6">
        <v>337</v>
      </c>
      <c r="F46" s="6">
        <v>4</v>
      </c>
      <c r="G46" s="23">
        <v>1</v>
      </c>
      <c r="H46" s="23">
        <v>81800</v>
      </c>
      <c r="I46" s="32" t="s">
        <v>2689</v>
      </c>
      <c r="J46" s="45">
        <v>14101036</v>
      </c>
      <c r="K46" s="45" t="s">
        <v>2643</v>
      </c>
      <c r="L46" s="45" t="s">
        <v>2647</v>
      </c>
      <c r="M46" s="46">
        <v>159900</v>
      </c>
      <c r="N46" s="35">
        <v>0.9</v>
      </c>
      <c r="O46" s="34">
        <f t="shared" si="2"/>
        <v>15990</v>
      </c>
      <c r="P46" s="6" t="s">
        <v>16</v>
      </c>
    </row>
    <row r="47" spans="1:16" x14ac:dyDescent="0.35">
      <c r="A47" s="32" t="s">
        <v>6423</v>
      </c>
      <c r="B47" s="7">
        <f t="shared" si="0"/>
        <v>46121</v>
      </c>
      <c r="C47" s="7">
        <f t="shared" si="1"/>
        <v>46127</v>
      </c>
      <c r="D47" s="6">
        <v>3321</v>
      </c>
      <c r="E47" s="6">
        <v>337</v>
      </c>
      <c r="F47" s="6">
        <v>4</v>
      </c>
      <c r="G47" s="23">
        <v>1</v>
      </c>
      <c r="H47" s="23">
        <v>81800</v>
      </c>
      <c r="I47" s="32" t="s">
        <v>2689</v>
      </c>
      <c r="J47" s="45">
        <v>82958565</v>
      </c>
      <c r="K47" s="45" t="s">
        <v>2648</v>
      </c>
      <c r="L47" s="45" t="s">
        <v>2649</v>
      </c>
      <c r="M47" s="46">
        <v>159900</v>
      </c>
      <c r="N47" s="35">
        <v>0.9</v>
      </c>
      <c r="O47" s="34">
        <f t="shared" si="2"/>
        <v>15990</v>
      </c>
      <c r="P47" s="6" t="s">
        <v>16</v>
      </c>
    </row>
    <row r="48" spans="1:16" x14ac:dyDescent="0.35">
      <c r="A48" s="32" t="s">
        <v>6423</v>
      </c>
      <c r="B48" s="7">
        <f t="shared" si="0"/>
        <v>46121</v>
      </c>
      <c r="C48" s="7">
        <f t="shared" si="1"/>
        <v>46127</v>
      </c>
      <c r="D48" s="6">
        <v>3321</v>
      </c>
      <c r="E48" s="6">
        <v>337</v>
      </c>
      <c r="F48" s="6">
        <v>4</v>
      </c>
      <c r="G48" s="23">
        <v>1</v>
      </c>
      <c r="H48" s="23">
        <v>81800</v>
      </c>
      <c r="I48" s="32" t="s">
        <v>2689</v>
      </c>
      <c r="J48" s="45">
        <v>82958627</v>
      </c>
      <c r="K48" s="45" t="s">
        <v>2650</v>
      </c>
      <c r="L48" s="45" t="s">
        <v>2651</v>
      </c>
      <c r="M48" s="46">
        <v>159900</v>
      </c>
      <c r="N48" s="35">
        <v>0.9</v>
      </c>
      <c r="O48" s="34">
        <f t="shared" si="2"/>
        <v>15990</v>
      </c>
      <c r="P48" s="6" t="s">
        <v>16</v>
      </c>
    </row>
    <row r="49" spans="1:16" x14ac:dyDescent="0.35">
      <c r="A49" s="32" t="s">
        <v>6423</v>
      </c>
      <c r="B49" s="7">
        <f t="shared" si="0"/>
        <v>46121</v>
      </c>
      <c r="C49" s="7">
        <f t="shared" si="1"/>
        <v>46127</v>
      </c>
      <c r="D49" s="6">
        <v>3321</v>
      </c>
      <c r="E49" s="6">
        <v>337</v>
      </c>
      <c r="F49" s="6">
        <v>4</v>
      </c>
      <c r="G49" s="23">
        <v>1</v>
      </c>
      <c r="H49" s="23">
        <v>81800</v>
      </c>
      <c r="I49" s="32" t="s">
        <v>2689</v>
      </c>
      <c r="J49" s="45">
        <v>84614388</v>
      </c>
      <c r="K49" s="45" t="s">
        <v>2653</v>
      </c>
      <c r="L49" s="45" t="s">
        <v>2654</v>
      </c>
      <c r="M49" s="46">
        <v>159900</v>
      </c>
      <c r="N49" s="35">
        <v>0.9</v>
      </c>
      <c r="O49" s="34">
        <f t="shared" si="2"/>
        <v>15990</v>
      </c>
      <c r="P49" s="6" t="s">
        <v>16</v>
      </c>
    </row>
    <row r="50" spans="1:16" x14ac:dyDescent="0.35">
      <c r="A50" s="32" t="s">
        <v>6423</v>
      </c>
      <c r="B50" s="7">
        <f t="shared" si="0"/>
        <v>46121</v>
      </c>
      <c r="C50" s="7">
        <f t="shared" si="1"/>
        <v>46127</v>
      </c>
      <c r="D50" s="6">
        <v>3321</v>
      </c>
      <c r="E50" s="6">
        <v>337</v>
      </c>
      <c r="F50" s="6">
        <v>4</v>
      </c>
      <c r="G50" s="23">
        <v>3</v>
      </c>
      <c r="H50" s="23">
        <v>81419</v>
      </c>
      <c r="I50" s="32" t="s">
        <v>2689</v>
      </c>
      <c r="J50" s="45">
        <v>14608570</v>
      </c>
      <c r="K50" s="45" t="s">
        <v>2655</v>
      </c>
      <c r="L50" s="45" t="s">
        <v>2656</v>
      </c>
      <c r="M50" s="46">
        <v>279900</v>
      </c>
      <c r="N50" s="35">
        <v>0.9</v>
      </c>
      <c r="O50" s="34">
        <f t="shared" si="2"/>
        <v>27990</v>
      </c>
      <c r="P50" s="6" t="s">
        <v>16</v>
      </c>
    </row>
    <row r="51" spans="1:16" x14ac:dyDescent="0.35">
      <c r="A51" s="32" t="s">
        <v>6423</v>
      </c>
      <c r="B51" s="7">
        <f t="shared" si="0"/>
        <v>46121</v>
      </c>
      <c r="C51" s="7">
        <f t="shared" si="1"/>
        <v>46127</v>
      </c>
      <c r="D51" s="6">
        <v>3321</v>
      </c>
      <c r="E51" s="6">
        <v>337</v>
      </c>
      <c r="F51" s="6">
        <v>4</v>
      </c>
      <c r="G51" s="23">
        <v>3</v>
      </c>
      <c r="H51" s="23">
        <v>81800</v>
      </c>
      <c r="I51" s="32" t="s">
        <v>2689</v>
      </c>
      <c r="J51" s="45">
        <v>86978787</v>
      </c>
      <c r="K51" s="45" t="s">
        <v>2671</v>
      </c>
      <c r="L51" s="45" t="s">
        <v>6422</v>
      </c>
      <c r="M51" s="46">
        <v>229900</v>
      </c>
      <c r="N51" s="35">
        <v>0.9</v>
      </c>
      <c r="O51" s="34">
        <f t="shared" si="2"/>
        <v>22990</v>
      </c>
      <c r="P51" s="6" t="s">
        <v>16</v>
      </c>
    </row>
    <row r="52" spans="1:16" x14ac:dyDescent="0.35">
      <c r="A52" s="32" t="s">
        <v>6423</v>
      </c>
      <c r="B52" s="7">
        <f t="shared" si="0"/>
        <v>46121</v>
      </c>
      <c r="C52" s="7">
        <f t="shared" si="1"/>
        <v>46127</v>
      </c>
      <c r="D52" s="6">
        <v>3321</v>
      </c>
      <c r="E52" s="6">
        <v>337</v>
      </c>
      <c r="F52" s="6">
        <v>4</v>
      </c>
      <c r="G52" s="23">
        <v>3</v>
      </c>
      <c r="H52" s="23">
        <v>81800</v>
      </c>
      <c r="I52" s="32" t="s">
        <v>2689</v>
      </c>
      <c r="J52" s="45">
        <v>13493080</v>
      </c>
      <c r="K52" s="45" t="s">
        <v>2657</v>
      </c>
      <c r="L52" s="45" t="s">
        <v>2658</v>
      </c>
      <c r="M52" s="46">
        <v>239900</v>
      </c>
      <c r="N52" s="35">
        <v>0.9</v>
      </c>
      <c r="O52" s="34">
        <f t="shared" si="2"/>
        <v>23990</v>
      </c>
      <c r="P52" s="6" t="s">
        <v>16</v>
      </c>
    </row>
    <row r="53" spans="1:16" x14ac:dyDescent="0.35">
      <c r="A53" s="32" t="s">
        <v>6423</v>
      </c>
      <c r="B53" s="7">
        <f t="shared" si="0"/>
        <v>46121</v>
      </c>
      <c r="C53" s="7">
        <f t="shared" si="1"/>
        <v>46127</v>
      </c>
      <c r="D53" s="6">
        <v>3321</v>
      </c>
      <c r="E53" s="6">
        <v>337</v>
      </c>
      <c r="F53" s="6">
        <v>4</v>
      </c>
      <c r="G53" s="23">
        <v>3</v>
      </c>
      <c r="H53" s="23">
        <v>81800</v>
      </c>
      <c r="I53" s="32" t="s">
        <v>2689</v>
      </c>
      <c r="J53" s="45">
        <v>13493099</v>
      </c>
      <c r="K53" s="45" t="s">
        <v>2657</v>
      </c>
      <c r="L53" s="45" t="s">
        <v>2659</v>
      </c>
      <c r="M53" s="46">
        <v>239900</v>
      </c>
      <c r="N53" s="35">
        <v>0.9</v>
      </c>
      <c r="O53" s="34">
        <f t="shared" si="2"/>
        <v>23990</v>
      </c>
      <c r="P53" s="6" t="s">
        <v>16</v>
      </c>
    </row>
    <row r="54" spans="1:16" x14ac:dyDescent="0.35">
      <c r="A54" s="32" t="s">
        <v>6423</v>
      </c>
      <c r="B54" s="7">
        <f t="shared" si="0"/>
        <v>46121</v>
      </c>
      <c r="C54" s="7">
        <f t="shared" si="1"/>
        <v>46127</v>
      </c>
      <c r="D54" s="6">
        <v>3321</v>
      </c>
      <c r="E54" s="6">
        <v>337</v>
      </c>
      <c r="F54" s="6">
        <v>4</v>
      </c>
      <c r="G54" s="23">
        <v>3</v>
      </c>
      <c r="H54" s="23">
        <v>81800</v>
      </c>
      <c r="I54" s="32" t="s">
        <v>2689</v>
      </c>
      <c r="J54" s="45">
        <v>13493106</v>
      </c>
      <c r="K54" s="45" t="s">
        <v>2657</v>
      </c>
      <c r="L54" s="45" t="s">
        <v>2660</v>
      </c>
      <c r="M54" s="46">
        <v>239900</v>
      </c>
      <c r="N54" s="35">
        <v>0.9</v>
      </c>
      <c r="O54" s="34">
        <f t="shared" si="2"/>
        <v>23990</v>
      </c>
      <c r="P54" s="6" t="s">
        <v>16</v>
      </c>
    </row>
    <row r="55" spans="1:16" x14ac:dyDescent="0.35">
      <c r="A55" s="32" t="s">
        <v>6423</v>
      </c>
      <c r="B55" s="7">
        <f t="shared" si="0"/>
        <v>46121</v>
      </c>
      <c r="C55" s="7">
        <f t="shared" si="1"/>
        <v>46127</v>
      </c>
      <c r="D55" s="6">
        <v>3321</v>
      </c>
      <c r="E55" s="6">
        <v>337</v>
      </c>
      <c r="F55" s="6">
        <v>4</v>
      </c>
      <c r="G55" s="23">
        <v>3</v>
      </c>
      <c r="H55" s="23">
        <v>81800</v>
      </c>
      <c r="I55" s="32" t="s">
        <v>2689</v>
      </c>
      <c r="J55" s="45">
        <v>13493115</v>
      </c>
      <c r="K55" s="45" t="s">
        <v>2657</v>
      </c>
      <c r="L55" s="45" t="s">
        <v>2661</v>
      </c>
      <c r="M55" s="46">
        <v>239900</v>
      </c>
      <c r="N55" s="35">
        <v>0.9</v>
      </c>
      <c r="O55" s="34">
        <f t="shared" si="2"/>
        <v>23990</v>
      </c>
      <c r="P55" s="6" t="s">
        <v>16</v>
      </c>
    </row>
    <row r="56" spans="1:16" x14ac:dyDescent="0.35">
      <c r="A56" s="32" t="s">
        <v>6423</v>
      </c>
      <c r="B56" s="7">
        <f t="shared" si="0"/>
        <v>46121</v>
      </c>
      <c r="C56" s="7">
        <f t="shared" si="1"/>
        <v>46127</v>
      </c>
      <c r="D56" s="6">
        <v>3321</v>
      </c>
      <c r="E56" s="6">
        <v>337</v>
      </c>
      <c r="F56" s="6">
        <v>4</v>
      </c>
      <c r="G56" s="23">
        <v>3</v>
      </c>
      <c r="H56" s="23">
        <v>81800</v>
      </c>
      <c r="I56" s="32" t="s">
        <v>2689</v>
      </c>
      <c r="J56" s="45">
        <v>14927163</v>
      </c>
      <c r="K56" s="45" t="s">
        <v>2662</v>
      </c>
      <c r="L56" s="45" t="s">
        <v>2663</v>
      </c>
      <c r="M56" s="46">
        <v>289900</v>
      </c>
      <c r="N56" s="35">
        <v>0.9</v>
      </c>
      <c r="O56" s="34">
        <f t="shared" si="2"/>
        <v>28990</v>
      </c>
      <c r="P56" s="6" t="s">
        <v>16</v>
      </c>
    </row>
    <row r="57" spans="1:16" x14ac:dyDescent="0.35">
      <c r="A57" s="32" t="s">
        <v>6423</v>
      </c>
      <c r="B57" s="7">
        <f t="shared" si="0"/>
        <v>46121</v>
      </c>
      <c r="C57" s="7">
        <f t="shared" si="1"/>
        <v>46127</v>
      </c>
      <c r="D57" s="6">
        <v>3321</v>
      </c>
      <c r="E57" s="6">
        <v>337</v>
      </c>
      <c r="F57" s="6">
        <v>4</v>
      </c>
      <c r="G57" s="23">
        <v>3</v>
      </c>
      <c r="H57" s="23">
        <v>81800</v>
      </c>
      <c r="I57" s="32" t="s">
        <v>2689</v>
      </c>
      <c r="J57" s="45">
        <v>14927172</v>
      </c>
      <c r="K57" s="45" t="s">
        <v>2662</v>
      </c>
      <c r="L57" s="45" t="s">
        <v>2664</v>
      </c>
      <c r="M57" s="46">
        <v>289900</v>
      </c>
      <c r="N57" s="35">
        <v>0.9</v>
      </c>
      <c r="O57" s="34">
        <f t="shared" si="2"/>
        <v>28990</v>
      </c>
      <c r="P57" s="6" t="s">
        <v>16</v>
      </c>
    </row>
    <row r="58" spans="1:16" x14ac:dyDescent="0.35">
      <c r="A58" s="32" t="s">
        <v>6423</v>
      </c>
      <c r="B58" s="7">
        <f t="shared" si="0"/>
        <v>46121</v>
      </c>
      <c r="C58" s="7">
        <f t="shared" si="1"/>
        <v>46127</v>
      </c>
      <c r="D58" s="6">
        <v>3321</v>
      </c>
      <c r="E58" s="6">
        <v>337</v>
      </c>
      <c r="F58" s="6">
        <v>4</v>
      </c>
      <c r="G58" s="23">
        <v>3</v>
      </c>
      <c r="H58" s="23">
        <v>81800</v>
      </c>
      <c r="I58" s="32" t="s">
        <v>2689</v>
      </c>
      <c r="J58" s="45">
        <v>14927181</v>
      </c>
      <c r="K58" s="45" t="s">
        <v>2665</v>
      </c>
      <c r="L58" s="45" t="s">
        <v>2666</v>
      </c>
      <c r="M58" s="46">
        <v>259900</v>
      </c>
      <c r="N58" s="35">
        <v>0.9</v>
      </c>
      <c r="O58" s="34">
        <f t="shared" si="2"/>
        <v>25990</v>
      </c>
      <c r="P58" s="6" t="s">
        <v>16</v>
      </c>
    </row>
    <row r="59" spans="1:16" x14ac:dyDescent="0.35">
      <c r="A59" s="32" t="s">
        <v>6423</v>
      </c>
      <c r="B59" s="7">
        <f t="shared" si="0"/>
        <v>46121</v>
      </c>
      <c r="C59" s="7">
        <f t="shared" si="1"/>
        <v>46127</v>
      </c>
      <c r="D59" s="6">
        <v>3321</v>
      </c>
      <c r="E59" s="6">
        <v>337</v>
      </c>
      <c r="F59" s="6">
        <v>4</v>
      </c>
      <c r="G59" s="23">
        <v>3</v>
      </c>
      <c r="H59" s="23">
        <v>81800</v>
      </c>
      <c r="I59" s="32" t="s">
        <v>2689</v>
      </c>
      <c r="J59" s="45">
        <v>14927190</v>
      </c>
      <c r="K59" s="45" t="s">
        <v>2665</v>
      </c>
      <c r="L59" s="45" t="s">
        <v>2667</v>
      </c>
      <c r="M59" s="46">
        <v>259900</v>
      </c>
      <c r="N59" s="35">
        <v>0.9</v>
      </c>
      <c r="O59" s="34">
        <f t="shared" si="2"/>
        <v>25990</v>
      </c>
      <c r="P59" s="6" t="s">
        <v>16</v>
      </c>
    </row>
    <row r="60" spans="1:16" x14ac:dyDescent="0.35">
      <c r="A60" s="32" t="s">
        <v>6423</v>
      </c>
      <c r="B60" s="7">
        <f t="shared" si="0"/>
        <v>46121</v>
      </c>
      <c r="C60" s="7">
        <f t="shared" si="1"/>
        <v>46127</v>
      </c>
      <c r="D60" s="6">
        <v>3321</v>
      </c>
      <c r="E60" s="6">
        <v>337</v>
      </c>
      <c r="F60" s="6">
        <v>4</v>
      </c>
      <c r="G60" s="23">
        <v>3</v>
      </c>
      <c r="H60" s="23">
        <v>81800</v>
      </c>
      <c r="I60" s="32" t="s">
        <v>2689</v>
      </c>
      <c r="J60" s="45">
        <v>14927207</v>
      </c>
      <c r="K60" s="45" t="s">
        <v>2665</v>
      </c>
      <c r="L60" s="45" t="s">
        <v>2668</v>
      </c>
      <c r="M60" s="46">
        <v>259900</v>
      </c>
      <c r="N60" s="35">
        <v>0.9</v>
      </c>
      <c r="O60" s="34">
        <f t="shared" si="2"/>
        <v>25990</v>
      </c>
      <c r="P60" s="6" t="s">
        <v>16</v>
      </c>
    </row>
    <row r="61" spans="1:16" x14ac:dyDescent="0.35">
      <c r="A61" s="32" t="s">
        <v>6423</v>
      </c>
      <c r="B61" s="7">
        <f t="shared" si="0"/>
        <v>46121</v>
      </c>
      <c r="C61" s="7">
        <f t="shared" si="1"/>
        <v>46127</v>
      </c>
      <c r="D61" s="6">
        <v>3321</v>
      </c>
      <c r="E61" s="6">
        <v>337</v>
      </c>
      <c r="F61" s="6">
        <v>4</v>
      </c>
      <c r="G61" s="23">
        <v>3</v>
      </c>
      <c r="H61" s="23">
        <v>81800</v>
      </c>
      <c r="I61" s="32" t="s">
        <v>2689</v>
      </c>
      <c r="J61" s="45">
        <v>82958789</v>
      </c>
      <c r="K61" s="45" t="s">
        <v>2669</v>
      </c>
      <c r="L61" s="45" t="s">
        <v>2670</v>
      </c>
      <c r="M61" s="46">
        <v>279900</v>
      </c>
      <c r="N61" s="35">
        <v>0.9</v>
      </c>
      <c r="O61" s="34">
        <f t="shared" si="2"/>
        <v>27990</v>
      </c>
      <c r="P61" s="6" t="s">
        <v>16</v>
      </c>
    </row>
    <row r="62" spans="1:16" x14ac:dyDescent="0.35">
      <c r="A62" s="32" t="s">
        <v>6423</v>
      </c>
      <c r="B62" s="7">
        <f t="shared" si="0"/>
        <v>46121</v>
      </c>
      <c r="C62" s="7">
        <f t="shared" si="1"/>
        <v>46127</v>
      </c>
      <c r="D62" s="6">
        <v>3321</v>
      </c>
      <c r="E62" s="6">
        <v>337</v>
      </c>
      <c r="F62" s="6">
        <v>4</v>
      </c>
      <c r="G62" s="23">
        <v>3</v>
      </c>
      <c r="H62" s="23">
        <v>81800</v>
      </c>
      <c r="I62" s="32" t="s">
        <v>2689</v>
      </c>
      <c r="J62" s="45">
        <v>86978778</v>
      </c>
      <c r="K62" s="45" t="s">
        <v>2671</v>
      </c>
      <c r="L62" s="45" t="s">
        <v>2672</v>
      </c>
      <c r="M62" s="46">
        <v>229900</v>
      </c>
      <c r="N62" s="35">
        <v>0.9</v>
      </c>
      <c r="O62" s="34">
        <f t="shared" si="2"/>
        <v>22990</v>
      </c>
      <c r="P62" s="6" t="s">
        <v>16</v>
      </c>
    </row>
    <row r="63" spans="1:16" x14ac:dyDescent="0.35">
      <c r="A63" s="32" t="s">
        <v>6423</v>
      </c>
      <c r="B63" s="7">
        <f t="shared" si="0"/>
        <v>46121</v>
      </c>
      <c r="C63" s="7">
        <f t="shared" si="1"/>
        <v>46127</v>
      </c>
      <c r="D63" s="6">
        <v>3321</v>
      </c>
      <c r="E63" s="6">
        <v>337</v>
      </c>
      <c r="F63" s="6">
        <v>4</v>
      </c>
      <c r="G63" s="23">
        <v>3</v>
      </c>
      <c r="H63" s="23">
        <v>81800</v>
      </c>
      <c r="I63" s="32" t="s">
        <v>2689</v>
      </c>
      <c r="J63" s="45">
        <v>86978796</v>
      </c>
      <c r="K63" s="45" t="s">
        <v>2671</v>
      </c>
      <c r="L63" s="45" t="s">
        <v>2673</v>
      </c>
      <c r="M63" s="46">
        <v>229900</v>
      </c>
      <c r="N63" s="35">
        <v>0.9</v>
      </c>
      <c r="O63" s="34">
        <f t="shared" si="2"/>
        <v>22990</v>
      </c>
      <c r="P63" s="6" t="s">
        <v>16</v>
      </c>
    </row>
    <row r="64" spans="1:16" x14ac:dyDescent="0.35">
      <c r="A64" s="32" t="s">
        <v>6423</v>
      </c>
      <c r="B64" s="7">
        <f t="shared" si="0"/>
        <v>46121</v>
      </c>
      <c r="C64" s="7">
        <f t="shared" si="1"/>
        <v>46127</v>
      </c>
      <c r="D64" s="6">
        <v>3321</v>
      </c>
      <c r="E64" s="6">
        <v>337</v>
      </c>
      <c r="F64" s="6">
        <v>4</v>
      </c>
      <c r="G64" s="23">
        <v>3</v>
      </c>
      <c r="H64" s="23">
        <v>81800</v>
      </c>
      <c r="I64" s="32" t="s">
        <v>2689</v>
      </c>
      <c r="J64" s="45">
        <v>86978812</v>
      </c>
      <c r="K64" s="45" t="s">
        <v>2674</v>
      </c>
      <c r="L64" s="45" t="s">
        <v>2675</v>
      </c>
      <c r="M64" s="46">
        <v>229900</v>
      </c>
      <c r="N64" s="35">
        <v>0.9</v>
      </c>
      <c r="O64" s="34">
        <f t="shared" si="2"/>
        <v>22990</v>
      </c>
      <c r="P64" s="6" t="s">
        <v>16</v>
      </c>
    </row>
    <row r="65" spans="1:16" x14ac:dyDescent="0.35">
      <c r="A65" s="32" t="s">
        <v>6423</v>
      </c>
      <c r="B65" s="7">
        <f t="shared" si="0"/>
        <v>46121</v>
      </c>
      <c r="C65" s="7">
        <f t="shared" si="1"/>
        <v>46127</v>
      </c>
      <c r="D65" s="6">
        <v>3321</v>
      </c>
      <c r="E65" s="6">
        <v>337</v>
      </c>
      <c r="F65" s="6">
        <v>4</v>
      </c>
      <c r="G65" s="23">
        <v>3</v>
      </c>
      <c r="H65" s="23">
        <v>81800</v>
      </c>
      <c r="I65" s="32" t="s">
        <v>2689</v>
      </c>
      <c r="J65" s="45">
        <v>86978830</v>
      </c>
      <c r="K65" s="45" t="s">
        <v>2674</v>
      </c>
      <c r="L65" s="45" t="s">
        <v>2676</v>
      </c>
      <c r="M65" s="46">
        <v>229900</v>
      </c>
      <c r="N65" s="35">
        <v>0.9</v>
      </c>
      <c r="O65" s="34">
        <f t="shared" si="2"/>
        <v>22990</v>
      </c>
      <c r="P65" s="6" t="s">
        <v>16</v>
      </c>
    </row>
    <row r="66" spans="1:16" x14ac:dyDescent="0.35">
      <c r="A66" s="32" t="s">
        <v>6423</v>
      </c>
      <c r="B66" s="7">
        <f t="shared" si="0"/>
        <v>46121</v>
      </c>
      <c r="C66" s="7">
        <f t="shared" si="1"/>
        <v>46127</v>
      </c>
      <c r="D66" s="6">
        <v>3321</v>
      </c>
      <c r="E66" s="6">
        <v>337</v>
      </c>
      <c r="F66" s="6">
        <v>4</v>
      </c>
      <c r="G66" s="23">
        <v>4</v>
      </c>
      <c r="H66" s="23">
        <v>81800</v>
      </c>
      <c r="I66" s="32" t="s">
        <v>2689</v>
      </c>
      <c r="J66" s="45">
        <v>13493124</v>
      </c>
      <c r="K66" s="45" t="s">
        <v>2677</v>
      </c>
      <c r="L66" s="45" t="s">
        <v>2678</v>
      </c>
      <c r="M66" s="46">
        <v>249900</v>
      </c>
      <c r="N66" s="35">
        <v>0.9</v>
      </c>
      <c r="O66" s="34">
        <f t="shared" si="2"/>
        <v>24990</v>
      </c>
      <c r="P66" s="6" t="s">
        <v>16</v>
      </c>
    </row>
    <row r="67" spans="1:16" x14ac:dyDescent="0.35">
      <c r="A67" s="32" t="s">
        <v>6423</v>
      </c>
      <c r="B67" s="7">
        <f t="shared" si="0"/>
        <v>46121</v>
      </c>
      <c r="C67" s="7">
        <f t="shared" si="1"/>
        <v>46127</v>
      </c>
      <c r="D67" s="6">
        <v>3321</v>
      </c>
      <c r="E67" s="18">
        <v>337</v>
      </c>
      <c r="F67" s="18">
        <v>4</v>
      </c>
      <c r="G67" s="47">
        <v>4</v>
      </c>
      <c r="H67" s="47">
        <v>81800</v>
      </c>
      <c r="I67" s="32" t="s">
        <v>2689</v>
      </c>
      <c r="J67" s="45">
        <v>13493133</v>
      </c>
      <c r="K67" s="45" t="s">
        <v>2677</v>
      </c>
      <c r="L67" s="45" t="s">
        <v>2679</v>
      </c>
      <c r="M67" s="46">
        <v>249900</v>
      </c>
      <c r="N67" s="48">
        <v>0.9</v>
      </c>
      <c r="O67" s="34">
        <f t="shared" si="2"/>
        <v>24990</v>
      </c>
      <c r="P67" s="18" t="s">
        <v>16</v>
      </c>
    </row>
    <row r="68" spans="1:16" x14ac:dyDescent="0.35">
      <c r="A68" s="32" t="s">
        <v>6423</v>
      </c>
      <c r="B68" s="7">
        <f t="shared" ref="B68:B73" si="3">B67</f>
        <v>46121</v>
      </c>
      <c r="C68" s="7">
        <f t="shared" ref="C68:C73" si="4">C67</f>
        <v>46127</v>
      </c>
      <c r="D68" s="6">
        <v>3321</v>
      </c>
      <c r="E68" s="32">
        <v>337</v>
      </c>
      <c r="F68" s="32">
        <v>4</v>
      </c>
      <c r="G68" s="23">
        <v>4</v>
      </c>
      <c r="H68" s="23">
        <v>81800</v>
      </c>
      <c r="I68" s="32" t="s">
        <v>2689</v>
      </c>
      <c r="J68" s="22">
        <v>13493142</v>
      </c>
      <c r="K68" s="22" t="s">
        <v>2677</v>
      </c>
      <c r="L68" s="22" t="s">
        <v>2680</v>
      </c>
      <c r="M68" s="49">
        <v>249900</v>
      </c>
      <c r="N68" s="35">
        <v>0.9</v>
      </c>
      <c r="O68" s="34">
        <f t="shared" ref="O68:O73" si="5">M68-((90*M68)/100)</f>
        <v>24990</v>
      </c>
      <c r="P68" s="32" t="s">
        <v>16</v>
      </c>
    </row>
    <row r="69" spans="1:16" x14ac:dyDescent="0.35">
      <c r="A69" s="32" t="s">
        <v>6423</v>
      </c>
      <c r="B69" s="7">
        <f t="shared" si="3"/>
        <v>46121</v>
      </c>
      <c r="C69" s="7">
        <f t="shared" si="4"/>
        <v>46127</v>
      </c>
      <c r="D69" s="6">
        <v>3321</v>
      </c>
      <c r="E69" s="32">
        <v>337</v>
      </c>
      <c r="F69" s="32">
        <v>4</v>
      </c>
      <c r="G69" s="23">
        <v>4</v>
      </c>
      <c r="H69" s="23">
        <v>81800</v>
      </c>
      <c r="I69" s="32" t="s">
        <v>2689</v>
      </c>
      <c r="J69" s="22">
        <v>13493151</v>
      </c>
      <c r="K69" s="22" t="s">
        <v>2677</v>
      </c>
      <c r="L69" s="22" t="s">
        <v>2681</v>
      </c>
      <c r="M69" s="49">
        <v>249900</v>
      </c>
      <c r="N69" s="35">
        <v>0.9</v>
      </c>
      <c r="O69" s="34">
        <f t="shared" si="5"/>
        <v>24990</v>
      </c>
      <c r="P69" s="32" t="s">
        <v>16</v>
      </c>
    </row>
    <row r="70" spans="1:16" x14ac:dyDescent="0.35">
      <c r="A70" s="32" t="s">
        <v>6423</v>
      </c>
      <c r="B70" s="7">
        <f t="shared" si="3"/>
        <v>46121</v>
      </c>
      <c r="C70" s="7">
        <f t="shared" si="4"/>
        <v>46127</v>
      </c>
      <c r="D70" s="6">
        <v>3321</v>
      </c>
      <c r="E70" s="32">
        <v>337</v>
      </c>
      <c r="F70" s="32">
        <v>4</v>
      </c>
      <c r="G70" s="23">
        <v>4</v>
      </c>
      <c r="H70" s="23">
        <v>81800</v>
      </c>
      <c r="I70" s="32" t="s">
        <v>2689</v>
      </c>
      <c r="J70" s="22">
        <v>82958798</v>
      </c>
      <c r="K70" s="22" t="s">
        <v>2682</v>
      </c>
      <c r="L70" s="22" t="s">
        <v>2683</v>
      </c>
      <c r="M70" s="49">
        <v>249900</v>
      </c>
      <c r="N70" s="35">
        <v>0.9</v>
      </c>
      <c r="O70" s="34">
        <f t="shared" si="5"/>
        <v>24990</v>
      </c>
      <c r="P70" s="32" t="s">
        <v>16</v>
      </c>
    </row>
    <row r="71" spans="1:16" x14ac:dyDescent="0.35">
      <c r="A71" s="32" t="s">
        <v>6423</v>
      </c>
      <c r="B71" s="7">
        <f t="shared" si="3"/>
        <v>46121</v>
      </c>
      <c r="C71" s="7">
        <f t="shared" si="4"/>
        <v>46127</v>
      </c>
      <c r="D71" s="6">
        <v>3321</v>
      </c>
      <c r="E71" s="32">
        <v>337</v>
      </c>
      <c r="F71" s="32">
        <v>4</v>
      </c>
      <c r="G71" s="23">
        <v>4</v>
      </c>
      <c r="H71" s="23">
        <v>81800</v>
      </c>
      <c r="I71" s="32" t="s">
        <v>2689</v>
      </c>
      <c r="J71" s="22">
        <v>82958814</v>
      </c>
      <c r="K71" s="22" t="s">
        <v>2682</v>
      </c>
      <c r="L71" s="22" t="s">
        <v>2684</v>
      </c>
      <c r="M71" s="49">
        <v>249900</v>
      </c>
      <c r="N71" s="35">
        <v>0.9</v>
      </c>
      <c r="O71" s="34">
        <f t="shared" si="5"/>
        <v>24990</v>
      </c>
      <c r="P71" s="32" t="s">
        <v>16</v>
      </c>
    </row>
    <row r="72" spans="1:16" x14ac:dyDescent="0.35">
      <c r="A72" s="32" t="s">
        <v>6423</v>
      </c>
      <c r="B72" s="7">
        <f t="shared" si="3"/>
        <v>46121</v>
      </c>
      <c r="C72" s="7">
        <f t="shared" si="4"/>
        <v>46127</v>
      </c>
      <c r="D72" s="6">
        <v>3321</v>
      </c>
      <c r="E72" s="32">
        <v>337</v>
      </c>
      <c r="F72" s="32">
        <v>4</v>
      </c>
      <c r="G72" s="23">
        <v>5</v>
      </c>
      <c r="H72" s="23">
        <v>81800</v>
      </c>
      <c r="I72" s="32" t="s">
        <v>2689</v>
      </c>
      <c r="J72" s="22">
        <v>13493160</v>
      </c>
      <c r="K72" s="22" t="s">
        <v>2685</v>
      </c>
      <c r="L72" s="22" t="s">
        <v>2686</v>
      </c>
      <c r="M72" s="49">
        <v>279900</v>
      </c>
      <c r="N72" s="35">
        <v>0.9</v>
      </c>
      <c r="O72" s="34">
        <f t="shared" si="5"/>
        <v>27990</v>
      </c>
      <c r="P72" s="32" t="s">
        <v>16</v>
      </c>
    </row>
    <row r="73" spans="1:16" x14ac:dyDescent="0.35">
      <c r="A73" s="32" t="s">
        <v>6423</v>
      </c>
      <c r="B73" s="7">
        <f t="shared" si="3"/>
        <v>46121</v>
      </c>
      <c r="C73" s="7">
        <f t="shared" si="4"/>
        <v>46127</v>
      </c>
      <c r="D73" s="6">
        <v>3321</v>
      </c>
      <c r="E73" s="32">
        <v>337</v>
      </c>
      <c r="F73" s="32">
        <v>4</v>
      </c>
      <c r="G73" s="23">
        <v>5</v>
      </c>
      <c r="H73" s="23">
        <v>81800</v>
      </c>
      <c r="I73" s="32" t="s">
        <v>2689</v>
      </c>
      <c r="J73" s="22">
        <v>82958850</v>
      </c>
      <c r="K73" s="22" t="s">
        <v>2687</v>
      </c>
      <c r="L73" s="22" t="s">
        <v>2688</v>
      </c>
      <c r="M73" s="49">
        <v>219900</v>
      </c>
      <c r="N73" s="35">
        <v>0.9</v>
      </c>
      <c r="O73" s="34">
        <f t="shared" si="5"/>
        <v>21990</v>
      </c>
      <c r="P73" s="32" t="s">
        <v>16</v>
      </c>
    </row>
  </sheetData>
  <autoFilter ref="A1:P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FF8E-2908-493F-9448-1412F3A5EFE8}">
  <sheetPr>
    <tabColor rgb="FF92D050"/>
  </sheetPr>
  <dimension ref="A1:P66"/>
  <sheetViews>
    <sheetView zoomScale="69" zoomScaleNormal="59" workbookViewId="0">
      <pane ySplit="1" topLeftCell="A2" activePane="bottomLeft" state="frozen"/>
      <selection activeCell="J24" sqref="J24"/>
      <selection pane="bottomLeft" activeCell="L18" sqref="L18"/>
    </sheetView>
  </sheetViews>
  <sheetFormatPr defaultColWidth="8.81640625" defaultRowHeight="14.5" x14ac:dyDescent="0.35"/>
  <cols>
    <col min="1" max="1" width="25.089843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7.08984375" style="31" customWidth="1"/>
    <col min="13" max="13" width="14.36328125" style="37" customWidth="1"/>
    <col min="14" max="14" width="8.81640625" style="89" customWidth="1"/>
    <col min="15" max="15" width="16.26953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87" t="s">
        <v>8</v>
      </c>
      <c r="O1" s="30" t="s">
        <v>9</v>
      </c>
      <c r="P1" s="27" t="s">
        <v>10</v>
      </c>
    </row>
    <row r="2" spans="1:16" x14ac:dyDescent="0.35">
      <c r="A2" s="32" t="s">
        <v>7168</v>
      </c>
      <c r="B2" s="33">
        <f>'2025 JUNSEPT B1G1 - 3321'!B8</f>
        <v>46121</v>
      </c>
      <c r="C2" s="33">
        <f>'2025 JUNSEPT B1G1 - 3321'!C8</f>
        <v>46127</v>
      </c>
      <c r="D2" s="32">
        <v>3281</v>
      </c>
      <c r="E2" s="32">
        <v>337</v>
      </c>
      <c r="F2" s="32">
        <v>4</v>
      </c>
      <c r="G2" s="23">
        <v>4</v>
      </c>
      <c r="H2" s="23">
        <v>81847</v>
      </c>
      <c r="I2" s="32" t="s">
        <v>17</v>
      </c>
      <c r="J2" s="23">
        <v>68791280</v>
      </c>
      <c r="K2" s="23" t="s">
        <v>7090</v>
      </c>
      <c r="L2" s="22" t="s">
        <v>7091</v>
      </c>
      <c r="M2" s="24">
        <v>149900</v>
      </c>
      <c r="N2" s="88">
        <v>0</v>
      </c>
      <c r="O2" s="34" t="s">
        <v>7169</v>
      </c>
      <c r="P2" s="32" t="s">
        <v>7341</v>
      </c>
    </row>
    <row r="3" spans="1:16" x14ac:dyDescent="0.35">
      <c r="A3" s="23" t="str">
        <f t="shared" ref="A3:C17" si="0">A2</f>
        <v>2026 JAN-APR SHARP PRICE</v>
      </c>
      <c r="B3" s="33">
        <f t="shared" si="0"/>
        <v>46121</v>
      </c>
      <c r="C3" s="33">
        <f t="shared" si="0"/>
        <v>46127</v>
      </c>
      <c r="D3" s="32">
        <v>3281</v>
      </c>
      <c r="E3" s="32">
        <v>337</v>
      </c>
      <c r="F3" s="32">
        <v>4</v>
      </c>
      <c r="G3" s="23">
        <v>4</v>
      </c>
      <c r="H3" s="23">
        <v>81847</v>
      </c>
      <c r="I3" s="32" t="s">
        <v>17</v>
      </c>
      <c r="J3" s="23">
        <v>68791299</v>
      </c>
      <c r="K3" s="23" t="s">
        <v>7090</v>
      </c>
      <c r="L3" s="22" t="s">
        <v>7092</v>
      </c>
      <c r="M3" s="24">
        <v>149900</v>
      </c>
      <c r="N3" s="88">
        <f t="shared" ref="N3:O40" si="1">N2</f>
        <v>0</v>
      </c>
      <c r="O3" s="34" t="str">
        <f>O2</f>
        <v>SHARP PRICE</v>
      </c>
      <c r="P3" s="32" t="str">
        <f t="shared" ref="P3:P66" si="2">P2</f>
        <v>AMOUNT</v>
      </c>
    </row>
    <row r="4" spans="1:16" x14ac:dyDescent="0.35">
      <c r="A4" s="23" t="str">
        <f t="shared" si="0"/>
        <v>2026 JAN-APR SHARP PRICE</v>
      </c>
      <c r="B4" s="33">
        <f t="shared" si="0"/>
        <v>46121</v>
      </c>
      <c r="C4" s="33">
        <f t="shared" si="0"/>
        <v>46127</v>
      </c>
      <c r="D4" s="32">
        <v>3281</v>
      </c>
      <c r="E4" s="32">
        <v>337</v>
      </c>
      <c r="F4" s="32">
        <v>4</v>
      </c>
      <c r="G4" s="23">
        <v>4</v>
      </c>
      <c r="H4" s="23">
        <v>81847</v>
      </c>
      <c r="I4" s="32" t="s">
        <v>17</v>
      </c>
      <c r="J4" s="23">
        <v>68791306</v>
      </c>
      <c r="K4" s="23" t="s">
        <v>7090</v>
      </c>
      <c r="L4" s="22" t="s">
        <v>7093</v>
      </c>
      <c r="M4" s="24">
        <v>149900</v>
      </c>
      <c r="N4" s="88">
        <f t="shared" si="1"/>
        <v>0</v>
      </c>
      <c r="O4" s="34" t="str">
        <f t="shared" si="1"/>
        <v>SHARP PRICE</v>
      </c>
      <c r="P4" s="32" t="str">
        <f t="shared" si="2"/>
        <v>AMOUNT</v>
      </c>
    </row>
    <row r="5" spans="1:16" x14ac:dyDescent="0.35">
      <c r="A5" s="23" t="str">
        <f t="shared" si="0"/>
        <v>2026 JAN-APR SHARP PRICE</v>
      </c>
      <c r="B5" s="33">
        <f t="shared" si="0"/>
        <v>46121</v>
      </c>
      <c r="C5" s="33">
        <f t="shared" si="0"/>
        <v>46127</v>
      </c>
      <c r="D5" s="32">
        <v>3281</v>
      </c>
      <c r="E5" s="32">
        <v>337</v>
      </c>
      <c r="F5" s="32">
        <v>4</v>
      </c>
      <c r="G5" s="23">
        <v>4</v>
      </c>
      <c r="H5" s="23">
        <v>81847</v>
      </c>
      <c r="I5" s="32" t="s">
        <v>17</v>
      </c>
      <c r="J5" s="23">
        <v>68791315</v>
      </c>
      <c r="K5" s="23" t="s">
        <v>7090</v>
      </c>
      <c r="L5" s="22" t="s">
        <v>7094</v>
      </c>
      <c r="M5" s="24">
        <v>149900</v>
      </c>
      <c r="N5" s="88">
        <f t="shared" si="1"/>
        <v>0</v>
      </c>
      <c r="O5" s="34" t="str">
        <f t="shared" si="1"/>
        <v>SHARP PRICE</v>
      </c>
      <c r="P5" s="32" t="str">
        <f t="shared" si="2"/>
        <v>AMOUNT</v>
      </c>
    </row>
    <row r="6" spans="1:16" x14ac:dyDescent="0.35">
      <c r="A6" s="23" t="str">
        <f t="shared" si="0"/>
        <v>2026 JAN-APR SHARP PRICE</v>
      </c>
      <c r="B6" s="33">
        <f t="shared" si="0"/>
        <v>46121</v>
      </c>
      <c r="C6" s="33">
        <f t="shared" si="0"/>
        <v>46127</v>
      </c>
      <c r="D6" s="32">
        <v>3281</v>
      </c>
      <c r="E6" s="32">
        <v>337</v>
      </c>
      <c r="F6" s="32">
        <v>4</v>
      </c>
      <c r="G6" s="23">
        <v>2</v>
      </c>
      <c r="H6" s="23">
        <v>81588</v>
      </c>
      <c r="I6" s="32" t="s">
        <v>17</v>
      </c>
      <c r="J6" s="23">
        <v>68791324</v>
      </c>
      <c r="K6" s="23" t="s">
        <v>7090</v>
      </c>
      <c r="L6" s="22" t="s">
        <v>7095</v>
      </c>
      <c r="M6" s="24">
        <v>149900</v>
      </c>
      <c r="N6" s="88">
        <f t="shared" si="1"/>
        <v>0</v>
      </c>
      <c r="O6" s="34" t="str">
        <f t="shared" si="1"/>
        <v>SHARP PRICE</v>
      </c>
      <c r="P6" s="32" t="str">
        <f t="shared" si="2"/>
        <v>AMOUNT</v>
      </c>
    </row>
    <row r="7" spans="1:16" x14ac:dyDescent="0.35">
      <c r="A7" s="23" t="str">
        <f t="shared" si="0"/>
        <v>2026 JAN-APR SHARP PRICE</v>
      </c>
      <c r="B7" s="33">
        <f t="shared" si="0"/>
        <v>46121</v>
      </c>
      <c r="C7" s="33">
        <f t="shared" si="0"/>
        <v>46127</v>
      </c>
      <c r="D7" s="32">
        <v>3281</v>
      </c>
      <c r="E7" s="32">
        <v>337</v>
      </c>
      <c r="F7" s="32">
        <v>4</v>
      </c>
      <c r="G7" s="23">
        <v>2</v>
      </c>
      <c r="H7" s="23">
        <v>81588</v>
      </c>
      <c r="I7" s="32" t="s">
        <v>17</v>
      </c>
      <c r="J7" s="23">
        <v>68791333</v>
      </c>
      <c r="K7" s="23" t="s">
        <v>7090</v>
      </c>
      <c r="L7" s="22" t="s">
        <v>7096</v>
      </c>
      <c r="M7" s="24">
        <v>149900</v>
      </c>
      <c r="N7" s="88">
        <f t="shared" si="1"/>
        <v>0</v>
      </c>
      <c r="O7" s="34" t="str">
        <f t="shared" si="1"/>
        <v>SHARP PRICE</v>
      </c>
      <c r="P7" s="32" t="str">
        <f t="shared" si="2"/>
        <v>AMOUNT</v>
      </c>
    </row>
    <row r="8" spans="1:16" x14ac:dyDescent="0.35">
      <c r="A8" s="23" t="str">
        <f t="shared" si="0"/>
        <v>2026 JAN-APR SHARP PRICE</v>
      </c>
      <c r="B8" s="33">
        <f t="shared" si="0"/>
        <v>46121</v>
      </c>
      <c r="C8" s="33">
        <f t="shared" si="0"/>
        <v>46127</v>
      </c>
      <c r="D8" s="32">
        <v>3281</v>
      </c>
      <c r="E8" s="32">
        <v>337</v>
      </c>
      <c r="F8" s="32">
        <v>4</v>
      </c>
      <c r="G8" s="23">
        <v>2</v>
      </c>
      <c r="H8" s="23">
        <v>81588</v>
      </c>
      <c r="I8" s="32" t="s">
        <v>17</v>
      </c>
      <c r="J8" s="23">
        <v>68791342</v>
      </c>
      <c r="K8" s="23" t="s">
        <v>7090</v>
      </c>
      <c r="L8" s="22" t="s">
        <v>7097</v>
      </c>
      <c r="M8" s="24">
        <v>149900</v>
      </c>
      <c r="N8" s="88">
        <f t="shared" si="1"/>
        <v>0</v>
      </c>
      <c r="O8" s="34" t="str">
        <f t="shared" si="1"/>
        <v>SHARP PRICE</v>
      </c>
      <c r="P8" s="32" t="str">
        <f t="shared" si="2"/>
        <v>AMOUNT</v>
      </c>
    </row>
    <row r="9" spans="1:16" x14ac:dyDescent="0.35">
      <c r="A9" s="23" t="str">
        <f t="shared" si="0"/>
        <v>2026 JAN-APR SHARP PRICE</v>
      </c>
      <c r="B9" s="33">
        <f t="shared" si="0"/>
        <v>46121</v>
      </c>
      <c r="C9" s="33">
        <f t="shared" si="0"/>
        <v>46127</v>
      </c>
      <c r="D9" s="32">
        <v>3281</v>
      </c>
      <c r="E9" s="32">
        <v>337</v>
      </c>
      <c r="F9" s="32">
        <v>4</v>
      </c>
      <c r="G9" s="23">
        <v>2</v>
      </c>
      <c r="H9" s="23">
        <v>81588</v>
      </c>
      <c r="I9" s="32" t="s">
        <v>17</v>
      </c>
      <c r="J9" s="23">
        <v>68791351</v>
      </c>
      <c r="K9" s="23" t="s">
        <v>7098</v>
      </c>
      <c r="L9" s="22" t="s">
        <v>7099</v>
      </c>
      <c r="M9" s="24">
        <v>149900</v>
      </c>
      <c r="N9" s="88">
        <f t="shared" si="1"/>
        <v>0</v>
      </c>
      <c r="O9" s="34" t="str">
        <f t="shared" si="1"/>
        <v>SHARP PRICE</v>
      </c>
      <c r="P9" s="32" t="str">
        <f t="shared" si="2"/>
        <v>AMOUNT</v>
      </c>
    </row>
    <row r="10" spans="1:16" x14ac:dyDescent="0.35">
      <c r="A10" s="23" t="str">
        <f t="shared" si="0"/>
        <v>2026 JAN-APR SHARP PRICE</v>
      </c>
      <c r="B10" s="33">
        <f t="shared" si="0"/>
        <v>46121</v>
      </c>
      <c r="C10" s="33">
        <f t="shared" si="0"/>
        <v>46127</v>
      </c>
      <c r="D10" s="32">
        <v>3281</v>
      </c>
      <c r="E10" s="32">
        <v>337</v>
      </c>
      <c r="F10" s="32">
        <v>4</v>
      </c>
      <c r="G10" s="23">
        <v>2</v>
      </c>
      <c r="H10" s="23">
        <v>81588</v>
      </c>
      <c r="I10" s="32" t="s">
        <v>17</v>
      </c>
      <c r="J10" s="23">
        <v>68791360</v>
      </c>
      <c r="K10" s="23" t="s">
        <v>7098</v>
      </c>
      <c r="L10" s="22" t="s">
        <v>7100</v>
      </c>
      <c r="M10" s="24">
        <v>149900</v>
      </c>
      <c r="N10" s="88">
        <f t="shared" si="1"/>
        <v>0</v>
      </c>
      <c r="O10" s="34" t="str">
        <f t="shared" si="1"/>
        <v>SHARP PRICE</v>
      </c>
      <c r="P10" s="32" t="str">
        <f t="shared" si="2"/>
        <v>AMOUNT</v>
      </c>
    </row>
    <row r="11" spans="1:16" x14ac:dyDescent="0.35">
      <c r="A11" s="23" t="str">
        <f t="shared" si="0"/>
        <v>2026 JAN-APR SHARP PRICE</v>
      </c>
      <c r="B11" s="33">
        <f t="shared" si="0"/>
        <v>46121</v>
      </c>
      <c r="C11" s="33">
        <f t="shared" si="0"/>
        <v>46127</v>
      </c>
      <c r="D11" s="32">
        <v>3281</v>
      </c>
      <c r="E11" s="32">
        <v>337</v>
      </c>
      <c r="F11" s="32">
        <v>4</v>
      </c>
      <c r="G11" s="23">
        <v>2</v>
      </c>
      <c r="H11" s="23">
        <v>81588</v>
      </c>
      <c r="I11" s="32" t="s">
        <v>17</v>
      </c>
      <c r="J11" s="23">
        <v>68791379</v>
      </c>
      <c r="K11" s="23" t="s">
        <v>7098</v>
      </c>
      <c r="L11" s="22" t="s">
        <v>7101</v>
      </c>
      <c r="M11" s="24">
        <v>149900</v>
      </c>
      <c r="N11" s="88">
        <f t="shared" si="1"/>
        <v>0</v>
      </c>
      <c r="O11" s="34" t="str">
        <f t="shared" si="1"/>
        <v>SHARP PRICE</v>
      </c>
      <c r="P11" s="32" t="str">
        <f t="shared" si="2"/>
        <v>AMOUNT</v>
      </c>
    </row>
    <row r="12" spans="1:16" x14ac:dyDescent="0.35">
      <c r="A12" s="23" t="str">
        <f t="shared" si="0"/>
        <v>2026 JAN-APR SHARP PRICE</v>
      </c>
      <c r="B12" s="33">
        <f t="shared" si="0"/>
        <v>46121</v>
      </c>
      <c r="C12" s="33">
        <f t="shared" si="0"/>
        <v>46127</v>
      </c>
      <c r="D12" s="32">
        <v>3281</v>
      </c>
      <c r="E12" s="32">
        <v>337</v>
      </c>
      <c r="F12" s="32">
        <v>4</v>
      </c>
      <c r="G12" s="23">
        <v>2</v>
      </c>
      <c r="H12" s="23">
        <v>81588</v>
      </c>
      <c r="I12" s="32" t="s">
        <v>17</v>
      </c>
      <c r="J12" s="23">
        <v>68791388</v>
      </c>
      <c r="K12" s="23" t="s">
        <v>7098</v>
      </c>
      <c r="L12" s="22" t="s">
        <v>7102</v>
      </c>
      <c r="M12" s="24">
        <v>149900</v>
      </c>
      <c r="N12" s="88">
        <f t="shared" si="1"/>
        <v>0</v>
      </c>
      <c r="O12" s="34" t="str">
        <f t="shared" si="1"/>
        <v>SHARP PRICE</v>
      </c>
      <c r="P12" s="32" t="str">
        <f t="shared" si="2"/>
        <v>AMOUNT</v>
      </c>
    </row>
    <row r="13" spans="1:16" x14ac:dyDescent="0.35">
      <c r="A13" s="23" t="str">
        <f t="shared" si="0"/>
        <v>2026 JAN-APR SHARP PRICE</v>
      </c>
      <c r="B13" s="33">
        <f t="shared" si="0"/>
        <v>46121</v>
      </c>
      <c r="C13" s="33">
        <f t="shared" si="0"/>
        <v>46127</v>
      </c>
      <c r="D13" s="32">
        <v>3281</v>
      </c>
      <c r="E13" s="32">
        <v>337</v>
      </c>
      <c r="F13" s="32">
        <v>4</v>
      </c>
      <c r="G13" s="23">
        <v>2</v>
      </c>
      <c r="H13" s="23">
        <v>81588</v>
      </c>
      <c r="I13" s="32" t="s">
        <v>17</v>
      </c>
      <c r="J13" s="23">
        <v>68791397</v>
      </c>
      <c r="K13" s="23" t="s">
        <v>7098</v>
      </c>
      <c r="L13" s="22" t="s">
        <v>7103</v>
      </c>
      <c r="M13" s="24">
        <v>149900</v>
      </c>
      <c r="N13" s="88">
        <f t="shared" si="1"/>
        <v>0</v>
      </c>
      <c r="O13" s="34" t="str">
        <f t="shared" si="1"/>
        <v>SHARP PRICE</v>
      </c>
      <c r="P13" s="32" t="str">
        <f t="shared" si="2"/>
        <v>AMOUNT</v>
      </c>
    </row>
    <row r="14" spans="1:16" x14ac:dyDescent="0.35">
      <c r="A14" s="23" t="str">
        <f t="shared" si="0"/>
        <v>2026 JAN-APR SHARP PRICE</v>
      </c>
      <c r="B14" s="33">
        <f t="shared" si="0"/>
        <v>46121</v>
      </c>
      <c r="C14" s="33">
        <f t="shared" si="0"/>
        <v>46127</v>
      </c>
      <c r="D14" s="32">
        <v>3281</v>
      </c>
      <c r="E14" s="32">
        <v>337</v>
      </c>
      <c r="F14" s="32">
        <v>4</v>
      </c>
      <c r="G14" s="23">
        <v>2</v>
      </c>
      <c r="H14" s="23">
        <v>81588</v>
      </c>
      <c r="I14" s="32" t="s">
        <v>17</v>
      </c>
      <c r="J14" s="23">
        <v>68791404</v>
      </c>
      <c r="K14" s="23" t="s">
        <v>7098</v>
      </c>
      <c r="L14" s="22" t="s">
        <v>7104</v>
      </c>
      <c r="M14" s="24">
        <v>149900</v>
      </c>
      <c r="N14" s="88">
        <f t="shared" si="1"/>
        <v>0</v>
      </c>
      <c r="O14" s="34" t="str">
        <f t="shared" si="1"/>
        <v>SHARP PRICE</v>
      </c>
      <c r="P14" s="32" t="str">
        <f t="shared" si="2"/>
        <v>AMOUNT</v>
      </c>
    </row>
    <row r="15" spans="1:16" x14ac:dyDescent="0.35">
      <c r="A15" s="23" t="str">
        <f t="shared" si="0"/>
        <v>2026 JAN-APR SHARP PRICE</v>
      </c>
      <c r="B15" s="33">
        <f t="shared" si="0"/>
        <v>46121</v>
      </c>
      <c r="C15" s="33">
        <f t="shared" si="0"/>
        <v>46127</v>
      </c>
      <c r="D15" s="32">
        <v>3281</v>
      </c>
      <c r="E15" s="32">
        <v>337</v>
      </c>
      <c r="F15" s="32">
        <v>4</v>
      </c>
      <c r="G15" s="23">
        <v>2</v>
      </c>
      <c r="H15" s="23">
        <v>81588</v>
      </c>
      <c r="I15" s="32" t="s">
        <v>17</v>
      </c>
      <c r="J15" s="23">
        <v>68791413</v>
      </c>
      <c r="K15" s="23" t="s">
        <v>7098</v>
      </c>
      <c r="L15" s="22" t="s">
        <v>7105</v>
      </c>
      <c r="M15" s="24">
        <v>149900</v>
      </c>
      <c r="N15" s="88">
        <f t="shared" si="1"/>
        <v>0</v>
      </c>
      <c r="O15" s="34" t="str">
        <f t="shared" si="1"/>
        <v>SHARP PRICE</v>
      </c>
      <c r="P15" s="32" t="str">
        <f t="shared" si="2"/>
        <v>AMOUNT</v>
      </c>
    </row>
    <row r="16" spans="1:16" x14ac:dyDescent="0.35">
      <c r="A16" s="23" t="str">
        <f t="shared" si="0"/>
        <v>2026 JAN-APR SHARP PRICE</v>
      </c>
      <c r="B16" s="33">
        <f t="shared" si="0"/>
        <v>46121</v>
      </c>
      <c r="C16" s="33">
        <f t="shared" si="0"/>
        <v>46127</v>
      </c>
      <c r="D16" s="32">
        <v>3281</v>
      </c>
      <c r="E16" s="32">
        <v>337</v>
      </c>
      <c r="F16" s="32">
        <v>4</v>
      </c>
      <c r="G16" s="23">
        <v>2</v>
      </c>
      <c r="H16" s="23">
        <v>81588</v>
      </c>
      <c r="I16" s="32" t="s">
        <v>17</v>
      </c>
      <c r="J16" s="23">
        <v>68791422</v>
      </c>
      <c r="K16" s="23" t="s">
        <v>7106</v>
      </c>
      <c r="L16" s="22" t="s">
        <v>7107</v>
      </c>
      <c r="M16" s="24">
        <v>149900</v>
      </c>
      <c r="N16" s="88">
        <f t="shared" si="1"/>
        <v>0</v>
      </c>
      <c r="O16" s="34" t="str">
        <f t="shared" si="1"/>
        <v>SHARP PRICE</v>
      </c>
      <c r="P16" s="32" t="str">
        <f t="shared" si="2"/>
        <v>AMOUNT</v>
      </c>
    </row>
    <row r="17" spans="1:16" x14ac:dyDescent="0.35">
      <c r="A17" s="23" t="str">
        <f t="shared" si="0"/>
        <v>2026 JAN-APR SHARP PRICE</v>
      </c>
      <c r="B17" s="33">
        <f t="shared" si="0"/>
        <v>46121</v>
      </c>
      <c r="C17" s="33">
        <f t="shared" si="0"/>
        <v>46127</v>
      </c>
      <c r="D17" s="32">
        <v>3281</v>
      </c>
      <c r="E17" s="32">
        <v>337</v>
      </c>
      <c r="F17" s="32">
        <v>4</v>
      </c>
      <c r="G17" s="23">
        <v>2</v>
      </c>
      <c r="H17" s="23">
        <v>81588</v>
      </c>
      <c r="I17" s="32" t="s">
        <v>17</v>
      </c>
      <c r="J17" s="23">
        <v>68791431</v>
      </c>
      <c r="K17" s="23" t="s">
        <v>7106</v>
      </c>
      <c r="L17" s="22" t="s">
        <v>7108</v>
      </c>
      <c r="M17" s="24">
        <v>149900</v>
      </c>
      <c r="N17" s="88">
        <f t="shared" si="1"/>
        <v>0</v>
      </c>
      <c r="O17" s="34" t="str">
        <f t="shared" si="1"/>
        <v>SHARP PRICE</v>
      </c>
      <c r="P17" s="32" t="str">
        <f t="shared" si="2"/>
        <v>AMOUNT</v>
      </c>
    </row>
    <row r="18" spans="1:16" x14ac:dyDescent="0.35">
      <c r="A18" s="23" t="str">
        <f t="shared" ref="A18:C33" si="3">A17</f>
        <v>2026 JAN-APR SHARP PRICE</v>
      </c>
      <c r="B18" s="33">
        <f t="shared" si="3"/>
        <v>46121</v>
      </c>
      <c r="C18" s="33">
        <f t="shared" si="3"/>
        <v>46127</v>
      </c>
      <c r="D18" s="32">
        <v>3281</v>
      </c>
      <c r="E18" s="32">
        <v>337</v>
      </c>
      <c r="F18" s="32">
        <v>4</v>
      </c>
      <c r="G18" s="23">
        <v>2</v>
      </c>
      <c r="H18" s="23">
        <v>81588</v>
      </c>
      <c r="I18" s="32" t="s">
        <v>17</v>
      </c>
      <c r="J18" s="23">
        <v>68791440</v>
      </c>
      <c r="K18" s="23" t="s">
        <v>7106</v>
      </c>
      <c r="L18" s="22" t="s">
        <v>7109</v>
      </c>
      <c r="M18" s="24">
        <v>149900</v>
      </c>
      <c r="N18" s="88">
        <f t="shared" si="1"/>
        <v>0</v>
      </c>
      <c r="O18" s="34" t="str">
        <f t="shared" si="1"/>
        <v>SHARP PRICE</v>
      </c>
      <c r="P18" s="32" t="str">
        <f t="shared" si="2"/>
        <v>AMOUNT</v>
      </c>
    </row>
    <row r="19" spans="1:16" x14ac:dyDescent="0.35">
      <c r="A19" s="23" t="str">
        <f t="shared" si="3"/>
        <v>2026 JAN-APR SHARP PRICE</v>
      </c>
      <c r="B19" s="33">
        <f t="shared" si="3"/>
        <v>46121</v>
      </c>
      <c r="C19" s="33">
        <f t="shared" si="3"/>
        <v>46127</v>
      </c>
      <c r="D19" s="32">
        <v>3281</v>
      </c>
      <c r="E19" s="32">
        <v>337</v>
      </c>
      <c r="F19" s="32">
        <v>4</v>
      </c>
      <c r="G19" s="23">
        <v>4</v>
      </c>
      <c r="H19" s="23">
        <v>81588</v>
      </c>
      <c r="I19" s="32" t="s">
        <v>17</v>
      </c>
      <c r="J19" s="23">
        <v>68791459</v>
      </c>
      <c r="K19" s="23" t="s">
        <v>7106</v>
      </c>
      <c r="L19" s="22" t="s">
        <v>7110</v>
      </c>
      <c r="M19" s="24">
        <v>149900</v>
      </c>
      <c r="N19" s="88">
        <f t="shared" si="1"/>
        <v>0</v>
      </c>
      <c r="O19" s="34" t="str">
        <f t="shared" si="1"/>
        <v>SHARP PRICE</v>
      </c>
      <c r="P19" s="32" t="str">
        <f t="shared" si="2"/>
        <v>AMOUNT</v>
      </c>
    </row>
    <row r="20" spans="1:16" x14ac:dyDescent="0.35">
      <c r="A20" s="23" t="str">
        <f t="shared" si="3"/>
        <v>2026 JAN-APR SHARP PRICE</v>
      </c>
      <c r="B20" s="33">
        <f t="shared" si="3"/>
        <v>46121</v>
      </c>
      <c r="C20" s="33">
        <f t="shared" si="3"/>
        <v>46127</v>
      </c>
      <c r="D20" s="32">
        <v>3281</v>
      </c>
      <c r="E20" s="32">
        <v>337</v>
      </c>
      <c r="F20" s="32">
        <v>4</v>
      </c>
      <c r="G20" s="23">
        <v>4</v>
      </c>
      <c r="H20" s="23">
        <v>81588</v>
      </c>
      <c r="I20" s="32" t="s">
        <v>17</v>
      </c>
      <c r="J20" s="23">
        <v>68791468</v>
      </c>
      <c r="K20" s="23" t="s">
        <v>7106</v>
      </c>
      <c r="L20" s="22" t="s">
        <v>7111</v>
      </c>
      <c r="M20" s="24">
        <v>149900</v>
      </c>
      <c r="N20" s="88">
        <f t="shared" si="1"/>
        <v>0</v>
      </c>
      <c r="O20" s="34" t="str">
        <f t="shared" si="1"/>
        <v>SHARP PRICE</v>
      </c>
      <c r="P20" s="32" t="str">
        <f t="shared" si="2"/>
        <v>AMOUNT</v>
      </c>
    </row>
    <row r="21" spans="1:16" x14ac:dyDescent="0.35">
      <c r="A21" s="23" t="str">
        <f t="shared" si="3"/>
        <v>2026 JAN-APR SHARP PRICE</v>
      </c>
      <c r="B21" s="33">
        <f t="shared" si="3"/>
        <v>46121</v>
      </c>
      <c r="C21" s="33">
        <f t="shared" si="3"/>
        <v>46127</v>
      </c>
      <c r="D21" s="32">
        <v>3281</v>
      </c>
      <c r="E21" s="32">
        <v>337</v>
      </c>
      <c r="F21" s="32">
        <v>4</v>
      </c>
      <c r="G21" s="23">
        <v>4</v>
      </c>
      <c r="H21" s="23">
        <v>81588</v>
      </c>
      <c r="I21" s="32" t="s">
        <v>17</v>
      </c>
      <c r="J21" s="23">
        <v>68791477</v>
      </c>
      <c r="K21" s="23" t="s">
        <v>7106</v>
      </c>
      <c r="L21" s="22" t="s">
        <v>7112</v>
      </c>
      <c r="M21" s="24">
        <v>149900</v>
      </c>
      <c r="N21" s="88">
        <f t="shared" si="1"/>
        <v>0</v>
      </c>
      <c r="O21" s="34" t="str">
        <f t="shared" si="1"/>
        <v>SHARP PRICE</v>
      </c>
      <c r="P21" s="32" t="str">
        <f t="shared" si="2"/>
        <v>AMOUNT</v>
      </c>
    </row>
    <row r="22" spans="1:16" x14ac:dyDescent="0.35">
      <c r="A22" s="23" t="str">
        <f t="shared" si="3"/>
        <v>2026 JAN-APR SHARP PRICE</v>
      </c>
      <c r="B22" s="33">
        <f t="shared" si="3"/>
        <v>46121</v>
      </c>
      <c r="C22" s="33">
        <f t="shared" si="3"/>
        <v>46127</v>
      </c>
      <c r="D22" s="32">
        <v>3281</v>
      </c>
      <c r="E22" s="32">
        <v>337</v>
      </c>
      <c r="F22" s="32">
        <v>4</v>
      </c>
      <c r="G22" s="23">
        <v>4</v>
      </c>
      <c r="H22" s="23">
        <v>81588</v>
      </c>
      <c r="I22" s="32" t="s">
        <v>17</v>
      </c>
      <c r="J22" s="23">
        <v>68791486</v>
      </c>
      <c r="K22" s="23" t="s">
        <v>7106</v>
      </c>
      <c r="L22" s="22" t="s">
        <v>7113</v>
      </c>
      <c r="M22" s="24">
        <v>149900</v>
      </c>
      <c r="N22" s="88">
        <f t="shared" si="1"/>
        <v>0</v>
      </c>
      <c r="O22" s="34" t="str">
        <f t="shared" si="1"/>
        <v>SHARP PRICE</v>
      </c>
      <c r="P22" s="32" t="str">
        <f t="shared" si="2"/>
        <v>AMOUNT</v>
      </c>
    </row>
    <row r="23" spans="1:16" x14ac:dyDescent="0.35">
      <c r="A23" s="23" t="str">
        <f t="shared" si="3"/>
        <v>2026 JAN-APR SHARP PRICE</v>
      </c>
      <c r="B23" s="33">
        <f t="shared" si="3"/>
        <v>46121</v>
      </c>
      <c r="C23" s="33">
        <f t="shared" si="3"/>
        <v>46127</v>
      </c>
      <c r="D23" s="32">
        <v>3281</v>
      </c>
      <c r="E23" s="32">
        <v>337</v>
      </c>
      <c r="F23" s="32">
        <v>4</v>
      </c>
      <c r="G23" s="23">
        <v>4</v>
      </c>
      <c r="H23" s="23">
        <v>81588</v>
      </c>
      <c r="I23" s="32" t="s">
        <v>17</v>
      </c>
      <c r="J23" s="23">
        <v>68791217</v>
      </c>
      <c r="K23" s="23" t="s">
        <v>7114</v>
      </c>
      <c r="L23" s="22" t="s">
        <v>7115</v>
      </c>
      <c r="M23" s="24">
        <v>179900</v>
      </c>
      <c r="N23" s="88">
        <f t="shared" si="1"/>
        <v>0</v>
      </c>
      <c r="O23" s="34" t="str">
        <f t="shared" si="1"/>
        <v>SHARP PRICE</v>
      </c>
      <c r="P23" s="32" t="str">
        <f t="shared" si="2"/>
        <v>AMOUNT</v>
      </c>
    </row>
    <row r="24" spans="1:16" x14ac:dyDescent="0.35">
      <c r="A24" s="23" t="str">
        <f t="shared" si="3"/>
        <v>2026 JAN-APR SHARP PRICE</v>
      </c>
      <c r="B24" s="33">
        <f t="shared" si="3"/>
        <v>46121</v>
      </c>
      <c r="C24" s="33">
        <f t="shared" si="3"/>
        <v>46127</v>
      </c>
      <c r="D24" s="32">
        <v>3281</v>
      </c>
      <c r="E24" s="32">
        <v>337</v>
      </c>
      <c r="F24" s="32">
        <v>4</v>
      </c>
      <c r="G24" s="23">
        <v>4</v>
      </c>
      <c r="H24" s="23">
        <v>81588</v>
      </c>
      <c r="I24" s="32" t="s">
        <v>17</v>
      </c>
      <c r="J24" s="23">
        <v>68791226</v>
      </c>
      <c r="K24" s="23" t="s">
        <v>7114</v>
      </c>
      <c r="L24" s="22" t="s">
        <v>7116</v>
      </c>
      <c r="M24" s="24">
        <v>179900</v>
      </c>
      <c r="N24" s="88">
        <f t="shared" si="1"/>
        <v>0</v>
      </c>
      <c r="O24" s="34" t="str">
        <f t="shared" si="1"/>
        <v>SHARP PRICE</v>
      </c>
      <c r="P24" s="32" t="str">
        <f t="shared" si="2"/>
        <v>AMOUNT</v>
      </c>
    </row>
    <row r="25" spans="1:16" x14ac:dyDescent="0.35">
      <c r="A25" s="23" t="str">
        <f t="shared" si="3"/>
        <v>2026 JAN-APR SHARP PRICE</v>
      </c>
      <c r="B25" s="33">
        <f t="shared" si="3"/>
        <v>46121</v>
      </c>
      <c r="C25" s="33">
        <f t="shared" si="3"/>
        <v>46127</v>
      </c>
      <c r="D25" s="32">
        <v>3281</v>
      </c>
      <c r="E25" s="32">
        <v>337</v>
      </c>
      <c r="F25" s="32">
        <v>4</v>
      </c>
      <c r="G25" s="23">
        <v>4</v>
      </c>
      <c r="H25" s="23">
        <v>81588</v>
      </c>
      <c r="I25" s="32" t="s">
        <v>17</v>
      </c>
      <c r="J25" s="23">
        <v>68791235</v>
      </c>
      <c r="K25" s="23" t="s">
        <v>7114</v>
      </c>
      <c r="L25" s="22" t="s">
        <v>7117</v>
      </c>
      <c r="M25" s="24">
        <v>179900</v>
      </c>
      <c r="N25" s="88">
        <f t="shared" si="1"/>
        <v>0</v>
      </c>
      <c r="O25" s="34" t="str">
        <f t="shared" si="1"/>
        <v>SHARP PRICE</v>
      </c>
      <c r="P25" s="32" t="str">
        <f t="shared" si="2"/>
        <v>AMOUNT</v>
      </c>
    </row>
    <row r="26" spans="1:16" x14ac:dyDescent="0.35">
      <c r="A26" s="23" t="str">
        <f t="shared" si="3"/>
        <v>2026 JAN-APR SHARP PRICE</v>
      </c>
      <c r="B26" s="33">
        <f t="shared" si="3"/>
        <v>46121</v>
      </c>
      <c r="C26" s="33">
        <f t="shared" si="3"/>
        <v>46127</v>
      </c>
      <c r="D26" s="32">
        <v>3281</v>
      </c>
      <c r="E26" s="32">
        <v>337</v>
      </c>
      <c r="F26" s="32">
        <v>4</v>
      </c>
      <c r="G26" s="23">
        <v>4</v>
      </c>
      <c r="H26" s="23">
        <v>81588</v>
      </c>
      <c r="I26" s="32" t="s">
        <v>17</v>
      </c>
      <c r="J26" s="23">
        <v>68791244</v>
      </c>
      <c r="K26" s="23" t="s">
        <v>7114</v>
      </c>
      <c r="L26" s="22" t="s">
        <v>7118</v>
      </c>
      <c r="M26" s="24">
        <v>179900</v>
      </c>
      <c r="N26" s="88">
        <f t="shared" si="1"/>
        <v>0</v>
      </c>
      <c r="O26" s="34" t="str">
        <f t="shared" si="1"/>
        <v>SHARP PRICE</v>
      </c>
      <c r="P26" s="32" t="str">
        <f t="shared" si="2"/>
        <v>AMOUNT</v>
      </c>
    </row>
    <row r="27" spans="1:16" x14ac:dyDescent="0.35">
      <c r="A27" s="23" t="str">
        <f t="shared" si="3"/>
        <v>2026 JAN-APR SHARP PRICE</v>
      </c>
      <c r="B27" s="33">
        <f t="shared" si="3"/>
        <v>46121</v>
      </c>
      <c r="C27" s="33">
        <f t="shared" si="3"/>
        <v>46127</v>
      </c>
      <c r="D27" s="32">
        <v>3281</v>
      </c>
      <c r="E27" s="32">
        <v>337</v>
      </c>
      <c r="F27" s="32">
        <v>4</v>
      </c>
      <c r="G27" s="23">
        <v>4</v>
      </c>
      <c r="H27" s="23">
        <v>81588</v>
      </c>
      <c r="I27" s="32" t="s">
        <v>17</v>
      </c>
      <c r="J27" s="23">
        <v>68791253</v>
      </c>
      <c r="K27" s="23" t="s">
        <v>7114</v>
      </c>
      <c r="L27" s="22" t="s">
        <v>7119</v>
      </c>
      <c r="M27" s="24">
        <v>179900</v>
      </c>
      <c r="N27" s="88">
        <f t="shared" si="1"/>
        <v>0</v>
      </c>
      <c r="O27" s="34" t="str">
        <f t="shared" si="1"/>
        <v>SHARP PRICE</v>
      </c>
      <c r="P27" s="32" t="str">
        <f t="shared" si="2"/>
        <v>AMOUNT</v>
      </c>
    </row>
    <row r="28" spans="1:16" x14ac:dyDescent="0.35">
      <c r="A28" s="23" t="str">
        <f t="shared" si="3"/>
        <v>2026 JAN-APR SHARP PRICE</v>
      </c>
      <c r="B28" s="33">
        <f t="shared" si="3"/>
        <v>46121</v>
      </c>
      <c r="C28" s="33">
        <f t="shared" si="3"/>
        <v>46127</v>
      </c>
      <c r="D28" s="32">
        <v>3281</v>
      </c>
      <c r="E28" s="32">
        <v>337</v>
      </c>
      <c r="F28" s="32">
        <v>4</v>
      </c>
      <c r="G28" s="23">
        <v>4</v>
      </c>
      <c r="H28" s="23">
        <v>81588</v>
      </c>
      <c r="I28" s="32" t="s">
        <v>17</v>
      </c>
      <c r="J28" s="23">
        <v>68791262</v>
      </c>
      <c r="K28" s="23" t="s">
        <v>7114</v>
      </c>
      <c r="L28" s="22" t="s">
        <v>7120</v>
      </c>
      <c r="M28" s="24">
        <v>179900</v>
      </c>
      <c r="N28" s="88">
        <f t="shared" si="1"/>
        <v>0</v>
      </c>
      <c r="O28" s="34" t="str">
        <f t="shared" si="1"/>
        <v>SHARP PRICE</v>
      </c>
      <c r="P28" s="32" t="str">
        <f t="shared" si="2"/>
        <v>AMOUNT</v>
      </c>
    </row>
    <row r="29" spans="1:16" x14ac:dyDescent="0.35">
      <c r="A29" s="23" t="str">
        <f t="shared" si="3"/>
        <v>2026 JAN-APR SHARP PRICE</v>
      </c>
      <c r="B29" s="33">
        <f t="shared" si="3"/>
        <v>46121</v>
      </c>
      <c r="C29" s="33">
        <f t="shared" si="3"/>
        <v>46127</v>
      </c>
      <c r="D29" s="32">
        <v>3281</v>
      </c>
      <c r="E29" s="32">
        <v>337</v>
      </c>
      <c r="F29" s="32">
        <v>4</v>
      </c>
      <c r="G29" s="23">
        <v>4</v>
      </c>
      <c r="H29" s="23">
        <v>81588</v>
      </c>
      <c r="I29" s="32" t="s">
        <v>17</v>
      </c>
      <c r="J29" s="23">
        <v>68791271</v>
      </c>
      <c r="K29" s="23" t="s">
        <v>7114</v>
      </c>
      <c r="L29" s="22" t="s">
        <v>7121</v>
      </c>
      <c r="M29" s="24">
        <v>179900</v>
      </c>
      <c r="N29" s="88">
        <f t="shared" si="1"/>
        <v>0</v>
      </c>
      <c r="O29" s="34" t="str">
        <f t="shared" si="1"/>
        <v>SHARP PRICE</v>
      </c>
      <c r="P29" s="32" t="str">
        <f t="shared" si="2"/>
        <v>AMOUNT</v>
      </c>
    </row>
    <row r="30" spans="1:16" x14ac:dyDescent="0.35">
      <c r="A30" s="23" t="str">
        <f t="shared" si="3"/>
        <v>2026 JAN-APR SHARP PRICE</v>
      </c>
      <c r="B30" s="33">
        <f t="shared" si="3"/>
        <v>46121</v>
      </c>
      <c r="C30" s="33">
        <f t="shared" si="3"/>
        <v>46127</v>
      </c>
      <c r="D30" s="32">
        <v>3281</v>
      </c>
      <c r="E30" s="32">
        <v>337</v>
      </c>
      <c r="F30" s="32">
        <v>4</v>
      </c>
      <c r="G30" s="23">
        <v>4</v>
      </c>
      <c r="H30" s="23">
        <v>81588</v>
      </c>
      <c r="I30" s="32" t="s">
        <v>17</v>
      </c>
      <c r="J30" s="23">
        <v>68791075</v>
      </c>
      <c r="K30" s="23" t="s">
        <v>7122</v>
      </c>
      <c r="L30" s="22" t="s">
        <v>7123</v>
      </c>
      <c r="M30" s="24">
        <v>179900</v>
      </c>
      <c r="N30" s="88">
        <f t="shared" si="1"/>
        <v>0</v>
      </c>
      <c r="O30" s="34" t="str">
        <f t="shared" si="1"/>
        <v>SHARP PRICE</v>
      </c>
      <c r="P30" s="32" t="str">
        <f t="shared" si="2"/>
        <v>AMOUNT</v>
      </c>
    </row>
    <row r="31" spans="1:16" x14ac:dyDescent="0.35">
      <c r="A31" s="23" t="str">
        <f t="shared" si="3"/>
        <v>2026 JAN-APR SHARP PRICE</v>
      </c>
      <c r="B31" s="33">
        <f t="shared" si="3"/>
        <v>46121</v>
      </c>
      <c r="C31" s="33">
        <f t="shared" si="3"/>
        <v>46127</v>
      </c>
      <c r="D31" s="32">
        <v>3281</v>
      </c>
      <c r="E31" s="32">
        <v>337</v>
      </c>
      <c r="F31" s="32">
        <v>4</v>
      </c>
      <c r="G31" s="23">
        <v>4</v>
      </c>
      <c r="H31" s="23">
        <v>81588</v>
      </c>
      <c r="I31" s="32" t="s">
        <v>17</v>
      </c>
      <c r="J31" s="23">
        <v>68791084</v>
      </c>
      <c r="K31" s="23" t="s">
        <v>7122</v>
      </c>
      <c r="L31" s="22" t="s">
        <v>7124</v>
      </c>
      <c r="M31" s="24">
        <v>179900</v>
      </c>
      <c r="N31" s="88">
        <f t="shared" si="1"/>
        <v>0</v>
      </c>
      <c r="O31" s="34" t="str">
        <f t="shared" si="1"/>
        <v>SHARP PRICE</v>
      </c>
      <c r="P31" s="32" t="str">
        <f t="shared" si="2"/>
        <v>AMOUNT</v>
      </c>
    </row>
    <row r="32" spans="1:16" x14ac:dyDescent="0.35">
      <c r="A32" s="23" t="str">
        <f t="shared" si="3"/>
        <v>2026 JAN-APR SHARP PRICE</v>
      </c>
      <c r="B32" s="33">
        <f t="shared" si="3"/>
        <v>46121</v>
      </c>
      <c r="C32" s="33">
        <f t="shared" si="3"/>
        <v>46127</v>
      </c>
      <c r="D32" s="32">
        <v>3281</v>
      </c>
      <c r="E32" s="32">
        <v>337</v>
      </c>
      <c r="F32" s="32">
        <v>4</v>
      </c>
      <c r="G32" s="23">
        <v>4</v>
      </c>
      <c r="H32" s="23">
        <v>81588</v>
      </c>
      <c r="I32" s="32" t="s">
        <v>17</v>
      </c>
      <c r="J32" s="23">
        <v>68791093</v>
      </c>
      <c r="K32" s="23" t="s">
        <v>7122</v>
      </c>
      <c r="L32" s="22" t="s">
        <v>7125</v>
      </c>
      <c r="M32" s="24">
        <v>179900</v>
      </c>
      <c r="N32" s="88">
        <f t="shared" si="1"/>
        <v>0</v>
      </c>
      <c r="O32" s="34" t="str">
        <f t="shared" si="1"/>
        <v>SHARP PRICE</v>
      </c>
      <c r="P32" s="32" t="str">
        <f t="shared" si="2"/>
        <v>AMOUNT</v>
      </c>
    </row>
    <row r="33" spans="1:16" x14ac:dyDescent="0.35">
      <c r="A33" s="23" t="str">
        <f t="shared" si="3"/>
        <v>2026 JAN-APR SHARP PRICE</v>
      </c>
      <c r="B33" s="33">
        <f t="shared" si="3"/>
        <v>46121</v>
      </c>
      <c r="C33" s="33">
        <f t="shared" si="3"/>
        <v>46127</v>
      </c>
      <c r="D33" s="32">
        <v>3281</v>
      </c>
      <c r="E33" s="32">
        <v>337</v>
      </c>
      <c r="F33" s="32">
        <v>4</v>
      </c>
      <c r="G33" s="23">
        <v>4</v>
      </c>
      <c r="H33" s="23">
        <v>81588</v>
      </c>
      <c r="I33" s="32" t="s">
        <v>17</v>
      </c>
      <c r="J33" s="23">
        <v>68791100</v>
      </c>
      <c r="K33" s="23" t="s">
        <v>7122</v>
      </c>
      <c r="L33" s="22" t="s">
        <v>7126</v>
      </c>
      <c r="M33" s="24">
        <v>179900</v>
      </c>
      <c r="N33" s="88">
        <f t="shared" si="1"/>
        <v>0</v>
      </c>
      <c r="O33" s="34" t="str">
        <f t="shared" si="1"/>
        <v>SHARP PRICE</v>
      </c>
      <c r="P33" s="32" t="str">
        <f t="shared" si="2"/>
        <v>AMOUNT</v>
      </c>
    </row>
    <row r="34" spans="1:16" x14ac:dyDescent="0.35">
      <c r="A34" s="23" t="str">
        <f t="shared" ref="A34:C40" si="4">A33</f>
        <v>2026 JAN-APR SHARP PRICE</v>
      </c>
      <c r="B34" s="33">
        <f t="shared" si="4"/>
        <v>46121</v>
      </c>
      <c r="C34" s="33">
        <f t="shared" si="4"/>
        <v>46127</v>
      </c>
      <c r="D34" s="32">
        <v>3281</v>
      </c>
      <c r="E34" s="32">
        <v>337</v>
      </c>
      <c r="F34" s="32">
        <v>4</v>
      </c>
      <c r="G34" s="23">
        <v>5</v>
      </c>
      <c r="H34" s="23">
        <v>81588</v>
      </c>
      <c r="I34" s="32" t="s">
        <v>17</v>
      </c>
      <c r="J34" s="23">
        <v>68791119</v>
      </c>
      <c r="K34" s="23" t="s">
        <v>7122</v>
      </c>
      <c r="L34" s="22" t="s">
        <v>7127</v>
      </c>
      <c r="M34" s="24">
        <v>179900</v>
      </c>
      <c r="N34" s="88">
        <f t="shared" si="1"/>
        <v>0</v>
      </c>
      <c r="O34" s="34" t="str">
        <f t="shared" si="1"/>
        <v>SHARP PRICE</v>
      </c>
      <c r="P34" s="32" t="str">
        <f t="shared" si="2"/>
        <v>AMOUNT</v>
      </c>
    </row>
    <row r="35" spans="1:16" x14ac:dyDescent="0.35">
      <c r="A35" s="23" t="str">
        <f t="shared" si="4"/>
        <v>2026 JAN-APR SHARP PRICE</v>
      </c>
      <c r="B35" s="33">
        <f t="shared" si="4"/>
        <v>46121</v>
      </c>
      <c r="C35" s="33">
        <f t="shared" si="4"/>
        <v>46127</v>
      </c>
      <c r="D35" s="32">
        <v>3281</v>
      </c>
      <c r="E35" s="32">
        <v>337</v>
      </c>
      <c r="F35" s="32">
        <v>4</v>
      </c>
      <c r="G35" s="23">
        <v>5</v>
      </c>
      <c r="H35" s="23">
        <v>81588</v>
      </c>
      <c r="I35" s="32" t="s">
        <v>17</v>
      </c>
      <c r="J35" s="23">
        <v>68791128</v>
      </c>
      <c r="K35" s="23" t="s">
        <v>7122</v>
      </c>
      <c r="L35" s="22" t="s">
        <v>7128</v>
      </c>
      <c r="M35" s="24">
        <v>179900</v>
      </c>
      <c r="N35" s="88">
        <f t="shared" si="1"/>
        <v>0</v>
      </c>
      <c r="O35" s="34" t="str">
        <f t="shared" si="1"/>
        <v>SHARP PRICE</v>
      </c>
      <c r="P35" s="32" t="str">
        <f t="shared" si="2"/>
        <v>AMOUNT</v>
      </c>
    </row>
    <row r="36" spans="1:16" x14ac:dyDescent="0.35">
      <c r="A36" s="23" t="str">
        <f t="shared" si="4"/>
        <v>2026 JAN-APR SHARP PRICE</v>
      </c>
      <c r="B36" s="33">
        <f t="shared" si="4"/>
        <v>46121</v>
      </c>
      <c r="C36" s="33">
        <f t="shared" si="4"/>
        <v>46127</v>
      </c>
      <c r="D36" s="32">
        <v>3281</v>
      </c>
      <c r="E36" s="32">
        <v>337</v>
      </c>
      <c r="F36" s="32">
        <v>4</v>
      </c>
      <c r="G36" s="23">
        <v>5</v>
      </c>
      <c r="H36" s="23">
        <v>81588</v>
      </c>
      <c r="I36" s="32" t="s">
        <v>17</v>
      </c>
      <c r="J36" s="23">
        <v>68791137</v>
      </c>
      <c r="K36" s="23" t="s">
        <v>7122</v>
      </c>
      <c r="L36" s="22" t="s">
        <v>7129</v>
      </c>
      <c r="M36" s="24">
        <v>179900</v>
      </c>
      <c r="N36" s="88">
        <f t="shared" si="1"/>
        <v>0</v>
      </c>
      <c r="O36" s="34" t="str">
        <f t="shared" si="1"/>
        <v>SHARP PRICE</v>
      </c>
      <c r="P36" s="32" t="str">
        <f t="shared" si="2"/>
        <v>AMOUNT</v>
      </c>
    </row>
    <row r="37" spans="1:16" x14ac:dyDescent="0.35">
      <c r="A37" s="23" t="str">
        <f t="shared" si="4"/>
        <v>2026 JAN-APR SHARP PRICE</v>
      </c>
      <c r="B37" s="33">
        <f t="shared" si="4"/>
        <v>46121</v>
      </c>
      <c r="C37" s="33">
        <f t="shared" si="4"/>
        <v>46127</v>
      </c>
      <c r="D37" s="32">
        <v>3281</v>
      </c>
      <c r="E37" s="32">
        <v>337</v>
      </c>
      <c r="F37" s="32">
        <v>4</v>
      </c>
      <c r="G37" s="23">
        <v>5</v>
      </c>
      <c r="H37" s="23">
        <v>81588</v>
      </c>
      <c r="I37" s="32" t="s">
        <v>17</v>
      </c>
      <c r="J37" s="23">
        <v>61918843</v>
      </c>
      <c r="K37" s="23" t="s">
        <v>7130</v>
      </c>
      <c r="L37" s="43" t="s">
        <v>7131</v>
      </c>
      <c r="M37" s="24">
        <v>179900</v>
      </c>
      <c r="N37" s="88">
        <f t="shared" si="1"/>
        <v>0</v>
      </c>
      <c r="O37" s="34" t="str">
        <f t="shared" si="1"/>
        <v>SHARP PRICE</v>
      </c>
      <c r="P37" s="32" t="str">
        <f t="shared" si="2"/>
        <v>AMOUNT</v>
      </c>
    </row>
    <row r="38" spans="1:16" x14ac:dyDescent="0.35">
      <c r="A38" s="23" t="str">
        <f t="shared" si="4"/>
        <v>2026 JAN-APR SHARP PRICE</v>
      </c>
      <c r="B38" s="33">
        <f t="shared" si="4"/>
        <v>46121</v>
      </c>
      <c r="C38" s="33">
        <f t="shared" si="4"/>
        <v>46127</v>
      </c>
      <c r="D38" s="32">
        <v>3281</v>
      </c>
      <c r="E38" s="32">
        <v>337</v>
      </c>
      <c r="F38" s="32">
        <v>4</v>
      </c>
      <c r="G38" s="23">
        <v>5</v>
      </c>
      <c r="H38" s="23">
        <v>81588</v>
      </c>
      <c r="I38" s="32" t="s">
        <v>17</v>
      </c>
      <c r="J38" s="23">
        <v>61918852</v>
      </c>
      <c r="K38" s="23" t="s">
        <v>7130</v>
      </c>
      <c r="L38" s="43" t="s">
        <v>7132</v>
      </c>
      <c r="M38" s="24">
        <v>179900</v>
      </c>
      <c r="N38" s="88">
        <f t="shared" si="1"/>
        <v>0</v>
      </c>
      <c r="O38" s="34" t="str">
        <f t="shared" si="1"/>
        <v>SHARP PRICE</v>
      </c>
      <c r="P38" s="32" t="str">
        <f t="shared" si="2"/>
        <v>AMOUNT</v>
      </c>
    </row>
    <row r="39" spans="1:16" x14ac:dyDescent="0.35">
      <c r="A39" s="23" t="str">
        <f t="shared" si="4"/>
        <v>2026 JAN-APR SHARP PRICE</v>
      </c>
      <c r="B39" s="33">
        <f t="shared" si="4"/>
        <v>46121</v>
      </c>
      <c r="C39" s="33">
        <f t="shared" si="4"/>
        <v>46127</v>
      </c>
      <c r="D39" s="32">
        <v>3281</v>
      </c>
      <c r="E39" s="32">
        <v>337</v>
      </c>
      <c r="F39" s="32">
        <v>4</v>
      </c>
      <c r="G39" s="23">
        <v>5</v>
      </c>
      <c r="H39" s="23">
        <v>81588</v>
      </c>
      <c r="I39" s="32" t="s">
        <v>17</v>
      </c>
      <c r="J39" s="23">
        <v>61918861</v>
      </c>
      <c r="K39" s="23" t="s">
        <v>7130</v>
      </c>
      <c r="L39" s="43" t="s">
        <v>7133</v>
      </c>
      <c r="M39" s="24">
        <v>179900</v>
      </c>
      <c r="N39" s="88">
        <f t="shared" si="1"/>
        <v>0</v>
      </c>
      <c r="O39" s="34" t="str">
        <f t="shared" si="1"/>
        <v>SHARP PRICE</v>
      </c>
      <c r="P39" s="32" t="str">
        <f t="shared" si="2"/>
        <v>AMOUNT</v>
      </c>
    </row>
    <row r="40" spans="1:16" x14ac:dyDescent="0.35">
      <c r="A40" s="23" t="str">
        <f t="shared" si="4"/>
        <v>2026 JAN-APR SHARP PRICE</v>
      </c>
      <c r="B40" s="33">
        <f t="shared" si="4"/>
        <v>46121</v>
      </c>
      <c r="C40" s="33">
        <f t="shared" si="4"/>
        <v>46127</v>
      </c>
      <c r="D40" s="32">
        <v>3281</v>
      </c>
      <c r="E40" s="32">
        <v>337</v>
      </c>
      <c r="F40" s="32">
        <v>4</v>
      </c>
      <c r="G40" s="23">
        <v>5</v>
      </c>
      <c r="H40" s="23">
        <v>81588</v>
      </c>
      <c r="I40" s="32" t="s">
        <v>17</v>
      </c>
      <c r="J40" s="23">
        <v>61918870</v>
      </c>
      <c r="K40" s="23" t="s">
        <v>7130</v>
      </c>
      <c r="L40" s="43" t="s">
        <v>7134</v>
      </c>
      <c r="M40" s="24">
        <v>179900</v>
      </c>
      <c r="N40" s="88">
        <f t="shared" si="1"/>
        <v>0</v>
      </c>
      <c r="O40" s="34" t="str">
        <f t="shared" si="1"/>
        <v>SHARP PRICE</v>
      </c>
      <c r="P40" s="32" t="str">
        <f t="shared" si="2"/>
        <v>AMOUNT</v>
      </c>
    </row>
    <row r="41" spans="1:16" x14ac:dyDescent="0.35">
      <c r="A41" s="23" t="str">
        <f t="shared" ref="A41:C41" si="5">A40</f>
        <v>2026 JAN-APR SHARP PRICE</v>
      </c>
      <c r="B41" s="33">
        <f t="shared" si="5"/>
        <v>46121</v>
      </c>
      <c r="C41" s="33">
        <f t="shared" si="5"/>
        <v>46127</v>
      </c>
      <c r="D41" s="32">
        <v>3281</v>
      </c>
      <c r="E41" s="32">
        <v>337</v>
      </c>
      <c r="F41" s="32">
        <v>4</v>
      </c>
      <c r="G41" s="52">
        <v>3</v>
      </c>
      <c r="H41" s="23">
        <v>81588</v>
      </c>
      <c r="I41" s="32" t="s">
        <v>17</v>
      </c>
      <c r="J41" s="52">
        <v>68791146</v>
      </c>
      <c r="K41" s="52" t="s">
        <v>7170</v>
      </c>
      <c r="L41" s="58" t="s">
        <v>7171</v>
      </c>
      <c r="M41" s="57">
        <v>199900</v>
      </c>
      <c r="N41" s="88">
        <f t="shared" ref="N41:O41" si="6">N40</f>
        <v>0</v>
      </c>
      <c r="O41" s="34" t="str">
        <f t="shared" si="6"/>
        <v>SHARP PRICE</v>
      </c>
      <c r="P41" s="32" t="str">
        <f t="shared" si="2"/>
        <v>AMOUNT</v>
      </c>
    </row>
    <row r="42" spans="1:16" x14ac:dyDescent="0.35">
      <c r="A42" s="23" t="str">
        <f t="shared" ref="A42:C42" si="7">A41</f>
        <v>2026 JAN-APR SHARP PRICE</v>
      </c>
      <c r="B42" s="33">
        <f t="shared" si="7"/>
        <v>46121</v>
      </c>
      <c r="C42" s="33">
        <f t="shared" si="7"/>
        <v>46127</v>
      </c>
      <c r="D42" s="32">
        <v>3281</v>
      </c>
      <c r="E42" s="32">
        <v>337</v>
      </c>
      <c r="F42" s="32">
        <v>4</v>
      </c>
      <c r="G42" s="31">
        <v>3</v>
      </c>
      <c r="H42" s="23">
        <v>81588</v>
      </c>
      <c r="I42" s="32" t="s">
        <v>17</v>
      </c>
      <c r="J42" s="52">
        <v>68791155</v>
      </c>
      <c r="K42" s="52" t="s">
        <v>7170</v>
      </c>
      <c r="L42" s="58" t="s">
        <v>7172</v>
      </c>
      <c r="M42" s="57">
        <v>199900</v>
      </c>
      <c r="N42" s="88">
        <f t="shared" ref="N42:O42" si="8">N41</f>
        <v>0</v>
      </c>
      <c r="O42" s="34" t="str">
        <f t="shared" si="8"/>
        <v>SHARP PRICE</v>
      </c>
      <c r="P42" s="32" t="str">
        <f t="shared" si="2"/>
        <v>AMOUNT</v>
      </c>
    </row>
    <row r="43" spans="1:16" x14ac:dyDescent="0.35">
      <c r="A43" s="23" t="str">
        <f t="shared" ref="A43:C43" si="9">A42</f>
        <v>2026 JAN-APR SHARP PRICE</v>
      </c>
      <c r="B43" s="33">
        <f t="shared" si="9"/>
        <v>46121</v>
      </c>
      <c r="C43" s="33">
        <f t="shared" si="9"/>
        <v>46127</v>
      </c>
      <c r="D43" s="32">
        <v>3281</v>
      </c>
      <c r="E43" s="32">
        <v>337</v>
      </c>
      <c r="F43" s="32">
        <v>4</v>
      </c>
      <c r="G43" s="52">
        <v>3</v>
      </c>
      <c r="H43" s="23">
        <v>81588</v>
      </c>
      <c r="I43" s="32" t="s">
        <v>17</v>
      </c>
      <c r="J43" s="52">
        <v>68791164</v>
      </c>
      <c r="K43" s="52" t="s">
        <v>7170</v>
      </c>
      <c r="L43" s="58" t="s">
        <v>7173</v>
      </c>
      <c r="M43" s="57">
        <v>199900</v>
      </c>
      <c r="N43" s="88">
        <f t="shared" ref="N43:O43" si="10">N42</f>
        <v>0</v>
      </c>
      <c r="O43" s="34" t="str">
        <f t="shared" si="10"/>
        <v>SHARP PRICE</v>
      </c>
      <c r="P43" s="32" t="str">
        <f t="shared" si="2"/>
        <v>AMOUNT</v>
      </c>
    </row>
    <row r="44" spans="1:16" x14ac:dyDescent="0.35">
      <c r="A44" s="23" t="str">
        <f t="shared" ref="A44:C44" si="11">A43</f>
        <v>2026 JAN-APR SHARP PRICE</v>
      </c>
      <c r="B44" s="33">
        <f t="shared" si="11"/>
        <v>46121</v>
      </c>
      <c r="C44" s="33">
        <f t="shared" si="11"/>
        <v>46127</v>
      </c>
      <c r="D44" s="32">
        <v>3281</v>
      </c>
      <c r="E44" s="32">
        <v>337</v>
      </c>
      <c r="F44" s="32">
        <v>4</v>
      </c>
      <c r="G44" s="31">
        <v>3</v>
      </c>
      <c r="H44" s="23">
        <v>81588</v>
      </c>
      <c r="I44" s="32" t="s">
        <v>17</v>
      </c>
      <c r="J44" s="52">
        <v>68791173</v>
      </c>
      <c r="K44" s="52" t="s">
        <v>7170</v>
      </c>
      <c r="L44" s="58" t="s">
        <v>7174</v>
      </c>
      <c r="M44" s="57">
        <v>199900</v>
      </c>
      <c r="N44" s="88">
        <f t="shared" ref="N44:O44" si="12">N43</f>
        <v>0</v>
      </c>
      <c r="O44" s="34" t="str">
        <f t="shared" si="12"/>
        <v>SHARP PRICE</v>
      </c>
      <c r="P44" s="32" t="str">
        <f t="shared" si="2"/>
        <v>AMOUNT</v>
      </c>
    </row>
    <row r="45" spans="1:16" x14ac:dyDescent="0.35">
      <c r="A45" s="23" t="str">
        <f t="shared" ref="A45:C45" si="13">A44</f>
        <v>2026 JAN-APR SHARP PRICE</v>
      </c>
      <c r="B45" s="33">
        <f t="shared" si="13"/>
        <v>46121</v>
      </c>
      <c r="C45" s="33">
        <f t="shared" si="13"/>
        <v>46127</v>
      </c>
      <c r="D45" s="32">
        <v>3281</v>
      </c>
      <c r="E45" s="32">
        <v>337</v>
      </c>
      <c r="F45" s="32">
        <v>4</v>
      </c>
      <c r="G45" s="52">
        <v>3</v>
      </c>
      <c r="H45" s="23">
        <v>81588</v>
      </c>
      <c r="I45" s="32" t="s">
        <v>17</v>
      </c>
      <c r="J45" s="52">
        <v>68791182</v>
      </c>
      <c r="K45" s="52" t="s">
        <v>7170</v>
      </c>
      <c r="L45" s="58" t="s">
        <v>7175</v>
      </c>
      <c r="M45" s="57">
        <v>199900</v>
      </c>
      <c r="N45" s="88">
        <f t="shared" ref="N45:O45" si="14">N44</f>
        <v>0</v>
      </c>
      <c r="O45" s="34" t="str">
        <f t="shared" si="14"/>
        <v>SHARP PRICE</v>
      </c>
      <c r="P45" s="32" t="str">
        <f t="shared" si="2"/>
        <v>AMOUNT</v>
      </c>
    </row>
    <row r="46" spans="1:16" x14ac:dyDescent="0.35">
      <c r="A46" s="23" t="str">
        <f t="shared" ref="A46:C46" si="15">A45</f>
        <v>2026 JAN-APR SHARP PRICE</v>
      </c>
      <c r="B46" s="33">
        <f t="shared" si="15"/>
        <v>46121</v>
      </c>
      <c r="C46" s="33">
        <f t="shared" si="15"/>
        <v>46127</v>
      </c>
      <c r="D46" s="32">
        <v>3281</v>
      </c>
      <c r="E46" s="32">
        <v>337</v>
      </c>
      <c r="F46" s="32">
        <v>4</v>
      </c>
      <c r="G46" s="31">
        <v>3</v>
      </c>
      <c r="H46" s="23">
        <v>81588</v>
      </c>
      <c r="I46" s="32" t="s">
        <v>17</v>
      </c>
      <c r="J46" s="52">
        <v>68791191</v>
      </c>
      <c r="K46" s="52" t="s">
        <v>7170</v>
      </c>
      <c r="L46" s="58" t="s">
        <v>7176</v>
      </c>
      <c r="M46" s="57">
        <v>199900</v>
      </c>
      <c r="N46" s="88">
        <f t="shared" ref="N46:O46" si="16">N45</f>
        <v>0</v>
      </c>
      <c r="O46" s="34" t="str">
        <f t="shared" si="16"/>
        <v>SHARP PRICE</v>
      </c>
      <c r="P46" s="32" t="str">
        <f t="shared" si="2"/>
        <v>AMOUNT</v>
      </c>
    </row>
    <row r="47" spans="1:16" x14ac:dyDescent="0.35">
      <c r="A47" s="23" t="str">
        <f t="shared" ref="A47:C47" si="17">A46</f>
        <v>2026 JAN-APR SHARP PRICE</v>
      </c>
      <c r="B47" s="33">
        <f t="shared" si="17"/>
        <v>46121</v>
      </c>
      <c r="C47" s="33">
        <f t="shared" si="17"/>
        <v>46127</v>
      </c>
      <c r="D47" s="32">
        <v>3281</v>
      </c>
      <c r="E47" s="32">
        <v>337</v>
      </c>
      <c r="F47" s="32">
        <v>4</v>
      </c>
      <c r="G47" s="52">
        <v>3</v>
      </c>
      <c r="H47" s="23">
        <v>81588</v>
      </c>
      <c r="I47" s="32" t="s">
        <v>17</v>
      </c>
      <c r="J47" s="52">
        <v>68791208</v>
      </c>
      <c r="K47" s="52" t="s">
        <v>7170</v>
      </c>
      <c r="L47" s="58" t="s">
        <v>7177</v>
      </c>
      <c r="M47" s="57">
        <v>199900</v>
      </c>
      <c r="N47" s="88">
        <f t="shared" ref="N47:O47" si="18">N46</f>
        <v>0</v>
      </c>
      <c r="O47" s="34" t="str">
        <f t="shared" si="18"/>
        <v>SHARP PRICE</v>
      </c>
      <c r="P47" s="32" t="str">
        <f t="shared" si="2"/>
        <v>AMOUNT</v>
      </c>
    </row>
    <row r="48" spans="1:16" x14ac:dyDescent="0.35">
      <c r="A48" s="23" t="str">
        <f t="shared" ref="A48:C48" si="19">A47</f>
        <v>2026 JAN-APR SHARP PRICE</v>
      </c>
      <c r="B48" s="33">
        <f t="shared" si="19"/>
        <v>46121</v>
      </c>
      <c r="C48" s="33">
        <f t="shared" si="19"/>
        <v>46127</v>
      </c>
      <c r="D48" s="32">
        <v>3281</v>
      </c>
      <c r="E48" s="32">
        <v>337</v>
      </c>
      <c r="F48" s="32">
        <v>4</v>
      </c>
      <c r="G48" s="52">
        <v>5</v>
      </c>
      <c r="H48" s="52">
        <v>81588</v>
      </c>
      <c r="I48" s="32" t="s">
        <v>17</v>
      </c>
      <c r="J48" s="52">
        <v>68791655</v>
      </c>
      <c r="K48" s="52" t="s">
        <v>7178</v>
      </c>
      <c r="L48" s="58" t="s">
        <v>7179</v>
      </c>
      <c r="M48" s="57">
        <v>179900</v>
      </c>
      <c r="N48" s="88">
        <f t="shared" ref="N48:O48" si="20">N47</f>
        <v>0</v>
      </c>
      <c r="O48" s="34" t="str">
        <f t="shared" si="20"/>
        <v>SHARP PRICE</v>
      </c>
      <c r="P48" s="32" t="str">
        <f t="shared" si="2"/>
        <v>AMOUNT</v>
      </c>
    </row>
    <row r="49" spans="1:16" x14ac:dyDescent="0.35">
      <c r="A49" s="23" t="str">
        <f t="shared" ref="A49:C49" si="21">A48</f>
        <v>2026 JAN-APR SHARP PRICE</v>
      </c>
      <c r="B49" s="33">
        <f t="shared" si="21"/>
        <v>46121</v>
      </c>
      <c r="C49" s="33">
        <f t="shared" si="21"/>
        <v>46127</v>
      </c>
      <c r="D49" s="32">
        <v>3281</v>
      </c>
      <c r="E49" s="32">
        <v>337</v>
      </c>
      <c r="F49" s="32">
        <v>4</v>
      </c>
      <c r="G49" s="52">
        <v>5</v>
      </c>
      <c r="H49" s="52">
        <v>81588</v>
      </c>
      <c r="I49" s="32" t="s">
        <v>17</v>
      </c>
      <c r="J49" s="52">
        <v>68791664</v>
      </c>
      <c r="K49" s="52" t="s">
        <v>7178</v>
      </c>
      <c r="L49" s="58" t="s">
        <v>7180</v>
      </c>
      <c r="M49" s="57">
        <v>179900</v>
      </c>
      <c r="N49" s="88">
        <f t="shared" ref="N49:O49" si="22">N48</f>
        <v>0</v>
      </c>
      <c r="O49" s="34" t="str">
        <f t="shared" si="22"/>
        <v>SHARP PRICE</v>
      </c>
      <c r="P49" s="32" t="str">
        <f t="shared" si="2"/>
        <v>AMOUNT</v>
      </c>
    </row>
    <row r="50" spans="1:16" x14ac:dyDescent="0.35">
      <c r="A50" s="23" t="str">
        <f t="shared" ref="A50:C50" si="23">A49</f>
        <v>2026 JAN-APR SHARP PRICE</v>
      </c>
      <c r="B50" s="33">
        <f t="shared" si="23"/>
        <v>46121</v>
      </c>
      <c r="C50" s="33">
        <f t="shared" si="23"/>
        <v>46127</v>
      </c>
      <c r="D50" s="32">
        <v>3281</v>
      </c>
      <c r="E50" s="32">
        <v>337</v>
      </c>
      <c r="F50" s="32">
        <v>4</v>
      </c>
      <c r="G50" s="52">
        <v>5</v>
      </c>
      <c r="H50" s="52">
        <v>81588</v>
      </c>
      <c r="I50" s="32" t="s">
        <v>17</v>
      </c>
      <c r="J50" s="52">
        <v>68791673</v>
      </c>
      <c r="K50" s="52" t="s">
        <v>7178</v>
      </c>
      <c r="L50" s="58" t="s">
        <v>7181</v>
      </c>
      <c r="M50" s="57">
        <v>179900</v>
      </c>
      <c r="N50" s="88">
        <f t="shared" ref="N50:O50" si="24">N49</f>
        <v>0</v>
      </c>
      <c r="O50" s="34" t="str">
        <f t="shared" si="24"/>
        <v>SHARP PRICE</v>
      </c>
      <c r="P50" s="32" t="str">
        <f t="shared" si="2"/>
        <v>AMOUNT</v>
      </c>
    </row>
    <row r="51" spans="1:16" x14ac:dyDescent="0.35">
      <c r="A51" s="23" t="str">
        <f t="shared" ref="A51:C51" si="25">A50</f>
        <v>2026 JAN-APR SHARP PRICE</v>
      </c>
      <c r="B51" s="33">
        <f t="shared" si="25"/>
        <v>46121</v>
      </c>
      <c r="C51" s="33">
        <f t="shared" si="25"/>
        <v>46127</v>
      </c>
      <c r="D51" s="32">
        <v>3281</v>
      </c>
      <c r="E51" s="32">
        <v>337</v>
      </c>
      <c r="F51" s="32">
        <v>4</v>
      </c>
      <c r="G51" s="52">
        <v>5</v>
      </c>
      <c r="H51" s="52">
        <v>81588</v>
      </c>
      <c r="I51" s="32" t="s">
        <v>17</v>
      </c>
      <c r="J51" s="52">
        <v>68791682</v>
      </c>
      <c r="K51" s="52" t="s">
        <v>7178</v>
      </c>
      <c r="L51" s="58" t="s">
        <v>7182</v>
      </c>
      <c r="M51" s="57">
        <v>179900</v>
      </c>
      <c r="N51" s="88">
        <f t="shared" ref="N51:O51" si="26">N50</f>
        <v>0</v>
      </c>
      <c r="O51" s="34" t="str">
        <f t="shared" si="26"/>
        <v>SHARP PRICE</v>
      </c>
      <c r="P51" s="32" t="str">
        <f t="shared" si="2"/>
        <v>AMOUNT</v>
      </c>
    </row>
    <row r="52" spans="1:16" x14ac:dyDescent="0.35">
      <c r="A52" s="23" t="str">
        <f t="shared" ref="A52:C52" si="27">A51</f>
        <v>2026 JAN-APR SHARP PRICE</v>
      </c>
      <c r="B52" s="33">
        <f t="shared" si="27"/>
        <v>46121</v>
      </c>
      <c r="C52" s="33">
        <f t="shared" si="27"/>
        <v>46127</v>
      </c>
      <c r="D52" s="32">
        <v>3281</v>
      </c>
      <c r="E52" s="32">
        <v>337</v>
      </c>
      <c r="F52" s="32">
        <v>4</v>
      </c>
      <c r="G52" s="52">
        <v>5</v>
      </c>
      <c r="H52" s="52">
        <v>81588</v>
      </c>
      <c r="I52" s="32" t="s">
        <v>17</v>
      </c>
      <c r="J52" s="52">
        <v>68953266</v>
      </c>
      <c r="K52" s="52" t="s">
        <v>7178</v>
      </c>
      <c r="L52" s="58" t="s">
        <v>7183</v>
      </c>
      <c r="M52" s="57">
        <v>179900</v>
      </c>
      <c r="N52" s="88">
        <f t="shared" ref="N52:O52" si="28">N51</f>
        <v>0</v>
      </c>
      <c r="O52" s="34" t="str">
        <f t="shared" si="28"/>
        <v>SHARP PRICE</v>
      </c>
      <c r="P52" s="32" t="str">
        <f t="shared" si="2"/>
        <v>AMOUNT</v>
      </c>
    </row>
    <row r="53" spans="1:16" x14ac:dyDescent="0.35">
      <c r="A53" s="23" t="str">
        <f t="shared" ref="A53:C53" si="29">A52</f>
        <v>2026 JAN-APR SHARP PRICE</v>
      </c>
      <c r="B53" s="33">
        <f t="shared" si="29"/>
        <v>46121</v>
      </c>
      <c r="C53" s="33">
        <f t="shared" si="29"/>
        <v>46127</v>
      </c>
      <c r="D53" s="32">
        <v>3281</v>
      </c>
      <c r="E53" s="32">
        <v>337</v>
      </c>
      <c r="F53" s="32">
        <v>4</v>
      </c>
      <c r="G53" s="52">
        <v>4</v>
      </c>
      <c r="H53" s="52">
        <v>81588</v>
      </c>
      <c r="I53" s="32" t="s">
        <v>17</v>
      </c>
      <c r="J53" s="52">
        <v>68791691</v>
      </c>
      <c r="K53" s="52" t="s">
        <v>7184</v>
      </c>
      <c r="L53" s="58" t="s">
        <v>7185</v>
      </c>
      <c r="M53" s="57">
        <v>129900</v>
      </c>
      <c r="N53" s="88">
        <f t="shared" ref="N53:O53" si="30">N52</f>
        <v>0</v>
      </c>
      <c r="O53" s="34" t="str">
        <f t="shared" si="30"/>
        <v>SHARP PRICE</v>
      </c>
      <c r="P53" s="32" t="str">
        <f t="shared" si="2"/>
        <v>AMOUNT</v>
      </c>
    </row>
    <row r="54" spans="1:16" x14ac:dyDescent="0.35">
      <c r="A54" s="47" t="str">
        <f t="shared" ref="A54:C54" si="31">A53</f>
        <v>2026 JAN-APR SHARP PRICE</v>
      </c>
      <c r="B54" s="56">
        <f t="shared" si="31"/>
        <v>46121</v>
      </c>
      <c r="C54" s="56">
        <f t="shared" si="31"/>
        <v>46127</v>
      </c>
      <c r="D54" s="18">
        <v>3281</v>
      </c>
      <c r="E54" s="18">
        <v>337</v>
      </c>
      <c r="F54" s="18">
        <v>4</v>
      </c>
      <c r="G54" s="52">
        <v>4</v>
      </c>
      <c r="H54" s="52">
        <v>81588</v>
      </c>
      <c r="I54" s="18" t="s">
        <v>17</v>
      </c>
      <c r="J54" s="52">
        <v>68791708</v>
      </c>
      <c r="K54" s="52" t="s">
        <v>7184</v>
      </c>
      <c r="L54" s="58" t="s">
        <v>7186</v>
      </c>
      <c r="M54" s="57">
        <v>129900</v>
      </c>
      <c r="N54" s="90">
        <f t="shared" ref="N54:O54" si="32">N53</f>
        <v>0</v>
      </c>
      <c r="O54" s="19" t="str">
        <f t="shared" si="32"/>
        <v>SHARP PRICE</v>
      </c>
      <c r="P54" s="32" t="str">
        <f t="shared" si="2"/>
        <v>AMOUNT</v>
      </c>
    </row>
    <row r="55" spans="1:16" x14ac:dyDescent="0.35">
      <c r="A55" s="23" t="str">
        <f t="shared" ref="A55:C55" si="33">A54</f>
        <v>2026 JAN-APR SHARP PRICE</v>
      </c>
      <c r="B55" s="33">
        <f t="shared" si="33"/>
        <v>46121</v>
      </c>
      <c r="C55" s="33">
        <f t="shared" si="33"/>
        <v>46127</v>
      </c>
      <c r="D55" s="32">
        <v>3281</v>
      </c>
      <c r="E55" s="32">
        <v>337</v>
      </c>
      <c r="F55" s="32">
        <v>4</v>
      </c>
      <c r="G55" s="23">
        <v>4</v>
      </c>
      <c r="H55" s="23">
        <v>81588</v>
      </c>
      <c r="I55" s="32" t="s">
        <v>17</v>
      </c>
      <c r="J55" s="23">
        <v>68791717</v>
      </c>
      <c r="K55" s="23" t="s">
        <v>7184</v>
      </c>
      <c r="L55" s="43" t="s">
        <v>7187</v>
      </c>
      <c r="M55" s="24">
        <v>129900</v>
      </c>
      <c r="N55" s="88">
        <f t="shared" ref="N55:O55" si="34">N54</f>
        <v>0</v>
      </c>
      <c r="O55" s="34" t="str">
        <f t="shared" si="34"/>
        <v>SHARP PRICE</v>
      </c>
      <c r="P55" s="32" t="str">
        <f t="shared" si="2"/>
        <v>AMOUNT</v>
      </c>
    </row>
    <row r="56" spans="1:16" x14ac:dyDescent="0.35">
      <c r="A56" s="23" t="str">
        <f t="shared" ref="A56:C56" si="35">A55</f>
        <v>2026 JAN-APR SHARP PRICE</v>
      </c>
      <c r="B56" s="33">
        <f t="shared" si="35"/>
        <v>46121</v>
      </c>
      <c r="C56" s="33">
        <f t="shared" si="35"/>
        <v>46127</v>
      </c>
      <c r="D56" s="32">
        <v>3281</v>
      </c>
      <c r="E56" s="32">
        <v>337</v>
      </c>
      <c r="F56" s="32">
        <v>4</v>
      </c>
      <c r="G56" s="23">
        <v>4</v>
      </c>
      <c r="H56" s="23">
        <v>81588</v>
      </c>
      <c r="I56" s="32" t="s">
        <v>17</v>
      </c>
      <c r="J56" s="23">
        <v>68791726</v>
      </c>
      <c r="K56" s="23" t="s">
        <v>7184</v>
      </c>
      <c r="L56" s="43" t="s">
        <v>7188</v>
      </c>
      <c r="M56" s="24">
        <v>129900</v>
      </c>
      <c r="N56" s="88">
        <f t="shared" ref="N56:O56" si="36">N55</f>
        <v>0</v>
      </c>
      <c r="O56" s="34" t="str">
        <f t="shared" si="36"/>
        <v>SHARP PRICE</v>
      </c>
      <c r="P56" s="32" t="str">
        <f t="shared" si="2"/>
        <v>AMOUNT</v>
      </c>
    </row>
    <row r="57" spans="1:16" x14ac:dyDescent="0.35">
      <c r="A57" s="23" t="str">
        <f t="shared" ref="A57:C57" si="37">A56</f>
        <v>2026 JAN-APR SHARP PRICE</v>
      </c>
      <c r="B57" s="33">
        <f t="shared" si="37"/>
        <v>46121</v>
      </c>
      <c r="C57" s="33">
        <f t="shared" si="37"/>
        <v>46127</v>
      </c>
      <c r="D57" s="32">
        <v>3281</v>
      </c>
      <c r="E57" s="32">
        <v>337</v>
      </c>
      <c r="F57" s="32">
        <v>4</v>
      </c>
      <c r="G57" s="23">
        <v>4</v>
      </c>
      <c r="H57" s="23">
        <v>81588</v>
      </c>
      <c r="I57" s="32" t="s">
        <v>17</v>
      </c>
      <c r="J57" s="23">
        <v>68953275</v>
      </c>
      <c r="K57" s="23" t="s">
        <v>7184</v>
      </c>
      <c r="L57" s="43" t="s">
        <v>7189</v>
      </c>
      <c r="M57" s="24">
        <v>129900</v>
      </c>
      <c r="N57" s="88">
        <f t="shared" ref="N57:O57" si="38">N56</f>
        <v>0</v>
      </c>
      <c r="O57" s="34" t="str">
        <f t="shared" si="38"/>
        <v>SHARP PRICE</v>
      </c>
      <c r="P57" s="32" t="str">
        <f t="shared" si="2"/>
        <v>AMOUNT</v>
      </c>
    </row>
    <row r="58" spans="1:16" x14ac:dyDescent="0.35">
      <c r="A58" s="23" t="str">
        <f t="shared" ref="A58:C58" si="39">A57</f>
        <v>2026 JAN-APR SHARP PRICE</v>
      </c>
      <c r="B58" s="33">
        <f t="shared" si="39"/>
        <v>46121</v>
      </c>
      <c r="C58" s="33">
        <f t="shared" si="39"/>
        <v>46127</v>
      </c>
      <c r="D58" s="32">
        <v>3281</v>
      </c>
      <c r="E58" s="32">
        <v>337</v>
      </c>
      <c r="F58" s="32">
        <v>4</v>
      </c>
      <c r="G58" s="23">
        <v>1</v>
      </c>
      <c r="H58" s="23">
        <v>81588</v>
      </c>
      <c r="I58" s="32" t="s">
        <v>17</v>
      </c>
      <c r="J58" s="23">
        <v>68791619</v>
      </c>
      <c r="K58" s="23" t="s">
        <v>7190</v>
      </c>
      <c r="L58" s="43" t="s">
        <v>7191</v>
      </c>
      <c r="M58" s="24">
        <v>149900</v>
      </c>
      <c r="N58" s="88">
        <f t="shared" ref="N58:O58" si="40">N57</f>
        <v>0</v>
      </c>
      <c r="O58" s="34" t="str">
        <f t="shared" si="40"/>
        <v>SHARP PRICE</v>
      </c>
      <c r="P58" s="32" t="str">
        <f t="shared" si="2"/>
        <v>AMOUNT</v>
      </c>
    </row>
    <row r="59" spans="1:16" x14ac:dyDescent="0.35">
      <c r="A59" s="23" t="str">
        <f t="shared" ref="A59:C59" si="41">A58</f>
        <v>2026 JAN-APR SHARP PRICE</v>
      </c>
      <c r="B59" s="33">
        <f t="shared" si="41"/>
        <v>46121</v>
      </c>
      <c r="C59" s="33">
        <f t="shared" si="41"/>
        <v>46127</v>
      </c>
      <c r="D59" s="32">
        <v>3281</v>
      </c>
      <c r="E59" s="32">
        <v>337</v>
      </c>
      <c r="F59" s="32">
        <v>4</v>
      </c>
      <c r="G59" s="23">
        <v>1</v>
      </c>
      <c r="H59" s="23">
        <v>81588</v>
      </c>
      <c r="I59" s="32" t="s">
        <v>17</v>
      </c>
      <c r="J59" s="23">
        <v>68791628</v>
      </c>
      <c r="K59" s="23" t="s">
        <v>7190</v>
      </c>
      <c r="L59" s="43" t="s">
        <v>7192</v>
      </c>
      <c r="M59" s="24">
        <v>149900</v>
      </c>
      <c r="N59" s="88">
        <f t="shared" ref="N59:O59" si="42">N58</f>
        <v>0</v>
      </c>
      <c r="O59" s="34" t="str">
        <f t="shared" si="42"/>
        <v>SHARP PRICE</v>
      </c>
      <c r="P59" s="32" t="str">
        <f t="shared" si="2"/>
        <v>AMOUNT</v>
      </c>
    </row>
    <row r="60" spans="1:16" x14ac:dyDescent="0.35">
      <c r="A60" s="23" t="str">
        <f t="shared" ref="A60:C60" si="43">A59</f>
        <v>2026 JAN-APR SHARP PRICE</v>
      </c>
      <c r="B60" s="33">
        <f t="shared" si="43"/>
        <v>46121</v>
      </c>
      <c r="C60" s="33">
        <f t="shared" si="43"/>
        <v>46127</v>
      </c>
      <c r="D60" s="32">
        <v>3281</v>
      </c>
      <c r="E60" s="32">
        <v>337</v>
      </c>
      <c r="F60" s="32">
        <v>4</v>
      </c>
      <c r="G60" s="23">
        <v>1</v>
      </c>
      <c r="H60" s="23">
        <v>81588</v>
      </c>
      <c r="I60" s="32" t="s">
        <v>17</v>
      </c>
      <c r="J60" s="23">
        <v>68791637</v>
      </c>
      <c r="K60" s="23" t="s">
        <v>7190</v>
      </c>
      <c r="L60" s="43" t="s">
        <v>7193</v>
      </c>
      <c r="M60" s="24">
        <v>149900</v>
      </c>
      <c r="N60" s="88">
        <f t="shared" ref="N60:O60" si="44">N59</f>
        <v>0</v>
      </c>
      <c r="O60" s="34" t="str">
        <f t="shared" si="44"/>
        <v>SHARP PRICE</v>
      </c>
      <c r="P60" s="32" t="str">
        <f t="shared" si="2"/>
        <v>AMOUNT</v>
      </c>
    </row>
    <row r="61" spans="1:16" x14ac:dyDescent="0.35">
      <c r="A61" s="23" t="str">
        <f t="shared" ref="A61:C61" si="45">A60</f>
        <v>2026 JAN-APR SHARP PRICE</v>
      </c>
      <c r="B61" s="33">
        <f t="shared" si="45"/>
        <v>46121</v>
      </c>
      <c r="C61" s="33">
        <f t="shared" si="45"/>
        <v>46127</v>
      </c>
      <c r="D61" s="32">
        <v>3281</v>
      </c>
      <c r="E61" s="32">
        <v>337</v>
      </c>
      <c r="F61" s="32">
        <v>4</v>
      </c>
      <c r="G61" s="23">
        <v>1</v>
      </c>
      <c r="H61" s="23">
        <v>81588</v>
      </c>
      <c r="I61" s="32" t="s">
        <v>17</v>
      </c>
      <c r="J61" s="23">
        <v>68791646</v>
      </c>
      <c r="K61" s="23" t="s">
        <v>7190</v>
      </c>
      <c r="L61" s="43" t="s">
        <v>7194</v>
      </c>
      <c r="M61" s="24">
        <v>149900</v>
      </c>
      <c r="N61" s="88">
        <f t="shared" ref="N61:O61" si="46">N60</f>
        <v>0</v>
      </c>
      <c r="O61" s="34" t="str">
        <f t="shared" si="46"/>
        <v>SHARP PRICE</v>
      </c>
      <c r="P61" s="32" t="str">
        <f t="shared" si="2"/>
        <v>AMOUNT</v>
      </c>
    </row>
    <row r="62" spans="1:16" x14ac:dyDescent="0.35">
      <c r="A62" s="23" t="str">
        <f t="shared" ref="A62:C62" si="47">A61</f>
        <v>2026 JAN-APR SHARP PRICE</v>
      </c>
      <c r="B62" s="33">
        <f t="shared" si="47"/>
        <v>46121</v>
      </c>
      <c r="C62" s="33">
        <f t="shared" si="47"/>
        <v>46127</v>
      </c>
      <c r="D62" s="32">
        <v>3281</v>
      </c>
      <c r="E62" s="32">
        <v>337</v>
      </c>
      <c r="F62" s="32">
        <v>4</v>
      </c>
      <c r="G62" s="23">
        <v>1</v>
      </c>
      <c r="H62" s="23">
        <v>81588</v>
      </c>
      <c r="I62" s="32" t="s">
        <v>17</v>
      </c>
      <c r="J62" s="23">
        <v>68796061</v>
      </c>
      <c r="K62" s="23" t="s">
        <v>7190</v>
      </c>
      <c r="L62" s="43" t="s">
        <v>7195</v>
      </c>
      <c r="M62" s="24">
        <v>149900</v>
      </c>
      <c r="N62" s="88">
        <f t="shared" ref="N62:O62" si="48">N61</f>
        <v>0</v>
      </c>
      <c r="O62" s="34" t="str">
        <f t="shared" si="48"/>
        <v>SHARP PRICE</v>
      </c>
      <c r="P62" s="32" t="str">
        <f t="shared" si="2"/>
        <v>AMOUNT</v>
      </c>
    </row>
    <row r="63" spans="1:16" x14ac:dyDescent="0.35">
      <c r="A63" s="23" t="str">
        <f t="shared" ref="A63:C63" si="49">A62</f>
        <v>2026 JAN-APR SHARP PRICE</v>
      </c>
      <c r="B63" s="33">
        <f t="shared" si="49"/>
        <v>46121</v>
      </c>
      <c r="C63" s="33">
        <f t="shared" si="49"/>
        <v>46127</v>
      </c>
      <c r="D63" s="32">
        <v>3281</v>
      </c>
      <c r="E63" s="32">
        <v>337</v>
      </c>
      <c r="F63" s="32">
        <v>4</v>
      </c>
      <c r="G63" s="23">
        <v>1</v>
      </c>
      <c r="H63" s="23">
        <v>81588</v>
      </c>
      <c r="I63" s="32" t="s">
        <v>17</v>
      </c>
      <c r="J63" s="23">
        <v>63154772</v>
      </c>
      <c r="K63" s="23" t="s">
        <v>7196</v>
      </c>
      <c r="L63" s="22" t="s">
        <v>7197</v>
      </c>
      <c r="M63" s="24">
        <v>99900</v>
      </c>
      <c r="N63" s="88">
        <f t="shared" ref="N63:O63" si="50">N62</f>
        <v>0</v>
      </c>
      <c r="O63" s="34" t="str">
        <f t="shared" si="50"/>
        <v>SHARP PRICE</v>
      </c>
      <c r="P63" s="32" t="str">
        <f t="shared" si="2"/>
        <v>AMOUNT</v>
      </c>
    </row>
    <row r="64" spans="1:16" x14ac:dyDescent="0.35">
      <c r="A64" s="23" t="str">
        <f t="shared" ref="A64:C64" si="51">A63</f>
        <v>2026 JAN-APR SHARP PRICE</v>
      </c>
      <c r="B64" s="33">
        <f t="shared" si="51"/>
        <v>46121</v>
      </c>
      <c r="C64" s="33">
        <f t="shared" si="51"/>
        <v>46127</v>
      </c>
      <c r="D64" s="32">
        <v>3281</v>
      </c>
      <c r="E64" s="32">
        <v>337</v>
      </c>
      <c r="F64" s="32">
        <v>4</v>
      </c>
      <c r="G64" s="23">
        <v>1</v>
      </c>
      <c r="H64" s="23">
        <v>81588</v>
      </c>
      <c r="I64" s="32" t="s">
        <v>17</v>
      </c>
      <c r="J64" s="23">
        <v>63154781</v>
      </c>
      <c r="K64" s="23" t="s">
        <v>7196</v>
      </c>
      <c r="L64" s="22" t="s">
        <v>7198</v>
      </c>
      <c r="M64" s="24">
        <v>99900</v>
      </c>
      <c r="N64" s="88">
        <f t="shared" ref="N64:O64" si="52">N63</f>
        <v>0</v>
      </c>
      <c r="O64" s="34" t="str">
        <f t="shared" si="52"/>
        <v>SHARP PRICE</v>
      </c>
      <c r="P64" s="32" t="str">
        <f t="shared" si="2"/>
        <v>AMOUNT</v>
      </c>
    </row>
    <row r="65" spans="1:16" x14ac:dyDescent="0.35">
      <c r="A65" s="23" t="str">
        <f t="shared" ref="A65:C65" si="53">A64</f>
        <v>2026 JAN-APR SHARP PRICE</v>
      </c>
      <c r="B65" s="33">
        <f t="shared" si="53"/>
        <v>46121</v>
      </c>
      <c r="C65" s="33">
        <f t="shared" si="53"/>
        <v>46127</v>
      </c>
      <c r="D65" s="32">
        <v>3281</v>
      </c>
      <c r="E65" s="32">
        <v>337</v>
      </c>
      <c r="F65" s="32">
        <v>4</v>
      </c>
      <c r="G65" s="23">
        <v>1</v>
      </c>
      <c r="H65" s="23">
        <v>81588</v>
      </c>
      <c r="I65" s="32" t="s">
        <v>17</v>
      </c>
      <c r="J65" s="23">
        <v>63154790</v>
      </c>
      <c r="K65" s="23" t="s">
        <v>7196</v>
      </c>
      <c r="L65" s="22" t="s">
        <v>7199</v>
      </c>
      <c r="M65" s="24">
        <v>99900</v>
      </c>
      <c r="N65" s="88">
        <f t="shared" ref="N65:O65" si="54">N64</f>
        <v>0</v>
      </c>
      <c r="O65" s="34" t="str">
        <f t="shared" si="54"/>
        <v>SHARP PRICE</v>
      </c>
      <c r="P65" s="32" t="str">
        <f t="shared" si="2"/>
        <v>AMOUNT</v>
      </c>
    </row>
    <row r="66" spans="1:16" x14ac:dyDescent="0.35">
      <c r="A66" s="23" t="str">
        <f t="shared" ref="A66:C66" si="55">A65</f>
        <v>2026 JAN-APR SHARP PRICE</v>
      </c>
      <c r="B66" s="33">
        <f t="shared" si="55"/>
        <v>46121</v>
      </c>
      <c r="C66" s="33">
        <f t="shared" si="55"/>
        <v>46127</v>
      </c>
      <c r="D66" s="32">
        <v>3281</v>
      </c>
      <c r="E66" s="32">
        <v>337</v>
      </c>
      <c r="F66" s="32">
        <v>4</v>
      </c>
      <c r="G66" s="23">
        <v>1</v>
      </c>
      <c r="H66" s="23">
        <v>81588</v>
      </c>
      <c r="I66" s="32" t="s">
        <v>17</v>
      </c>
      <c r="J66" s="23">
        <v>63154807</v>
      </c>
      <c r="K66" s="23" t="s">
        <v>7196</v>
      </c>
      <c r="L66" s="22" t="s">
        <v>7200</v>
      </c>
      <c r="M66" s="24">
        <v>99900</v>
      </c>
      <c r="N66" s="88">
        <f t="shared" ref="N66:O66" si="56">N65</f>
        <v>0</v>
      </c>
      <c r="O66" s="34" t="str">
        <f t="shared" si="56"/>
        <v>SHARP PRICE</v>
      </c>
      <c r="P66" s="32" t="str">
        <f t="shared" si="2"/>
        <v>AMOUNT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2:J40">
    <cfRule type="duplicateValues" dxfId="24" priority="3"/>
  </conditionalFormatting>
  <conditionalFormatting sqref="J41:J57 J63:J1048576 J1">
    <cfRule type="duplicateValues" dxfId="23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8292-5BBF-4446-9243-5B98BC951C28}">
  <dimension ref="A1:P48"/>
  <sheetViews>
    <sheetView zoomScale="69" zoomScaleNormal="59" workbookViewId="0">
      <pane ySplit="1" topLeftCell="A2" activePane="bottomLeft" state="frozen"/>
      <selection activeCell="J24" sqref="J24"/>
      <selection pane="bottomLeft" activeCell="L21" sqref="L21"/>
    </sheetView>
  </sheetViews>
  <sheetFormatPr defaultColWidth="8.81640625" defaultRowHeight="14.5" x14ac:dyDescent="0.35"/>
  <cols>
    <col min="1" max="1" width="21.17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7.08984375" style="31" customWidth="1"/>
    <col min="13" max="13" width="14.36328125" style="37" customWidth="1"/>
    <col min="14" max="14" width="8.81640625" style="5" customWidth="1"/>
    <col min="15" max="15" width="16.26953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60" t="s">
        <v>8</v>
      </c>
      <c r="O1" s="30" t="s">
        <v>9</v>
      </c>
      <c r="P1" s="27" t="s">
        <v>10</v>
      </c>
    </row>
    <row r="2" spans="1:16" x14ac:dyDescent="0.35">
      <c r="A2" s="32" t="s">
        <v>6976</v>
      </c>
      <c r="B2" s="33">
        <f>'2025 JUNSEPT B1G1 - 3321'!B6</f>
        <v>46121</v>
      </c>
      <c r="C2" s="33">
        <f>'2025 JUNSEPT B1G1 - 3321'!C6</f>
        <v>46127</v>
      </c>
      <c r="D2" s="32">
        <v>3281</v>
      </c>
      <c r="E2" s="32">
        <v>337</v>
      </c>
      <c r="F2" s="32">
        <v>4</v>
      </c>
      <c r="G2" s="23">
        <v>2</v>
      </c>
      <c r="H2" s="23">
        <v>81506</v>
      </c>
      <c r="I2" s="32" t="s">
        <v>17</v>
      </c>
      <c r="J2" s="23">
        <v>67948907</v>
      </c>
      <c r="K2" s="23" t="s">
        <v>6929</v>
      </c>
      <c r="L2" s="22" t="s">
        <v>6930</v>
      </c>
      <c r="M2" s="24">
        <v>179900</v>
      </c>
      <c r="N2" s="35">
        <v>0.6</v>
      </c>
      <c r="O2" s="34">
        <f>M2-((60*M2)/100)</f>
        <v>71960</v>
      </c>
      <c r="P2" s="32" t="s">
        <v>16</v>
      </c>
    </row>
    <row r="3" spans="1:16" x14ac:dyDescent="0.35">
      <c r="A3" s="32" t="str">
        <f>A2</f>
        <v>2026 BAMUS DISC 60%</v>
      </c>
      <c r="B3" s="33">
        <f t="shared" ref="A3:C18" si="0">B2</f>
        <v>46121</v>
      </c>
      <c r="C3" s="33">
        <f t="shared" si="0"/>
        <v>46127</v>
      </c>
      <c r="D3" s="32">
        <v>3281</v>
      </c>
      <c r="E3" s="32">
        <v>337</v>
      </c>
      <c r="F3" s="32">
        <v>4</v>
      </c>
      <c r="G3" s="23">
        <v>2</v>
      </c>
      <c r="H3" s="23">
        <v>81506</v>
      </c>
      <c r="I3" s="32" t="s">
        <v>17</v>
      </c>
      <c r="J3" s="23">
        <v>67948916</v>
      </c>
      <c r="K3" s="23" t="s">
        <v>6929</v>
      </c>
      <c r="L3" s="22" t="s">
        <v>6931</v>
      </c>
      <c r="M3" s="24">
        <v>179900</v>
      </c>
      <c r="N3" s="35">
        <f>N2</f>
        <v>0.6</v>
      </c>
      <c r="O3" s="34">
        <f>O2</f>
        <v>71960</v>
      </c>
      <c r="P3" s="32" t="str">
        <f>P2</f>
        <v>PERCENTAGE</v>
      </c>
    </row>
    <row r="4" spans="1:16" x14ac:dyDescent="0.35">
      <c r="A4" s="32" t="str">
        <f t="shared" si="0"/>
        <v>2026 BAMUS DISC 60%</v>
      </c>
      <c r="B4" s="33">
        <f t="shared" si="0"/>
        <v>46121</v>
      </c>
      <c r="C4" s="33">
        <f t="shared" si="0"/>
        <v>46127</v>
      </c>
      <c r="D4" s="32">
        <v>3281</v>
      </c>
      <c r="E4" s="32">
        <v>337</v>
      </c>
      <c r="F4" s="32">
        <v>4</v>
      </c>
      <c r="G4" s="23">
        <v>2</v>
      </c>
      <c r="H4" s="23">
        <v>81506</v>
      </c>
      <c r="I4" s="32" t="s">
        <v>17</v>
      </c>
      <c r="J4" s="23">
        <v>67948925</v>
      </c>
      <c r="K4" s="23" t="s">
        <v>6929</v>
      </c>
      <c r="L4" s="22" t="s">
        <v>6932</v>
      </c>
      <c r="M4" s="24">
        <v>179900</v>
      </c>
      <c r="N4" s="35">
        <f t="shared" ref="N4:O19" si="1">N3</f>
        <v>0.6</v>
      </c>
      <c r="O4" s="34">
        <f>O3</f>
        <v>71960</v>
      </c>
      <c r="P4" s="32" t="str">
        <f t="shared" ref="P4:P48" si="2">P3</f>
        <v>PERCENTAGE</v>
      </c>
    </row>
    <row r="5" spans="1:16" x14ac:dyDescent="0.35">
      <c r="A5" s="32" t="str">
        <f t="shared" si="0"/>
        <v>2026 BAMUS DISC 60%</v>
      </c>
      <c r="B5" s="33">
        <f t="shared" si="0"/>
        <v>46121</v>
      </c>
      <c r="C5" s="33">
        <f t="shared" si="0"/>
        <v>46127</v>
      </c>
      <c r="D5" s="32">
        <v>3281</v>
      </c>
      <c r="E5" s="32">
        <v>337</v>
      </c>
      <c r="F5" s="32">
        <v>4</v>
      </c>
      <c r="G5" s="23">
        <v>2</v>
      </c>
      <c r="H5" s="23">
        <v>81506</v>
      </c>
      <c r="I5" s="32" t="s">
        <v>17</v>
      </c>
      <c r="J5" s="23">
        <v>67948934</v>
      </c>
      <c r="K5" s="23" t="s">
        <v>6929</v>
      </c>
      <c r="L5" s="22" t="s">
        <v>6933</v>
      </c>
      <c r="M5" s="24">
        <v>179900</v>
      </c>
      <c r="N5" s="35">
        <f t="shared" si="1"/>
        <v>0.6</v>
      </c>
      <c r="O5" s="34">
        <f>O4</f>
        <v>71960</v>
      </c>
      <c r="P5" s="32" t="str">
        <f t="shared" si="2"/>
        <v>PERCENTAGE</v>
      </c>
    </row>
    <row r="6" spans="1:16" x14ac:dyDescent="0.35">
      <c r="A6" s="32" t="str">
        <f t="shared" si="0"/>
        <v>2026 BAMUS DISC 60%</v>
      </c>
      <c r="B6" s="33">
        <f t="shared" si="0"/>
        <v>46121</v>
      </c>
      <c r="C6" s="33">
        <f t="shared" si="0"/>
        <v>46127</v>
      </c>
      <c r="D6" s="32">
        <v>3281</v>
      </c>
      <c r="E6" s="32">
        <v>337</v>
      </c>
      <c r="F6" s="32">
        <v>4</v>
      </c>
      <c r="G6" s="23">
        <v>2</v>
      </c>
      <c r="H6" s="23">
        <v>81506</v>
      </c>
      <c r="I6" s="32" t="s">
        <v>17</v>
      </c>
      <c r="J6" s="23">
        <v>67948943</v>
      </c>
      <c r="K6" s="23" t="s">
        <v>6929</v>
      </c>
      <c r="L6" s="22" t="s">
        <v>6934</v>
      </c>
      <c r="M6" s="24">
        <v>179900</v>
      </c>
      <c r="N6" s="35">
        <f t="shared" si="1"/>
        <v>0.6</v>
      </c>
      <c r="O6" s="34">
        <f t="shared" si="1"/>
        <v>71960</v>
      </c>
      <c r="P6" s="32" t="str">
        <f t="shared" si="2"/>
        <v>PERCENTAGE</v>
      </c>
    </row>
    <row r="7" spans="1:16" x14ac:dyDescent="0.35">
      <c r="A7" s="32" t="str">
        <f t="shared" si="0"/>
        <v>2026 BAMUS DISC 60%</v>
      </c>
      <c r="B7" s="33">
        <f t="shared" si="0"/>
        <v>46121</v>
      </c>
      <c r="C7" s="33">
        <f t="shared" si="0"/>
        <v>46127</v>
      </c>
      <c r="D7" s="32">
        <v>3281</v>
      </c>
      <c r="E7" s="32">
        <v>337</v>
      </c>
      <c r="F7" s="32">
        <v>4</v>
      </c>
      <c r="G7" s="23">
        <v>2</v>
      </c>
      <c r="H7" s="23">
        <v>81506</v>
      </c>
      <c r="I7" s="32" t="s">
        <v>17</v>
      </c>
      <c r="J7" s="23">
        <v>67948952</v>
      </c>
      <c r="K7" s="23" t="s">
        <v>6929</v>
      </c>
      <c r="L7" s="22" t="s">
        <v>6935</v>
      </c>
      <c r="M7" s="24">
        <v>179900</v>
      </c>
      <c r="N7" s="35">
        <f t="shared" si="1"/>
        <v>0.6</v>
      </c>
      <c r="O7" s="34">
        <f t="shared" ref="O7:O41" si="3">M7-((60*M7)/100)</f>
        <v>71960</v>
      </c>
      <c r="P7" s="32" t="str">
        <f t="shared" si="2"/>
        <v>PERCENTAGE</v>
      </c>
    </row>
    <row r="8" spans="1:16" x14ac:dyDescent="0.35">
      <c r="A8" s="32" t="str">
        <f t="shared" si="0"/>
        <v>2026 BAMUS DISC 60%</v>
      </c>
      <c r="B8" s="33">
        <f t="shared" si="0"/>
        <v>46121</v>
      </c>
      <c r="C8" s="33">
        <f t="shared" si="0"/>
        <v>46127</v>
      </c>
      <c r="D8" s="32">
        <v>3281</v>
      </c>
      <c r="E8" s="32">
        <v>337</v>
      </c>
      <c r="F8" s="32">
        <v>4</v>
      </c>
      <c r="G8" s="23">
        <v>2</v>
      </c>
      <c r="H8" s="23">
        <v>81506</v>
      </c>
      <c r="I8" s="32" t="s">
        <v>17</v>
      </c>
      <c r="J8" s="23">
        <v>67948961</v>
      </c>
      <c r="K8" s="23" t="s">
        <v>6929</v>
      </c>
      <c r="L8" s="22" t="s">
        <v>6936</v>
      </c>
      <c r="M8" s="24">
        <v>179900</v>
      </c>
      <c r="N8" s="35">
        <f t="shared" si="1"/>
        <v>0.6</v>
      </c>
      <c r="O8" s="34">
        <f t="shared" si="3"/>
        <v>71960</v>
      </c>
      <c r="P8" s="32" t="str">
        <f t="shared" si="2"/>
        <v>PERCENTAGE</v>
      </c>
    </row>
    <row r="9" spans="1:16" x14ac:dyDescent="0.35">
      <c r="A9" s="32" t="str">
        <f t="shared" si="0"/>
        <v>2026 BAMUS DISC 60%</v>
      </c>
      <c r="B9" s="33">
        <f t="shared" si="0"/>
        <v>46121</v>
      </c>
      <c r="C9" s="33">
        <f t="shared" si="0"/>
        <v>46127</v>
      </c>
      <c r="D9" s="32">
        <v>3281</v>
      </c>
      <c r="E9" s="32">
        <v>337</v>
      </c>
      <c r="F9" s="32">
        <v>4</v>
      </c>
      <c r="G9" s="23">
        <v>2</v>
      </c>
      <c r="H9" s="23">
        <v>81506</v>
      </c>
      <c r="I9" s="32" t="s">
        <v>17</v>
      </c>
      <c r="J9" s="23">
        <v>68843161</v>
      </c>
      <c r="K9" s="23" t="s">
        <v>6937</v>
      </c>
      <c r="L9" s="22" t="s">
        <v>6938</v>
      </c>
      <c r="M9" s="24">
        <v>199900</v>
      </c>
      <c r="N9" s="35">
        <f t="shared" si="1"/>
        <v>0.6</v>
      </c>
      <c r="O9" s="34">
        <f t="shared" si="3"/>
        <v>79960</v>
      </c>
      <c r="P9" s="32" t="str">
        <f t="shared" si="2"/>
        <v>PERCENTAGE</v>
      </c>
    </row>
    <row r="10" spans="1:16" x14ac:dyDescent="0.35">
      <c r="A10" s="32" t="str">
        <f t="shared" si="0"/>
        <v>2026 BAMUS DISC 60%</v>
      </c>
      <c r="B10" s="33">
        <f t="shared" si="0"/>
        <v>46121</v>
      </c>
      <c r="C10" s="33">
        <f t="shared" si="0"/>
        <v>46127</v>
      </c>
      <c r="D10" s="32">
        <v>3281</v>
      </c>
      <c r="E10" s="32">
        <v>337</v>
      </c>
      <c r="F10" s="32">
        <v>4</v>
      </c>
      <c r="G10" s="23">
        <v>2</v>
      </c>
      <c r="H10" s="23">
        <v>81506</v>
      </c>
      <c r="I10" s="32" t="s">
        <v>17</v>
      </c>
      <c r="J10" s="23">
        <v>68843170</v>
      </c>
      <c r="K10" s="23" t="s">
        <v>6937</v>
      </c>
      <c r="L10" s="22" t="s">
        <v>6939</v>
      </c>
      <c r="M10" s="24">
        <v>199900</v>
      </c>
      <c r="N10" s="35">
        <f t="shared" si="1"/>
        <v>0.6</v>
      </c>
      <c r="O10" s="34">
        <f t="shared" si="3"/>
        <v>79960</v>
      </c>
      <c r="P10" s="32" t="str">
        <f t="shared" si="2"/>
        <v>PERCENTAGE</v>
      </c>
    </row>
    <row r="11" spans="1:16" x14ac:dyDescent="0.35">
      <c r="A11" s="32" t="str">
        <f t="shared" si="0"/>
        <v>2026 BAMUS DISC 60%</v>
      </c>
      <c r="B11" s="33">
        <f t="shared" si="0"/>
        <v>46121</v>
      </c>
      <c r="C11" s="33">
        <f t="shared" si="0"/>
        <v>46127</v>
      </c>
      <c r="D11" s="32">
        <v>3281</v>
      </c>
      <c r="E11" s="32">
        <v>337</v>
      </c>
      <c r="F11" s="32">
        <v>4</v>
      </c>
      <c r="G11" s="23">
        <v>2</v>
      </c>
      <c r="H11" s="23">
        <v>81506</v>
      </c>
      <c r="I11" s="32" t="s">
        <v>17</v>
      </c>
      <c r="J11" s="23">
        <v>68843189</v>
      </c>
      <c r="K11" s="23" t="s">
        <v>6937</v>
      </c>
      <c r="L11" s="22" t="s">
        <v>6940</v>
      </c>
      <c r="M11" s="24">
        <v>199900</v>
      </c>
      <c r="N11" s="35">
        <f t="shared" si="1"/>
        <v>0.6</v>
      </c>
      <c r="O11" s="34">
        <f t="shared" si="3"/>
        <v>79960</v>
      </c>
      <c r="P11" s="32" t="str">
        <f t="shared" si="2"/>
        <v>PERCENTAGE</v>
      </c>
    </row>
    <row r="12" spans="1:16" x14ac:dyDescent="0.35">
      <c r="A12" s="32" t="str">
        <f t="shared" si="0"/>
        <v>2026 BAMUS DISC 60%</v>
      </c>
      <c r="B12" s="33">
        <f t="shared" si="0"/>
        <v>46121</v>
      </c>
      <c r="C12" s="33">
        <f t="shared" si="0"/>
        <v>46127</v>
      </c>
      <c r="D12" s="32">
        <v>3281</v>
      </c>
      <c r="E12" s="32">
        <v>337</v>
      </c>
      <c r="F12" s="32">
        <v>4</v>
      </c>
      <c r="G12" s="23">
        <v>2</v>
      </c>
      <c r="H12" s="23">
        <v>81506</v>
      </c>
      <c r="I12" s="32" t="s">
        <v>17</v>
      </c>
      <c r="J12" s="23">
        <v>68843198</v>
      </c>
      <c r="K12" s="23" t="s">
        <v>6937</v>
      </c>
      <c r="L12" s="22" t="s">
        <v>6941</v>
      </c>
      <c r="M12" s="24">
        <v>199900</v>
      </c>
      <c r="N12" s="35">
        <f t="shared" si="1"/>
        <v>0.6</v>
      </c>
      <c r="O12" s="34">
        <f t="shared" si="3"/>
        <v>79960</v>
      </c>
      <c r="P12" s="32" t="str">
        <f t="shared" si="2"/>
        <v>PERCENTAGE</v>
      </c>
    </row>
    <row r="13" spans="1:16" x14ac:dyDescent="0.35">
      <c r="A13" s="32" t="str">
        <f t="shared" si="0"/>
        <v>2026 BAMUS DISC 60%</v>
      </c>
      <c r="B13" s="33">
        <f t="shared" si="0"/>
        <v>46121</v>
      </c>
      <c r="C13" s="33">
        <f t="shared" si="0"/>
        <v>46127</v>
      </c>
      <c r="D13" s="32">
        <v>3281</v>
      </c>
      <c r="E13" s="32">
        <v>337</v>
      </c>
      <c r="F13" s="32">
        <v>4</v>
      </c>
      <c r="G13" s="23">
        <v>2</v>
      </c>
      <c r="H13" s="23">
        <v>81506</v>
      </c>
      <c r="I13" s="32" t="s">
        <v>17</v>
      </c>
      <c r="J13" s="23">
        <v>68843205</v>
      </c>
      <c r="K13" s="23" t="s">
        <v>6937</v>
      </c>
      <c r="L13" s="22" t="s">
        <v>6942</v>
      </c>
      <c r="M13" s="24">
        <v>199900</v>
      </c>
      <c r="N13" s="35">
        <f t="shared" si="1"/>
        <v>0.6</v>
      </c>
      <c r="O13" s="34">
        <f t="shared" si="3"/>
        <v>79960</v>
      </c>
      <c r="P13" s="32" t="str">
        <f t="shared" si="2"/>
        <v>PERCENTAGE</v>
      </c>
    </row>
    <row r="14" spans="1:16" x14ac:dyDescent="0.35">
      <c r="A14" s="32" t="str">
        <f t="shared" si="0"/>
        <v>2026 BAMUS DISC 60%</v>
      </c>
      <c r="B14" s="33">
        <f t="shared" si="0"/>
        <v>46121</v>
      </c>
      <c r="C14" s="33">
        <f t="shared" si="0"/>
        <v>46127</v>
      </c>
      <c r="D14" s="32">
        <v>3281</v>
      </c>
      <c r="E14" s="32">
        <v>337</v>
      </c>
      <c r="F14" s="32">
        <v>4</v>
      </c>
      <c r="G14" s="23">
        <v>2</v>
      </c>
      <c r="H14" s="23">
        <v>81506</v>
      </c>
      <c r="I14" s="32" t="s">
        <v>17</v>
      </c>
      <c r="J14" s="23">
        <v>68843214</v>
      </c>
      <c r="K14" s="23" t="s">
        <v>6937</v>
      </c>
      <c r="L14" s="22" t="s">
        <v>6943</v>
      </c>
      <c r="M14" s="24">
        <v>199900</v>
      </c>
      <c r="N14" s="35">
        <f t="shared" si="1"/>
        <v>0.6</v>
      </c>
      <c r="O14" s="34">
        <f t="shared" si="3"/>
        <v>79960</v>
      </c>
      <c r="P14" s="32" t="str">
        <f t="shared" si="2"/>
        <v>PERCENTAGE</v>
      </c>
    </row>
    <row r="15" spans="1:16" x14ac:dyDescent="0.35">
      <c r="A15" s="32" t="str">
        <f t="shared" si="0"/>
        <v>2026 BAMUS DISC 60%</v>
      </c>
      <c r="B15" s="33">
        <f t="shared" si="0"/>
        <v>46121</v>
      </c>
      <c r="C15" s="33">
        <f t="shared" si="0"/>
        <v>46127</v>
      </c>
      <c r="D15" s="32">
        <v>3281</v>
      </c>
      <c r="E15" s="32">
        <v>337</v>
      </c>
      <c r="F15" s="32">
        <v>4</v>
      </c>
      <c r="G15" s="23">
        <v>2</v>
      </c>
      <c r="H15" s="23">
        <v>81506</v>
      </c>
      <c r="I15" s="32" t="s">
        <v>17</v>
      </c>
      <c r="J15" s="23">
        <v>68843223</v>
      </c>
      <c r="K15" s="23" t="s">
        <v>6937</v>
      </c>
      <c r="L15" s="22" t="s">
        <v>6944</v>
      </c>
      <c r="M15" s="24">
        <v>199900</v>
      </c>
      <c r="N15" s="35">
        <f t="shared" si="1"/>
        <v>0.6</v>
      </c>
      <c r="O15" s="34">
        <f t="shared" si="3"/>
        <v>79960</v>
      </c>
      <c r="P15" s="32" t="str">
        <f t="shared" si="2"/>
        <v>PERCENTAGE</v>
      </c>
    </row>
    <row r="16" spans="1:16" x14ac:dyDescent="0.35">
      <c r="A16" s="32" t="str">
        <f t="shared" si="0"/>
        <v>2026 BAMUS DISC 60%</v>
      </c>
      <c r="B16" s="33">
        <f t="shared" si="0"/>
        <v>46121</v>
      </c>
      <c r="C16" s="33">
        <f t="shared" si="0"/>
        <v>46127</v>
      </c>
      <c r="D16" s="32">
        <v>3281</v>
      </c>
      <c r="E16" s="32">
        <v>337</v>
      </c>
      <c r="F16" s="32">
        <v>4</v>
      </c>
      <c r="G16" s="23">
        <v>4</v>
      </c>
      <c r="H16" s="23">
        <v>81847</v>
      </c>
      <c r="I16" s="32" t="s">
        <v>17</v>
      </c>
      <c r="J16" s="23">
        <v>67949040</v>
      </c>
      <c r="K16" s="23" t="s">
        <v>6945</v>
      </c>
      <c r="L16" s="22" t="s">
        <v>6946</v>
      </c>
      <c r="M16" s="24">
        <v>179900</v>
      </c>
      <c r="N16" s="35">
        <f t="shared" si="1"/>
        <v>0.6</v>
      </c>
      <c r="O16" s="34">
        <f t="shared" si="3"/>
        <v>71960</v>
      </c>
      <c r="P16" s="32" t="str">
        <f t="shared" si="2"/>
        <v>PERCENTAGE</v>
      </c>
    </row>
    <row r="17" spans="1:16" x14ac:dyDescent="0.35">
      <c r="A17" s="32" t="str">
        <f t="shared" si="0"/>
        <v>2026 BAMUS DISC 60%</v>
      </c>
      <c r="B17" s="33">
        <f t="shared" si="0"/>
        <v>46121</v>
      </c>
      <c r="C17" s="33">
        <f t="shared" si="0"/>
        <v>46127</v>
      </c>
      <c r="D17" s="32">
        <v>3281</v>
      </c>
      <c r="E17" s="32">
        <v>337</v>
      </c>
      <c r="F17" s="32">
        <v>4</v>
      </c>
      <c r="G17" s="23">
        <v>4</v>
      </c>
      <c r="H17" s="23">
        <v>81847</v>
      </c>
      <c r="I17" s="32" t="s">
        <v>17</v>
      </c>
      <c r="J17" s="23">
        <v>67949059</v>
      </c>
      <c r="K17" s="23" t="s">
        <v>6945</v>
      </c>
      <c r="L17" s="22" t="s">
        <v>6947</v>
      </c>
      <c r="M17" s="24">
        <v>179900</v>
      </c>
      <c r="N17" s="35">
        <f t="shared" si="1"/>
        <v>0.6</v>
      </c>
      <c r="O17" s="34">
        <f t="shared" si="3"/>
        <v>71960</v>
      </c>
      <c r="P17" s="32" t="str">
        <f t="shared" si="2"/>
        <v>PERCENTAGE</v>
      </c>
    </row>
    <row r="18" spans="1:16" x14ac:dyDescent="0.35">
      <c r="A18" s="32" t="str">
        <f t="shared" si="0"/>
        <v>2026 BAMUS DISC 60%</v>
      </c>
      <c r="B18" s="33">
        <f t="shared" si="0"/>
        <v>46121</v>
      </c>
      <c r="C18" s="33">
        <f t="shared" si="0"/>
        <v>46127</v>
      </c>
      <c r="D18" s="32">
        <v>3281</v>
      </c>
      <c r="E18" s="32">
        <v>337</v>
      </c>
      <c r="F18" s="32">
        <v>4</v>
      </c>
      <c r="G18" s="23">
        <v>4</v>
      </c>
      <c r="H18" s="23">
        <v>81847</v>
      </c>
      <c r="I18" s="32" t="s">
        <v>17</v>
      </c>
      <c r="J18" s="23">
        <v>67949068</v>
      </c>
      <c r="K18" s="23" t="s">
        <v>6945</v>
      </c>
      <c r="L18" s="22" t="s">
        <v>6948</v>
      </c>
      <c r="M18" s="24">
        <v>179900</v>
      </c>
      <c r="N18" s="35">
        <f t="shared" si="1"/>
        <v>0.6</v>
      </c>
      <c r="O18" s="34">
        <f t="shared" si="3"/>
        <v>71960</v>
      </c>
      <c r="P18" s="32" t="str">
        <f t="shared" si="2"/>
        <v>PERCENTAGE</v>
      </c>
    </row>
    <row r="19" spans="1:16" x14ac:dyDescent="0.35">
      <c r="A19" s="32" t="str">
        <f t="shared" ref="A19:C34" si="4">A18</f>
        <v>2026 BAMUS DISC 60%</v>
      </c>
      <c r="B19" s="33">
        <f t="shared" si="4"/>
        <v>46121</v>
      </c>
      <c r="C19" s="33">
        <f t="shared" si="4"/>
        <v>46127</v>
      </c>
      <c r="D19" s="32">
        <v>3281</v>
      </c>
      <c r="E19" s="32">
        <v>337</v>
      </c>
      <c r="F19" s="32">
        <v>4</v>
      </c>
      <c r="G19" s="23">
        <v>4</v>
      </c>
      <c r="H19" s="23">
        <v>81847</v>
      </c>
      <c r="I19" s="32" t="s">
        <v>17</v>
      </c>
      <c r="J19" s="23">
        <v>67949077</v>
      </c>
      <c r="K19" s="23" t="s">
        <v>6945</v>
      </c>
      <c r="L19" s="22" t="s">
        <v>6949</v>
      </c>
      <c r="M19" s="24">
        <v>179900</v>
      </c>
      <c r="N19" s="35">
        <f t="shared" si="1"/>
        <v>0.6</v>
      </c>
      <c r="O19" s="34">
        <f t="shared" si="3"/>
        <v>71960</v>
      </c>
      <c r="P19" s="32" t="str">
        <f t="shared" si="2"/>
        <v>PERCENTAGE</v>
      </c>
    </row>
    <row r="20" spans="1:16" x14ac:dyDescent="0.35">
      <c r="A20" s="32" t="str">
        <f t="shared" si="4"/>
        <v>2026 BAMUS DISC 60%</v>
      </c>
      <c r="B20" s="33">
        <f t="shared" si="4"/>
        <v>46121</v>
      </c>
      <c r="C20" s="33">
        <f t="shared" si="4"/>
        <v>46127</v>
      </c>
      <c r="D20" s="32">
        <v>3281</v>
      </c>
      <c r="E20" s="32">
        <v>337</v>
      </c>
      <c r="F20" s="32">
        <v>4</v>
      </c>
      <c r="G20" s="23">
        <v>4</v>
      </c>
      <c r="H20" s="23">
        <v>81847</v>
      </c>
      <c r="I20" s="32" t="s">
        <v>17</v>
      </c>
      <c r="J20" s="23">
        <v>67949086</v>
      </c>
      <c r="K20" s="23" t="s">
        <v>6945</v>
      </c>
      <c r="L20" s="22" t="s">
        <v>6950</v>
      </c>
      <c r="M20" s="24">
        <v>179900</v>
      </c>
      <c r="N20" s="35">
        <f t="shared" ref="N20:N35" si="5">N19</f>
        <v>0.6</v>
      </c>
      <c r="O20" s="34">
        <f t="shared" si="3"/>
        <v>71960</v>
      </c>
      <c r="P20" s="32" t="str">
        <f t="shared" si="2"/>
        <v>PERCENTAGE</v>
      </c>
    </row>
    <row r="21" spans="1:16" x14ac:dyDescent="0.35">
      <c r="A21" s="32" t="str">
        <f t="shared" si="4"/>
        <v>2026 BAMUS DISC 60%</v>
      </c>
      <c r="B21" s="33">
        <f t="shared" si="4"/>
        <v>46121</v>
      </c>
      <c r="C21" s="33">
        <f t="shared" si="4"/>
        <v>46127</v>
      </c>
      <c r="D21" s="32">
        <v>3281</v>
      </c>
      <c r="E21" s="32">
        <v>337</v>
      </c>
      <c r="F21" s="32">
        <v>4</v>
      </c>
      <c r="G21" s="23">
        <v>4</v>
      </c>
      <c r="H21" s="23">
        <v>81847</v>
      </c>
      <c r="I21" s="32" t="s">
        <v>17</v>
      </c>
      <c r="J21" s="23">
        <v>67949095</v>
      </c>
      <c r="K21" s="23" t="s">
        <v>6945</v>
      </c>
      <c r="L21" s="22" t="s">
        <v>6951</v>
      </c>
      <c r="M21" s="24">
        <v>179900</v>
      </c>
      <c r="N21" s="35">
        <f t="shared" si="5"/>
        <v>0.6</v>
      </c>
      <c r="O21" s="34">
        <f t="shared" si="3"/>
        <v>71960</v>
      </c>
      <c r="P21" s="32" t="str">
        <f t="shared" si="2"/>
        <v>PERCENTAGE</v>
      </c>
    </row>
    <row r="22" spans="1:16" x14ac:dyDescent="0.35">
      <c r="A22" s="32" t="str">
        <f t="shared" si="4"/>
        <v>2026 BAMUS DISC 60%</v>
      </c>
      <c r="B22" s="33">
        <f t="shared" si="4"/>
        <v>46121</v>
      </c>
      <c r="C22" s="33">
        <f t="shared" si="4"/>
        <v>46127</v>
      </c>
      <c r="D22" s="32">
        <v>3281</v>
      </c>
      <c r="E22" s="32">
        <v>337</v>
      </c>
      <c r="F22" s="32">
        <v>4</v>
      </c>
      <c r="G22" s="23">
        <v>4</v>
      </c>
      <c r="H22" s="23">
        <v>81847</v>
      </c>
      <c r="I22" s="32" t="s">
        <v>17</v>
      </c>
      <c r="J22" s="23">
        <v>67949102</v>
      </c>
      <c r="K22" s="23" t="s">
        <v>6945</v>
      </c>
      <c r="L22" s="22" t="s">
        <v>6952</v>
      </c>
      <c r="M22" s="24">
        <v>179900</v>
      </c>
      <c r="N22" s="35">
        <f t="shared" si="5"/>
        <v>0.6</v>
      </c>
      <c r="O22" s="34">
        <f t="shared" si="3"/>
        <v>71960</v>
      </c>
      <c r="P22" s="32" t="str">
        <f t="shared" si="2"/>
        <v>PERCENTAGE</v>
      </c>
    </row>
    <row r="23" spans="1:16" x14ac:dyDescent="0.35">
      <c r="A23" s="32" t="str">
        <f t="shared" si="4"/>
        <v>2026 BAMUS DISC 60%</v>
      </c>
      <c r="B23" s="33">
        <f t="shared" si="4"/>
        <v>46121</v>
      </c>
      <c r="C23" s="33">
        <f t="shared" si="4"/>
        <v>46127</v>
      </c>
      <c r="D23" s="32">
        <v>3281</v>
      </c>
      <c r="E23" s="32">
        <v>337</v>
      </c>
      <c r="F23" s="32">
        <v>4</v>
      </c>
      <c r="G23" s="23">
        <v>5</v>
      </c>
      <c r="H23" s="23">
        <v>81847</v>
      </c>
      <c r="I23" s="32" t="s">
        <v>17</v>
      </c>
      <c r="J23" s="23">
        <v>68801232</v>
      </c>
      <c r="K23" s="23" t="s">
        <v>6953</v>
      </c>
      <c r="L23" s="22" t="s">
        <v>6954</v>
      </c>
      <c r="M23" s="24">
        <v>249900</v>
      </c>
      <c r="N23" s="35">
        <f t="shared" si="5"/>
        <v>0.6</v>
      </c>
      <c r="O23" s="34">
        <f t="shared" si="3"/>
        <v>99960</v>
      </c>
      <c r="P23" s="32" t="str">
        <f t="shared" si="2"/>
        <v>PERCENTAGE</v>
      </c>
    </row>
    <row r="24" spans="1:16" x14ac:dyDescent="0.35">
      <c r="A24" s="32" t="str">
        <f t="shared" si="4"/>
        <v>2026 BAMUS DISC 60%</v>
      </c>
      <c r="B24" s="33">
        <f t="shared" si="4"/>
        <v>46121</v>
      </c>
      <c r="C24" s="33">
        <f t="shared" si="4"/>
        <v>46127</v>
      </c>
      <c r="D24" s="32">
        <v>3281</v>
      </c>
      <c r="E24" s="32">
        <v>337</v>
      </c>
      <c r="F24" s="32">
        <v>4</v>
      </c>
      <c r="G24" s="23">
        <v>5</v>
      </c>
      <c r="H24" s="23">
        <v>81847</v>
      </c>
      <c r="I24" s="32" t="s">
        <v>17</v>
      </c>
      <c r="J24" s="23">
        <v>68801241</v>
      </c>
      <c r="K24" s="23" t="s">
        <v>6953</v>
      </c>
      <c r="L24" s="22" t="s">
        <v>6955</v>
      </c>
      <c r="M24" s="24">
        <v>249900</v>
      </c>
      <c r="N24" s="35">
        <f t="shared" si="5"/>
        <v>0.6</v>
      </c>
      <c r="O24" s="34">
        <f t="shared" si="3"/>
        <v>99960</v>
      </c>
      <c r="P24" s="32" t="str">
        <f t="shared" si="2"/>
        <v>PERCENTAGE</v>
      </c>
    </row>
    <row r="25" spans="1:16" x14ac:dyDescent="0.35">
      <c r="A25" s="32" t="str">
        <f t="shared" si="4"/>
        <v>2026 BAMUS DISC 60%</v>
      </c>
      <c r="B25" s="33">
        <f t="shared" si="4"/>
        <v>46121</v>
      </c>
      <c r="C25" s="33">
        <f t="shared" si="4"/>
        <v>46127</v>
      </c>
      <c r="D25" s="32">
        <v>3281</v>
      </c>
      <c r="E25" s="32">
        <v>337</v>
      </c>
      <c r="F25" s="32">
        <v>4</v>
      </c>
      <c r="G25" s="23">
        <v>5</v>
      </c>
      <c r="H25" s="23">
        <v>81847</v>
      </c>
      <c r="I25" s="32" t="s">
        <v>17</v>
      </c>
      <c r="J25" s="23">
        <v>68801250</v>
      </c>
      <c r="K25" s="23" t="s">
        <v>6953</v>
      </c>
      <c r="L25" s="22" t="s">
        <v>6956</v>
      </c>
      <c r="M25" s="24">
        <v>249900</v>
      </c>
      <c r="N25" s="35">
        <f t="shared" si="5"/>
        <v>0.6</v>
      </c>
      <c r="O25" s="34">
        <f t="shared" si="3"/>
        <v>99960</v>
      </c>
      <c r="P25" s="32" t="str">
        <f t="shared" si="2"/>
        <v>PERCENTAGE</v>
      </c>
    </row>
    <row r="26" spans="1:16" x14ac:dyDescent="0.35">
      <c r="A26" s="32" t="str">
        <f t="shared" si="4"/>
        <v>2026 BAMUS DISC 60%</v>
      </c>
      <c r="B26" s="33">
        <f t="shared" si="4"/>
        <v>46121</v>
      </c>
      <c r="C26" s="33">
        <f t="shared" si="4"/>
        <v>46127</v>
      </c>
      <c r="D26" s="32">
        <v>3281</v>
      </c>
      <c r="E26" s="32">
        <v>337</v>
      </c>
      <c r="F26" s="32">
        <v>4</v>
      </c>
      <c r="G26" s="23">
        <v>5</v>
      </c>
      <c r="H26" s="23">
        <v>81847</v>
      </c>
      <c r="I26" s="32" t="s">
        <v>17</v>
      </c>
      <c r="J26" s="23">
        <v>68801269</v>
      </c>
      <c r="K26" s="23" t="s">
        <v>6953</v>
      </c>
      <c r="L26" s="22" t="s">
        <v>6957</v>
      </c>
      <c r="M26" s="24">
        <v>249900</v>
      </c>
      <c r="N26" s="35">
        <f t="shared" si="5"/>
        <v>0.6</v>
      </c>
      <c r="O26" s="34">
        <f t="shared" si="3"/>
        <v>99960</v>
      </c>
      <c r="P26" s="32" t="str">
        <f t="shared" si="2"/>
        <v>PERCENTAGE</v>
      </c>
    </row>
    <row r="27" spans="1:16" x14ac:dyDescent="0.35">
      <c r="A27" s="32" t="str">
        <f t="shared" si="4"/>
        <v>2026 BAMUS DISC 60%</v>
      </c>
      <c r="B27" s="33">
        <f t="shared" si="4"/>
        <v>46121</v>
      </c>
      <c r="C27" s="33">
        <f t="shared" si="4"/>
        <v>46127</v>
      </c>
      <c r="D27" s="32">
        <v>3281</v>
      </c>
      <c r="E27" s="32">
        <v>337</v>
      </c>
      <c r="F27" s="32">
        <v>4</v>
      </c>
      <c r="G27" s="23">
        <v>5</v>
      </c>
      <c r="H27" s="23">
        <v>81847</v>
      </c>
      <c r="I27" s="32" t="s">
        <v>17</v>
      </c>
      <c r="J27" s="23">
        <v>68801278</v>
      </c>
      <c r="K27" s="23" t="s">
        <v>6953</v>
      </c>
      <c r="L27" s="22" t="s">
        <v>6958</v>
      </c>
      <c r="M27" s="24">
        <v>249900</v>
      </c>
      <c r="N27" s="35">
        <f t="shared" si="5"/>
        <v>0.6</v>
      </c>
      <c r="O27" s="34">
        <f t="shared" si="3"/>
        <v>99960</v>
      </c>
      <c r="P27" s="32" t="str">
        <f t="shared" si="2"/>
        <v>PERCENTAGE</v>
      </c>
    </row>
    <row r="28" spans="1:16" x14ac:dyDescent="0.35">
      <c r="A28" s="32" t="str">
        <f t="shared" si="4"/>
        <v>2026 BAMUS DISC 60%</v>
      </c>
      <c r="B28" s="33">
        <f t="shared" si="4"/>
        <v>46121</v>
      </c>
      <c r="C28" s="33">
        <f t="shared" si="4"/>
        <v>46127</v>
      </c>
      <c r="D28" s="32">
        <v>3281</v>
      </c>
      <c r="E28" s="32">
        <v>337</v>
      </c>
      <c r="F28" s="32">
        <v>4</v>
      </c>
      <c r="G28" s="23">
        <v>5</v>
      </c>
      <c r="H28" s="23">
        <v>81847</v>
      </c>
      <c r="I28" s="32" t="s">
        <v>17</v>
      </c>
      <c r="J28" s="23">
        <v>68801287</v>
      </c>
      <c r="K28" s="23" t="s">
        <v>6953</v>
      </c>
      <c r="L28" s="22" t="s">
        <v>6959</v>
      </c>
      <c r="M28" s="24">
        <v>249900</v>
      </c>
      <c r="N28" s="35">
        <f t="shared" si="5"/>
        <v>0.6</v>
      </c>
      <c r="O28" s="34">
        <f t="shared" si="3"/>
        <v>99960</v>
      </c>
      <c r="P28" s="32" t="str">
        <f t="shared" si="2"/>
        <v>PERCENTAGE</v>
      </c>
    </row>
    <row r="29" spans="1:16" x14ac:dyDescent="0.35">
      <c r="A29" s="32" t="str">
        <f t="shared" si="4"/>
        <v>2026 BAMUS DISC 60%</v>
      </c>
      <c r="B29" s="33">
        <f t="shared" si="4"/>
        <v>46121</v>
      </c>
      <c r="C29" s="33">
        <f t="shared" si="4"/>
        <v>46127</v>
      </c>
      <c r="D29" s="32">
        <v>3281</v>
      </c>
      <c r="E29" s="32">
        <v>337</v>
      </c>
      <c r="F29" s="32">
        <v>4</v>
      </c>
      <c r="G29" s="23">
        <v>5</v>
      </c>
      <c r="H29" s="23">
        <v>81847</v>
      </c>
      <c r="I29" s="32" t="s">
        <v>17</v>
      </c>
      <c r="J29" s="23">
        <v>68801296</v>
      </c>
      <c r="K29" s="23" t="s">
        <v>6953</v>
      </c>
      <c r="L29" s="22" t="s">
        <v>6960</v>
      </c>
      <c r="M29" s="24">
        <v>249900</v>
      </c>
      <c r="N29" s="35">
        <f t="shared" si="5"/>
        <v>0.6</v>
      </c>
      <c r="O29" s="34">
        <f t="shared" si="3"/>
        <v>99960</v>
      </c>
      <c r="P29" s="32" t="str">
        <f t="shared" si="2"/>
        <v>PERCENTAGE</v>
      </c>
    </row>
    <row r="30" spans="1:16" x14ac:dyDescent="0.35">
      <c r="A30" s="32" t="str">
        <f t="shared" si="4"/>
        <v>2026 BAMUS DISC 60%</v>
      </c>
      <c r="B30" s="33">
        <f t="shared" si="4"/>
        <v>46121</v>
      </c>
      <c r="C30" s="33">
        <f t="shared" si="4"/>
        <v>46127</v>
      </c>
      <c r="D30" s="32">
        <v>3281</v>
      </c>
      <c r="E30" s="32">
        <v>337</v>
      </c>
      <c r="F30" s="32">
        <v>4</v>
      </c>
      <c r="G30" s="23">
        <v>5</v>
      </c>
      <c r="H30" s="23">
        <v>81588</v>
      </c>
      <c r="I30" s="32" t="s">
        <v>17</v>
      </c>
      <c r="J30" s="23">
        <v>68791575</v>
      </c>
      <c r="K30" s="23" t="s">
        <v>6961</v>
      </c>
      <c r="L30" s="22" t="s">
        <v>6962</v>
      </c>
      <c r="M30" s="24">
        <v>149900</v>
      </c>
      <c r="N30" s="35">
        <f t="shared" si="5"/>
        <v>0.6</v>
      </c>
      <c r="O30" s="34">
        <f t="shared" si="3"/>
        <v>59960</v>
      </c>
      <c r="P30" s="32" t="str">
        <f t="shared" si="2"/>
        <v>PERCENTAGE</v>
      </c>
    </row>
    <row r="31" spans="1:16" x14ac:dyDescent="0.35">
      <c r="A31" s="32" t="str">
        <f t="shared" si="4"/>
        <v>2026 BAMUS DISC 60%</v>
      </c>
      <c r="B31" s="33">
        <f t="shared" si="4"/>
        <v>46121</v>
      </c>
      <c r="C31" s="33">
        <f t="shared" si="4"/>
        <v>46127</v>
      </c>
      <c r="D31" s="32">
        <v>3281</v>
      </c>
      <c r="E31" s="32">
        <v>337</v>
      </c>
      <c r="F31" s="32">
        <v>4</v>
      </c>
      <c r="G31" s="23">
        <v>5</v>
      </c>
      <c r="H31" s="23">
        <v>81588</v>
      </c>
      <c r="I31" s="32" t="s">
        <v>17</v>
      </c>
      <c r="J31" s="23">
        <v>68791584</v>
      </c>
      <c r="K31" s="23" t="s">
        <v>6961</v>
      </c>
      <c r="L31" s="22" t="s">
        <v>6963</v>
      </c>
      <c r="M31" s="24">
        <v>149900</v>
      </c>
      <c r="N31" s="35">
        <f t="shared" si="5"/>
        <v>0.6</v>
      </c>
      <c r="O31" s="34">
        <f t="shared" si="3"/>
        <v>59960</v>
      </c>
      <c r="P31" s="32" t="str">
        <f t="shared" si="2"/>
        <v>PERCENTAGE</v>
      </c>
    </row>
    <row r="32" spans="1:16" x14ac:dyDescent="0.35">
      <c r="A32" s="32" t="str">
        <f t="shared" si="4"/>
        <v>2026 BAMUS DISC 60%</v>
      </c>
      <c r="B32" s="33">
        <f t="shared" si="4"/>
        <v>46121</v>
      </c>
      <c r="C32" s="33">
        <f t="shared" si="4"/>
        <v>46127</v>
      </c>
      <c r="D32" s="32">
        <v>3281</v>
      </c>
      <c r="E32" s="32">
        <v>337</v>
      </c>
      <c r="F32" s="32">
        <v>4</v>
      </c>
      <c r="G32" s="23">
        <v>5</v>
      </c>
      <c r="H32" s="23">
        <v>81588</v>
      </c>
      <c r="I32" s="32" t="s">
        <v>17</v>
      </c>
      <c r="J32" s="23">
        <v>68791593</v>
      </c>
      <c r="K32" s="23" t="s">
        <v>6961</v>
      </c>
      <c r="L32" s="22" t="s">
        <v>6964</v>
      </c>
      <c r="M32" s="24">
        <v>149900</v>
      </c>
      <c r="N32" s="35">
        <f t="shared" si="5"/>
        <v>0.6</v>
      </c>
      <c r="O32" s="34">
        <f t="shared" si="3"/>
        <v>59960</v>
      </c>
      <c r="P32" s="32" t="str">
        <f t="shared" si="2"/>
        <v>PERCENTAGE</v>
      </c>
    </row>
    <row r="33" spans="1:16" x14ac:dyDescent="0.35">
      <c r="A33" s="32" t="str">
        <f t="shared" si="4"/>
        <v>2026 BAMUS DISC 60%</v>
      </c>
      <c r="B33" s="33">
        <f t="shared" si="4"/>
        <v>46121</v>
      </c>
      <c r="C33" s="33">
        <f t="shared" si="4"/>
        <v>46127</v>
      </c>
      <c r="D33" s="32">
        <v>3281</v>
      </c>
      <c r="E33" s="32">
        <v>337</v>
      </c>
      <c r="F33" s="32">
        <v>4</v>
      </c>
      <c r="G33" s="23">
        <v>5</v>
      </c>
      <c r="H33" s="23">
        <v>81588</v>
      </c>
      <c r="I33" s="32" t="s">
        <v>17</v>
      </c>
      <c r="J33" s="23">
        <v>68791600</v>
      </c>
      <c r="K33" s="23" t="s">
        <v>6961</v>
      </c>
      <c r="L33" s="22" t="s">
        <v>6965</v>
      </c>
      <c r="M33" s="24">
        <v>149900</v>
      </c>
      <c r="N33" s="35">
        <f t="shared" si="5"/>
        <v>0.6</v>
      </c>
      <c r="O33" s="34">
        <f t="shared" si="3"/>
        <v>59960</v>
      </c>
      <c r="P33" s="32" t="str">
        <f t="shared" si="2"/>
        <v>PERCENTAGE</v>
      </c>
    </row>
    <row r="34" spans="1:16" x14ac:dyDescent="0.35">
      <c r="A34" s="32" t="str">
        <f t="shared" si="4"/>
        <v>2026 BAMUS DISC 60%</v>
      </c>
      <c r="B34" s="33">
        <f t="shared" si="4"/>
        <v>46121</v>
      </c>
      <c r="C34" s="33">
        <f t="shared" si="4"/>
        <v>46127</v>
      </c>
      <c r="D34" s="32">
        <v>3281</v>
      </c>
      <c r="E34" s="32">
        <v>337</v>
      </c>
      <c r="F34" s="32">
        <v>4</v>
      </c>
      <c r="G34" s="23">
        <v>5</v>
      </c>
      <c r="H34" s="23">
        <v>81588</v>
      </c>
      <c r="I34" s="32" t="s">
        <v>17</v>
      </c>
      <c r="J34" s="23">
        <v>68791539</v>
      </c>
      <c r="K34" s="23" t="s">
        <v>6966</v>
      </c>
      <c r="L34" s="22" t="s">
        <v>6967</v>
      </c>
      <c r="M34" s="24">
        <v>179900</v>
      </c>
      <c r="N34" s="35">
        <f t="shared" si="5"/>
        <v>0.6</v>
      </c>
      <c r="O34" s="34">
        <f t="shared" si="3"/>
        <v>71960</v>
      </c>
      <c r="P34" s="32" t="str">
        <f t="shared" si="2"/>
        <v>PERCENTAGE</v>
      </c>
    </row>
    <row r="35" spans="1:16" x14ac:dyDescent="0.35">
      <c r="A35" s="32" t="str">
        <f t="shared" ref="A35:C41" si="6">A34</f>
        <v>2026 BAMUS DISC 60%</v>
      </c>
      <c r="B35" s="33">
        <f t="shared" si="6"/>
        <v>46121</v>
      </c>
      <c r="C35" s="33">
        <f t="shared" si="6"/>
        <v>46127</v>
      </c>
      <c r="D35" s="32">
        <v>3281</v>
      </c>
      <c r="E35" s="32">
        <v>337</v>
      </c>
      <c r="F35" s="32">
        <v>4</v>
      </c>
      <c r="G35" s="23">
        <v>5</v>
      </c>
      <c r="H35" s="23">
        <v>81588</v>
      </c>
      <c r="I35" s="32" t="s">
        <v>17</v>
      </c>
      <c r="J35" s="23">
        <v>68791548</v>
      </c>
      <c r="K35" s="23" t="s">
        <v>6966</v>
      </c>
      <c r="L35" s="22" t="s">
        <v>6968</v>
      </c>
      <c r="M35" s="24">
        <v>179900</v>
      </c>
      <c r="N35" s="35">
        <f t="shared" si="5"/>
        <v>0.6</v>
      </c>
      <c r="O35" s="34">
        <f t="shared" si="3"/>
        <v>71960</v>
      </c>
      <c r="P35" s="32" t="str">
        <f t="shared" si="2"/>
        <v>PERCENTAGE</v>
      </c>
    </row>
    <row r="36" spans="1:16" x14ac:dyDescent="0.35">
      <c r="A36" s="32" t="str">
        <f t="shared" si="6"/>
        <v>2026 BAMUS DISC 60%</v>
      </c>
      <c r="B36" s="33">
        <f t="shared" si="6"/>
        <v>46121</v>
      </c>
      <c r="C36" s="33">
        <f t="shared" si="6"/>
        <v>46127</v>
      </c>
      <c r="D36" s="32">
        <v>3281</v>
      </c>
      <c r="E36" s="32">
        <v>337</v>
      </c>
      <c r="F36" s="32">
        <v>4</v>
      </c>
      <c r="G36" s="23">
        <v>5</v>
      </c>
      <c r="H36" s="23">
        <v>81588</v>
      </c>
      <c r="I36" s="32" t="s">
        <v>17</v>
      </c>
      <c r="J36" s="23">
        <v>68791557</v>
      </c>
      <c r="K36" s="23" t="s">
        <v>6966</v>
      </c>
      <c r="L36" s="22" t="s">
        <v>6969</v>
      </c>
      <c r="M36" s="24">
        <v>179900</v>
      </c>
      <c r="N36" s="35">
        <f t="shared" ref="N36:N41" si="7">N35</f>
        <v>0.6</v>
      </c>
      <c r="O36" s="34">
        <f t="shared" si="3"/>
        <v>71960</v>
      </c>
      <c r="P36" s="32" t="str">
        <f t="shared" si="2"/>
        <v>PERCENTAGE</v>
      </c>
    </row>
    <row r="37" spans="1:16" x14ac:dyDescent="0.35">
      <c r="A37" s="32" t="str">
        <f t="shared" si="6"/>
        <v>2026 BAMUS DISC 60%</v>
      </c>
      <c r="B37" s="33">
        <f t="shared" si="6"/>
        <v>46121</v>
      </c>
      <c r="C37" s="33">
        <f t="shared" si="6"/>
        <v>46127</v>
      </c>
      <c r="D37" s="32">
        <v>3281</v>
      </c>
      <c r="E37" s="32">
        <v>337</v>
      </c>
      <c r="F37" s="32">
        <v>4</v>
      </c>
      <c r="G37" s="23">
        <v>5</v>
      </c>
      <c r="H37" s="23">
        <v>81588</v>
      </c>
      <c r="I37" s="32" t="s">
        <v>17</v>
      </c>
      <c r="J37" s="23">
        <v>68791566</v>
      </c>
      <c r="K37" s="23" t="s">
        <v>6966</v>
      </c>
      <c r="L37" s="22" t="s">
        <v>6970</v>
      </c>
      <c r="M37" s="24">
        <v>179900</v>
      </c>
      <c r="N37" s="35">
        <f t="shared" si="7"/>
        <v>0.6</v>
      </c>
      <c r="O37" s="34">
        <f t="shared" si="3"/>
        <v>71960</v>
      </c>
      <c r="P37" s="32" t="str">
        <f t="shared" si="2"/>
        <v>PERCENTAGE</v>
      </c>
    </row>
    <row r="38" spans="1:16" x14ac:dyDescent="0.35">
      <c r="A38" s="32" t="str">
        <f t="shared" si="6"/>
        <v>2026 BAMUS DISC 60%</v>
      </c>
      <c r="B38" s="33">
        <f t="shared" si="6"/>
        <v>46121</v>
      </c>
      <c r="C38" s="33">
        <f t="shared" si="6"/>
        <v>46127</v>
      </c>
      <c r="D38" s="32">
        <v>3281</v>
      </c>
      <c r="E38" s="32">
        <v>337</v>
      </c>
      <c r="F38" s="32">
        <v>4</v>
      </c>
      <c r="G38" s="23">
        <v>1</v>
      </c>
      <c r="H38" s="23">
        <v>81588</v>
      </c>
      <c r="I38" s="32" t="s">
        <v>17</v>
      </c>
      <c r="J38" s="23">
        <v>68791495</v>
      </c>
      <c r="K38" s="23" t="s">
        <v>6971</v>
      </c>
      <c r="L38" s="22" t="s">
        <v>6972</v>
      </c>
      <c r="M38" s="24">
        <v>99900</v>
      </c>
      <c r="N38" s="35">
        <f t="shared" si="7"/>
        <v>0.6</v>
      </c>
      <c r="O38" s="34">
        <f t="shared" si="3"/>
        <v>39960</v>
      </c>
      <c r="P38" s="32" t="str">
        <f t="shared" si="2"/>
        <v>PERCENTAGE</v>
      </c>
    </row>
    <row r="39" spans="1:16" x14ac:dyDescent="0.35">
      <c r="A39" s="32" t="str">
        <f t="shared" si="6"/>
        <v>2026 BAMUS DISC 60%</v>
      </c>
      <c r="B39" s="33">
        <f t="shared" si="6"/>
        <v>46121</v>
      </c>
      <c r="C39" s="33">
        <f t="shared" si="6"/>
        <v>46127</v>
      </c>
      <c r="D39" s="32">
        <v>3281</v>
      </c>
      <c r="E39" s="32">
        <v>337</v>
      </c>
      <c r="F39" s="32">
        <v>4</v>
      </c>
      <c r="G39" s="23">
        <v>1</v>
      </c>
      <c r="H39" s="23">
        <v>81588</v>
      </c>
      <c r="I39" s="32" t="s">
        <v>17</v>
      </c>
      <c r="J39" s="23">
        <v>68791502</v>
      </c>
      <c r="K39" s="23" t="s">
        <v>6971</v>
      </c>
      <c r="L39" s="22" t="s">
        <v>6973</v>
      </c>
      <c r="M39" s="24">
        <v>99900</v>
      </c>
      <c r="N39" s="35">
        <f t="shared" si="7"/>
        <v>0.6</v>
      </c>
      <c r="O39" s="34">
        <f t="shared" si="3"/>
        <v>39960</v>
      </c>
      <c r="P39" s="32" t="str">
        <f t="shared" si="2"/>
        <v>PERCENTAGE</v>
      </c>
    </row>
    <row r="40" spans="1:16" x14ac:dyDescent="0.35">
      <c r="A40" s="32" t="str">
        <f t="shared" si="6"/>
        <v>2026 BAMUS DISC 60%</v>
      </c>
      <c r="B40" s="33">
        <f t="shared" si="6"/>
        <v>46121</v>
      </c>
      <c r="C40" s="33">
        <f t="shared" si="6"/>
        <v>46127</v>
      </c>
      <c r="D40" s="32">
        <v>3281</v>
      </c>
      <c r="E40" s="32">
        <v>337</v>
      </c>
      <c r="F40" s="32">
        <v>4</v>
      </c>
      <c r="G40" s="23">
        <v>1</v>
      </c>
      <c r="H40" s="23">
        <v>81588</v>
      </c>
      <c r="I40" s="32" t="s">
        <v>17</v>
      </c>
      <c r="J40" s="23">
        <v>68791511</v>
      </c>
      <c r="K40" s="23" t="s">
        <v>6971</v>
      </c>
      <c r="L40" s="22" t="s">
        <v>6974</v>
      </c>
      <c r="M40" s="24">
        <v>99900</v>
      </c>
      <c r="N40" s="35">
        <f t="shared" si="7"/>
        <v>0.6</v>
      </c>
      <c r="O40" s="34">
        <f t="shared" si="3"/>
        <v>39960</v>
      </c>
      <c r="P40" s="32" t="str">
        <f t="shared" si="2"/>
        <v>PERCENTAGE</v>
      </c>
    </row>
    <row r="41" spans="1:16" x14ac:dyDescent="0.35">
      <c r="A41" s="32" t="str">
        <f t="shared" si="6"/>
        <v>2026 BAMUS DISC 60%</v>
      </c>
      <c r="B41" s="33">
        <f t="shared" si="6"/>
        <v>46121</v>
      </c>
      <c r="C41" s="33">
        <f t="shared" si="6"/>
        <v>46127</v>
      </c>
      <c r="D41" s="32">
        <v>3281</v>
      </c>
      <c r="E41" s="32">
        <v>337</v>
      </c>
      <c r="F41" s="32">
        <v>4</v>
      </c>
      <c r="G41" s="23">
        <v>1</v>
      </c>
      <c r="H41" s="23">
        <v>81588</v>
      </c>
      <c r="I41" s="32" t="s">
        <v>17</v>
      </c>
      <c r="J41" s="23">
        <v>68791520</v>
      </c>
      <c r="K41" s="23" t="s">
        <v>6971</v>
      </c>
      <c r="L41" s="22" t="s">
        <v>6975</v>
      </c>
      <c r="M41" s="24">
        <v>99900</v>
      </c>
      <c r="N41" s="35">
        <f t="shared" si="7"/>
        <v>0.6</v>
      </c>
      <c r="O41" s="34">
        <f t="shared" si="3"/>
        <v>39960</v>
      </c>
      <c r="P41" s="32" t="str">
        <f t="shared" si="2"/>
        <v>PERCENTAGE</v>
      </c>
    </row>
    <row r="42" spans="1:16" x14ac:dyDescent="0.35">
      <c r="A42" s="32" t="str">
        <f t="shared" ref="A42:C42" si="8">A41</f>
        <v>2026 BAMUS DISC 60%</v>
      </c>
      <c r="B42" s="33">
        <f t="shared" si="8"/>
        <v>46121</v>
      </c>
      <c r="C42" s="33">
        <f t="shared" si="8"/>
        <v>46127</v>
      </c>
      <c r="D42" s="32">
        <v>3281</v>
      </c>
      <c r="E42" s="32">
        <v>337</v>
      </c>
      <c r="F42" s="32">
        <v>4</v>
      </c>
      <c r="G42" s="23">
        <v>1</v>
      </c>
      <c r="H42" s="61">
        <v>81847</v>
      </c>
      <c r="I42" s="32" t="s">
        <v>17</v>
      </c>
      <c r="J42" s="62">
        <v>67948765</v>
      </c>
      <c r="K42" s="62" t="s">
        <v>6724</v>
      </c>
      <c r="L42" s="63" t="s">
        <v>6730</v>
      </c>
      <c r="M42" s="24">
        <v>299900</v>
      </c>
      <c r="N42" s="35">
        <f t="shared" ref="N42" si="9">N41</f>
        <v>0.6</v>
      </c>
      <c r="O42" s="34">
        <f>M42-((60*M42)/100)</f>
        <v>119960</v>
      </c>
      <c r="P42" s="32" t="str">
        <f t="shared" si="2"/>
        <v>PERCENTAGE</v>
      </c>
    </row>
    <row r="43" spans="1:16" x14ac:dyDescent="0.35">
      <c r="A43" s="32" t="str">
        <f t="shared" ref="A43:C43" si="10">A42</f>
        <v>2026 BAMUS DISC 60%</v>
      </c>
      <c r="B43" s="33">
        <f t="shared" si="10"/>
        <v>46121</v>
      </c>
      <c r="C43" s="33">
        <f t="shared" si="10"/>
        <v>46127</v>
      </c>
      <c r="D43" s="32">
        <v>3281</v>
      </c>
      <c r="E43" s="32">
        <v>337</v>
      </c>
      <c r="F43" s="32">
        <v>4</v>
      </c>
      <c r="G43" s="23">
        <v>1</v>
      </c>
      <c r="H43" s="61">
        <v>81847</v>
      </c>
      <c r="I43" s="32" t="s">
        <v>17</v>
      </c>
      <c r="J43" s="62">
        <v>67948774</v>
      </c>
      <c r="K43" s="62" t="s">
        <v>6724</v>
      </c>
      <c r="L43" s="63" t="s">
        <v>6729</v>
      </c>
      <c r="M43" s="24">
        <v>299900</v>
      </c>
      <c r="N43" s="35">
        <f t="shared" ref="N43" si="11">N42</f>
        <v>0.6</v>
      </c>
      <c r="O43" s="34">
        <f t="shared" ref="O43:O48" si="12">M43-((60*M43)/100)</f>
        <v>119960</v>
      </c>
      <c r="P43" s="32" t="str">
        <f t="shared" si="2"/>
        <v>PERCENTAGE</v>
      </c>
    </row>
    <row r="44" spans="1:16" x14ac:dyDescent="0.35">
      <c r="A44" s="32" t="str">
        <f t="shared" ref="A44:C44" si="13">A43</f>
        <v>2026 BAMUS DISC 60%</v>
      </c>
      <c r="B44" s="33">
        <f t="shared" si="13"/>
        <v>46121</v>
      </c>
      <c r="C44" s="33">
        <f t="shared" si="13"/>
        <v>46127</v>
      </c>
      <c r="D44" s="32">
        <v>3281</v>
      </c>
      <c r="E44" s="32">
        <v>337</v>
      </c>
      <c r="F44" s="32">
        <v>4</v>
      </c>
      <c r="G44" s="23">
        <v>1</v>
      </c>
      <c r="H44" s="61">
        <v>81847</v>
      </c>
      <c r="I44" s="32" t="s">
        <v>17</v>
      </c>
      <c r="J44" s="62">
        <v>67948783</v>
      </c>
      <c r="K44" s="62" t="s">
        <v>6724</v>
      </c>
      <c r="L44" s="63" t="s">
        <v>6728</v>
      </c>
      <c r="M44" s="24">
        <v>299900</v>
      </c>
      <c r="N44" s="35">
        <f t="shared" ref="N44" si="14">N43</f>
        <v>0.6</v>
      </c>
      <c r="O44" s="34">
        <f t="shared" si="12"/>
        <v>119960</v>
      </c>
      <c r="P44" s="32" t="str">
        <f t="shared" si="2"/>
        <v>PERCENTAGE</v>
      </c>
    </row>
    <row r="45" spans="1:16" x14ac:dyDescent="0.35">
      <c r="A45" s="32" t="str">
        <f t="shared" ref="A45:C45" si="15">A44</f>
        <v>2026 BAMUS DISC 60%</v>
      </c>
      <c r="B45" s="33">
        <f t="shared" si="15"/>
        <v>46121</v>
      </c>
      <c r="C45" s="33">
        <f t="shared" si="15"/>
        <v>46127</v>
      </c>
      <c r="D45" s="32">
        <v>3281</v>
      </c>
      <c r="E45" s="32">
        <v>337</v>
      </c>
      <c r="F45" s="32">
        <v>4</v>
      </c>
      <c r="G45" s="23">
        <v>1</v>
      </c>
      <c r="H45" s="61">
        <v>81847</v>
      </c>
      <c r="I45" s="32" t="s">
        <v>17</v>
      </c>
      <c r="J45" s="62">
        <v>67948792</v>
      </c>
      <c r="K45" s="62" t="s">
        <v>6724</v>
      </c>
      <c r="L45" s="63" t="s">
        <v>6727</v>
      </c>
      <c r="M45" s="24">
        <v>299900</v>
      </c>
      <c r="N45" s="35">
        <f t="shared" ref="N45" si="16">N44</f>
        <v>0.6</v>
      </c>
      <c r="O45" s="34">
        <f t="shared" si="12"/>
        <v>119960</v>
      </c>
      <c r="P45" s="32" t="str">
        <f t="shared" si="2"/>
        <v>PERCENTAGE</v>
      </c>
    </row>
    <row r="46" spans="1:16" x14ac:dyDescent="0.35">
      <c r="A46" s="32" t="str">
        <f t="shared" ref="A46:C46" si="17">A45</f>
        <v>2026 BAMUS DISC 60%</v>
      </c>
      <c r="B46" s="33">
        <f t="shared" si="17"/>
        <v>46121</v>
      </c>
      <c r="C46" s="33">
        <f t="shared" si="17"/>
        <v>46127</v>
      </c>
      <c r="D46" s="32">
        <v>3281</v>
      </c>
      <c r="E46" s="32">
        <v>337</v>
      </c>
      <c r="F46" s="32">
        <v>4</v>
      </c>
      <c r="G46" s="23">
        <v>1</v>
      </c>
      <c r="H46" s="61">
        <v>81847</v>
      </c>
      <c r="I46" s="32" t="s">
        <v>17</v>
      </c>
      <c r="J46" s="62">
        <v>67948809</v>
      </c>
      <c r="K46" s="62" t="s">
        <v>6724</v>
      </c>
      <c r="L46" s="63" t="s">
        <v>6726</v>
      </c>
      <c r="M46" s="24">
        <v>299900</v>
      </c>
      <c r="N46" s="35">
        <f t="shared" ref="N46" si="18">N45</f>
        <v>0.6</v>
      </c>
      <c r="O46" s="34">
        <f t="shared" si="12"/>
        <v>119960</v>
      </c>
      <c r="P46" s="32" t="str">
        <f t="shared" si="2"/>
        <v>PERCENTAGE</v>
      </c>
    </row>
    <row r="47" spans="1:16" x14ac:dyDescent="0.35">
      <c r="A47" s="32" t="str">
        <f t="shared" ref="A47:C47" si="19">A46</f>
        <v>2026 BAMUS DISC 60%</v>
      </c>
      <c r="B47" s="33">
        <f t="shared" si="19"/>
        <v>46121</v>
      </c>
      <c r="C47" s="33">
        <f t="shared" si="19"/>
        <v>46127</v>
      </c>
      <c r="D47" s="32">
        <v>3281</v>
      </c>
      <c r="E47" s="32">
        <v>337</v>
      </c>
      <c r="F47" s="32">
        <v>4</v>
      </c>
      <c r="G47" s="23">
        <v>1</v>
      </c>
      <c r="H47" s="61">
        <v>81847</v>
      </c>
      <c r="I47" s="32" t="s">
        <v>17</v>
      </c>
      <c r="J47" s="62">
        <v>67948818</v>
      </c>
      <c r="K47" s="62" t="s">
        <v>6724</v>
      </c>
      <c r="L47" s="63" t="s">
        <v>6725</v>
      </c>
      <c r="M47" s="24">
        <v>299900</v>
      </c>
      <c r="N47" s="35">
        <f t="shared" ref="N47" si="20">N46</f>
        <v>0.6</v>
      </c>
      <c r="O47" s="34">
        <f t="shared" si="12"/>
        <v>119960</v>
      </c>
      <c r="P47" s="32" t="str">
        <f t="shared" si="2"/>
        <v>PERCENTAGE</v>
      </c>
    </row>
    <row r="48" spans="1:16" x14ac:dyDescent="0.35">
      <c r="A48" s="32" t="str">
        <f t="shared" ref="A48:C48" si="21">A47</f>
        <v>2026 BAMUS DISC 60%</v>
      </c>
      <c r="B48" s="33">
        <f t="shared" si="21"/>
        <v>46121</v>
      </c>
      <c r="C48" s="33">
        <f t="shared" si="21"/>
        <v>46127</v>
      </c>
      <c r="D48" s="32">
        <v>3281</v>
      </c>
      <c r="E48" s="32">
        <v>337</v>
      </c>
      <c r="F48" s="32">
        <v>4</v>
      </c>
      <c r="G48" s="23">
        <v>1</v>
      </c>
      <c r="H48" s="61">
        <v>81847</v>
      </c>
      <c r="I48" s="32" t="s">
        <v>17</v>
      </c>
      <c r="J48" s="62">
        <v>67948827</v>
      </c>
      <c r="K48" s="62" t="s">
        <v>6724</v>
      </c>
      <c r="L48" s="63" t="s">
        <v>6723</v>
      </c>
      <c r="M48" s="24">
        <v>299900</v>
      </c>
      <c r="N48" s="35">
        <f t="shared" ref="N48" si="22">N47</f>
        <v>0.6</v>
      </c>
      <c r="O48" s="34">
        <f t="shared" si="12"/>
        <v>119960</v>
      </c>
      <c r="P48" s="32" t="str">
        <f t="shared" si="2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29 J49:J1048576">
    <cfRule type="duplicateValues" dxfId="22" priority="2"/>
  </conditionalFormatting>
  <conditionalFormatting sqref="J30:J41">
    <cfRule type="duplicateValues" dxfId="21" priority="1"/>
  </conditionalFormatting>
  <pageMargins left="0.7" right="0.7" top="0.75" bottom="0.75" header="0.3" footer="0.3"/>
  <pageSetup paperSize="9" orientation="portrait" horizontalDpi="0" verticalDpi="0"/>
  <ignoredErrors>
    <ignoredError sqref="O42:O48 O7:O41" formula="1"/>
  </ignoredErrors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89E2-F503-4504-8140-0FF24D1C451B}">
  <dimension ref="A1:P15"/>
  <sheetViews>
    <sheetView zoomScale="87" zoomScaleNormal="59" workbookViewId="0">
      <pane ySplit="1" topLeftCell="A2" activePane="bottomLeft" state="frozen"/>
      <selection activeCell="N270" sqref="N270"/>
      <selection pane="bottomLeft" activeCell="D8" sqref="D8"/>
    </sheetView>
  </sheetViews>
  <sheetFormatPr defaultColWidth="8.81640625" defaultRowHeight="14.5" x14ac:dyDescent="0.35"/>
  <cols>
    <col min="1" max="1" width="24.7265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4.36328125" style="37" customWidth="1"/>
    <col min="14" max="14" width="8.81640625" style="26" customWidth="1"/>
    <col min="15" max="15" width="21.6328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7086</v>
      </c>
      <c r="B2" s="33">
        <f>'2025 HILITE D80 - 3321'!B9</f>
        <v>46121</v>
      </c>
      <c r="C2" s="33">
        <f>'2025 HILITE D80 - 3321'!C9</f>
        <v>46127</v>
      </c>
      <c r="D2" s="32">
        <v>3281</v>
      </c>
      <c r="E2" s="32">
        <v>337</v>
      </c>
      <c r="F2" s="32">
        <v>4</v>
      </c>
      <c r="G2" s="23">
        <v>2</v>
      </c>
      <c r="H2" s="23">
        <v>81847</v>
      </c>
      <c r="I2" s="32" t="s">
        <v>17</v>
      </c>
      <c r="J2" s="23">
        <v>68397402</v>
      </c>
      <c r="K2" s="23" t="s">
        <v>7070</v>
      </c>
      <c r="L2" s="22" t="s">
        <v>7071</v>
      </c>
      <c r="M2" s="24">
        <v>149900</v>
      </c>
      <c r="N2" s="35">
        <v>0.3</v>
      </c>
      <c r="O2" s="34">
        <f>M2-((30*M2)/100)</f>
        <v>104930</v>
      </c>
      <c r="P2" s="32" t="s">
        <v>16</v>
      </c>
    </row>
    <row r="3" spans="1:16" x14ac:dyDescent="0.35">
      <c r="A3" s="32" t="str">
        <f>A2</f>
        <v>2026 HILITE DISC 30</v>
      </c>
      <c r="B3" s="33">
        <f>B2</f>
        <v>46121</v>
      </c>
      <c r="C3" s="33">
        <f>C2</f>
        <v>46127</v>
      </c>
      <c r="D3" s="32">
        <v>3281</v>
      </c>
      <c r="E3" s="32">
        <v>337</v>
      </c>
      <c r="F3" s="32">
        <v>4</v>
      </c>
      <c r="G3" s="23">
        <v>2</v>
      </c>
      <c r="H3" s="23">
        <v>81847</v>
      </c>
      <c r="I3" s="32" t="s">
        <v>17</v>
      </c>
      <c r="J3" s="23">
        <v>68397411</v>
      </c>
      <c r="K3" s="23" t="s">
        <v>7070</v>
      </c>
      <c r="L3" s="22" t="s">
        <v>7072</v>
      </c>
      <c r="M3" s="24">
        <v>149900</v>
      </c>
      <c r="N3" s="35">
        <f>N2</f>
        <v>0.3</v>
      </c>
      <c r="O3" s="34">
        <f>M3-((30*M3)/100)</f>
        <v>104930</v>
      </c>
      <c r="P3" s="32" t="str">
        <f>P2</f>
        <v>PERCENTAGE</v>
      </c>
    </row>
    <row r="4" spans="1:16" x14ac:dyDescent="0.35">
      <c r="A4" s="32" t="str">
        <f t="shared" ref="A4:A15" si="0">A3</f>
        <v>2026 HILITE DISC 30</v>
      </c>
      <c r="B4" s="33">
        <f t="shared" ref="B4:B15" si="1">B3</f>
        <v>46121</v>
      </c>
      <c r="C4" s="33">
        <f t="shared" ref="C4:C15" si="2">C3</f>
        <v>46127</v>
      </c>
      <c r="D4" s="32">
        <v>3281</v>
      </c>
      <c r="E4" s="32">
        <v>337</v>
      </c>
      <c r="F4" s="32">
        <v>4</v>
      </c>
      <c r="G4" s="23">
        <v>2</v>
      </c>
      <c r="H4" s="23">
        <v>81847</v>
      </c>
      <c r="I4" s="32" t="s">
        <v>17</v>
      </c>
      <c r="J4" s="23">
        <v>68397420</v>
      </c>
      <c r="K4" s="23" t="s">
        <v>7070</v>
      </c>
      <c r="L4" s="22" t="s">
        <v>7073</v>
      </c>
      <c r="M4" s="24">
        <v>149900</v>
      </c>
      <c r="N4" s="35">
        <f t="shared" ref="N4:N8" si="3">N3</f>
        <v>0.3</v>
      </c>
      <c r="O4" s="34">
        <f t="shared" ref="O4:O15" si="4">M4-((30*M4)/100)</f>
        <v>104930</v>
      </c>
      <c r="P4" s="32" t="str">
        <f t="shared" ref="P4:P8" si="5">P3</f>
        <v>PERCENTAGE</v>
      </c>
    </row>
    <row r="5" spans="1:16" x14ac:dyDescent="0.35">
      <c r="A5" s="32" t="str">
        <f t="shared" si="0"/>
        <v>2026 HILITE DISC 30</v>
      </c>
      <c r="B5" s="33">
        <f t="shared" si="1"/>
        <v>46121</v>
      </c>
      <c r="C5" s="33">
        <f t="shared" si="2"/>
        <v>46127</v>
      </c>
      <c r="D5" s="32">
        <v>3281</v>
      </c>
      <c r="E5" s="32">
        <v>337</v>
      </c>
      <c r="F5" s="32">
        <v>4</v>
      </c>
      <c r="G5" s="23">
        <v>2</v>
      </c>
      <c r="H5" s="23">
        <v>81847</v>
      </c>
      <c r="I5" s="32" t="s">
        <v>17</v>
      </c>
      <c r="J5" s="23">
        <v>68397439</v>
      </c>
      <c r="K5" s="23" t="s">
        <v>7070</v>
      </c>
      <c r="L5" s="22" t="s">
        <v>7074</v>
      </c>
      <c r="M5" s="24">
        <v>149900</v>
      </c>
      <c r="N5" s="35">
        <f t="shared" si="3"/>
        <v>0.3</v>
      </c>
      <c r="O5" s="34">
        <f t="shared" si="4"/>
        <v>104930</v>
      </c>
      <c r="P5" s="32" t="str">
        <f t="shared" si="5"/>
        <v>PERCENTAGE</v>
      </c>
    </row>
    <row r="6" spans="1:16" x14ac:dyDescent="0.35">
      <c r="A6" s="32" t="str">
        <f t="shared" si="0"/>
        <v>2026 HILITE DISC 30</v>
      </c>
      <c r="B6" s="33">
        <f t="shared" si="1"/>
        <v>46121</v>
      </c>
      <c r="C6" s="33">
        <f t="shared" si="2"/>
        <v>46127</v>
      </c>
      <c r="D6" s="32">
        <v>3281</v>
      </c>
      <c r="E6" s="32">
        <v>337</v>
      </c>
      <c r="F6" s="32">
        <v>4</v>
      </c>
      <c r="G6" s="23">
        <v>2</v>
      </c>
      <c r="H6" s="23">
        <v>81847</v>
      </c>
      <c r="I6" s="32" t="s">
        <v>17</v>
      </c>
      <c r="J6" s="23">
        <v>68397448</v>
      </c>
      <c r="K6" s="23" t="s">
        <v>7070</v>
      </c>
      <c r="L6" s="22" t="s">
        <v>7075</v>
      </c>
      <c r="M6" s="24">
        <v>149900</v>
      </c>
      <c r="N6" s="35">
        <f t="shared" si="3"/>
        <v>0.3</v>
      </c>
      <c r="O6" s="34">
        <f t="shared" si="4"/>
        <v>104930</v>
      </c>
      <c r="P6" s="32" t="str">
        <f t="shared" si="5"/>
        <v>PERCENTAGE</v>
      </c>
    </row>
    <row r="7" spans="1:16" x14ac:dyDescent="0.35">
      <c r="A7" s="32" t="str">
        <f t="shared" si="0"/>
        <v>2026 HILITE DISC 30</v>
      </c>
      <c r="B7" s="33">
        <f t="shared" si="1"/>
        <v>46121</v>
      </c>
      <c r="C7" s="33">
        <f t="shared" si="2"/>
        <v>46127</v>
      </c>
      <c r="D7" s="32">
        <v>3281</v>
      </c>
      <c r="E7" s="32">
        <v>337</v>
      </c>
      <c r="F7" s="32">
        <v>4</v>
      </c>
      <c r="G7" s="23">
        <v>2</v>
      </c>
      <c r="H7" s="23">
        <v>81847</v>
      </c>
      <c r="I7" s="32" t="s">
        <v>17</v>
      </c>
      <c r="J7" s="23">
        <v>68397457</v>
      </c>
      <c r="K7" s="23" t="s">
        <v>7070</v>
      </c>
      <c r="L7" s="22" t="s">
        <v>7076</v>
      </c>
      <c r="M7" s="24">
        <v>149900</v>
      </c>
      <c r="N7" s="35">
        <f t="shared" si="3"/>
        <v>0.3</v>
      </c>
      <c r="O7" s="34">
        <f t="shared" si="4"/>
        <v>104930</v>
      </c>
      <c r="P7" s="32" t="str">
        <f t="shared" si="5"/>
        <v>PERCENTAGE</v>
      </c>
    </row>
    <row r="8" spans="1:16" x14ac:dyDescent="0.35">
      <c r="A8" s="32" t="str">
        <f t="shared" si="0"/>
        <v>2026 HILITE DISC 30</v>
      </c>
      <c r="B8" s="33">
        <f t="shared" si="1"/>
        <v>46121</v>
      </c>
      <c r="C8" s="33">
        <f t="shared" si="2"/>
        <v>46127</v>
      </c>
      <c r="D8" s="32">
        <v>3281</v>
      </c>
      <c r="E8" s="32">
        <v>337</v>
      </c>
      <c r="F8" s="32">
        <v>4</v>
      </c>
      <c r="G8" s="23">
        <v>2</v>
      </c>
      <c r="H8" s="23">
        <v>81847</v>
      </c>
      <c r="I8" s="32" t="s">
        <v>17</v>
      </c>
      <c r="J8" s="23">
        <v>68397466</v>
      </c>
      <c r="K8" s="23" t="s">
        <v>7070</v>
      </c>
      <c r="L8" s="22" t="s">
        <v>7077</v>
      </c>
      <c r="M8" s="24">
        <v>149900</v>
      </c>
      <c r="N8" s="35">
        <f t="shared" si="3"/>
        <v>0.3</v>
      </c>
      <c r="O8" s="34">
        <f t="shared" si="4"/>
        <v>104930</v>
      </c>
      <c r="P8" s="32" t="str">
        <f t="shared" si="5"/>
        <v>PERCENTAGE</v>
      </c>
    </row>
    <row r="9" spans="1:16" x14ac:dyDescent="0.35">
      <c r="A9" s="32" t="str">
        <f t="shared" si="0"/>
        <v>2026 HILITE DISC 30</v>
      </c>
      <c r="B9" s="33">
        <f t="shared" si="1"/>
        <v>46121</v>
      </c>
      <c r="C9" s="33">
        <f t="shared" si="2"/>
        <v>46127</v>
      </c>
      <c r="D9" s="32">
        <v>3281</v>
      </c>
      <c r="E9" s="32">
        <v>337</v>
      </c>
      <c r="F9" s="32">
        <v>4</v>
      </c>
      <c r="G9" s="23">
        <v>5</v>
      </c>
      <c r="H9" s="23">
        <v>81679</v>
      </c>
      <c r="I9" s="32" t="s">
        <v>17</v>
      </c>
      <c r="J9" s="23">
        <v>69979531</v>
      </c>
      <c r="K9" s="23" t="s">
        <v>7078</v>
      </c>
      <c r="L9" s="22" t="s">
        <v>7079</v>
      </c>
      <c r="M9" s="24">
        <v>199900</v>
      </c>
      <c r="N9" s="35">
        <v>0.3</v>
      </c>
      <c r="O9" s="34">
        <f t="shared" si="4"/>
        <v>139930</v>
      </c>
      <c r="P9" s="32" t="s">
        <v>16</v>
      </c>
    </row>
    <row r="10" spans="1:16" x14ac:dyDescent="0.35">
      <c r="A10" s="32" t="str">
        <f t="shared" si="0"/>
        <v>2026 HILITE DISC 30</v>
      </c>
      <c r="B10" s="33">
        <f t="shared" si="1"/>
        <v>46121</v>
      </c>
      <c r="C10" s="33">
        <f t="shared" si="2"/>
        <v>46127</v>
      </c>
      <c r="D10" s="32">
        <v>3281</v>
      </c>
      <c r="E10" s="32">
        <v>337</v>
      </c>
      <c r="F10" s="32">
        <v>4</v>
      </c>
      <c r="G10" s="23">
        <v>5</v>
      </c>
      <c r="H10" s="23">
        <v>81679</v>
      </c>
      <c r="I10" s="32" t="s">
        <v>17</v>
      </c>
      <c r="J10" s="23">
        <v>69979540</v>
      </c>
      <c r="K10" s="23" t="s">
        <v>7078</v>
      </c>
      <c r="L10" s="22" t="s">
        <v>7080</v>
      </c>
      <c r="M10" s="24">
        <v>199900</v>
      </c>
      <c r="N10" s="35">
        <f>N9</f>
        <v>0.3</v>
      </c>
      <c r="O10" s="34">
        <f t="shared" si="4"/>
        <v>139930</v>
      </c>
      <c r="P10" s="32" t="str">
        <f>P9</f>
        <v>PERCENTAGE</v>
      </c>
    </row>
    <row r="11" spans="1:16" x14ac:dyDescent="0.35">
      <c r="A11" s="32" t="str">
        <f t="shared" si="0"/>
        <v>2026 HILITE DISC 30</v>
      </c>
      <c r="B11" s="33">
        <f t="shared" si="1"/>
        <v>46121</v>
      </c>
      <c r="C11" s="33">
        <f t="shared" si="2"/>
        <v>46127</v>
      </c>
      <c r="D11" s="32">
        <v>3281</v>
      </c>
      <c r="E11" s="32">
        <v>337</v>
      </c>
      <c r="F11" s="32">
        <v>4</v>
      </c>
      <c r="G11" s="23">
        <v>5</v>
      </c>
      <c r="H11" s="23">
        <v>81679</v>
      </c>
      <c r="I11" s="32" t="s">
        <v>17</v>
      </c>
      <c r="J11" s="23">
        <v>69979559</v>
      </c>
      <c r="K11" s="23" t="s">
        <v>7078</v>
      </c>
      <c r="L11" s="22" t="s">
        <v>7081</v>
      </c>
      <c r="M11" s="24">
        <v>199900</v>
      </c>
      <c r="N11" s="35">
        <f t="shared" ref="N11:N15" si="6">N10</f>
        <v>0.3</v>
      </c>
      <c r="O11" s="34">
        <f t="shared" si="4"/>
        <v>139930</v>
      </c>
      <c r="P11" s="32" t="str">
        <f t="shared" ref="P11:P15" si="7">P10</f>
        <v>PERCENTAGE</v>
      </c>
    </row>
    <row r="12" spans="1:16" x14ac:dyDescent="0.35">
      <c r="A12" s="32" t="str">
        <f t="shared" si="0"/>
        <v>2026 HILITE DISC 30</v>
      </c>
      <c r="B12" s="33">
        <f t="shared" si="1"/>
        <v>46121</v>
      </c>
      <c r="C12" s="33">
        <f t="shared" si="2"/>
        <v>46127</v>
      </c>
      <c r="D12" s="32">
        <v>3281</v>
      </c>
      <c r="E12" s="32">
        <v>337</v>
      </c>
      <c r="F12" s="32">
        <v>4</v>
      </c>
      <c r="G12" s="23">
        <v>5</v>
      </c>
      <c r="H12" s="23">
        <v>81679</v>
      </c>
      <c r="I12" s="32" t="s">
        <v>17</v>
      </c>
      <c r="J12" s="23">
        <v>69979568</v>
      </c>
      <c r="K12" s="23" t="s">
        <v>7078</v>
      </c>
      <c r="L12" s="22" t="s">
        <v>7082</v>
      </c>
      <c r="M12" s="24">
        <v>199900</v>
      </c>
      <c r="N12" s="35">
        <f t="shared" si="6"/>
        <v>0.3</v>
      </c>
      <c r="O12" s="34">
        <f t="shared" si="4"/>
        <v>139930</v>
      </c>
      <c r="P12" s="32" t="str">
        <f t="shared" si="7"/>
        <v>PERCENTAGE</v>
      </c>
    </row>
    <row r="13" spans="1:16" x14ac:dyDescent="0.35">
      <c r="A13" s="32" t="str">
        <f t="shared" si="0"/>
        <v>2026 HILITE DISC 30</v>
      </c>
      <c r="B13" s="33">
        <f t="shared" si="1"/>
        <v>46121</v>
      </c>
      <c r="C13" s="33">
        <f t="shared" si="2"/>
        <v>46127</v>
      </c>
      <c r="D13" s="32">
        <v>3281</v>
      </c>
      <c r="E13" s="32">
        <v>337</v>
      </c>
      <c r="F13" s="32">
        <v>4</v>
      </c>
      <c r="G13" s="23">
        <v>5</v>
      </c>
      <c r="H13" s="23">
        <v>81679</v>
      </c>
      <c r="I13" s="32" t="s">
        <v>17</v>
      </c>
      <c r="J13" s="23">
        <v>69979577</v>
      </c>
      <c r="K13" s="23" t="s">
        <v>7078</v>
      </c>
      <c r="L13" s="22" t="s">
        <v>7083</v>
      </c>
      <c r="M13" s="24">
        <v>199900</v>
      </c>
      <c r="N13" s="35">
        <f t="shared" si="6"/>
        <v>0.3</v>
      </c>
      <c r="O13" s="34">
        <f t="shared" si="4"/>
        <v>139930</v>
      </c>
      <c r="P13" s="32" t="str">
        <f t="shared" si="7"/>
        <v>PERCENTAGE</v>
      </c>
    </row>
    <row r="14" spans="1:16" x14ac:dyDescent="0.35">
      <c r="A14" s="32" t="str">
        <f t="shared" si="0"/>
        <v>2026 HILITE DISC 30</v>
      </c>
      <c r="B14" s="33">
        <f t="shared" si="1"/>
        <v>46121</v>
      </c>
      <c r="C14" s="33">
        <f t="shared" si="2"/>
        <v>46127</v>
      </c>
      <c r="D14" s="32">
        <v>3281</v>
      </c>
      <c r="E14" s="32">
        <v>337</v>
      </c>
      <c r="F14" s="32">
        <v>4</v>
      </c>
      <c r="G14" s="23">
        <v>5</v>
      </c>
      <c r="H14" s="23">
        <v>81679</v>
      </c>
      <c r="I14" s="32" t="s">
        <v>17</v>
      </c>
      <c r="J14" s="23">
        <v>69979586</v>
      </c>
      <c r="K14" s="23" t="s">
        <v>7078</v>
      </c>
      <c r="L14" s="22" t="s">
        <v>7084</v>
      </c>
      <c r="M14" s="24">
        <v>199900</v>
      </c>
      <c r="N14" s="35">
        <f t="shared" si="6"/>
        <v>0.3</v>
      </c>
      <c r="O14" s="34">
        <f t="shared" si="4"/>
        <v>139930</v>
      </c>
      <c r="P14" s="32" t="str">
        <f t="shared" si="7"/>
        <v>PERCENTAGE</v>
      </c>
    </row>
    <row r="15" spans="1:16" x14ac:dyDescent="0.35">
      <c r="A15" s="32" t="str">
        <f t="shared" si="0"/>
        <v>2026 HILITE DISC 30</v>
      </c>
      <c r="B15" s="33">
        <f t="shared" si="1"/>
        <v>46121</v>
      </c>
      <c r="C15" s="33">
        <f t="shared" si="2"/>
        <v>46127</v>
      </c>
      <c r="D15" s="32">
        <v>3281</v>
      </c>
      <c r="E15" s="32">
        <v>337</v>
      </c>
      <c r="F15" s="32">
        <v>4</v>
      </c>
      <c r="G15" s="23">
        <v>5</v>
      </c>
      <c r="H15" s="23">
        <v>81679</v>
      </c>
      <c r="I15" s="32" t="s">
        <v>17</v>
      </c>
      <c r="J15" s="23">
        <v>69979595</v>
      </c>
      <c r="K15" s="23" t="s">
        <v>7078</v>
      </c>
      <c r="L15" s="22" t="s">
        <v>7085</v>
      </c>
      <c r="M15" s="24">
        <v>199900</v>
      </c>
      <c r="N15" s="35">
        <f t="shared" si="6"/>
        <v>0.3</v>
      </c>
      <c r="O15" s="34">
        <f t="shared" si="4"/>
        <v>139930</v>
      </c>
      <c r="P15" s="32" t="str">
        <f t="shared" si="7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2:J15">
    <cfRule type="duplicateValues" dxfId="20" priority="1"/>
  </conditionalFormatting>
  <conditionalFormatting sqref="J16:J1048576 J1">
    <cfRule type="duplicateValues" dxfId="19" priority="2"/>
  </conditionalFormatting>
  <pageMargins left="0.7" right="0.7" top="0.75" bottom="0.75" header="0.3" footer="0.3"/>
  <pageSetup paperSize="9" orientation="portrait" horizontalDpi="0" verticalDpi="0"/>
  <ignoredErrors>
    <ignoredError sqref="O3:O15" formula="1"/>
  </ignoredErrors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B5EB-8D6A-4B41-BF6C-804823E48FEC}">
  <dimension ref="A1:P17"/>
  <sheetViews>
    <sheetView zoomScale="87" zoomScaleNormal="59" workbookViewId="0">
      <pane ySplit="1" topLeftCell="A2" activePane="bottomLeft" state="frozen"/>
      <selection activeCell="F18" sqref="F18"/>
      <selection pane="bottomLeft" activeCell="I19" sqref="I19"/>
    </sheetView>
  </sheetViews>
  <sheetFormatPr defaultColWidth="8.81640625" defaultRowHeight="14.5" x14ac:dyDescent="0.35"/>
  <cols>
    <col min="1" max="1" width="24.7265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4.36328125" style="37" customWidth="1"/>
    <col min="14" max="14" width="8.81640625" style="26" customWidth="1"/>
    <col min="15" max="15" width="21.6328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7088</v>
      </c>
      <c r="B2" s="33">
        <f>'2025 HILITE D80 - 3321'!B7</f>
        <v>46121</v>
      </c>
      <c r="C2" s="33">
        <f>'2025 HILITE D80 - 3321'!C7</f>
        <v>46127</v>
      </c>
      <c r="D2" s="32">
        <v>3281</v>
      </c>
      <c r="E2" s="32">
        <v>337</v>
      </c>
      <c r="F2" s="32">
        <v>4</v>
      </c>
      <c r="G2" s="22">
        <v>1</v>
      </c>
      <c r="H2" s="22">
        <v>81588</v>
      </c>
      <c r="I2" s="32" t="s">
        <v>17</v>
      </c>
      <c r="J2" s="22">
        <v>63154736</v>
      </c>
      <c r="K2" s="22" t="s">
        <v>6998</v>
      </c>
      <c r="L2" s="22" t="s">
        <v>6999</v>
      </c>
      <c r="M2" s="40">
        <v>99900</v>
      </c>
      <c r="N2" s="65">
        <v>0.3</v>
      </c>
      <c r="O2" s="34">
        <f>M2-((30*M2)/100)</f>
        <v>69930</v>
      </c>
      <c r="P2" s="32" t="s">
        <v>16</v>
      </c>
    </row>
    <row r="3" spans="1:16" x14ac:dyDescent="0.35">
      <c r="A3" s="32" t="str">
        <f>A2</f>
        <v>2025 DEC DISC 30</v>
      </c>
      <c r="B3" s="33">
        <f>B2</f>
        <v>46121</v>
      </c>
      <c r="C3" s="33">
        <f>C2</f>
        <v>46127</v>
      </c>
      <c r="D3" s="32">
        <v>3281</v>
      </c>
      <c r="E3" s="32">
        <v>337</v>
      </c>
      <c r="F3" s="32">
        <v>4</v>
      </c>
      <c r="G3" s="22">
        <v>1</v>
      </c>
      <c r="H3" s="22">
        <v>81588</v>
      </c>
      <c r="I3" s="32" t="s">
        <v>17</v>
      </c>
      <c r="J3" s="22">
        <v>63154745</v>
      </c>
      <c r="K3" s="22" t="s">
        <v>6998</v>
      </c>
      <c r="L3" s="22" t="s">
        <v>7000</v>
      </c>
      <c r="M3" s="40">
        <v>99900</v>
      </c>
      <c r="N3" s="65">
        <v>0.3</v>
      </c>
      <c r="O3" s="34">
        <f t="shared" ref="O3:O17" si="0">M3-((30*M3)/100)</f>
        <v>69930</v>
      </c>
      <c r="P3" s="32" t="s">
        <v>16</v>
      </c>
    </row>
    <row r="4" spans="1:16" x14ac:dyDescent="0.35">
      <c r="A4" s="32" t="str">
        <f t="shared" ref="A4:A17" si="1">A3</f>
        <v>2025 DEC DISC 30</v>
      </c>
      <c r="B4" s="33">
        <f t="shared" ref="B4:B17" si="2">B3</f>
        <v>46121</v>
      </c>
      <c r="C4" s="33">
        <f t="shared" ref="C4:C17" si="3">C3</f>
        <v>46127</v>
      </c>
      <c r="D4" s="32">
        <v>3281</v>
      </c>
      <c r="E4" s="32">
        <v>337</v>
      </c>
      <c r="F4" s="32">
        <v>4</v>
      </c>
      <c r="G4" s="22">
        <v>1</v>
      </c>
      <c r="H4" s="22">
        <v>81588</v>
      </c>
      <c r="I4" s="32" t="s">
        <v>17</v>
      </c>
      <c r="J4" s="22">
        <v>63154754</v>
      </c>
      <c r="K4" s="22" t="s">
        <v>6998</v>
      </c>
      <c r="L4" s="22" t="s">
        <v>7001</v>
      </c>
      <c r="M4" s="40">
        <v>99900</v>
      </c>
      <c r="N4" s="65">
        <v>0.3</v>
      </c>
      <c r="O4" s="34">
        <f t="shared" si="0"/>
        <v>69930</v>
      </c>
      <c r="P4" s="32" t="s">
        <v>16</v>
      </c>
    </row>
    <row r="5" spans="1:16" x14ac:dyDescent="0.35">
      <c r="A5" s="32" t="str">
        <f t="shared" si="1"/>
        <v>2025 DEC DISC 30</v>
      </c>
      <c r="B5" s="33">
        <f t="shared" si="2"/>
        <v>46121</v>
      </c>
      <c r="C5" s="33">
        <f t="shared" si="3"/>
        <v>46127</v>
      </c>
      <c r="D5" s="32">
        <v>3281</v>
      </c>
      <c r="E5" s="32">
        <v>337</v>
      </c>
      <c r="F5" s="32">
        <v>4</v>
      </c>
      <c r="G5" s="22">
        <v>1</v>
      </c>
      <c r="H5" s="22">
        <v>81588</v>
      </c>
      <c r="I5" s="32" t="s">
        <v>17</v>
      </c>
      <c r="J5" s="22">
        <v>63154763</v>
      </c>
      <c r="K5" s="22" t="s">
        <v>6998</v>
      </c>
      <c r="L5" s="22" t="s">
        <v>7002</v>
      </c>
      <c r="M5" s="40">
        <v>99900</v>
      </c>
      <c r="N5" s="65">
        <v>0.3</v>
      </c>
      <c r="O5" s="34">
        <f t="shared" si="0"/>
        <v>69930</v>
      </c>
      <c r="P5" s="32" t="s">
        <v>16</v>
      </c>
    </row>
    <row r="6" spans="1:16" x14ac:dyDescent="0.35">
      <c r="A6" s="32" t="str">
        <f t="shared" si="1"/>
        <v>2025 DEC DISC 30</v>
      </c>
      <c r="B6" s="33">
        <f t="shared" si="2"/>
        <v>46121</v>
      </c>
      <c r="C6" s="33">
        <f t="shared" si="3"/>
        <v>46127</v>
      </c>
      <c r="D6" s="32">
        <v>3281</v>
      </c>
      <c r="E6" s="32">
        <v>337</v>
      </c>
      <c r="F6" s="32">
        <v>4</v>
      </c>
      <c r="G6" s="22">
        <v>1</v>
      </c>
      <c r="H6" s="22">
        <v>81588</v>
      </c>
      <c r="I6" s="32" t="s">
        <v>17</v>
      </c>
      <c r="J6" s="22">
        <v>63154816</v>
      </c>
      <c r="K6" s="22" t="s">
        <v>7003</v>
      </c>
      <c r="L6" s="22" t="s">
        <v>7004</v>
      </c>
      <c r="M6" s="40">
        <v>99900</v>
      </c>
      <c r="N6" s="65">
        <v>0.3</v>
      </c>
      <c r="O6" s="34">
        <f t="shared" si="0"/>
        <v>69930</v>
      </c>
      <c r="P6" s="32" t="s">
        <v>16</v>
      </c>
    </row>
    <row r="7" spans="1:16" x14ac:dyDescent="0.35">
      <c r="A7" s="32" t="str">
        <f t="shared" si="1"/>
        <v>2025 DEC DISC 30</v>
      </c>
      <c r="B7" s="33">
        <f t="shared" si="2"/>
        <v>46121</v>
      </c>
      <c r="C7" s="33">
        <f t="shared" si="3"/>
        <v>46127</v>
      </c>
      <c r="D7" s="32">
        <v>3281</v>
      </c>
      <c r="E7" s="32">
        <v>337</v>
      </c>
      <c r="F7" s="32">
        <v>4</v>
      </c>
      <c r="G7" s="22">
        <v>1</v>
      </c>
      <c r="H7" s="22">
        <v>81588</v>
      </c>
      <c r="I7" s="32" t="s">
        <v>17</v>
      </c>
      <c r="J7" s="22">
        <v>63154825</v>
      </c>
      <c r="K7" s="22" t="s">
        <v>7003</v>
      </c>
      <c r="L7" s="22" t="s">
        <v>7005</v>
      </c>
      <c r="M7" s="40">
        <v>99900</v>
      </c>
      <c r="N7" s="65">
        <v>0.3</v>
      </c>
      <c r="O7" s="34">
        <f t="shared" si="0"/>
        <v>69930</v>
      </c>
      <c r="P7" s="32" t="s">
        <v>16</v>
      </c>
    </row>
    <row r="8" spans="1:16" x14ac:dyDescent="0.35">
      <c r="A8" s="32" t="str">
        <f t="shared" si="1"/>
        <v>2025 DEC DISC 30</v>
      </c>
      <c r="B8" s="33">
        <f t="shared" si="2"/>
        <v>46121</v>
      </c>
      <c r="C8" s="33">
        <f t="shared" si="3"/>
        <v>46127</v>
      </c>
      <c r="D8" s="32">
        <v>3281</v>
      </c>
      <c r="E8" s="32">
        <v>337</v>
      </c>
      <c r="F8" s="32">
        <v>4</v>
      </c>
      <c r="G8" s="22">
        <v>1</v>
      </c>
      <c r="H8" s="22">
        <v>81588</v>
      </c>
      <c r="I8" s="32" t="s">
        <v>17</v>
      </c>
      <c r="J8" s="22">
        <v>63154834</v>
      </c>
      <c r="K8" s="22" t="s">
        <v>7003</v>
      </c>
      <c r="L8" s="22" t="s">
        <v>7006</v>
      </c>
      <c r="M8" s="40">
        <v>99900</v>
      </c>
      <c r="N8" s="65">
        <v>0.3</v>
      </c>
      <c r="O8" s="34">
        <f t="shared" si="0"/>
        <v>69930</v>
      </c>
      <c r="P8" s="32" t="s">
        <v>16</v>
      </c>
    </row>
    <row r="9" spans="1:16" x14ac:dyDescent="0.35">
      <c r="A9" s="32" t="str">
        <f t="shared" si="1"/>
        <v>2025 DEC DISC 30</v>
      </c>
      <c r="B9" s="33">
        <f t="shared" si="2"/>
        <v>46121</v>
      </c>
      <c r="C9" s="33">
        <f t="shared" si="3"/>
        <v>46127</v>
      </c>
      <c r="D9" s="32">
        <v>3281</v>
      </c>
      <c r="E9" s="32">
        <v>337</v>
      </c>
      <c r="F9" s="32">
        <v>4</v>
      </c>
      <c r="G9" s="22">
        <v>1</v>
      </c>
      <c r="H9" s="22">
        <v>81588</v>
      </c>
      <c r="I9" s="32" t="s">
        <v>17</v>
      </c>
      <c r="J9" s="22">
        <v>63154843</v>
      </c>
      <c r="K9" s="22" t="s">
        <v>7003</v>
      </c>
      <c r="L9" s="22" t="s">
        <v>7007</v>
      </c>
      <c r="M9" s="40">
        <v>99900</v>
      </c>
      <c r="N9" s="65">
        <v>0.3</v>
      </c>
      <c r="O9" s="34">
        <f t="shared" si="0"/>
        <v>69930</v>
      </c>
      <c r="P9" s="32" t="s">
        <v>16</v>
      </c>
    </row>
    <row r="10" spans="1:16" x14ac:dyDescent="0.35">
      <c r="A10" s="32" t="str">
        <f t="shared" si="1"/>
        <v>2025 DEC DISC 30</v>
      </c>
      <c r="B10" s="33">
        <f t="shared" si="2"/>
        <v>46121</v>
      </c>
      <c r="C10" s="33">
        <f t="shared" si="3"/>
        <v>46127</v>
      </c>
      <c r="D10" s="32">
        <v>3281</v>
      </c>
      <c r="E10" s="32">
        <v>337</v>
      </c>
      <c r="F10" s="32">
        <v>4</v>
      </c>
      <c r="G10" s="22">
        <v>4</v>
      </c>
      <c r="H10" s="22">
        <v>81588</v>
      </c>
      <c r="I10" s="32" t="s">
        <v>17</v>
      </c>
      <c r="J10" s="22">
        <v>61942638</v>
      </c>
      <c r="K10" s="22" t="s">
        <v>6737</v>
      </c>
      <c r="L10" s="22" t="s">
        <v>6740</v>
      </c>
      <c r="M10" s="40">
        <v>149900</v>
      </c>
      <c r="N10" s="65">
        <v>0.3</v>
      </c>
      <c r="O10" s="34">
        <f t="shared" si="0"/>
        <v>104930</v>
      </c>
      <c r="P10" s="32" t="s">
        <v>16</v>
      </c>
    </row>
    <row r="11" spans="1:16" x14ac:dyDescent="0.35">
      <c r="A11" s="32" t="str">
        <f t="shared" si="1"/>
        <v>2025 DEC DISC 30</v>
      </c>
      <c r="B11" s="33">
        <f t="shared" si="2"/>
        <v>46121</v>
      </c>
      <c r="C11" s="33">
        <f t="shared" si="3"/>
        <v>46127</v>
      </c>
      <c r="D11" s="32">
        <v>3281</v>
      </c>
      <c r="E11" s="32">
        <v>337</v>
      </c>
      <c r="F11" s="32">
        <v>4</v>
      </c>
      <c r="G11" s="22">
        <v>4</v>
      </c>
      <c r="H11" s="22">
        <v>81588</v>
      </c>
      <c r="I11" s="32" t="s">
        <v>17</v>
      </c>
      <c r="J11" s="22">
        <v>61942647</v>
      </c>
      <c r="K11" s="22" t="s">
        <v>6737</v>
      </c>
      <c r="L11" s="22" t="s">
        <v>6739</v>
      </c>
      <c r="M11" s="40">
        <v>149900</v>
      </c>
      <c r="N11" s="65">
        <v>0.3</v>
      </c>
      <c r="O11" s="34">
        <f t="shared" si="0"/>
        <v>104930</v>
      </c>
      <c r="P11" s="32" t="s">
        <v>16</v>
      </c>
    </row>
    <row r="12" spans="1:16" x14ac:dyDescent="0.35">
      <c r="A12" s="32" t="str">
        <f t="shared" si="1"/>
        <v>2025 DEC DISC 30</v>
      </c>
      <c r="B12" s="33">
        <f t="shared" si="2"/>
        <v>46121</v>
      </c>
      <c r="C12" s="33">
        <f t="shared" si="3"/>
        <v>46127</v>
      </c>
      <c r="D12" s="32">
        <v>3281</v>
      </c>
      <c r="E12" s="32">
        <v>337</v>
      </c>
      <c r="F12" s="32">
        <v>4</v>
      </c>
      <c r="G12" s="22">
        <v>4</v>
      </c>
      <c r="H12" s="22">
        <v>81588</v>
      </c>
      <c r="I12" s="32" t="s">
        <v>17</v>
      </c>
      <c r="J12" s="22">
        <v>61942656</v>
      </c>
      <c r="K12" s="22" t="s">
        <v>6737</v>
      </c>
      <c r="L12" s="22" t="s">
        <v>6738</v>
      </c>
      <c r="M12" s="40">
        <v>149900</v>
      </c>
      <c r="N12" s="65">
        <v>0.3</v>
      </c>
      <c r="O12" s="34">
        <f t="shared" si="0"/>
        <v>104930</v>
      </c>
      <c r="P12" s="32" t="s">
        <v>16</v>
      </c>
    </row>
    <row r="13" spans="1:16" x14ac:dyDescent="0.35">
      <c r="A13" s="32" t="str">
        <f t="shared" si="1"/>
        <v>2025 DEC DISC 30</v>
      </c>
      <c r="B13" s="33">
        <f t="shared" si="2"/>
        <v>46121</v>
      </c>
      <c r="C13" s="33">
        <f t="shared" si="3"/>
        <v>46127</v>
      </c>
      <c r="D13" s="32">
        <v>3281</v>
      </c>
      <c r="E13" s="32">
        <v>337</v>
      </c>
      <c r="F13" s="32">
        <v>4</v>
      </c>
      <c r="G13" s="22">
        <v>4</v>
      </c>
      <c r="H13" s="22">
        <v>81588</v>
      </c>
      <c r="I13" s="32" t="s">
        <v>17</v>
      </c>
      <c r="J13" s="22">
        <v>61942665</v>
      </c>
      <c r="K13" s="22" t="s">
        <v>6737</v>
      </c>
      <c r="L13" s="22" t="s">
        <v>6736</v>
      </c>
      <c r="M13" s="40">
        <v>149900</v>
      </c>
      <c r="N13" s="65">
        <v>0.3</v>
      </c>
      <c r="O13" s="34">
        <f t="shared" si="0"/>
        <v>104930</v>
      </c>
      <c r="P13" s="32" t="s">
        <v>16</v>
      </c>
    </row>
    <row r="14" spans="1:16" x14ac:dyDescent="0.35">
      <c r="A14" s="32" t="str">
        <f t="shared" si="1"/>
        <v>2025 DEC DISC 30</v>
      </c>
      <c r="B14" s="33">
        <f t="shared" si="2"/>
        <v>46121</v>
      </c>
      <c r="C14" s="33">
        <f t="shared" si="3"/>
        <v>46127</v>
      </c>
      <c r="D14" s="32">
        <v>3281</v>
      </c>
      <c r="E14" s="32">
        <v>337</v>
      </c>
      <c r="F14" s="32">
        <v>4</v>
      </c>
      <c r="G14" s="22">
        <v>5</v>
      </c>
      <c r="H14" s="22">
        <v>81506</v>
      </c>
      <c r="I14" s="32" t="s">
        <v>17</v>
      </c>
      <c r="J14" s="22">
        <v>61942718</v>
      </c>
      <c r="K14" s="22" t="s">
        <v>6732</v>
      </c>
      <c r="L14" s="22" t="s">
        <v>6735</v>
      </c>
      <c r="M14" s="40">
        <v>179900</v>
      </c>
      <c r="N14" s="65">
        <v>0.3</v>
      </c>
      <c r="O14" s="34">
        <f t="shared" si="0"/>
        <v>125930</v>
      </c>
      <c r="P14" s="32" t="s">
        <v>16</v>
      </c>
    </row>
    <row r="15" spans="1:16" x14ac:dyDescent="0.35">
      <c r="A15" s="32" t="str">
        <f t="shared" si="1"/>
        <v>2025 DEC DISC 30</v>
      </c>
      <c r="B15" s="33">
        <f t="shared" si="2"/>
        <v>46121</v>
      </c>
      <c r="C15" s="33">
        <f t="shared" si="3"/>
        <v>46127</v>
      </c>
      <c r="D15" s="32">
        <v>3281</v>
      </c>
      <c r="E15" s="32">
        <v>337</v>
      </c>
      <c r="F15" s="32">
        <v>4</v>
      </c>
      <c r="G15" s="22">
        <v>5</v>
      </c>
      <c r="H15" s="22">
        <v>81506</v>
      </c>
      <c r="I15" s="32" t="s">
        <v>17</v>
      </c>
      <c r="J15" s="22">
        <v>61942727</v>
      </c>
      <c r="K15" s="22" t="s">
        <v>6732</v>
      </c>
      <c r="L15" s="22" t="s">
        <v>6734</v>
      </c>
      <c r="M15" s="40">
        <v>179900</v>
      </c>
      <c r="N15" s="65">
        <v>0.3</v>
      </c>
      <c r="O15" s="34">
        <f t="shared" si="0"/>
        <v>125930</v>
      </c>
      <c r="P15" s="32" t="s">
        <v>16</v>
      </c>
    </row>
    <row r="16" spans="1:16" x14ac:dyDescent="0.35">
      <c r="A16" s="32" t="str">
        <f t="shared" si="1"/>
        <v>2025 DEC DISC 30</v>
      </c>
      <c r="B16" s="33">
        <f t="shared" si="2"/>
        <v>46121</v>
      </c>
      <c r="C16" s="33">
        <f t="shared" si="3"/>
        <v>46127</v>
      </c>
      <c r="D16" s="32">
        <v>3281</v>
      </c>
      <c r="E16" s="32">
        <v>337</v>
      </c>
      <c r="F16" s="32">
        <v>4</v>
      </c>
      <c r="G16" s="22">
        <v>5</v>
      </c>
      <c r="H16" s="22">
        <v>81506</v>
      </c>
      <c r="I16" s="32" t="s">
        <v>17</v>
      </c>
      <c r="J16" s="22">
        <v>61942736</v>
      </c>
      <c r="K16" s="22" t="s">
        <v>6732</v>
      </c>
      <c r="L16" s="22" t="s">
        <v>6733</v>
      </c>
      <c r="M16" s="40">
        <v>179900</v>
      </c>
      <c r="N16" s="65">
        <v>0.3</v>
      </c>
      <c r="O16" s="34">
        <f t="shared" si="0"/>
        <v>125930</v>
      </c>
      <c r="P16" s="32" t="s">
        <v>16</v>
      </c>
    </row>
    <row r="17" spans="1:16" x14ac:dyDescent="0.35">
      <c r="A17" s="32" t="str">
        <f t="shared" si="1"/>
        <v>2025 DEC DISC 30</v>
      </c>
      <c r="B17" s="33">
        <f t="shared" si="2"/>
        <v>46121</v>
      </c>
      <c r="C17" s="33">
        <f t="shared" si="3"/>
        <v>46127</v>
      </c>
      <c r="D17" s="32">
        <v>3281</v>
      </c>
      <c r="E17" s="32">
        <v>337</v>
      </c>
      <c r="F17" s="32">
        <v>4</v>
      </c>
      <c r="G17" s="22">
        <v>5</v>
      </c>
      <c r="H17" s="22">
        <v>81506</v>
      </c>
      <c r="I17" s="32" t="s">
        <v>17</v>
      </c>
      <c r="J17" s="22">
        <v>61942745</v>
      </c>
      <c r="K17" s="22" t="s">
        <v>6732</v>
      </c>
      <c r="L17" s="22" t="s">
        <v>6731</v>
      </c>
      <c r="M17" s="40">
        <v>179900</v>
      </c>
      <c r="N17" s="65">
        <v>0.3</v>
      </c>
      <c r="O17" s="34">
        <f t="shared" si="0"/>
        <v>125930</v>
      </c>
      <c r="P17" s="32" t="s">
        <v>16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1048576">
    <cfRule type="duplicateValues" dxfId="18" priority="1"/>
    <cfRule type="duplicateValues" dxfId="1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AAF6-A9AF-47C4-9762-0D815D2BACA5}">
  <dimension ref="A1:P55"/>
  <sheetViews>
    <sheetView zoomScale="87" zoomScaleNormal="59" workbookViewId="0">
      <pane ySplit="1" topLeftCell="A2" activePane="bottomLeft" state="frozen"/>
      <selection activeCell="F18" sqref="F18"/>
      <selection pane="bottomLeft" activeCell="B2" sqref="B2"/>
    </sheetView>
  </sheetViews>
  <sheetFormatPr defaultColWidth="8.81640625" defaultRowHeight="14.5" x14ac:dyDescent="0.35"/>
  <cols>
    <col min="1" max="1" width="30.9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4.36328125" style="37" customWidth="1"/>
    <col min="14" max="14" width="8.81640625" style="5" customWidth="1"/>
    <col min="15" max="15" width="21.6328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60" t="s">
        <v>8</v>
      </c>
      <c r="O1" s="30" t="s">
        <v>9</v>
      </c>
      <c r="P1" s="27" t="s">
        <v>10</v>
      </c>
    </row>
    <row r="2" spans="1:16" x14ac:dyDescent="0.35">
      <c r="A2" s="23" t="s">
        <v>7165</v>
      </c>
      <c r="B2" s="33">
        <f>'2025 HILITE D80 - 3321'!B9</f>
        <v>46121</v>
      </c>
      <c r="C2" s="33">
        <f>'2025 HILITE D80 - 3321'!C9</f>
        <v>46127</v>
      </c>
      <c r="D2" s="23">
        <v>3281</v>
      </c>
      <c r="E2" s="32">
        <v>337</v>
      </c>
      <c r="F2" s="70">
        <v>4</v>
      </c>
      <c r="G2" s="23">
        <v>1</v>
      </c>
      <c r="H2" s="23">
        <v>81679</v>
      </c>
      <c r="I2" s="71" t="s">
        <v>17</v>
      </c>
      <c r="J2" s="52">
        <v>61076959</v>
      </c>
      <c r="K2" s="23" t="s">
        <v>6197</v>
      </c>
      <c r="L2" s="53" t="s">
        <v>6200</v>
      </c>
      <c r="M2" s="24">
        <v>99900</v>
      </c>
      <c r="N2" s="35">
        <v>0.3</v>
      </c>
      <c r="O2" s="34">
        <f>M2-((30*M2)/100)</f>
        <v>69930</v>
      </c>
      <c r="P2" s="32" t="s">
        <v>16</v>
      </c>
    </row>
    <row r="3" spans="1:16" x14ac:dyDescent="0.35">
      <c r="A3" s="23" t="str">
        <f>A2</f>
        <v>2025 OCT-NOV DISC 30%</v>
      </c>
      <c r="B3" s="33">
        <f t="shared" ref="B3:C18" si="0">B2</f>
        <v>46121</v>
      </c>
      <c r="C3" s="33">
        <f t="shared" si="0"/>
        <v>46127</v>
      </c>
      <c r="D3" s="23">
        <v>3281</v>
      </c>
      <c r="E3" s="32">
        <v>337</v>
      </c>
      <c r="F3" s="70">
        <v>4</v>
      </c>
      <c r="G3" s="23">
        <v>1</v>
      </c>
      <c r="H3" s="23">
        <v>81679</v>
      </c>
      <c r="I3" s="71" t="s">
        <v>17</v>
      </c>
      <c r="J3" s="52">
        <v>61076968</v>
      </c>
      <c r="K3" s="23" t="s">
        <v>6197</v>
      </c>
      <c r="L3" s="53" t="s">
        <v>6201</v>
      </c>
      <c r="M3" s="24">
        <v>99900</v>
      </c>
      <c r="N3" s="35">
        <f>N2</f>
        <v>0.3</v>
      </c>
      <c r="O3" s="34">
        <f t="shared" ref="O3:O37" si="1">M3-((30*M3)/100)</f>
        <v>69930</v>
      </c>
      <c r="P3" s="32" t="str">
        <f>P2</f>
        <v>PERCENTAGE</v>
      </c>
    </row>
    <row r="4" spans="1:16" x14ac:dyDescent="0.35">
      <c r="A4" s="23" t="str">
        <f t="shared" ref="A4:C19" si="2">A3</f>
        <v>2025 OCT-NOV DISC 30%</v>
      </c>
      <c r="B4" s="33">
        <f t="shared" si="0"/>
        <v>46121</v>
      </c>
      <c r="C4" s="33">
        <f t="shared" si="0"/>
        <v>46127</v>
      </c>
      <c r="D4" s="23">
        <v>3281</v>
      </c>
      <c r="E4" s="32">
        <v>337</v>
      </c>
      <c r="F4" s="70">
        <v>4</v>
      </c>
      <c r="G4" s="23">
        <v>1</v>
      </c>
      <c r="H4" s="23">
        <v>81679</v>
      </c>
      <c r="I4" s="71" t="s">
        <v>17</v>
      </c>
      <c r="J4" s="52">
        <v>61076977</v>
      </c>
      <c r="K4" s="23" t="s">
        <v>6197</v>
      </c>
      <c r="L4" s="53" t="s">
        <v>6199</v>
      </c>
      <c r="M4" s="24">
        <v>99900</v>
      </c>
      <c r="N4" s="35">
        <f t="shared" ref="N4:P19" si="3">N3</f>
        <v>0.3</v>
      </c>
      <c r="O4" s="34">
        <f t="shared" si="1"/>
        <v>69930</v>
      </c>
      <c r="P4" s="32" t="str">
        <f t="shared" si="3"/>
        <v>PERCENTAGE</v>
      </c>
    </row>
    <row r="5" spans="1:16" x14ac:dyDescent="0.35">
      <c r="A5" s="23" t="str">
        <f t="shared" si="2"/>
        <v>2025 OCT-NOV DISC 30%</v>
      </c>
      <c r="B5" s="33">
        <f t="shared" si="0"/>
        <v>46121</v>
      </c>
      <c r="C5" s="33">
        <f t="shared" si="0"/>
        <v>46127</v>
      </c>
      <c r="D5" s="23">
        <v>3281</v>
      </c>
      <c r="E5" s="32">
        <v>337</v>
      </c>
      <c r="F5" s="70">
        <v>4</v>
      </c>
      <c r="G5" s="23">
        <v>1</v>
      </c>
      <c r="H5" s="23">
        <v>81679</v>
      </c>
      <c r="I5" s="71" t="s">
        <v>17</v>
      </c>
      <c r="J5" s="52">
        <v>61076986</v>
      </c>
      <c r="K5" s="23" t="s">
        <v>6197</v>
      </c>
      <c r="L5" s="53" t="s">
        <v>6198</v>
      </c>
      <c r="M5" s="24">
        <v>99900</v>
      </c>
      <c r="N5" s="35">
        <f t="shared" si="3"/>
        <v>0.3</v>
      </c>
      <c r="O5" s="34">
        <f t="shared" si="1"/>
        <v>69930</v>
      </c>
      <c r="P5" s="32" t="str">
        <f t="shared" si="3"/>
        <v>PERCENTAGE</v>
      </c>
    </row>
    <row r="6" spans="1:16" x14ac:dyDescent="0.35">
      <c r="A6" s="23" t="str">
        <f t="shared" si="2"/>
        <v>2025 OCT-NOV DISC 30%</v>
      </c>
      <c r="B6" s="33">
        <f t="shared" si="0"/>
        <v>46121</v>
      </c>
      <c r="C6" s="33">
        <f t="shared" si="0"/>
        <v>46127</v>
      </c>
      <c r="D6" s="23">
        <v>3281</v>
      </c>
      <c r="E6" s="32">
        <v>337</v>
      </c>
      <c r="F6" s="70">
        <v>4</v>
      </c>
      <c r="G6" s="23">
        <v>1</v>
      </c>
      <c r="H6" s="23">
        <v>81679</v>
      </c>
      <c r="I6" s="71" t="s">
        <v>17</v>
      </c>
      <c r="J6" s="52">
        <v>61076833</v>
      </c>
      <c r="K6" s="23" t="s">
        <v>6202</v>
      </c>
      <c r="L6" s="53" t="s">
        <v>6204</v>
      </c>
      <c r="M6" s="24">
        <v>99900</v>
      </c>
      <c r="N6" s="35">
        <f t="shared" si="3"/>
        <v>0.3</v>
      </c>
      <c r="O6" s="34">
        <f t="shared" si="1"/>
        <v>69930</v>
      </c>
      <c r="P6" s="32" t="str">
        <f t="shared" si="3"/>
        <v>PERCENTAGE</v>
      </c>
    </row>
    <row r="7" spans="1:16" x14ac:dyDescent="0.35">
      <c r="A7" s="23" t="str">
        <f t="shared" si="2"/>
        <v>2025 OCT-NOV DISC 30%</v>
      </c>
      <c r="B7" s="33">
        <f t="shared" si="0"/>
        <v>46121</v>
      </c>
      <c r="C7" s="33">
        <f t="shared" si="0"/>
        <v>46127</v>
      </c>
      <c r="D7" s="23">
        <v>3281</v>
      </c>
      <c r="E7" s="32">
        <v>337</v>
      </c>
      <c r="F7" s="70">
        <v>4</v>
      </c>
      <c r="G7" s="23">
        <v>1</v>
      </c>
      <c r="H7" s="23">
        <v>81679</v>
      </c>
      <c r="I7" s="71" t="s">
        <v>17</v>
      </c>
      <c r="J7" s="54">
        <v>61076842</v>
      </c>
      <c r="K7" s="23" t="s">
        <v>6202</v>
      </c>
      <c r="L7" s="72" t="s">
        <v>6203</v>
      </c>
      <c r="M7" s="24">
        <v>99900</v>
      </c>
      <c r="N7" s="35">
        <f t="shared" si="3"/>
        <v>0.3</v>
      </c>
      <c r="O7" s="34">
        <f t="shared" si="1"/>
        <v>69930</v>
      </c>
      <c r="P7" s="32" t="str">
        <f t="shared" si="3"/>
        <v>PERCENTAGE</v>
      </c>
    </row>
    <row r="8" spans="1:16" x14ac:dyDescent="0.35">
      <c r="A8" s="23" t="str">
        <f t="shared" si="2"/>
        <v>2025 OCT-NOV DISC 30%</v>
      </c>
      <c r="B8" s="33">
        <f t="shared" si="0"/>
        <v>46121</v>
      </c>
      <c r="C8" s="33">
        <f t="shared" si="0"/>
        <v>46127</v>
      </c>
      <c r="D8" s="23">
        <v>3281</v>
      </c>
      <c r="E8" s="32">
        <v>337</v>
      </c>
      <c r="F8" s="70">
        <v>4</v>
      </c>
      <c r="G8" s="23">
        <v>1</v>
      </c>
      <c r="H8" s="23">
        <v>81679</v>
      </c>
      <c r="I8" s="71" t="s">
        <v>17</v>
      </c>
      <c r="J8" s="52">
        <v>61076851</v>
      </c>
      <c r="K8" s="23" t="s">
        <v>6202</v>
      </c>
      <c r="L8" s="53" t="s">
        <v>6206</v>
      </c>
      <c r="M8" s="24">
        <v>99900</v>
      </c>
      <c r="N8" s="35">
        <f t="shared" si="3"/>
        <v>0.3</v>
      </c>
      <c r="O8" s="34">
        <f t="shared" si="1"/>
        <v>69930</v>
      </c>
      <c r="P8" s="32" t="str">
        <f t="shared" si="3"/>
        <v>PERCENTAGE</v>
      </c>
    </row>
    <row r="9" spans="1:16" x14ac:dyDescent="0.35">
      <c r="A9" s="23" t="str">
        <f t="shared" si="2"/>
        <v>2025 OCT-NOV DISC 30%</v>
      </c>
      <c r="B9" s="33">
        <f t="shared" si="0"/>
        <v>46121</v>
      </c>
      <c r="C9" s="33">
        <f t="shared" si="0"/>
        <v>46127</v>
      </c>
      <c r="D9" s="23">
        <v>3281</v>
      </c>
      <c r="E9" s="32">
        <v>337</v>
      </c>
      <c r="F9" s="70">
        <v>4</v>
      </c>
      <c r="G9" s="23">
        <v>1</v>
      </c>
      <c r="H9" s="23">
        <v>81679</v>
      </c>
      <c r="I9" s="71" t="s">
        <v>17</v>
      </c>
      <c r="J9" s="52">
        <v>61076860</v>
      </c>
      <c r="K9" s="23" t="s">
        <v>6202</v>
      </c>
      <c r="L9" s="53" t="s">
        <v>6205</v>
      </c>
      <c r="M9" s="24">
        <v>99900</v>
      </c>
      <c r="N9" s="35">
        <f t="shared" si="3"/>
        <v>0.3</v>
      </c>
      <c r="O9" s="34">
        <f t="shared" si="1"/>
        <v>69930</v>
      </c>
      <c r="P9" s="32" t="str">
        <f t="shared" si="3"/>
        <v>PERCENTAGE</v>
      </c>
    </row>
    <row r="10" spans="1:16" x14ac:dyDescent="0.35">
      <c r="A10" s="23" t="str">
        <f t="shared" si="2"/>
        <v>2025 OCT-NOV DISC 30%</v>
      </c>
      <c r="B10" s="33">
        <f t="shared" si="0"/>
        <v>46121</v>
      </c>
      <c r="C10" s="33">
        <f t="shared" si="0"/>
        <v>46127</v>
      </c>
      <c r="D10" s="23">
        <v>3281</v>
      </c>
      <c r="E10" s="32">
        <v>337</v>
      </c>
      <c r="F10" s="70">
        <v>4</v>
      </c>
      <c r="G10" s="23">
        <v>1</v>
      </c>
      <c r="H10" s="23">
        <v>81588</v>
      </c>
      <c r="I10" s="71" t="s">
        <v>17</v>
      </c>
      <c r="J10" s="52">
        <v>61076799</v>
      </c>
      <c r="K10" s="23" t="s">
        <v>6177</v>
      </c>
      <c r="L10" s="53" t="s">
        <v>6179</v>
      </c>
      <c r="M10" s="24">
        <v>99900</v>
      </c>
      <c r="N10" s="35">
        <f t="shared" si="3"/>
        <v>0.3</v>
      </c>
      <c r="O10" s="34">
        <f t="shared" si="1"/>
        <v>69930</v>
      </c>
      <c r="P10" s="32" t="str">
        <f t="shared" si="3"/>
        <v>PERCENTAGE</v>
      </c>
    </row>
    <row r="11" spans="1:16" x14ac:dyDescent="0.35">
      <c r="A11" s="23" t="str">
        <f t="shared" si="2"/>
        <v>2025 OCT-NOV DISC 30%</v>
      </c>
      <c r="B11" s="33">
        <f t="shared" si="0"/>
        <v>46121</v>
      </c>
      <c r="C11" s="33">
        <f t="shared" si="0"/>
        <v>46127</v>
      </c>
      <c r="D11" s="23">
        <v>3281</v>
      </c>
      <c r="E11" s="32">
        <v>337</v>
      </c>
      <c r="F11" s="70">
        <v>4</v>
      </c>
      <c r="G11" s="23">
        <v>1</v>
      </c>
      <c r="H11" s="23">
        <v>81588</v>
      </c>
      <c r="I11" s="71" t="s">
        <v>17</v>
      </c>
      <c r="J11" s="52">
        <v>61076806</v>
      </c>
      <c r="K11" s="23" t="s">
        <v>6177</v>
      </c>
      <c r="L11" s="53" t="s">
        <v>6178</v>
      </c>
      <c r="M11" s="24">
        <v>99900</v>
      </c>
      <c r="N11" s="35">
        <f t="shared" si="3"/>
        <v>0.3</v>
      </c>
      <c r="O11" s="34">
        <f t="shared" si="1"/>
        <v>69930</v>
      </c>
      <c r="P11" s="32" t="str">
        <f t="shared" si="3"/>
        <v>PERCENTAGE</v>
      </c>
    </row>
    <row r="12" spans="1:16" x14ac:dyDescent="0.35">
      <c r="A12" s="23" t="str">
        <f t="shared" si="2"/>
        <v>2025 OCT-NOV DISC 30%</v>
      </c>
      <c r="B12" s="33">
        <f t="shared" si="0"/>
        <v>46121</v>
      </c>
      <c r="C12" s="33">
        <f t="shared" si="0"/>
        <v>46127</v>
      </c>
      <c r="D12" s="23">
        <v>3281</v>
      </c>
      <c r="E12" s="32">
        <v>337</v>
      </c>
      <c r="F12" s="70">
        <v>4</v>
      </c>
      <c r="G12" s="23">
        <v>1</v>
      </c>
      <c r="H12" s="23">
        <v>81588</v>
      </c>
      <c r="I12" s="71" t="s">
        <v>17</v>
      </c>
      <c r="J12" s="52">
        <v>61076815</v>
      </c>
      <c r="K12" s="23" t="s">
        <v>6177</v>
      </c>
      <c r="L12" s="53" t="s">
        <v>6181</v>
      </c>
      <c r="M12" s="24">
        <v>99900</v>
      </c>
      <c r="N12" s="35">
        <f t="shared" si="3"/>
        <v>0.3</v>
      </c>
      <c r="O12" s="34">
        <f t="shared" si="1"/>
        <v>69930</v>
      </c>
      <c r="P12" s="32" t="str">
        <f t="shared" si="3"/>
        <v>PERCENTAGE</v>
      </c>
    </row>
    <row r="13" spans="1:16" x14ac:dyDescent="0.35">
      <c r="A13" s="23" t="str">
        <f t="shared" si="2"/>
        <v>2025 OCT-NOV DISC 30%</v>
      </c>
      <c r="B13" s="33">
        <f t="shared" si="0"/>
        <v>46121</v>
      </c>
      <c r="C13" s="33">
        <f t="shared" si="0"/>
        <v>46127</v>
      </c>
      <c r="D13" s="23">
        <v>3281</v>
      </c>
      <c r="E13" s="32">
        <v>337</v>
      </c>
      <c r="F13" s="70">
        <v>4</v>
      </c>
      <c r="G13" s="23">
        <v>1</v>
      </c>
      <c r="H13" s="23">
        <v>81588</v>
      </c>
      <c r="I13" s="71" t="s">
        <v>17</v>
      </c>
      <c r="J13" s="52">
        <v>61076824</v>
      </c>
      <c r="K13" s="23" t="s">
        <v>6177</v>
      </c>
      <c r="L13" s="53" t="s">
        <v>6180</v>
      </c>
      <c r="M13" s="24">
        <v>99900</v>
      </c>
      <c r="N13" s="35">
        <f t="shared" si="3"/>
        <v>0.3</v>
      </c>
      <c r="O13" s="34">
        <f t="shared" si="1"/>
        <v>69930</v>
      </c>
      <c r="P13" s="32" t="str">
        <f t="shared" si="3"/>
        <v>PERCENTAGE</v>
      </c>
    </row>
    <row r="14" spans="1:16" x14ac:dyDescent="0.35">
      <c r="A14" s="23" t="str">
        <f t="shared" si="2"/>
        <v>2025 OCT-NOV DISC 30%</v>
      </c>
      <c r="B14" s="33">
        <f t="shared" si="0"/>
        <v>46121</v>
      </c>
      <c r="C14" s="33">
        <f t="shared" si="0"/>
        <v>46127</v>
      </c>
      <c r="D14" s="23">
        <v>3281</v>
      </c>
      <c r="E14" s="32">
        <v>337</v>
      </c>
      <c r="F14" s="70">
        <v>4</v>
      </c>
      <c r="G14" s="23">
        <v>1</v>
      </c>
      <c r="H14" s="23">
        <v>81588</v>
      </c>
      <c r="I14" s="71" t="s">
        <v>17</v>
      </c>
      <c r="J14" s="52">
        <v>61076753</v>
      </c>
      <c r="K14" s="23" t="s">
        <v>6182</v>
      </c>
      <c r="L14" s="53" t="s">
        <v>6184</v>
      </c>
      <c r="M14" s="24">
        <v>99900</v>
      </c>
      <c r="N14" s="35">
        <f t="shared" si="3"/>
        <v>0.3</v>
      </c>
      <c r="O14" s="34">
        <f t="shared" si="1"/>
        <v>69930</v>
      </c>
      <c r="P14" s="32" t="str">
        <f t="shared" si="3"/>
        <v>PERCENTAGE</v>
      </c>
    </row>
    <row r="15" spans="1:16" x14ac:dyDescent="0.35">
      <c r="A15" s="23" t="str">
        <f t="shared" si="2"/>
        <v>2025 OCT-NOV DISC 30%</v>
      </c>
      <c r="B15" s="33">
        <f t="shared" si="0"/>
        <v>46121</v>
      </c>
      <c r="C15" s="33">
        <f t="shared" si="0"/>
        <v>46127</v>
      </c>
      <c r="D15" s="23">
        <v>3281</v>
      </c>
      <c r="E15" s="32">
        <v>337</v>
      </c>
      <c r="F15" s="70">
        <v>4</v>
      </c>
      <c r="G15" s="23">
        <v>1</v>
      </c>
      <c r="H15" s="23">
        <v>81588</v>
      </c>
      <c r="I15" s="71" t="s">
        <v>17</v>
      </c>
      <c r="J15" s="52">
        <v>61076762</v>
      </c>
      <c r="K15" s="23" t="s">
        <v>6182</v>
      </c>
      <c r="L15" s="53" t="s">
        <v>6183</v>
      </c>
      <c r="M15" s="24">
        <v>99900</v>
      </c>
      <c r="N15" s="35">
        <f t="shared" si="3"/>
        <v>0.3</v>
      </c>
      <c r="O15" s="34">
        <f t="shared" si="1"/>
        <v>69930</v>
      </c>
      <c r="P15" s="32" t="str">
        <f t="shared" si="3"/>
        <v>PERCENTAGE</v>
      </c>
    </row>
    <row r="16" spans="1:16" x14ac:dyDescent="0.35">
      <c r="A16" s="23" t="str">
        <f t="shared" si="2"/>
        <v>2025 OCT-NOV DISC 30%</v>
      </c>
      <c r="B16" s="33">
        <f t="shared" si="0"/>
        <v>46121</v>
      </c>
      <c r="C16" s="33">
        <f t="shared" si="0"/>
        <v>46127</v>
      </c>
      <c r="D16" s="23">
        <v>3281</v>
      </c>
      <c r="E16" s="32">
        <v>337</v>
      </c>
      <c r="F16" s="70">
        <v>4</v>
      </c>
      <c r="G16" s="23">
        <v>1</v>
      </c>
      <c r="H16" s="23">
        <v>81588</v>
      </c>
      <c r="I16" s="71" t="s">
        <v>17</v>
      </c>
      <c r="J16" s="52">
        <v>61076771</v>
      </c>
      <c r="K16" s="23" t="s">
        <v>6182</v>
      </c>
      <c r="L16" s="53" t="s">
        <v>6186</v>
      </c>
      <c r="M16" s="24">
        <v>99900</v>
      </c>
      <c r="N16" s="35">
        <f t="shared" si="3"/>
        <v>0.3</v>
      </c>
      <c r="O16" s="34">
        <f t="shared" si="1"/>
        <v>69930</v>
      </c>
      <c r="P16" s="32" t="str">
        <f t="shared" si="3"/>
        <v>PERCENTAGE</v>
      </c>
    </row>
    <row r="17" spans="1:16" x14ac:dyDescent="0.35">
      <c r="A17" s="23" t="str">
        <f t="shared" si="2"/>
        <v>2025 OCT-NOV DISC 30%</v>
      </c>
      <c r="B17" s="33">
        <f t="shared" si="0"/>
        <v>46121</v>
      </c>
      <c r="C17" s="33">
        <f t="shared" si="0"/>
        <v>46127</v>
      </c>
      <c r="D17" s="23">
        <v>3281</v>
      </c>
      <c r="E17" s="32">
        <v>337</v>
      </c>
      <c r="F17" s="70">
        <v>4</v>
      </c>
      <c r="G17" s="23">
        <v>1</v>
      </c>
      <c r="H17" s="23">
        <v>81588</v>
      </c>
      <c r="I17" s="71" t="s">
        <v>17</v>
      </c>
      <c r="J17" s="52">
        <v>61076780</v>
      </c>
      <c r="K17" s="23" t="s">
        <v>6182</v>
      </c>
      <c r="L17" s="53" t="s">
        <v>6185</v>
      </c>
      <c r="M17" s="24">
        <v>99900</v>
      </c>
      <c r="N17" s="35">
        <f t="shared" si="3"/>
        <v>0.3</v>
      </c>
      <c r="O17" s="34">
        <f t="shared" si="1"/>
        <v>69930</v>
      </c>
      <c r="P17" s="32" t="str">
        <f t="shared" si="3"/>
        <v>PERCENTAGE</v>
      </c>
    </row>
    <row r="18" spans="1:16" x14ac:dyDescent="0.35">
      <c r="A18" s="23" t="str">
        <f t="shared" si="2"/>
        <v>2025 OCT-NOV DISC 30%</v>
      </c>
      <c r="B18" s="33">
        <f t="shared" si="0"/>
        <v>46121</v>
      </c>
      <c r="C18" s="33">
        <f t="shared" si="0"/>
        <v>46127</v>
      </c>
      <c r="D18" s="23">
        <v>3281</v>
      </c>
      <c r="E18" s="32">
        <v>337</v>
      </c>
      <c r="F18" s="70">
        <v>4</v>
      </c>
      <c r="G18" s="23">
        <v>1</v>
      </c>
      <c r="H18" s="23">
        <v>81588</v>
      </c>
      <c r="I18" s="71" t="s">
        <v>17</v>
      </c>
      <c r="J18" s="52">
        <v>61076879</v>
      </c>
      <c r="K18" s="23" t="s">
        <v>6192</v>
      </c>
      <c r="L18" s="53" t="s">
        <v>6195</v>
      </c>
      <c r="M18" s="24">
        <v>99900</v>
      </c>
      <c r="N18" s="35">
        <f t="shared" si="3"/>
        <v>0.3</v>
      </c>
      <c r="O18" s="34">
        <f t="shared" si="1"/>
        <v>69930</v>
      </c>
      <c r="P18" s="32" t="str">
        <f t="shared" si="3"/>
        <v>PERCENTAGE</v>
      </c>
    </row>
    <row r="19" spans="1:16" x14ac:dyDescent="0.35">
      <c r="A19" s="23" t="str">
        <f t="shared" si="2"/>
        <v>2025 OCT-NOV DISC 30%</v>
      </c>
      <c r="B19" s="33">
        <f t="shared" si="2"/>
        <v>46121</v>
      </c>
      <c r="C19" s="33">
        <f t="shared" si="2"/>
        <v>46127</v>
      </c>
      <c r="D19" s="47">
        <v>3281</v>
      </c>
      <c r="E19" s="18">
        <v>337</v>
      </c>
      <c r="F19" s="73">
        <v>4</v>
      </c>
      <c r="G19" s="23">
        <v>1</v>
      </c>
      <c r="H19" s="23">
        <v>81588</v>
      </c>
      <c r="I19" s="74" t="s">
        <v>17</v>
      </c>
      <c r="J19" s="52">
        <v>61076888</v>
      </c>
      <c r="K19" s="23" t="s">
        <v>6192</v>
      </c>
      <c r="L19" s="53" t="s">
        <v>6193</v>
      </c>
      <c r="M19" s="75">
        <v>99900</v>
      </c>
      <c r="N19" s="35">
        <f t="shared" si="3"/>
        <v>0.3</v>
      </c>
      <c r="O19" s="34">
        <f t="shared" si="1"/>
        <v>69930</v>
      </c>
      <c r="P19" s="32" t="str">
        <f t="shared" si="3"/>
        <v>PERCENTAGE</v>
      </c>
    </row>
    <row r="20" spans="1:16" x14ac:dyDescent="0.35">
      <c r="A20" s="23" t="str">
        <f t="shared" ref="A20:C35" si="4">A19</f>
        <v>2025 OCT-NOV DISC 30%</v>
      </c>
      <c r="B20" s="33">
        <f t="shared" si="4"/>
        <v>46121</v>
      </c>
      <c r="C20" s="33">
        <f t="shared" si="4"/>
        <v>46127</v>
      </c>
      <c r="D20" s="23">
        <v>3281</v>
      </c>
      <c r="E20" s="32">
        <v>337</v>
      </c>
      <c r="F20" s="70">
        <v>4</v>
      </c>
      <c r="G20" s="23">
        <v>1</v>
      </c>
      <c r="H20" s="23">
        <v>81588</v>
      </c>
      <c r="I20" s="71" t="s">
        <v>17</v>
      </c>
      <c r="J20" s="55">
        <v>61076897</v>
      </c>
      <c r="K20" s="23" t="s">
        <v>6192</v>
      </c>
      <c r="L20" s="51" t="s">
        <v>6194</v>
      </c>
      <c r="M20" s="24">
        <v>99900</v>
      </c>
      <c r="N20" s="35">
        <f t="shared" ref="N20:P25" si="5">N19</f>
        <v>0.3</v>
      </c>
      <c r="O20" s="34">
        <f t="shared" si="1"/>
        <v>69930</v>
      </c>
      <c r="P20" s="32" t="str">
        <f t="shared" si="5"/>
        <v>PERCENTAGE</v>
      </c>
    </row>
    <row r="21" spans="1:16" x14ac:dyDescent="0.35">
      <c r="A21" s="23" t="str">
        <f t="shared" si="4"/>
        <v>2025 OCT-NOV DISC 30%</v>
      </c>
      <c r="B21" s="33">
        <f t="shared" si="4"/>
        <v>46121</v>
      </c>
      <c r="C21" s="33">
        <f t="shared" si="4"/>
        <v>46127</v>
      </c>
      <c r="D21" s="23">
        <v>3281</v>
      </c>
      <c r="E21" s="32">
        <v>337</v>
      </c>
      <c r="F21" s="70">
        <v>4</v>
      </c>
      <c r="G21" s="23">
        <v>1</v>
      </c>
      <c r="H21" s="23">
        <v>81588</v>
      </c>
      <c r="I21" s="71" t="s">
        <v>17</v>
      </c>
      <c r="J21" s="55">
        <v>61076904</v>
      </c>
      <c r="K21" s="23" t="s">
        <v>6192</v>
      </c>
      <c r="L21" s="51" t="s">
        <v>6196</v>
      </c>
      <c r="M21" s="24">
        <v>99900</v>
      </c>
      <c r="N21" s="35">
        <f t="shared" si="5"/>
        <v>0.3</v>
      </c>
      <c r="O21" s="34">
        <f t="shared" si="1"/>
        <v>69930</v>
      </c>
      <c r="P21" s="32" t="str">
        <f t="shared" si="5"/>
        <v>PERCENTAGE</v>
      </c>
    </row>
    <row r="22" spans="1:16" x14ac:dyDescent="0.35">
      <c r="A22" s="23" t="str">
        <f t="shared" si="4"/>
        <v>2025 OCT-NOV DISC 30%</v>
      </c>
      <c r="B22" s="33">
        <f t="shared" si="4"/>
        <v>46121</v>
      </c>
      <c r="C22" s="33">
        <f t="shared" si="4"/>
        <v>46127</v>
      </c>
      <c r="D22" s="23">
        <v>3281</v>
      </c>
      <c r="E22" s="32">
        <v>337</v>
      </c>
      <c r="F22" s="70">
        <v>4</v>
      </c>
      <c r="G22" s="23">
        <v>1</v>
      </c>
      <c r="H22" s="23">
        <v>81588</v>
      </c>
      <c r="I22" s="71" t="s">
        <v>17</v>
      </c>
      <c r="J22" s="55">
        <v>61076913</v>
      </c>
      <c r="K22" s="23" t="s">
        <v>6187</v>
      </c>
      <c r="L22" s="51" t="s">
        <v>6189</v>
      </c>
      <c r="M22" s="24">
        <v>99900</v>
      </c>
      <c r="N22" s="35">
        <f t="shared" si="5"/>
        <v>0.3</v>
      </c>
      <c r="O22" s="34">
        <f t="shared" si="1"/>
        <v>69930</v>
      </c>
      <c r="P22" s="32" t="str">
        <f t="shared" si="5"/>
        <v>PERCENTAGE</v>
      </c>
    </row>
    <row r="23" spans="1:16" x14ac:dyDescent="0.35">
      <c r="A23" s="23" t="str">
        <f t="shared" si="4"/>
        <v>2025 OCT-NOV DISC 30%</v>
      </c>
      <c r="B23" s="33">
        <f t="shared" si="4"/>
        <v>46121</v>
      </c>
      <c r="C23" s="33">
        <f t="shared" si="4"/>
        <v>46127</v>
      </c>
      <c r="D23" s="23">
        <v>3281</v>
      </c>
      <c r="E23" s="32">
        <v>337</v>
      </c>
      <c r="F23" s="70">
        <v>4</v>
      </c>
      <c r="G23" s="23">
        <v>1</v>
      </c>
      <c r="H23" s="23">
        <v>81588</v>
      </c>
      <c r="I23" s="71" t="s">
        <v>17</v>
      </c>
      <c r="J23" s="55">
        <v>61076922</v>
      </c>
      <c r="K23" s="23" t="s">
        <v>6187</v>
      </c>
      <c r="L23" s="51" t="s">
        <v>6188</v>
      </c>
      <c r="M23" s="24">
        <v>99900</v>
      </c>
      <c r="N23" s="35">
        <f t="shared" si="5"/>
        <v>0.3</v>
      </c>
      <c r="O23" s="34">
        <f t="shared" si="1"/>
        <v>69930</v>
      </c>
      <c r="P23" s="32" t="str">
        <f t="shared" si="5"/>
        <v>PERCENTAGE</v>
      </c>
    </row>
    <row r="24" spans="1:16" x14ac:dyDescent="0.35">
      <c r="A24" s="23" t="str">
        <f t="shared" si="4"/>
        <v>2025 OCT-NOV DISC 30%</v>
      </c>
      <c r="B24" s="56">
        <f t="shared" si="4"/>
        <v>46121</v>
      </c>
      <c r="C24" s="56">
        <f t="shared" si="4"/>
        <v>46127</v>
      </c>
      <c r="D24" s="47">
        <v>3281</v>
      </c>
      <c r="E24" s="18">
        <v>337</v>
      </c>
      <c r="F24" s="73">
        <v>4</v>
      </c>
      <c r="G24" s="47">
        <v>1</v>
      </c>
      <c r="H24" s="47">
        <v>81588</v>
      </c>
      <c r="I24" s="74" t="s">
        <v>17</v>
      </c>
      <c r="J24" s="76">
        <v>61076931</v>
      </c>
      <c r="K24" s="47" t="s">
        <v>6187</v>
      </c>
      <c r="L24" s="77" t="s">
        <v>6191</v>
      </c>
      <c r="M24" s="75">
        <v>99900</v>
      </c>
      <c r="N24" s="35">
        <f t="shared" si="5"/>
        <v>0.3</v>
      </c>
      <c r="O24" s="34">
        <f t="shared" si="1"/>
        <v>69930</v>
      </c>
      <c r="P24" s="32" t="str">
        <f t="shared" si="5"/>
        <v>PERCENTAGE</v>
      </c>
    </row>
    <row r="25" spans="1:16" x14ac:dyDescent="0.35">
      <c r="A25" s="23" t="str">
        <f t="shared" si="4"/>
        <v>2025 OCT-NOV DISC 30%</v>
      </c>
      <c r="B25" s="33">
        <f t="shared" si="4"/>
        <v>46121</v>
      </c>
      <c r="C25" s="33">
        <f t="shared" si="4"/>
        <v>46127</v>
      </c>
      <c r="D25" s="23">
        <v>3281</v>
      </c>
      <c r="E25" s="32">
        <v>337</v>
      </c>
      <c r="F25" s="32">
        <v>4</v>
      </c>
      <c r="G25" s="23">
        <v>1</v>
      </c>
      <c r="H25" s="23">
        <v>81588</v>
      </c>
      <c r="I25" s="32" t="s">
        <v>17</v>
      </c>
      <c r="J25" s="23">
        <v>61076940</v>
      </c>
      <c r="K25" s="23" t="s">
        <v>6187</v>
      </c>
      <c r="L25" s="22" t="s">
        <v>6190</v>
      </c>
      <c r="M25" s="24">
        <v>99900</v>
      </c>
      <c r="N25" s="35">
        <f t="shared" si="5"/>
        <v>0.3</v>
      </c>
      <c r="O25" s="34">
        <f t="shared" si="1"/>
        <v>69930</v>
      </c>
      <c r="P25" s="32" t="str">
        <f t="shared" si="5"/>
        <v>PERCENTAGE</v>
      </c>
    </row>
    <row r="26" spans="1:16" x14ac:dyDescent="0.35">
      <c r="A26" s="23" t="str">
        <f t="shared" si="4"/>
        <v>2025 OCT-NOV DISC 30%</v>
      </c>
      <c r="B26" s="33">
        <f t="shared" si="4"/>
        <v>46121</v>
      </c>
      <c r="C26" s="33">
        <f t="shared" si="4"/>
        <v>46127</v>
      </c>
      <c r="D26" s="32">
        <v>3281</v>
      </c>
      <c r="E26" s="32">
        <v>337</v>
      </c>
      <c r="F26" s="32">
        <v>4</v>
      </c>
      <c r="G26" s="23">
        <v>4</v>
      </c>
      <c r="H26" s="23">
        <v>81146</v>
      </c>
      <c r="I26" s="32" t="s">
        <v>17</v>
      </c>
      <c r="J26" s="22">
        <v>61942594</v>
      </c>
      <c r="K26" s="23" t="s">
        <v>6757</v>
      </c>
      <c r="L26" s="22" t="s">
        <v>6760</v>
      </c>
      <c r="M26" s="24">
        <v>149900</v>
      </c>
      <c r="N26" s="35">
        <f t="shared" ref="N26" si="6">N25</f>
        <v>0.3</v>
      </c>
      <c r="O26" s="34">
        <f t="shared" si="1"/>
        <v>104930</v>
      </c>
      <c r="P26" s="32" t="str">
        <f t="shared" ref="P26" si="7">P25</f>
        <v>PERCENTAGE</v>
      </c>
    </row>
    <row r="27" spans="1:16" x14ac:dyDescent="0.35">
      <c r="A27" s="23" t="str">
        <f t="shared" si="4"/>
        <v>2025 OCT-NOV DISC 30%</v>
      </c>
      <c r="B27" s="33">
        <f t="shared" si="4"/>
        <v>46121</v>
      </c>
      <c r="C27" s="33">
        <f t="shared" si="4"/>
        <v>46127</v>
      </c>
      <c r="D27" s="32">
        <v>3281</v>
      </c>
      <c r="E27" s="32">
        <v>337</v>
      </c>
      <c r="F27" s="32">
        <v>4</v>
      </c>
      <c r="G27" s="23">
        <v>4</v>
      </c>
      <c r="H27" s="23">
        <v>81146</v>
      </c>
      <c r="I27" s="32" t="s">
        <v>17</v>
      </c>
      <c r="J27" s="22">
        <v>61942601</v>
      </c>
      <c r="K27" s="23" t="s">
        <v>6757</v>
      </c>
      <c r="L27" s="22" t="s">
        <v>6759</v>
      </c>
      <c r="M27" s="24">
        <v>149900</v>
      </c>
      <c r="N27" s="35">
        <f t="shared" ref="N27" si="8">N26</f>
        <v>0.3</v>
      </c>
      <c r="O27" s="34">
        <f t="shared" si="1"/>
        <v>104930</v>
      </c>
      <c r="P27" s="32" t="str">
        <f t="shared" ref="P27" si="9">P26</f>
        <v>PERCENTAGE</v>
      </c>
    </row>
    <row r="28" spans="1:16" x14ac:dyDescent="0.35">
      <c r="A28" s="23" t="str">
        <f t="shared" si="4"/>
        <v>2025 OCT-NOV DISC 30%</v>
      </c>
      <c r="B28" s="33">
        <f t="shared" si="4"/>
        <v>46121</v>
      </c>
      <c r="C28" s="33">
        <f t="shared" si="4"/>
        <v>46127</v>
      </c>
      <c r="D28" s="32">
        <v>3281</v>
      </c>
      <c r="E28" s="32">
        <v>337</v>
      </c>
      <c r="F28" s="32">
        <v>4</v>
      </c>
      <c r="G28" s="23">
        <v>4</v>
      </c>
      <c r="H28" s="23">
        <v>81146</v>
      </c>
      <c r="I28" s="32" t="s">
        <v>17</v>
      </c>
      <c r="J28" s="22">
        <v>61942610</v>
      </c>
      <c r="K28" s="23" t="s">
        <v>6757</v>
      </c>
      <c r="L28" s="22" t="s">
        <v>6758</v>
      </c>
      <c r="M28" s="24">
        <v>149900</v>
      </c>
      <c r="N28" s="35">
        <f t="shared" ref="N28" si="10">N27</f>
        <v>0.3</v>
      </c>
      <c r="O28" s="34">
        <f t="shared" si="1"/>
        <v>104930</v>
      </c>
      <c r="P28" s="32" t="str">
        <f t="shared" ref="P28" si="11">P27</f>
        <v>PERCENTAGE</v>
      </c>
    </row>
    <row r="29" spans="1:16" x14ac:dyDescent="0.35">
      <c r="A29" s="23" t="str">
        <f t="shared" si="4"/>
        <v>2025 OCT-NOV DISC 30%</v>
      </c>
      <c r="B29" s="33">
        <f t="shared" si="4"/>
        <v>46121</v>
      </c>
      <c r="C29" s="33">
        <f t="shared" si="4"/>
        <v>46127</v>
      </c>
      <c r="D29" s="32">
        <v>3281</v>
      </c>
      <c r="E29" s="32">
        <v>337</v>
      </c>
      <c r="F29" s="32">
        <v>4</v>
      </c>
      <c r="G29" s="23">
        <v>4</v>
      </c>
      <c r="H29" s="23">
        <v>81146</v>
      </c>
      <c r="I29" s="32" t="s">
        <v>17</v>
      </c>
      <c r="J29" s="22">
        <v>61942629</v>
      </c>
      <c r="K29" s="23" t="s">
        <v>6757</v>
      </c>
      <c r="L29" s="22" t="s">
        <v>6756</v>
      </c>
      <c r="M29" s="24">
        <v>149900</v>
      </c>
      <c r="N29" s="35">
        <f t="shared" ref="N29" si="12">N28</f>
        <v>0.3</v>
      </c>
      <c r="O29" s="34">
        <f t="shared" si="1"/>
        <v>104930</v>
      </c>
      <c r="P29" s="32" t="str">
        <f t="shared" ref="P29" si="13">P28</f>
        <v>PERCENTAGE</v>
      </c>
    </row>
    <row r="30" spans="1:16" x14ac:dyDescent="0.35">
      <c r="A30" s="23" t="str">
        <f t="shared" si="4"/>
        <v>2025 OCT-NOV DISC 30%</v>
      </c>
      <c r="B30" s="33">
        <f t="shared" si="4"/>
        <v>46121</v>
      </c>
      <c r="C30" s="33">
        <f t="shared" si="4"/>
        <v>46127</v>
      </c>
      <c r="D30" s="32">
        <v>3281</v>
      </c>
      <c r="E30" s="32">
        <v>337</v>
      </c>
      <c r="F30" s="32">
        <v>4</v>
      </c>
      <c r="G30" s="23">
        <v>3</v>
      </c>
      <c r="H30" s="23">
        <v>81588</v>
      </c>
      <c r="I30" s="32" t="s">
        <v>17</v>
      </c>
      <c r="J30" s="22">
        <v>61942790</v>
      </c>
      <c r="K30" s="23" t="s">
        <v>6752</v>
      </c>
      <c r="L30" s="22" t="s">
        <v>6755</v>
      </c>
      <c r="M30" s="24">
        <v>199900</v>
      </c>
      <c r="N30" s="35">
        <f t="shared" ref="N30" si="14">N29</f>
        <v>0.3</v>
      </c>
      <c r="O30" s="34">
        <f t="shared" si="1"/>
        <v>139930</v>
      </c>
      <c r="P30" s="32" t="str">
        <f t="shared" ref="P30" si="15">P29</f>
        <v>PERCENTAGE</v>
      </c>
    </row>
    <row r="31" spans="1:16" x14ac:dyDescent="0.35">
      <c r="A31" s="23" t="str">
        <f t="shared" si="4"/>
        <v>2025 OCT-NOV DISC 30%</v>
      </c>
      <c r="B31" s="33">
        <f t="shared" si="4"/>
        <v>46121</v>
      </c>
      <c r="C31" s="33">
        <f t="shared" si="4"/>
        <v>46127</v>
      </c>
      <c r="D31" s="32">
        <v>3281</v>
      </c>
      <c r="E31" s="32">
        <v>337</v>
      </c>
      <c r="F31" s="32">
        <v>4</v>
      </c>
      <c r="G31" s="23">
        <v>3</v>
      </c>
      <c r="H31" s="23">
        <v>81588</v>
      </c>
      <c r="I31" s="32" t="s">
        <v>17</v>
      </c>
      <c r="J31" s="22">
        <v>61942807</v>
      </c>
      <c r="K31" s="23" t="s">
        <v>6752</v>
      </c>
      <c r="L31" s="22" t="s">
        <v>6754</v>
      </c>
      <c r="M31" s="24">
        <v>199900</v>
      </c>
      <c r="N31" s="35">
        <f t="shared" ref="N31" si="16">N30</f>
        <v>0.3</v>
      </c>
      <c r="O31" s="34">
        <f t="shared" si="1"/>
        <v>139930</v>
      </c>
      <c r="P31" s="32" t="str">
        <f t="shared" ref="P31" si="17">P30</f>
        <v>PERCENTAGE</v>
      </c>
    </row>
    <row r="32" spans="1:16" x14ac:dyDescent="0.35">
      <c r="A32" s="23" t="str">
        <f t="shared" si="4"/>
        <v>2025 OCT-NOV DISC 30%</v>
      </c>
      <c r="B32" s="33">
        <f t="shared" si="4"/>
        <v>46121</v>
      </c>
      <c r="C32" s="33">
        <f t="shared" si="4"/>
        <v>46127</v>
      </c>
      <c r="D32" s="32">
        <v>3281</v>
      </c>
      <c r="E32" s="32">
        <v>337</v>
      </c>
      <c r="F32" s="32">
        <v>4</v>
      </c>
      <c r="G32" s="23">
        <v>3</v>
      </c>
      <c r="H32" s="23">
        <v>81588</v>
      </c>
      <c r="I32" s="32" t="s">
        <v>17</v>
      </c>
      <c r="J32" s="22">
        <v>61942816</v>
      </c>
      <c r="K32" s="23" t="s">
        <v>6752</v>
      </c>
      <c r="L32" s="22" t="s">
        <v>6753</v>
      </c>
      <c r="M32" s="24">
        <v>199900</v>
      </c>
      <c r="N32" s="35">
        <f t="shared" ref="N32" si="18">N31</f>
        <v>0.3</v>
      </c>
      <c r="O32" s="34">
        <f t="shared" si="1"/>
        <v>139930</v>
      </c>
      <c r="P32" s="32" t="str">
        <f t="shared" ref="P32" si="19">P31</f>
        <v>PERCENTAGE</v>
      </c>
    </row>
    <row r="33" spans="1:16" x14ac:dyDescent="0.35">
      <c r="A33" s="23" t="str">
        <f t="shared" si="4"/>
        <v>2025 OCT-NOV DISC 30%</v>
      </c>
      <c r="B33" s="33">
        <f t="shared" si="4"/>
        <v>46121</v>
      </c>
      <c r="C33" s="33">
        <f t="shared" si="4"/>
        <v>46127</v>
      </c>
      <c r="D33" s="32">
        <v>3281</v>
      </c>
      <c r="E33" s="32">
        <v>337</v>
      </c>
      <c r="F33" s="32">
        <v>4</v>
      </c>
      <c r="G33" s="23">
        <v>3</v>
      </c>
      <c r="H33" s="23">
        <v>81588</v>
      </c>
      <c r="I33" s="32" t="s">
        <v>17</v>
      </c>
      <c r="J33" s="22">
        <v>61942825</v>
      </c>
      <c r="K33" s="23" t="s">
        <v>6752</v>
      </c>
      <c r="L33" s="22" t="s">
        <v>6751</v>
      </c>
      <c r="M33" s="24">
        <v>199900</v>
      </c>
      <c r="N33" s="35">
        <f t="shared" ref="N33" si="20">N32</f>
        <v>0.3</v>
      </c>
      <c r="O33" s="34">
        <f t="shared" si="1"/>
        <v>139930</v>
      </c>
      <c r="P33" s="32" t="str">
        <f t="shared" ref="P33" si="21">P32</f>
        <v>PERCENTAGE</v>
      </c>
    </row>
    <row r="34" spans="1:16" x14ac:dyDescent="0.35">
      <c r="A34" s="23" t="str">
        <f t="shared" si="4"/>
        <v>2025 OCT-NOV DISC 30%</v>
      </c>
      <c r="B34" s="33">
        <f t="shared" si="4"/>
        <v>46121</v>
      </c>
      <c r="C34" s="33">
        <f t="shared" si="4"/>
        <v>46127</v>
      </c>
      <c r="D34" s="32">
        <v>3281</v>
      </c>
      <c r="E34" s="32">
        <v>337</v>
      </c>
      <c r="F34" s="32">
        <v>4</v>
      </c>
      <c r="G34" s="23">
        <v>4</v>
      </c>
      <c r="H34" s="23">
        <v>81679</v>
      </c>
      <c r="I34" s="32" t="s">
        <v>17</v>
      </c>
      <c r="J34" s="22">
        <v>61491625</v>
      </c>
      <c r="K34" s="23" t="s">
        <v>6747</v>
      </c>
      <c r="L34" s="22" t="s">
        <v>6750</v>
      </c>
      <c r="M34" s="24">
        <v>99900</v>
      </c>
      <c r="N34" s="35">
        <f t="shared" ref="N34" si="22">N33</f>
        <v>0.3</v>
      </c>
      <c r="O34" s="34">
        <f t="shared" si="1"/>
        <v>69930</v>
      </c>
      <c r="P34" s="32" t="str">
        <f t="shared" ref="P34" si="23">P33</f>
        <v>PERCENTAGE</v>
      </c>
    </row>
    <row r="35" spans="1:16" x14ac:dyDescent="0.35">
      <c r="A35" s="23" t="str">
        <f t="shared" si="4"/>
        <v>2025 OCT-NOV DISC 30%</v>
      </c>
      <c r="B35" s="33">
        <f t="shared" si="4"/>
        <v>46121</v>
      </c>
      <c r="C35" s="33">
        <f t="shared" si="4"/>
        <v>46127</v>
      </c>
      <c r="D35" s="32">
        <v>3281</v>
      </c>
      <c r="E35" s="32">
        <v>337</v>
      </c>
      <c r="F35" s="32">
        <v>4</v>
      </c>
      <c r="G35" s="23">
        <v>4</v>
      </c>
      <c r="H35" s="23">
        <v>81679</v>
      </c>
      <c r="I35" s="32" t="s">
        <v>17</v>
      </c>
      <c r="J35" s="22">
        <v>61491634</v>
      </c>
      <c r="K35" s="23" t="s">
        <v>6747</v>
      </c>
      <c r="L35" s="22" t="s">
        <v>6749</v>
      </c>
      <c r="M35" s="24">
        <v>99900</v>
      </c>
      <c r="N35" s="35">
        <f t="shared" ref="N35" si="24">N34</f>
        <v>0.3</v>
      </c>
      <c r="O35" s="34">
        <f t="shared" si="1"/>
        <v>69930</v>
      </c>
      <c r="P35" s="32" t="str">
        <f t="shared" ref="P35" si="25">P34</f>
        <v>PERCENTAGE</v>
      </c>
    </row>
    <row r="36" spans="1:16" x14ac:dyDescent="0.35">
      <c r="A36" s="23" t="str">
        <f t="shared" ref="A36:C37" si="26">A35</f>
        <v>2025 OCT-NOV DISC 30%</v>
      </c>
      <c r="B36" s="33">
        <f t="shared" si="26"/>
        <v>46121</v>
      </c>
      <c r="C36" s="33">
        <f t="shared" si="26"/>
        <v>46127</v>
      </c>
      <c r="D36" s="32">
        <v>3281</v>
      </c>
      <c r="E36" s="32">
        <v>337</v>
      </c>
      <c r="F36" s="32">
        <v>4</v>
      </c>
      <c r="G36" s="23">
        <v>4</v>
      </c>
      <c r="H36" s="23">
        <v>81679</v>
      </c>
      <c r="I36" s="32" t="s">
        <v>17</v>
      </c>
      <c r="J36" s="22">
        <v>61491643</v>
      </c>
      <c r="K36" s="23" t="s">
        <v>6747</v>
      </c>
      <c r="L36" s="22" t="s">
        <v>6748</v>
      </c>
      <c r="M36" s="24">
        <v>99900</v>
      </c>
      <c r="N36" s="35">
        <f t="shared" ref="N36" si="27">N35</f>
        <v>0.3</v>
      </c>
      <c r="O36" s="34">
        <f t="shared" si="1"/>
        <v>69930</v>
      </c>
      <c r="P36" s="32" t="str">
        <f t="shared" ref="P36" si="28">P35</f>
        <v>PERCENTAGE</v>
      </c>
    </row>
    <row r="37" spans="1:16" x14ac:dyDescent="0.35">
      <c r="A37" s="23" t="str">
        <f t="shared" si="26"/>
        <v>2025 OCT-NOV DISC 30%</v>
      </c>
      <c r="B37" s="33">
        <f t="shared" si="26"/>
        <v>46121</v>
      </c>
      <c r="C37" s="33">
        <f t="shared" si="26"/>
        <v>46127</v>
      </c>
      <c r="D37" s="32">
        <v>3281</v>
      </c>
      <c r="E37" s="32">
        <v>337</v>
      </c>
      <c r="F37" s="32">
        <v>4</v>
      </c>
      <c r="G37" s="23">
        <v>4</v>
      </c>
      <c r="H37" s="23">
        <v>81679</v>
      </c>
      <c r="I37" s="32" t="s">
        <v>17</v>
      </c>
      <c r="J37" s="22">
        <v>61491652</v>
      </c>
      <c r="K37" s="23" t="s">
        <v>6747</v>
      </c>
      <c r="L37" s="22" t="s">
        <v>6746</v>
      </c>
      <c r="M37" s="24">
        <v>99900</v>
      </c>
      <c r="N37" s="35">
        <f t="shared" ref="N37:N55" si="29">N36</f>
        <v>0.3</v>
      </c>
      <c r="O37" s="34">
        <f t="shared" si="1"/>
        <v>69930</v>
      </c>
      <c r="P37" s="32" t="str">
        <f t="shared" ref="P37:P55" si="30">P36</f>
        <v>PERCENTAGE</v>
      </c>
    </row>
    <row r="38" spans="1:16" x14ac:dyDescent="0.35">
      <c r="A38" s="23" t="str">
        <f t="shared" ref="A38:C38" si="31">A37</f>
        <v>2025 OCT-NOV DISC 30%</v>
      </c>
      <c r="B38" s="33">
        <f t="shared" si="31"/>
        <v>46121</v>
      </c>
      <c r="C38" s="33">
        <f t="shared" si="31"/>
        <v>46127</v>
      </c>
      <c r="D38" s="32">
        <v>3281</v>
      </c>
      <c r="E38" s="32">
        <v>337</v>
      </c>
      <c r="F38" s="32">
        <v>4</v>
      </c>
      <c r="G38" s="23">
        <v>4</v>
      </c>
      <c r="H38" s="23">
        <v>81588</v>
      </c>
      <c r="I38" s="32" t="s">
        <v>17</v>
      </c>
      <c r="J38" s="22">
        <v>61918905</v>
      </c>
      <c r="K38" s="23" t="s">
        <v>7008</v>
      </c>
      <c r="L38" s="22" t="s">
        <v>7009</v>
      </c>
      <c r="M38" s="24">
        <v>149900</v>
      </c>
      <c r="N38" s="35">
        <f t="shared" si="29"/>
        <v>0.3</v>
      </c>
      <c r="O38" s="34">
        <f t="shared" ref="O38:O55" si="32">M38-((30*M38)/100)</f>
        <v>104930</v>
      </c>
      <c r="P38" s="32" t="str">
        <f t="shared" si="30"/>
        <v>PERCENTAGE</v>
      </c>
    </row>
    <row r="39" spans="1:16" x14ac:dyDescent="0.35">
      <c r="A39" s="23" t="str">
        <f t="shared" ref="A39:C39" si="33">A38</f>
        <v>2025 OCT-NOV DISC 30%</v>
      </c>
      <c r="B39" s="33">
        <f t="shared" si="33"/>
        <v>46121</v>
      </c>
      <c r="C39" s="33">
        <f t="shared" si="33"/>
        <v>46127</v>
      </c>
      <c r="D39" s="32">
        <v>3281</v>
      </c>
      <c r="E39" s="32">
        <v>337</v>
      </c>
      <c r="F39" s="32">
        <v>4</v>
      </c>
      <c r="G39" s="23">
        <v>4</v>
      </c>
      <c r="H39" s="23">
        <v>81588</v>
      </c>
      <c r="I39" s="32" t="s">
        <v>17</v>
      </c>
      <c r="J39" s="22">
        <v>61918914</v>
      </c>
      <c r="K39" s="23" t="s">
        <v>7008</v>
      </c>
      <c r="L39" s="22" t="s">
        <v>7010</v>
      </c>
      <c r="M39" s="24">
        <v>149900</v>
      </c>
      <c r="N39" s="35">
        <f t="shared" si="29"/>
        <v>0.3</v>
      </c>
      <c r="O39" s="34">
        <f t="shared" si="32"/>
        <v>104930</v>
      </c>
      <c r="P39" s="32" t="str">
        <f t="shared" si="30"/>
        <v>PERCENTAGE</v>
      </c>
    </row>
    <row r="40" spans="1:16" x14ac:dyDescent="0.35">
      <c r="A40" s="23" t="str">
        <f t="shared" ref="A40:C40" si="34">A39</f>
        <v>2025 OCT-NOV DISC 30%</v>
      </c>
      <c r="B40" s="33">
        <f t="shared" si="34"/>
        <v>46121</v>
      </c>
      <c r="C40" s="33">
        <f t="shared" si="34"/>
        <v>46127</v>
      </c>
      <c r="D40" s="32">
        <v>3281</v>
      </c>
      <c r="E40" s="32">
        <v>337</v>
      </c>
      <c r="F40" s="32">
        <v>4</v>
      </c>
      <c r="G40" s="23">
        <v>4</v>
      </c>
      <c r="H40" s="23">
        <v>81574</v>
      </c>
      <c r="I40" s="32" t="s">
        <v>17</v>
      </c>
      <c r="J40" s="22">
        <v>61077118</v>
      </c>
      <c r="K40" s="23" t="s">
        <v>7011</v>
      </c>
      <c r="L40" s="22" t="s">
        <v>7012</v>
      </c>
      <c r="M40" s="24">
        <v>229900</v>
      </c>
      <c r="N40" s="35">
        <f t="shared" si="29"/>
        <v>0.3</v>
      </c>
      <c r="O40" s="34">
        <f t="shared" si="32"/>
        <v>160930</v>
      </c>
      <c r="P40" s="32" t="str">
        <f t="shared" si="30"/>
        <v>PERCENTAGE</v>
      </c>
    </row>
    <row r="41" spans="1:16" x14ac:dyDescent="0.35">
      <c r="A41" s="23" t="str">
        <f t="shared" ref="A41:C41" si="35">A40</f>
        <v>2025 OCT-NOV DISC 30%</v>
      </c>
      <c r="B41" s="33">
        <f t="shared" si="35"/>
        <v>46121</v>
      </c>
      <c r="C41" s="33">
        <f t="shared" si="35"/>
        <v>46127</v>
      </c>
      <c r="D41" s="32">
        <v>3281</v>
      </c>
      <c r="E41" s="32">
        <v>337</v>
      </c>
      <c r="F41" s="32">
        <v>4</v>
      </c>
      <c r="G41" s="23">
        <v>4</v>
      </c>
      <c r="H41" s="23">
        <v>81574</v>
      </c>
      <c r="I41" s="32" t="s">
        <v>17</v>
      </c>
      <c r="J41" s="22">
        <v>61077127</v>
      </c>
      <c r="K41" s="23" t="s">
        <v>7011</v>
      </c>
      <c r="L41" s="22" t="s">
        <v>7013</v>
      </c>
      <c r="M41" s="24">
        <v>229900</v>
      </c>
      <c r="N41" s="35">
        <f t="shared" si="29"/>
        <v>0.3</v>
      </c>
      <c r="O41" s="34">
        <f t="shared" si="32"/>
        <v>160930</v>
      </c>
      <c r="P41" s="32" t="str">
        <f t="shared" si="30"/>
        <v>PERCENTAGE</v>
      </c>
    </row>
    <row r="42" spans="1:16" x14ac:dyDescent="0.35">
      <c r="A42" s="23" t="str">
        <f t="shared" ref="A42:C42" si="36">A41</f>
        <v>2025 OCT-NOV DISC 30%</v>
      </c>
      <c r="B42" s="33">
        <f t="shared" si="36"/>
        <v>46121</v>
      </c>
      <c r="C42" s="33">
        <f t="shared" si="36"/>
        <v>46127</v>
      </c>
      <c r="D42" s="32">
        <v>3281</v>
      </c>
      <c r="E42" s="32">
        <v>337</v>
      </c>
      <c r="F42" s="32">
        <v>4</v>
      </c>
      <c r="G42" s="23">
        <v>4</v>
      </c>
      <c r="H42" s="23">
        <v>81574</v>
      </c>
      <c r="I42" s="32" t="s">
        <v>17</v>
      </c>
      <c r="J42" s="22">
        <v>61077136</v>
      </c>
      <c r="K42" s="23" t="s">
        <v>7011</v>
      </c>
      <c r="L42" s="22" t="s">
        <v>7014</v>
      </c>
      <c r="M42" s="24">
        <v>229900</v>
      </c>
      <c r="N42" s="35">
        <f t="shared" si="29"/>
        <v>0.3</v>
      </c>
      <c r="O42" s="34">
        <f t="shared" si="32"/>
        <v>160930</v>
      </c>
      <c r="P42" s="32" t="str">
        <f t="shared" si="30"/>
        <v>PERCENTAGE</v>
      </c>
    </row>
    <row r="43" spans="1:16" x14ac:dyDescent="0.35">
      <c r="A43" s="23" t="str">
        <f t="shared" ref="A43:C43" si="37">A42</f>
        <v>2025 OCT-NOV DISC 30%</v>
      </c>
      <c r="B43" s="33">
        <f t="shared" si="37"/>
        <v>46121</v>
      </c>
      <c r="C43" s="33">
        <f t="shared" si="37"/>
        <v>46127</v>
      </c>
      <c r="D43" s="32">
        <v>3281</v>
      </c>
      <c r="E43" s="32">
        <v>337</v>
      </c>
      <c r="F43" s="32">
        <v>4</v>
      </c>
      <c r="G43" s="23">
        <v>4</v>
      </c>
      <c r="H43" s="23">
        <v>81574</v>
      </c>
      <c r="I43" s="32" t="s">
        <v>17</v>
      </c>
      <c r="J43" s="22">
        <v>61077145</v>
      </c>
      <c r="K43" s="23" t="s">
        <v>7011</v>
      </c>
      <c r="L43" s="22" t="s">
        <v>7015</v>
      </c>
      <c r="M43" s="24">
        <v>229900</v>
      </c>
      <c r="N43" s="35">
        <f t="shared" si="29"/>
        <v>0.3</v>
      </c>
      <c r="O43" s="34">
        <f t="shared" si="32"/>
        <v>160930</v>
      </c>
      <c r="P43" s="32" t="str">
        <f t="shared" si="30"/>
        <v>PERCENTAGE</v>
      </c>
    </row>
    <row r="44" spans="1:16" x14ac:dyDescent="0.35">
      <c r="A44" s="23" t="str">
        <f t="shared" ref="A44:C44" si="38">A43</f>
        <v>2025 OCT-NOV DISC 30%</v>
      </c>
      <c r="B44" s="33">
        <f t="shared" si="38"/>
        <v>46121</v>
      </c>
      <c r="C44" s="33">
        <f t="shared" si="38"/>
        <v>46127</v>
      </c>
      <c r="D44" s="32">
        <v>3281</v>
      </c>
      <c r="E44" s="32">
        <v>337</v>
      </c>
      <c r="F44" s="32">
        <v>4</v>
      </c>
      <c r="G44" s="23">
        <v>5</v>
      </c>
      <c r="H44" s="23">
        <v>81588</v>
      </c>
      <c r="I44" s="32" t="s">
        <v>17</v>
      </c>
      <c r="J44" s="22">
        <v>61942674</v>
      </c>
      <c r="K44" s="23" t="s">
        <v>7016</v>
      </c>
      <c r="L44" s="22" t="s">
        <v>7017</v>
      </c>
      <c r="M44" s="24">
        <v>179900</v>
      </c>
      <c r="N44" s="35">
        <f t="shared" si="29"/>
        <v>0.3</v>
      </c>
      <c r="O44" s="34">
        <f t="shared" si="32"/>
        <v>125930</v>
      </c>
      <c r="P44" s="32" t="str">
        <f t="shared" si="30"/>
        <v>PERCENTAGE</v>
      </c>
    </row>
    <row r="45" spans="1:16" x14ac:dyDescent="0.35">
      <c r="A45" s="23" t="str">
        <f t="shared" ref="A45:C45" si="39">A44</f>
        <v>2025 OCT-NOV DISC 30%</v>
      </c>
      <c r="B45" s="33">
        <f t="shared" si="39"/>
        <v>46121</v>
      </c>
      <c r="C45" s="33">
        <f t="shared" si="39"/>
        <v>46127</v>
      </c>
      <c r="D45" s="32">
        <v>3281</v>
      </c>
      <c r="E45" s="32">
        <v>337</v>
      </c>
      <c r="F45" s="32">
        <v>4</v>
      </c>
      <c r="G45" s="23">
        <v>5</v>
      </c>
      <c r="H45" s="23">
        <v>81588</v>
      </c>
      <c r="I45" s="32" t="s">
        <v>17</v>
      </c>
      <c r="J45" s="22">
        <v>61942683</v>
      </c>
      <c r="K45" s="23" t="s">
        <v>7016</v>
      </c>
      <c r="L45" s="22" t="s">
        <v>7018</v>
      </c>
      <c r="M45" s="24">
        <v>179900</v>
      </c>
      <c r="N45" s="35">
        <f t="shared" si="29"/>
        <v>0.3</v>
      </c>
      <c r="O45" s="34">
        <f t="shared" si="32"/>
        <v>125930</v>
      </c>
      <c r="P45" s="32" t="str">
        <f t="shared" si="30"/>
        <v>PERCENTAGE</v>
      </c>
    </row>
    <row r="46" spans="1:16" x14ac:dyDescent="0.35">
      <c r="A46" s="23" t="str">
        <f t="shared" ref="A46:C46" si="40">A45</f>
        <v>2025 OCT-NOV DISC 30%</v>
      </c>
      <c r="B46" s="33">
        <f t="shared" si="40"/>
        <v>46121</v>
      </c>
      <c r="C46" s="33">
        <f t="shared" si="40"/>
        <v>46127</v>
      </c>
      <c r="D46" s="32">
        <v>3281</v>
      </c>
      <c r="E46" s="32">
        <v>337</v>
      </c>
      <c r="F46" s="32">
        <v>4</v>
      </c>
      <c r="G46" s="23">
        <v>5</v>
      </c>
      <c r="H46" s="23">
        <v>81588</v>
      </c>
      <c r="I46" s="32" t="s">
        <v>17</v>
      </c>
      <c r="J46" s="22">
        <v>61942692</v>
      </c>
      <c r="K46" s="23" t="s">
        <v>7016</v>
      </c>
      <c r="L46" s="22" t="s">
        <v>7019</v>
      </c>
      <c r="M46" s="24">
        <v>179900</v>
      </c>
      <c r="N46" s="35">
        <f t="shared" si="29"/>
        <v>0.3</v>
      </c>
      <c r="O46" s="34">
        <f t="shared" si="32"/>
        <v>125930</v>
      </c>
      <c r="P46" s="32" t="str">
        <f t="shared" si="30"/>
        <v>PERCENTAGE</v>
      </c>
    </row>
    <row r="47" spans="1:16" x14ac:dyDescent="0.35">
      <c r="A47" s="23" t="str">
        <f t="shared" ref="A47:C47" si="41">A46</f>
        <v>2025 OCT-NOV DISC 30%</v>
      </c>
      <c r="B47" s="33">
        <f t="shared" si="41"/>
        <v>46121</v>
      </c>
      <c r="C47" s="33">
        <f t="shared" si="41"/>
        <v>46127</v>
      </c>
      <c r="D47" s="32">
        <v>3281</v>
      </c>
      <c r="E47" s="32">
        <v>337</v>
      </c>
      <c r="F47" s="32">
        <v>4</v>
      </c>
      <c r="G47" s="23">
        <v>5</v>
      </c>
      <c r="H47" s="23">
        <v>81588</v>
      </c>
      <c r="I47" s="32" t="s">
        <v>17</v>
      </c>
      <c r="J47" s="22">
        <v>61942709</v>
      </c>
      <c r="K47" s="23" t="s">
        <v>7016</v>
      </c>
      <c r="L47" s="22" t="s">
        <v>7020</v>
      </c>
      <c r="M47" s="24">
        <v>179900</v>
      </c>
      <c r="N47" s="35">
        <f t="shared" si="29"/>
        <v>0.3</v>
      </c>
      <c r="O47" s="34">
        <f t="shared" si="32"/>
        <v>125930</v>
      </c>
      <c r="P47" s="32" t="str">
        <f t="shared" si="30"/>
        <v>PERCENTAGE</v>
      </c>
    </row>
    <row r="48" spans="1:16" x14ac:dyDescent="0.35">
      <c r="A48" s="23" t="str">
        <f t="shared" ref="A48:C48" si="42">A47</f>
        <v>2025 OCT-NOV DISC 30%</v>
      </c>
      <c r="B48" s="33">
        <f t="shared" si="42"/>
        <v>46121</v>
      </c>
      <c r="C48" s="33">
        <f t="shared" si="42"/>
        <v>46127</v>
      </c>
      <c r="D48" s="32">
        <v>3281</v>
      </c>
      <c r="E48" s="32">
        <v>337</v>
      </c>
      <c r="F48" s="32">
        <v>4</v>
      </c>
      <c r="G48" s="23">
        <v>5</v>
      </c>
      <c r="H48" s="23">
        <v>81847</v>
      </c>
      <c r="I48" s="32" t="s">
        <v>17</v>
      </c>
      <c r="J48" s="22">
        <v>61077190</v>
      </c>
      <c r="K48" s="23" t="s">
        <v>7021</v>
      </c>
      <c r="L48" s="22" t="s">
        <v>7022</v>
      </c>
      <c r="M48" s="24">
        <v>179900</v>
      </c>
      <c r="N48" s="35">
        <f t="shared" si="29"/>
        <v>0.3</v>
      </c>
      <c r="O48" s="34">
        <f t="shared" si="32"/>
        <v>125930</v>
      </c>
      <c r="P48" s="32" t="str">
        <f t="shared" si="30"/>
        <v>PERCENTAGE</v>
      </c>
    </row>
    <row r="49" spans="1:16" x14ac:dyDescent="0.35">
      <c r="A49" s="23" t="str">
        <f t="shared" ref="A49:C49" si="43">A48</f>
        <v>2025 OCT-NOV DISC 30%</v>
      </c>
      <c r="B49" s="33">
        <f t="shared" si="43"/>
        <v>46121</v>
      </c>
      <c r="C49" s="33">
        <f t="shared" si="43"/>
        <v>46127</v>
      </c>
      <c r="D49" s="32">
        <v>3281</v>
      </c>
      <c r="E49" s="32">
        <v>337</v>
      </c>
      <c r="F49" s="32">
        <v>4</v>
      </c>
      <c r="G49" s="23">
        <v>5</v>
      </c>
      <c r="H49" s="23">
        <v>81847</v>
      </c>
      <c r="I49" s="32" t="s">
        <v>17</v>
      </c>
      <c r="J49" s="22">
        <v>61077207</v>
      </c>
      <c r="K49" s="23" t="s">
        <v>7021</v>
      </c>
      <c r="L49" s="22" t="s">
        <v>7023</v>
      </c>
      <c r="M49" s="24">
        <v>179900</v>
      </c>
      <c r="N49" s="35">
        <f t="shared" si="29"/>
        <v>0.3</v>
      </c>
      <c r="O49" s="34">
        <f t="shared" si="32"/>
        <v>125930</v>
      </c>
      <c r="P49" s="32" t="str">
        <f t="shared" si="30"/>
        <v>PERCENTAGE</v>
      </c>
    </row>
    <row r="50" spans="1:16" x14ac:dyDescent="0.35">
      <c r="A50" s="23" t="str">
        <f t="shared" ref="A50:C50" si="44">A49</f>
        <v>2025 OCT-NOV DISC 30%</v>
      </c>
      <c r="B50" s="33">
        <f t="shared" si="44"/>
        <v>46121</v>
      </c>
      <c r="C50" s="33">
        <f t="shared" si="44"/>
        <v>46127</v>
      </c>
      <c r="D50" s="32">
        <v>3281</v>
      </c>
      <c r="E50" s="32">
        <v>337</v>
      </c>
      <c r="F50" s="32">
        <v>4</v>
      </c>
      <c r="G50" s="23">
        <v>5</v>
      </c>
      <c r="H50" s="23">
        <v>81847</v>
      </c>
      <c r="I50" s="32" t="s">
        <v>17</v>
      </c>
      <c r="J50" s="22">
        <v>61077216</v>
      </c>
      <c r="K50" s="23" t="s">
        <v>7021</v>
      </c>
      <c r="L50" s="22" t="s">
        <v>7024</v>
      </c>
      <c r="M50" s="24">
        <v>179900</v>
      </c>
      <c r="N50" s="35">
        <f t="shared" si="29"/>
        <v>0.3</v>
      </c>
      <c r="O50" s="34">
        <f t="shared" si="32"/>
        <v>125930</v>
      </c>
      <c r="P50" s="32" t="str">
        <f t="shared" si="30"/>
        <v>PERCENTAGE</v>
      </c>
    </row>
    <row r="51" spans="1:16" x14ac:dyDescent="0.35">
      <c r="A51" s="23" t="str">
        <f t="shared" ref="A51:C51" si="45">A50</f>
        <v>2025 OCT-NOV DISC 30%</v>
      </c>
      <c r="B51" s="33">
        <f t="shared" si="45"/>
        <v>46121</v>
      </c>
      <c r="C51" s="33">
        <f t="shared" si="45"/>
        <v>46127</v>
      </c>
      <c r="D51" s="32">
        <v>3281</v>
      </c>
      <c r="E51" s="32">
        <v>337</v>
      </c>
      <c r="F51" s="32">
        <v>4</v>
      </c>
      <c r="G51" s="23">
        <v>5</v>
      </c>
      <c r="H51" s="23">
        <v>81847</v>
      </c>
      <c r="I51" s="32" t="s">
        <v>17</v>
      </c>
      <c r="J51" s="22">
        <v>61077225</v>
      </c>
      <c r="K51" s="23" t="s">
        <v>7021</v>
      </c>
      <c r="L51" s="22" t="s">
        <v>7025</v>
      </c>
      <c r="M51" s="24">
        <v>179900</v>
      </c>
      <c r="N51" s="35">
        <f t="shared" si="29"/>
        <v>0.3</v>
      </c>
      <c r="O51" s="34">
        <f t="shared" si="32"/>
        <v>125930</v>
      </c>
      <c r="P51" s="32" t="str">
        <f t="shared" si="30"/>
        <v>PERCENTAGE</v>
      </c>
    </row>
    <row r="52" spans="1:16" x14ac:dyDescent="0.35">
      <c r="A52" s="23" t="str">
        <f t="shared" ref="A52:C52" si="46">A51</f>
        <v>2025 OCT-NOV DISC 30%</v>
      </c>
      <c r="B52" s="33">
        <f t="shared" si="46"/>
        <v>46121</v>
      </c>
      <c r="C52" s="33">
        <f t="shared" si="46"/>
        <v>46127</v>
      </c>
      <c r="D52" s="32">
        <v>3281</v>
      </c>
      <c r="E52" s="32">
        <v>337</v>
      </c>
      <c r="F52" s="32">
        <v>4</v>
      </c>
      <c r="G52" s="23">
        <v>5</v>
      </c>
      <c r="H52" s="23">
        <v>81679</v>
      </c>
      <c r="I52" s="32" t="s">
        <v>17</v>
      </c>
      <c r="J52" s="22">
        <v>61942754</v>
      </c>
      <c r="K52" s="23" t="s">
        <v>6742</v>
      </c>
      <c r="L52" s="22" t="s">
        <v>6745</v>
      </c>
      <c r="M52" s="24">
        <v>149900</v>
      </c>
      <c r="N52" s="35">
        <f t="shared" si="29"/>
        <v>0.3</v>
      </c>
      <c r="O52" s="34">
        <f t="shared" si="32"/>
        <v>104930</v>
      </c>
      <c r="P52" s="32" t="str">
        <f t="shared" si="30"/>
        <v>PERCENTAGE</v>
      </c>
    </row>
    <row r="53" spans="1:16" x14ac:dyDescent="0.35">
      <c r="A53" s="23" t="str">
        <f t="shared" ref="A53:C53" si="47">A52</f>
        <v>2025 OCT-NOV DISC 30%</v>
      </c>
      <c r="B53" s="33">
        <f t="shared" si="47"/>
        <v>46121</v>
      </c>
      <c r="C53" s="33">
        <f t="shared" si="47"/>
        <v>46127</v>
      </c>
      <c r="D53" s="32">
        <v>3281</v>
      </c>
      <c r="E53" s="32">
        <v>337</v>
      </c>
      <c r="F53" s="32">
        <v>4</v>
      </c>
      <c r="G53" s="23">
        <v>5</v>
      </c>
      <c r="H53" s="23">
        <v>81679</v>
      </c>
      <c r="I53" s="32" t="s">
        <v>17</v>
      </c>
      <c r="J53" s="22">
        <v>61942763</v>
      </c>
      <c r="K53" s="23" t="s">
        <v>6742</v>
      </c>
      <c r="L53" s="22" t="s">
        <v>6744</v>
      </c>
      <c r="M53" s="24">
        <v>149900</v>
      </c>
      <c r="N53" s="35">
        <f t="shared" si="29"/>
        <v>0.3</v>
      </c>
      <c r="O53" s="34">
        <f t="shared" si="32"/>
        <v>104930</v>
      </c>
      <c r="P53" s="32" t="str">
        <f t="shared" si="30"/>
        <v>PERCENTAGE</v>
      </c>
    </row>
    <row r="54" spans="1:16" x14ac:dyDescent="0.35">
      <c r="A54" s="23" t="str">
        <f t="shared" ref="A54:C54" si="48">A53</f>
        <v>2025 OCT-NOV DISC 30%</v>
      </c>
      <c r="B54" s="33">
        <f t="shared" si="48"/>
        <v>46121</v>
      </c>
      <c r="C54" s="33">
        <f t="shared" si="48"/>
        <v>46127</v>
      </c>
      <c r="D54" s="32">
        <v>3281</v>
      </c>
      <c r="E54" s="32">
        <v>337</v>
      </c>
      <c r="F54" s="32">
        <v>4</v>
      </c>
      <c r="G54" s="23">
        <v>5</v>
      </c>
      <c r="H54" s="23">
        <v>81679</v>
      </c>
      <c r="I54" s="32" t="s">
        <v>17</v>
      </c>
      <c r="J54" s="22">
        <v>61942772</v>
      </c>
      <c r="K54" s="23" t="s">
        <v>6742</v>
      </c>
      <c r="L54" s="22" t="s">
        <v>6743</v>
      </c>
      <c r="M54" s="24">
        <v>149900</v>
      </c>
      <c r="N54" s="35">
        <f t="shared" si="29"/>
        <v>0.3</v>
      </c>
      <c r="O54" s="34">
        <f t="shared" si="32"/>
        <v>104930</v>
      </c>
      <c r="P54" s="32" t="str">
        <f t="shared" si="30"/>
        <v>PERCENTAGE</v>
      </c>
    </row>
    <row r="55" spans="1:16" x14ac:dyDescent="0.35">
      <c r="A55" s="23" t="str">
        <f t="shared" ref="A55:C55" si="49">A54</f>
        <v>2025 OCT-NOV DISC 30%</v>
      </c>
      <c r="B55" s="33">
        <f t="shared" si="49"/>
        <v>46121</v>
      </c>
      <c r="C55" s="33">
        <f t="shared" si="49"/>
        <v>46127</v>
      </c>
      <c r="D55" s="32">
        <v>3281</v>
      </c>
      <c r="E55" s="32">
        <v>337</v>
      </c>
      <c r="F55" s="32">
        <v>4</v>
      </c>
      <c r="G55" s="23">
        <v>5</v>
      </c>
      <c r="H55" s="23">
        <v>81679</v>
      </c>
      <c r="I55" s="32" t="s">
        <v>17</v>
      </c>
      <c r="J55" s="22">
        <v>61942781</v>
      </c>
      <c r="K55" s="23" t="s">
        <v>6742</v>
      </c>
      <c r="L55" s="22" t="s">
        <v>6741</v>
      </c>
      <c r="M55" s="24">
        <v>149900</v>
      </c>
      <c r="N55" s="35">
        <f t="shared" si="29"/>
        <v>0.3</v>
      </c>
      <c r="O55" s="34">
        <f t="shared" si="32"/>
        <v>104930</v>
      </c>
      <c r="P55" s="32" t="str">
        <f t="shared" si="30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26:J37">
    <cfRule type="duplicateValues" dxfId="16" priority="72"/>
  </conditionalFormatting>
  <conditionalFormatting sqref="J38:J1048576 J1">
    <cfRule type="duplicateValues" dxfId="15" priority="4"/>
  </conditionalFormatting>
  <pageMargins left="0.7" right="0.7" top="0.75" bottom="0.75" header="0.3" footer="0.3"/>
  <pageSetup paperSize="9" orientation="portrait" horizontalDpi="0" verticalDpi="0"/>
  <ignoredErrors>
    <ignoredError sqref="O3:O37 O38:O55" formula="1"/>
  </ignoredErrors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F154-CD4D-4CC7-8306-097959B20A69}">
  <dimension ref="A1:P70"/>
  <sheetViews>
    <sheetView zoomScale="59" zoomScaleNormal="100" workbookViewId="0">
      <pane ySplit="1" topLeftCell="A62" activePane="bottomLeft" state="frozen"/>
      <selection activeCell="F18" sqref="F18"/>
      <selection pane="bottomLeft" activeCell="R15" sqref="R15"/>
    </sheetView>
  </sheetViews>
  <sheetFormatPr defaultColWidth="8.81640625" defaultRowHeight="14.5" x14ac:dyDescent="0.35"/>
  <cols>
    <col min="1" max="1" width="27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5.90625" style="37" customWidth="1"/>
    <col min="14" max="14" width="8.81640625" style="26" customWidth="1"/>
    <col min="15" max="15" width="17.906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6994</v>
      </c>
      <c r="B2" s="33">
        <f>'2025 HILITE D80 - 3321'!B6</f>
        <v>46121</v>
      </c>
      <c r="C2" s="33">
        <f>'2025 HILITE D80 - 3321'!C6</f>
        <v>46127</v>
      </c>
      <c r="D2" s="32">
        <v>3281</v>
      </c>
      <c r="E2" s="32">
        <v>337</v>
      </c>
      <c r="F2" s="32">
        <v>4</v>
      </c>
      <c r="G2" s="23">
        <v>1</v>
      </c>
      <c r="H2" s="23">
        <v>81146</v>
      </c>
      <c r="I2" s="32" t="s">
        <v>17</v>
      </c>
      <c r="J2" s="22">
        <v>55620345</v>
      </c>
      <c r="K2" s="22" t="s">
        <v>5960</v>
      </c>
      <c r="L2" s="22" t="s">
        <v>5961</v>
      </c>
      <c r="M2" s="40">
        <v>129900</v>
      </c>
      <c r="N2" s="64" t="s">
        <v>2569</v>
      </c>
      <c r="O2" s="34" t="s">
        <v>2577</v>
      </c>
      <c r="P2" s="32" t="s">
        <v>2569</v>
      </c>
    </row>
    <row r="3" spans="1:16" x14ac:dyDescent="0.35">
      <c r="A3" s="32" t="str">
        <f>A2</f>
        <v>2025 JUL-SEPT B1G1</v>
      </c>
      <c r="B3" s="33">
        <f>B2</f>
        <v>46121</v>
      </c>
      <c r="C3" s="33">
        <f>C2</f>
        <v>46127</v>
      </c>
      <c r="D3" s="32">
        <v>3281</v>
      </c>
      <c r="E3" s="32">
        <v>337</v>
      </c>
      <c r="F3" s="32">
        <v>4</v>
      </c>
      <c r="G3" s="23">
        <v>1</v>
      </c>
      <c r="H3" s="23">
        <v>81146</v>
      </c>
      <c r="I3" s="32" t="s">
        <v>17</v>
      </c>
      <c r="J3" s="22">
        <v>55620354</v>
      </c>
      <c r="K3" s="22" t="s">
        <v>5960</v>
      </c>
      <c r="L3" s="22" t="s">
        <v>5962</v>
      </c>
      <c r="M3" s="40">
        <v>129900</v>
      </c>
      <c r="N3" s="64" t="s">
        <v>2569</v>
      </c>
      <c r="O3" s="34" t="str">
        <f t="shared" ref="O3:O65" si="0">O2</f>
        <v>B1G1</v>
      </c>
      <c r="P3" s="32" t="s">
        <v>2569</v>
      </c>
    </row>
    <row r="4" spans="1:16" x14ac:dyDescent="0.35">
      <c r="A4" s="32" t="str">
        <f t="shared" ref="A4:A65" si="1">A3</f>
        <v>2025 JUL-SEPT B1G1</v>
      </c>
      <c r="B4" s="33">
        <f t="shared" ref="B4:B65" si="2">B3</f>
        <v>46121</v>
      </c>
      <c r="C4" s="33">
        <f t="shared" ref="C4:C65" si="3">C3</f>
        <v>46127</v>
      </c>
      <c r="D4" s="32">
        <v>3281</v>
      </c>
      <c r="E4" s="32">
        <v>337</v>
      </c>
      <c r="F4" s="32">
        <v>4</v>
      </c>
      <c r="G4" s="23">
        <v>1</v>
      </c>
      <c r="H4" s="23">
        <v>81588</v>
      </c>
      <c r="I4" s="32" t="s">
        <v>17</v>
      </c>
      <c r="J4" s="22">
        <v>54822003</v>
      </c>
      <c r="K4" s="22" t="s">
        <v>5815</v>
      </c>
      <c r="L4" s="22" t="s">
        <v>5817</v>
      </c>
      <c r="M4" s="40">
        <v>99900</v>
      </c>
      <c r="N4" s="64" t="s">
        <v>2569</v>
      </c>
      <c r="O4" s="34" t="str">
        <f t="shared" si="0"/>
        <v>B1G1</v>
      </c>
      <c r="P4" s="32" t="s">
        <v>2569</v>
      </c>
    </row>
    <row r="5" spans="1:16" x14ac:dyDescent="0.35">
      <c r="A5" s="32" t="str">
        <f t="shared" si="1"/>
        <v>2025 JUL-SEPT B1G1</v>
      </c>
      <c r="B5" s="33">
        <f t="shared" si="2"/>
        <v>46121</v>
      </c>
      <c r="C5" s="33">
        <f t="shared" si="3"/>
        <v>46127</v>
      </c>
      <c r="D5" s="32">
        <v>3281</v>
      </c>
      <c r="E5" s="32">
        <v>337</v>
      </c>
      <c r="F5" s="32">
        <v>4</v>
      </c>
      <c r="G5" s="23">
        <v>1</v>
      </c>
      <c r="H5" s="23">
        <v>81588</v>
      </c>
      <c r="I5" s="32" t="s">
        <v>17</v>
      </c>
      <c r="J5" s="22">
        <v>54822012</v>
      </c>
      <c r="K5" s="22" t="s">
        <v>5815</v>
      </c>
      <c r="L5" s="22" t="s">
        <v>5821</v>
      </c>
      <c r="M5" s="40">
        <v>99900</v>
      </c>
      <c r="N5" s="64" t="s">
        <v>2569</v>
      </c>
      <c r="O5" s="34" t="str">
        <f t="shared" si="0"/>
        <v>B1G1</v>
      </c>
      <c r="P5" s="32" t="s">
        <v>2569</v>
      </c>
    </row>
    <row r="6" spans="1:16" x14ac:dyDescent="0.35">
      <c r="A6" s="32" t="str">
        <f t="shared" si="1"/>
        <v>2025 JUL-SEPT B1G1</v>
      </c>
      <c r="B6" s="33">
        <f t="shared" si="2"/>
        <v>46121</v>
      </c>
      <c r="C6" s="33">
        <f t="shared" si="3"/>
        <v>46127</v>
      </c>
      <c r="D6" s="32">
        <v>3281</v>
      </c>
      <c r="E6" s="32">
        <v>337</v>
      </c>
      <c r="F6" s="32">
        <v>4</v>
      </c>
      <c r="G6" s="23">
        <v>1</v>
      </c>
      <c r="H6" s="23">
        <v>81588</v>
      </c>
      <c r="I6" s="32" t="s">
        <v>17</v>
      </c>
      <c r="J6" s="22">
        <v>54822021</v>
      </c>
      <c r="K6" s="22" t="s">
        <v>5815</v>
      </c>
      <c r="L6" s="22" t="s">
        <v>5816</v>
      </c>
      <c r="M6" s="40">
        <v>99900</v>
      </c>
      <c r="N6" s="64" t="s">
        <v>2569</v>
      </c>
      <c r="O6" s="34" t="str">
        <f t="shared" si="0"/>
        <v>B1G1</v>
      </c>
      <c r="P6" s="32" t="s">
        <v>2569</v>
      </c>
    </row>
    <row r="7" spans="1:16" x14ac:dyDescent="0.35">
      <c r="A7" s="32" t="str">
        <f t="shared" si="1"/>
        <v>2025 JUL-SEPT B1G1</v>
      </c>
      <c r="B7" s="33">
        <f t="shared" si="2"/>
        <v>46121</v>
      </c>
      <c r="C7" s="33">
        <f t="shared" si="3"/>
        <v>46127</v>
      </c>
      <c r="D7" s="32">
        <v>3281</v>
      </c>
      <c r="E7" s="32">
        <v>337</v>
      </c>
      <c r="F7" s="32">
        <v>4</v>
      </c>
      <c r="G7" s="23">
        <v>1</v>
      </c>
      <c r="H7" s="23">
        <v>81588</v>
      </c>
      <c r="I7" s="32" t="s">
        <v>17</v>
      </c>
      <c r="J7" s="22">
        <v>54822030</v>
      </c>
      <c r="K7" s="22" t="s">
        <v>5815</v>
      </c>
      <c r="L7" s="22" t="s">
        <v>5819</v>
      </c>
      <c r="M7" s="40">
        <v>99900</v>
      </c>
      <c r="N7" s="64" t="s">
        <v>2569</v>
      </c>
      <c r="O7" s="34" t="str">
        <f t="shared" si="0"/>
        <v>B1G1</v>
      </c>
      <c r="P7" s="32" t="s">
        <v>2569</v>
      </c>
    </row>
    <row r="8" spans="1:16" x14ac:dyDescent="0.35">
      <c r="A8" s="32" t="str">
        <f t="shared" si="1"/>
        <v>2025 JUL-SEPT B1G1</v>
      </c>
      <c r="B8" s="33">
        <f t="shared" si="2"/>
        <v>46121</v>
      </c>
      <c r="C8" s="33">
        <f t="shared" si="3"/>
        <v>46127</v>
      </c>
      <c r="D8" s="32">
        <v>3281</v>
      </c>
      <c r="E8" s="32">
        <v>337</v>
      </c>
      <c r="F8" s="32">
        <v>4</v>
      </c>
      <c r="G8" s="23">
        <v>1</v>
      </c>
      <c r="H8" s="23">
        <v>81588</v>
      </c>
      <c r="I8" s="32" t="s">
        <v>17</v>
      </c>
      <c r="J8" s="22">
        <v>54822085</v>
      </c>
      <c r="K8" s="22" t="s">
        <v>5921</v>
      </c>
      <c r="L8" s="22" t="s">
        <v>5923</v>
      </c>
      <c r="M8" s="40">
        <v>99900</v>
      </c>
      <c r="N8" s="64" t="s">
        <v>2569</v>
      </c>
      <c r="O8" s="34" t="str">
        <f t="shared" si="0"/>
        <v>B1G1</v>
      </c>
      <c r="P8" s="32" t="s">
        <v>2569</v>
      </c>
    </row>
    <row r="9" spans="1:16" x14ac:dyDescent="0.35">
      <c r="A9" s="32" t="str">
        <f t="shared" si="1"/>
        <v>2025 JUL-SEPT B1G1</v>
      </c>
      <c r="B9" s="33">
        <f t="shared" si="2"/>
        <v>46121</v>
      </c>
      <c r="C9" s="33">
        <f t="shared" si="3"/>
        <v>46127</v>
      </c>
      <c r="D9" s="32">
        <v>3281</v>
      </c>
      <c r="E9" s="32">
        <v>337</v>
      </c>
      <c r="F9" s="32">
        <v>4</v>
      </c>
      <c r="G9" s="23">
        <v>1</v>
      </c>
      <c r="H9" s="23">
        <v>81588</v>
      </c>
      <c r="I9" s="32" t="s">
        <v>17</v>
      </c>
      <c r="J9" s="22">
        <v>54822094</v>
      </c>
      <c r="K9" s="22" t="s">
        <v>5921</v>
      </c>
      <c r="L9" s="22" t="s">
        <v>5924</v>
      </c>
      <c r="M9" s="40">
        <v>99900</v>
      </c>
      <c r="N9" s="64" t="s">
        <v>2569</v>
      </c>
      <c r="O9" s="34" t="str">
        <f t="shared" si="0"/>
        <v>B1G1</v>
      </c>
      <c r="P9" s="32" t="s">
        <v>2569</v>
      </c>
    </row>
    <row r="10" spans="1:16" x14ac:dyDescent="0.35">
      <c r="A10" s="32" t="str">
        <f t="shared" si="1"/>
        <v>2025 JUL-SEPT B1G1</v>
      </c>
      <c r="B10" s="33">
        <f t="shared" si="2"/>
        <v>46121</v>
      </c>
      <c r="C10" s="33">
        <f t="shared" si="3"/>
        <v>46127</v>
      </c>
      <c r="D10" s="32">
        <v>3281</v>
      </c>
      <c r="E10" s="32">
        <v>337</v>
      </c>
      <c r="F10" s="32">
        <v>4</v>
      </c>
      <c r="G10" s="23">
        <v>1</v>
      </c>
      <c r="H10" s="23">
        <v>81588</v>
      </c>
      <c r="I10" s="32" t="s">
        <v>17</v>
      </c>
      <c r="J10" s="22">
        <v>54822101</v>
      </c>
      <c r="K10" s="22" t="s">
        <v>5921</v>
      </c>
      <c r="L10" s="22" t="s">
        <v>5922</v>
      </c>
      <c r="M10" s="40">
        <v>99900</v>
      </c>
      <c r="N10" s="64" t="s">
        <v>2569</v>
      </c>
      <c r="O10" s="34" t="str">
        <f t="shared" si="0"/>
        <v>B1G1</v>
      </c>
      <c r="P10" s="32" t="s">
        <v>2569</v>
      </c>
    </row>
    <row r="11" spans="1:16" x14ac:dyDescent="0.35">
      <c r="A11" s="32" t="str">
        <f t="shared" si="1"/>
        <v>2025 JUL-SEPT B1G1</v>
      </c>
      <c r="B11" s="33">
        <f t="shared" si="2"/>
        <v>46121</v>
      </c>
      <c r="C11" s="33">
        <f t="shared" si="3"/>
        <v>46127</v>
      </c>
      <c r="D11" s="32">
        <v>3281</v>
      </c>
      <c r="E11" s="32">
        <v>337</v>
      </c>
      <c r="F11" s="32">
        <v>4</v>
      </c>
      <c r="G11" s="23">
        <v>1</v>
      </c>
      <c r="H11" s="23">
        <v>81588</v>
      </c>
      <c r="I11" s="32" t="s">
        <v>17</v>
      </c>
      <c r="J11" s="22">
        <v>54822110</v>
      </c>
      <c r="K11" s="22" t="s">
        <v>5921</v>
      </c>
      <c r="L11" s="22" t="s">
        <v>5925</v>
      </c>
      <c r="M11" s="40">
        <v>99900</v>
      </c>
      <c r="N11" s="64" t="s">
        <v>2569</v>
      </c>
      <c r="O11" s="34" t="str">
        <f t="shared" si="0"/>
        <v>B1G1</v>
      </c>
      <c r="P11" s="32" t="s">
        <v>2569</v>
      </c>
    </row>
    <row r="12" spans="1:16" x14ac:dyDescent="0.35">
      <c r="A12" s="32" t="str">
        <f t="shared" si="1"/>
        <v>2025 JUL-SEPT B1G1</v>
      </c>
      <c r="B12" s="33">
        <f t="shared" si="2"/>
        <v>46121</v>
      </c>
      <c r="C12" s="33">
        <f t="shared" si="3"/>
        <v>46127</v>
      </c>
      <c r="D12" s="32">
        <v>3281</v>
      </c>
      <c r="E12" s="32">
        <v>337</v>
      </c>
      <c r="F12" s="32">
        <v>4</v>
      </c>
      <c r="G12" s="23">
        <v>1</v>
      </c>
      <c r="H12" s="23">
        <v>81588</v>
      </c>
      <c r="I12" s="32" t="s">
        <v>17</v>
      </c>
      <c r="J12" s="22">
        <v>55419617</v>
      </c>
      <c r="K12" s="22" t="s">
        <v>5948</v>
      </c>
      <c r="L12" s="22" t="s">
        <v>5950</v>
      </c>
      <c r="M12" s="40">
        <v>99900</v>
      </c>
      <c r="N12" s="64" t="s">
        <v>2569</v>
      </c>
      <c r="O12" s="34" t="str">
        <f t="shared" si="0"/>
        <v>B1G1</v>
      </c>
      <c r="P12" s="32" t="s">
        <v>2569</v>
      </c>
    </row>
    <row r="13" spans="1:16" x14ac:dyDescent="0.35">
      <c r="A13" s="32" t="str">
        <f t="shared" si="1"/>
        <v>2025 JUL-SEPT B1G1</v>
      </c>
      <c r="B13" s="33">
        <f t="shared" si="2"/>
        <v>46121</v>
      </c>
      <c r="C13" s="33">
        <f t="shared" si="3"/>
        <v>46127</v>
      </c>
      <c r="D13" s="32">
        <v>3281</v>
      </c>
      <c r="E13" s="32">
        <v>337</v>
      </c>
      <c r="F13" s="32">
        <v>4</v>
      </c>
      <c r="G13" s="23">
        <v>1</v>
      </c>
      <c r="H13" s="23">
        <v>81588</v>
      </c>
      <c r="I13" s="32" t="s">
        <v>17</v>
      </c>
      <c r="J13" s="22">
        <v>55419626</v>
      </c>
      <c r="K13" s="22" t="s">
        <v>5948</v>
      </c>
      <c r="L13" s="22" t="s">
        <v>5949</v>
      </c>
      <c r="M13" s="40">
        <v>99900</v>
      </c>
      <c r="N13" s="64" t="s">
        <v>2569</v>
      </c>
      <c r="O13" s="34" t="str">
        <f t="shared" si="0"/>
        <v>B1G1</v>
      </c>
      <c r="P13" s="32" t="s">
        <v>2569</v>
      </c>
    </row>
    <row r="14" spans="1:16" x14ac:dyDescent="0.35">
      <c r="A14" s="32" t="str">
        <f t="shared" si="1"/>
        <v>2025 JUL-SEPT B1G1</v>
      </c>
      <c r="B14" s="33">
        <f t="shared" si="2"/>
        <v>46121</v>
      </c>
      <c r="C14" s="33">
        <f t="shared" si="3"/>
        <v>46127</v>
      </c>
      <c r="D14" s="32">
        <v>3281</v>
      </c>
      <c r="E14" s="32">
        <v>337</v>
      </c>
      <c r="F14" s="32">
        <v>4</v>
      </c>
      <c r="G14" s="23">
        <v>1</v>
      </c>
      <c r="H14" s="23">
        <v>81588</v>
      </c>
      <c r="I14" s="32" t="s">
        <v>17</v>
      </c>
      <c r="J14" s="22">
        <v>55419635</v>
      </c>
      <c r="K14" s="22" t="s">
        <v>5948</v>
      </c>
      <c r="L14" s="22" t="s">
        <v>5951</v>
      </c>
      <c r="M14" s="40">
        <v>99900</v>
      </c>
      <c r="N14" s="64" t="s">
        <v>2569</v>
      </c>
      <c r="O14" s="34" t="str">
        <f t="shared" si="0"/>
        <v>B1G1</v>
      </c>
      <c r="P14" s="32" t="s">
        <v>2569</v>
      </c>
    </row>
    <row r="15" spans="1:16" x14ac:dyDescent="0.35">
      <c r="A15" s="32" t="str">
        <f t="shared" si="1"/>
        <v>2025 JUL-SEPT B1G1</v>
      </c>
      <c r="B15" s="33">
        <f t="shared" si="2"/>
        <v>46121</v>
      </c>
      <c r="C15" s="33">
        <f t="shared" si="3"/>
        <v>46127</v>
      </c>
      <c r="D15" s="32">
        <v>3281</v>
      </c>
      <c r="E15" s="32">
        <v>337</v>
      </c>
      <c r="F15" s="32">
        <v>4</v>
      </c>
      <c r="G15" s="23">
        <v>1</v>
      </c>
      <c r="H15" s="23">
        <v>81588</v>
      </c>
      <c r="I15" s="32" t="s">
        <v>17</v>
      </c>
      <c r="J15" s="22">
        <v>55419644</v>
      </c>
      <c r="K15" s="22" t="s">
        <v>5948</v>
      </c>
      <c r="L15" s="22" t="s">
        <v>5954</v>
      </c>
      <c r="M15" s="40">
        <v>99900</v>
      </c>
      <c r="N15" s="64" t="s">
        <v>2569</v>
      </c>
      <c r="O15" s="34" t="str">
        <f t="shared" si="0"/>
        <v>B1G1</v>
      </c>
      <c r="P15" s="32" t="s">
        <v>2569</v>
      </c>
    </row>
    <row r="16" spans="1:16" x14ac:dyDescent="0.35">
      <c r="A16" s="32" t="str">
        <f t="shared" si="1"/>
        <v>2025 JUL-SEPT B1G1</v>
      </c>
      <c r="B16" s="33">
        <f t="shared" si="2"/>
        <v>46121</v>
      </c>
      <c r="C16" s="33">
        <f t="shared" si="3"/>
        <v>46127</v>
      </c>
      <c r="D16" s="32">
        <v>3281</v>
      </c>
      <c r="E16" s="32">
        <v>337</v>
      </c>
      <c r="F16" s="32">
        <v>4</v>
      </c>
      <c r="G16" s="23">
        <v>1</v>
      </c>
      <c r="H16" s="23">
        <v>81588</v>
      </c>
      <c r="I16" s="32" t="s">
        <v>17</v>
      </c>
      <c r="J16" s="22">
        <v>55419653</v>
      </c>
      <c r="K16" s="22" t="s">
        <v>5948</v>
      </c>
      <c r="L16" s="22" t="s">
        <v>5952</v>
      </c>
      <c r="M16" s="40">
        <v>99900</v>
      </c>
      <c r="N16" s="64" t="s">
        <v>2569</v>
      </c>
      <c r="O16" s="34" t="str">
        <f t="shared" si="0"/>
        <v>B1G1</v>
      </c>
      <c r="P16" s="32" t="s">
        <v>2569</v>
      </c>
    </row>
    <row r="17" spans="1:16" x14ac:dyDescent="0.35">
      <c r="A17" s="32" t="str">
        <f t="shared" si="1"/>
        <v>2025 JUL-SEPT B1G1</v>
      </c>
      <c r="B17" s="33">
        <f t="shared" si="2"/>
        <v>46121</v>
      </c>
      <c r="C17" s="33">
        <f t="shared" si="3"/>
        <v>46127</v>
      </c>
      <c r="D17" s="32">
        <v>3281</v>
      </c>
      <c r="E17" s="32">
        <v>337</v>
      </c>
      <c r="F17" s="32">
        <v>4</v>
      </c>
      <c r="G17" s="23">
        <v>1</v>
      </c>
      <c r="H17" s="23">
        <v>81588</v>
      </c>
      <c r="I17" s="32" t="s">
        <v>17</v>
      </c>
      <c r="J17" s="22">
        <v>55419662</v>
      </c>
      <c r="K17" s="22" t="s">
        <v>5948</v>
      </c>
      <c r="L17" s="22" t="s">
        <v>5953</v>
      </c>
      <c r="M17" s="40">
        <v>99900</v>
      </c>
      <c r="N17" s="64" t="s">
        <v>2569</v>
      </c>
      <c r="O17" s="34" t="str">
        <f t="shared" si="0"/>
        <v>B1G1</v>
      </c>
      <c r="P17" s="32" t="s">
        <v>2569</v>
      </c>
    </row>
    <row r="18" spans="1:16" x14ac:dyDescent="0.35">
      <c r="A18" s="32" t="str">
        <f t="shared" si="1"/>
        <v>2025 JUL-SEPT B1G1</v>
      </c>
      <c r="B18" s="33">
        <f t="shared" si="2"/>
        <v>46121</v>
      </c>
      <c r="C18" s="33">
        <f t="shared" si="3"/>
        <v>46127</v>
      </c>
      <c r="D18" s="32">
        <v>3281</v>
      </c>
      <c r="E18" s="32">
        <v>337</v>
      </c>
      <c r="F18" s="32">
        <v>4</v>
      </c>
      <c r="G18" s="23">
        <v>1</v>
      </c>
      <c r="H18" s="23">
        <v>81146</v>
      </c>
      <c r="I18" s="32" t="s">
        <v>17</v>
      </c>
      <c r="J18" s="22">
        <v>55620363</v>
      </c>
      <c r="K18" s="22" t="s">
        <v>5955</v>
      </c>
      <c r="L18" s="22" t="s">
        <v>5958</v>
      </c>
      <c r="M18" s="40">
        <v>99900</v>
      </c>
      <c r="N18" s="64" t="s">
        <v>2569</v>
      </c>
      <c r="O18" s="34" t="str">
        <f t="shared" si="0"/>
        <v>B1G1</v>
      </c>
      <c r="P18" s="32" t="s">
        <v>2569</v>
      </c>
    </row>
    <row r="19" spans="1:16" x14ac:dyDescent="0.35">
      <c r="A19" s="32" t="str">
        <f t="shared" si="1"/>
        <v>2025 JUL-SEPT B1G1</v>
      </c>
      <c r="B19" s="33">
        <f t="shared" si="2"/>
        <v>46121</v>
      </c>
      <c r="C19" s="33">
        <f t="shared" si="3"/>
        <v>46127</v>
      </c>
      <c r="D19" s="32">
        <v>3281</v>
      </c>
      <c r="E19" s="32">
        <v>337</v>
      </c>
      <c r="F19" s="32">
        <v>4</v>
      </c>
      <c r="G19" s="23">
        <v>1</v>
      </c>
      <c r="H19" s="23">
        <v>81146</v>
      </c>
      <c r="I19" s="32" t="s">
        <v>17</v>
      </c>
      <c r="J19" s="22">
        <v>55620372</v>
      </c>
      <c r="K19" s="22" t="s">
        <v>5955</v>
      </c>
      <c r="L19" s="22" t="s">
        <v>5956</v>
      </c>
      <c r="M19" s="40">
        <v>99900</v>
      </c>
      <c r="N19" s="64" t="s">
        <v>2569</v>
      </c>
      <c r="O19" s="34" t="str">
        <f t="shared" si="0"/>
        <v>B1G1</v>
      </c>
      <c r="P19" s="32" t="s">
        <v>2569</v>
      </c>
    </row>
    <row r="20" spans="1:16" x14ac:dyDescent="0.35">
      <c r="A20" s="32" t="str">
        <f t="shared" si="1"/>
        <v>2025 JUL-SEPT B1G1</v>
      </c>
      <c r="B20" s="33">
        <f t="shared" si="2"/>
        <v>46121</v>
      </c>
      <c r="C20" s="33">
        <f t="shared" si="3"/>
        <v>46127</v>
      </c>
      <c r="D20" s="32">
        <v>3281</v>
      </c>
      <c r="E20" s="32">
        <v>337</v>
      </c>
      <c r="F20" s="32">
        <v>4</v>
      </c>
      <c r="G20" s="23">
        <v>1</v>
      </c>
      <c r="H20" s="23">
        <v>81146</v>
      </c>
      <c r="I20" s="32" t="s">
        <v>17</v>
      </c>
      <c r="J20" s="22">
        <v>55620381</v>
      </c>
      <c r="K20" s="22" t="s">
        <v>5955</v>
      </c>
      <c r="L20" s="22" t="s">
        <v>5959</v>
      </c>
      <c r="M20" s="40">
        <v>99900</v>
      </c>
      <c r="N20" s="64" t="s">
        <v>2569</v>
      </c>
      <c r="O20" s="34" t="str">
        <f t="shared" si="0"/>
        <v>B1G1</v>
      </c>
      <c r="P20" s="32" t="s">
        <v>2569</v>
      </c>
    </row>
    <row r="21" spans="1:16" x14ac:dyDescent="0.35">
      <c r="A21" s="32" t="str">
        <f t="shared" si="1"/>
        <v>2025 JUL-SEPT B1G1</v>
      </c>
      <c r="B21" s="33">
        <f t="shared" si="2"/>
        <v>46121</v>
      </c>
      <c r="C21" s="33">
        <f t="shared" si="3"/>
        <v>46127</v>
      </c>
      <c r="D21" s="32">
        <v>3281</v>
      </c>
      <c r="E21" s="32">
        <v>337</v>
      </c>
      <c r="F21" s="32">
        <v>4</v>
      </c>
      <c r="G21" s="23">
        <v>1</v>
      </c>
      <c r="H21" s="23">
        <v>81146</v>
      </c>
      <c r="I21" s="32" t="s">
        <v>17</v>
      </c>
      <c r="J21" s="22">
        <v>55620390</v>
      </c>
      <c r="K21" s="22" t="s">
        <v>5955</v>
      </c>
      <c r="L21" s="22" t="s">
        <v>5957</v>
      </c>
      <c r="M21" s="40">
        <v>99900</v>
      </c>
      <c r="N21" s="64" t="s">
        <v>2569</v>
      </c>
      <c r="O21" s="34" t="str">
        <f t="shared" si="0"/>
        <v>B1G1</v>
      </c>
      <c r="P21" s="32" t="s">
        <v>2569</v>
      </c>
    </row>
    <row r="22" spans="1:16" x14ac:dyDescent="0.35">
      <c r="A22" s="32" t="str">
        <f t="shared" si="1"/>
        <v>2025 JUL-SEPT B1G1</v>
      </c>
      <c r="B22" s="33">
        <f t="shared" si="2"/>
        <v>46121</v>
      </c>
      <c r="C22" s="33">
        <f t="shared" si="3"/>
        <v>46127</v>
      </c>
      <c r="D22" s="32">
        <v>3281</v>
      </c>
      <c r="E22" s="32">
        <v>337</v>
      </c>
      <c r="F22" s="32">
        <v>4</v>
      </c>
      <c r="G22" s="23">
        <v>1</v>
      </c>
      <c r="H22" s="23">
        <v>81588</v>
      </c>
      <c r="I22" s="32" t="s">
        <v>17</v>
      </c>
      <c r="J22" s="22">
        <v>55419671</v>
      </c>
      <c r="K22" s="22" t="s">
        <v>5931</v>
      </c>
      <c r="L22" s="22" t="s">
        <v>5932</v>
      </c>
      <c r="M22" s="40">
        <v>99900</v>
      </c>
      <c r="N22" s="64" t="s">
        <v>2569</v>
      </c>
      <c r="O22" s="34" t="str">
        <f t="shared" si="0"/>
        <v>B1G1</v>
      </c>
      <c r="P22" s="32" t="s">
        <v>2569</v>
      </c>
    </row>
    <row r="23" spans="1:16" x14ac:dyDescent="0.35">
      <c r="A23" s="32" t="str">
        <f t="shared" si="1"/>
        <v>2025 JUL-SEPT B1G1</v>
      </c>
      <c r="B23" s="33">
        <f t="shared" si="2"/>
        <v>46121</v>
      </c>
      <c r="C23" s="33">
        <f t="shared" si="3"/>
        <v>46127</v>
      </c>
      <c r="D23" s="32">
        <v>3281</v>
      </c>
      <c r="E23" s="32">
        <v>337</v>
      </c>
      <c r="F23" s="32">
        <v>4</v>
      </c>
      <c r="G23" s="23">
        <v>1</v>
      </c>
      <c r="H23" s="23">
        <v>81588</v>
      </c>
      <c r="I23" s="32" t="s">
        <v>17</v>
      </c>
      <c r="J23" s="22">
        <v>55419680</v>
      </c>
      <c r="K23" s="22" t="s">
        <v>5931</v>
      </c>
      <c r="L23" s="22" t="s">
        <v>5933</v>
      </c>
      <c r="M23" s="40">
        <v>99900</v>
      </c>
      <c r="N23" s="64" t="s">
        <v>2569</v>
      </c>
      <c r="O23" s="34" t="str">
        <f t="shared" si="0"/>
        <v>B1G1</v>
      </c>
      <c r="P23" s="32" t="s">
        <v>2569</v>
      </c>
    </row>
    <row r="24" spans="1:16" x14ac:dyDescent="0.35">
      <c r="A24" s="32" t="str">
        <f t="shared" si="1"/>
        <v>2025 JUL-SEPT B1G1</v>
      </c>
      <c r="B24" s="33">
        <f t="shared" si="2"/>
        <v>46121</v>
      </c>
      <c r="C24" s="33">
        <f t="shared" si="3"/>
        <v>46127</v>
      </c>
      <c r="D24" s="32">
        <v>3281</v>
      </c>
      <c r="E24" s="32">
        <v>337</v>
      </c>
      <c r="F24" s="32">
        <v>4</v>
      </c>
      <c r="G24" s="23">
        <v>1</v>
      </c>
      <c r="H24" s="23">
        <v>81588</v>
      </c>
      <c r="I24" s="32" t="s">
        <v>17</v>
      </c>
      <c r="J24" s="22">
        <v>55419699</v>
      </c>
      <c r="K24" s="22" t="s">
        <v>5931</v>
      </c>
      <c r="L24" s="22" t="s">
        <v>5934</v>
      </c>
      <c r="M24" s="40">
        <v>99900</v>
      </c>
      <c r="N24" s="64" t="s">
        <v>2569</v>
      </c>
      <c r="O24" s="34" t="str">
        <f t="shared" si="0"/>
        <v>B1G1</v>
      </c>
      <c r="P24" s="32" t="s">
        <v>2569</v>
      </c>
    </row>
    <row r="25" spans="1:16" x14ac:dyDescent="0.35">
      <c r="A25" s="32" t="str">
        <f t="shared" si="1"/>
        <v>2025 JUL-SEPT B1G1</v>
      </c>
      <c r="B25" s="33">
        <f t="shared" si="2"/>
        <v>46121</v>
      </c>
      <c r="C25" s="33">
        <f t="shared" si="3"/>
        <v>46127</v>
      </c>
      <c r="D25" s="32">
        <v>3281</v>
      </c>
      <c r="E25" s="32">
        <v>337</v>
      </c>
      <c r="F25" s="32">
        <v>4</v>
      </c>
      <c r="G25" s="23">
        <v>1</v>
      </c>
      <c r="H25" s="23">
        <v>81588</v>
      </c>
      <c r="I25" s="32" t="s">
        <v>17</v>
      </c>
      <c r="J25" s="22">
        <v>55419706</v>
      </c>
      <c r="K25" s="22" t="s">
        <v>5931</v>
      </c>
      <c r="L25" s="22" t="s">
        <v>5935</v>
      </c>
      <c r="M25" s="40">
        <v>99900</v>
      </c>
      <c r="N25" s="64" t="s">
        <v>2569</v>
      </c>
      <c r="O25" s="34" t="str">
        <f t="shared" si="0"/>
        <v>B1G1</v>
      </c>
      <c r="P25" s="32" t="s">
        <v>2569</v>
      </c>
    </row>
    <row r="26" spans="1:16" x14ac:dyDescent="0.35">
      <c r="A26" s="32" t="str">
        <f t="shared" si="1"/>
        <v>2025 JUL-SEPT B1G1</v>
      </c>
      <c r="B26" s="33">
        <f t="shared" si="2"/>
        <v>46121</v>
      </c>
      <c r="C26" s="33">
        <f t="shared" si="3"/>
        <v>46127</v>
      </c>
      <c r="D26" s="32">
        <v>3281</v>
      </c>
      <c r="E26" s="32">
        <v>337</v>
      </c>
      <c r="F26" s="32">
        <v>4</v>
      </c>
      <c r="G26" s="23">
        <v>1</v>
      </c>
      <c r="H26" s="23">
        <v>81588</v>
      </c>
      <c r="I26" s="32" t="s">
        <v>17</v>
      </c>
      <c r="J26" s="22">
        <v>54821960</v>
      </c>
      <c r="K26" s="22" t="s">
        <v>5916</v>
      </c>
      <c r="L26" s="22" t="s">
        <v>5917</v>
      </c>
      <c r="M26" s="40">
        <v>129900</v>
      </c>
      <c r="N26" s="64" t="s">
        <v>2569</v>
      </c>
      <c r="O26" s="34" t="str">
        <f t="shared" si="0"/>
        <v>B1G1</v>
      </c>
      <c r="P26" s="32" t="s">
        <v>2569</v>
      </c>
    </row>
    <row r="27" spans="1:16" x14ac:dyDescent="0.35">
      <c r="A27" s="32" t="str">
        <f t="shared" si="1"/>
        <v>2025 JUL-SEPT B1G1</v>
      </c>
      <c r="B27" s="33">
        <f t="shared" si="2"/>
        <v>46121</v>
      </c>
      <c r="C27" s="33">
        <f t="shared" si="3"/>
        <v>46127</v>
      </c>
      <c r="D27" s="32">
        <v>3281</v>
      </c>
      <c r="E27" s="32">
        <v>337</v>
      </c>
      <c r="F27" s="32">
        <v>4</v>
      </c>
      <c r="G27" s="23">
        <v>1</v>
      </c>
      <c r="H27" s="23">
        <v>81588</v>
      </c>
      <c r="I27" s="32" t="s">
        <v>17</v>
      </c>
      <c r="J27" s="22">
        <v>54821979</v>
      </c>
      <c r="K27" s="22" t="s">
        <v>5916</v>
      </c>
      <c r="L27" s="22" t="s">
        <v>5918</v>
      </c>
      <c r="M27" s="40">
        <v>129900</v>
      </c>
      <c r="N27" s="64" t="s">
        <v>2569</v>
      </c>
      <c r="O27" s="34" t="str">
        <f t="shared" si="0"/>
        <v>B1G1</v>
      </c>
      <c r="P27" s="32" t="s">
        <v>2569</v>
      </c>
    </row>
    <row r="28" spans="1:16" x14ac:dyDescent="0.35">
      <c r="A28" s="32" t="str">
        <f t="shared" si="1"/>
        <v>2025 JUL-SEPT B1G1</v>
      </c>
      <c r="B28" s="33">
        <f t="shared" si="2"/>
        <v>46121</v>
      </c>
      <c r="C28" s="33">
        <f t="shared" si="3"/>
        <v>46127</v>
      </c>
      <c r="D28" s="32">
        <v>3281</v>
      </c>
      <c r="E28" s="32">
        <v>337</v>
      </c>
      <c r="F28" s="32">
        <v>4</v>
      </c>
      <c r="G28" s="23">
        <v>1</v>
      </c>
      <c r="H28" s="23">
        <v>81588</v>
      </c>
      <c r="I28" s="32" t="s">
        <v>17</v>
      </c>
      <c r="J28" s="22">
        <v>54821988</v>
      </c>
      <c r="K28" s="22" t="s">
        <v>5916</v>
      </c>
      <c r="L28" s="22" t="s">
        <v>5920</v>
      </c>
      <c r="M28" s="40">
        <v>129900</v>
      </c>
      <c r="N28" s="64" t="s">
        <v>2569</v>
      </c>
      <c r="O28" s="34" t="str">
        <f t="shared" si="0"/>
        <v>B1G1</v>
      </c>
      <c r="P28" s="32" t="s">
        <v>2569</v>
      </c>
    </row>
    <row r="29" spans="1:16" x14ac:dyDescent="0.35">
      <c r="A29" s="32" t="str">
        <f t="shared" si="1"/>
        <v>2025 JUL-SEPT B1G1</v>
      </c>
      <c r="B29" s="33">
        <f t="shared" si="2"/>
        <v>46121</v>
      </c>
      <c r="C29" s="33">
        <f t="shared" si="3"/>
        <v>46127</v>
      </c>
      <c r="D29" s="32">
        <v>3281</v>
      </c>
      <c r="E29" s="32">
        <v>337</v>
      </c>
      <c r="F29" s="32">
        <v>4</v>
      </c>
      <c r="G29" s="23">
        <v>1</v>
      </c>
      <c r="H29" s="23">
        <v>81588</v>
      </c>
      <c r="I29" s="32" t="s">
        <v>17</v>
      </c>
      <c r="J29" s="22">
        <v>54821997</v>
      </c>
      <c r="K29" s="22" t="s">
        <v>5916</v>
      </c>
      <c r="L29" s="22" t="s">
        <v>5919</v>
      </c>
      <c r="M29" s="40">
        <v>129900</v>
      </c>
      <c r="N29" s="64" t="s">
        <v>2569</v>
      </c>
      <c r="O29" s="34" t="str">
        <f t="shared" si="0"/>
        <v>B1G1</v>
      </c>
      <c r="P29" s="32" t="s">
        <v>2569</v>
      </c>
    </row>
    <row r="30" spans="1:16" x14ac:dyDescent="0.35">
      <c r="A30" s="32" t="str">
        <f t="shared" si="1"/>
        <v>2025 JUL-SEPT B1G1</v>
      </c>
      <c r="B30" s="33">
        <f t="shared" si="2"/>
        <v>46121</v>
      </c>
      <c r="C30" s="33">
        <f t="shared" si="3"/>
        <v>46127</v>
      </c>
      <c r="D30" s="32">
        <v>3281</v>
      </c>
      <c r="E30" s="32">
        <v>337</v>
      </c>
      <c r="F30" s="32">
        <v>4</v>
      </c>
      <c r="G30" s="23">
        <v>1</v>
      </c>
      <c r="H30" s="23">
        <v>81588</v>
      </c>
      <c r="I30" s="32" t="s">
        <v>17</v>
      </c>
      <c r="J30" s="22">
        <v>54822049</v>
      </c>
      <c r="K30" s="22" t="s">
        <v>5812</v>
      </c>
      <c r="L30" s="22" t="s">
        <v>5820</v>
      </c>
      <c r="M30" s="40">
        <v>99900</v>
      </c>
      <c r="N30" s="64" t="s">
        <v>2569</v>
      </c>
      <c r="O30" s="34" t="str">
        <f t="shared" si="0"/>
        <v>B1G1</v>
      </c>
      <c r="P30" s="32" t="s">
        <v>2569</v>
      </c>
    </row>
    <row r="31" spans="1:16" x14ac:dyDescent="0.35">
      <c r="A31" s="32" t="str">
        <f t="shared" si="1"/>
        <v>2025 JUL-SEPT B1G1</v>
      </c>
      <c r="B31" s="33">
        <f t="shared" si="2"/>
        <v>46121</v>
      </c>
      <c r="C31" s="33">
        <f t="shared" si="3"/>
        <v>46127</v>
      </c>
      <c r="D31" s="32">
        <v>3281</v>
      </c>
      <c r="E31" s="32">
        <v>337</v>
      </c>
      <c r="F31" s="32">
        <v>4</v>
      </c>
      <c r="G31" s="23">
        <v>1</v>
      </c>
      <c r="H31" s="23">
        <v>81588</v>
      </c>
      <c r="I31" s="32" t="s">
        <v>17</v>
      </c>
      <c r="J31" s="22">
        <v>54822058</v>
      </c>
      <c r="K31" s="22" t="s">
        <v>5812</v>
      </c>
      <c r="L31" s="22" t="s">
        <v>5814</v>
      </c>
      <c r="M31" s="40">
        <v>99900</v>
      </c>
      <c r="N31" s="64" t="s">
        <v>2569</v>
      </c>
      <c r="O31" s="34" t="str">
        <f t="shared" si="0"/>
        <v>B1G1</v>
      </c>
      <c r="P31" s="32" t="s">
        <v>2569</v>
      </c>
    </row>
    <row r="32" spans="1:16" x14ac:dyDescent="0.35">
      <c r="A32" s="32" t="str">
        <f t="shared" si="1"/>
        <v>2025 JUL-SEPT B1G1</v>
      </c>
      <c r="B32" s="33">
        <f t="shared" si="2"/>
        <v>46121</v>
      </c>
      <c r="C32" s="33">
        <f t="shared" si="3"/>
        <v>46127</v>
      </c>
      <c r="D32" s="32">
        <v>3281</v>
      </c>
      <c r="E32" s="32">
        <v>337</v>
      </c>
      <c r="F32" s="32">
        <v>4</v>
      </c>
      <c r="G32" s="23">
        <v>1</v>
      </c>
      <c r="H32" s="23">
        <v>81588</v>
      </c>
      <c r="I32" s="32" t="s">
        <v>17</v>
      </c>
      <c r="J32" s="22">
        <v>54822067</v>
      </c>
      <c r="K32" s="22" t="s">
        <v>5812</v>
      </c>
      <c r="L32" s="22" t="s">
        <v>5813</v>
      </c>
      <c r="M32" s="40">
        <v>99900</v>
      </c>
      <c r="N32" s="64" t="s">
        <v>2569</v>
      </c>
      <c r="O32" s="34" t="str">
        <f t="shared" si="0"/>
        <v>B1G1</v>
      </c>
      <c r="P32" s="32" t="s">
        <v>2569</v>
      </c>
    </row>
    <row r="33" spans="1:16" x14ac:dyDescent="0.35">
      <c r="A33" s="32" t="str">
        <f t="shared" si="1"/>
        <v>2025 JUL-SEPT B1G1</v>
      </c>
      <c r="B33" s="33">
        <f t="shared" si="2"/>
        <v>46121</v>
      </c>
      <c r="C33" s="33">
        <f t="shared" si="3"/>
        <v>46127</v>
      </c>
      <c r="D33" s="32">
        <v>3281</v>
      </c>
      <c r="E33" s="32">
        <v>337</v>
      </c>
      <c r="F33" s="32">
        <v>4</v>
      </c>
      <c r="G33" s="23">
        <v>1</v>
      </c>
      <c r="H33" s="23">
        <v>81588</v>
      </c>
      <c r="I33" s="32" t="s">
        <v>17</v>
      </c>
      <c r="J33" s="22">
        <v>54822076</v>
      </c>
      <c r="K33" s="22" t="s">
        <v>5812</v>
      </c>
      <c r="L33" s="22" t="s">
        <v>5818</v>
      </c>
      <c r="M33" s="40">
        <v>99900</v>
      </c>
      <c r="N33" s="64" t="s">
        <v>2569</v>
      </c>
      <c r="O33" s="34" t="str">
        <f t="shared" si="0"/>
        <v>B1G1</v>
      </c>
      <c r="P33" s="32" t="s">
        <v>2569</v>
      </c>
    </row>
    <row r="34" spans="1:16" x14ac:dyDescent="0.35">
      <c r="A34" s="32" t="str">
        <f t="shared" si="1"/>
        <v>2025 JUL-SEPT B1G1</v>
      </c>
      <c r="B34" s="33">
        <f t="shared" si="2"/>
        <v>46121</v>
      </c>
      <c r="C34" s="33">
        <f t="shared" si="3"/>
        <v>46127</v>
      </c>
      <c r="D34" s="32">
        <v>3281</v>
      </c>
      <c r="E34" s="32">
        <v>337</v>
      </c>
      <c r="F34" s="32">
        <v>4</v>
      </c>
      <c r="G34" s="23">
        <v>3</v>
      </c>
      <c r="H34" s="23">
        <v>81588</v>
      </c>
      <c r="I34" s="32" t="s">
        <v>17</v>
      </c>
      <c r="J34" s="22">
        <v>55419715</v>
      </c>
      <c r="K34" s="22" t="s">
        <v>5936</v>
      </c>
      <c r="L34" s="22" t="s">
        <v>5941</v>
      </c>
      <c r="M34" s="40">
        <v>199900</v>
      </c>
      <c r="N34" s="64" t="s">
        <v>2569</v>
      </c>
      <c r="O34" s="34" t="str">
        <f t="shared" si="0"/>
        <v>B1G1</v>
      </c>
      <c r="P34" s="32" t="s">
        <v>2569</v>
      </c>
    </row>
    <row r="35" spans="1:16" x14ac:dyDescent="0.35">
      <c r="A35" s="32" t="str">
        <f t="shared" si="1"/>
        <v>2025 JUL-SEPT B1G1</v>
      </c>
      <c r="B35" s="33">
        <f t="shared" si="2"/>
        <v>46121</v>
      </c>
      <c r="C35" s="33">
        <f t="shared" si="3"/>
        <v>46127</v>
      </c>
      <c r="D35" s="32">
        <v>3281</v>
      </c>
      <c r="E35" s="32">
        <v>337</v>
      </c>
      <c r="F35" s="32">
        <v>4</v>
      </c>
      <c r="G35" s="23">
        <v>3</v>
      </c>
      <c r="H35" s="23">
        <v>81588</v>
      </c>
      <c r="I35" s="32" t="s">
        <v>17</v>
      </c>
      <c r="J35" s="22">
        <v>55419724</v>
      </c>
      <c r="K35" s="22" t="s">
        <v>5936</v>
      </c>
      <c r="L35" s="22" t="s">
        <v>5937</v>
      </c>
      <c r="M35" s="40">
        <v>199900</v>
      </c>
      <c r="N35" s="64" t="s">
        <v>2569</v>
      </c>
      <c r="O35" s="34" t="str">
        <f t="shared" si="0"/>
        <v>B1G1</v>
      </c>
      <c r="P35" s="32" t="s">
        <v>2569</v>
      </c>
    </row>
    <row r="36" spans="1:16" x14ac:dyDescent="0.35">
      <c r="A36" s="32" t="str">
        <f t="shared" si="1"/>
        <v>2025 JUL-SEPT B1G1</v>
      </c>
      <c r="B36" s="33">
        <f t="shared" si="2"/>
        <v>46121</v>
      </c>
      <c r="C36" s="33">
        <f t="shared" si="3"/>
        <v>46127</v>
      </c>
      <c r="D36" s="32">
        <v>3281</v>
      </c>
      <c r="E36" s="32">
        <v>337</v>
      </c>
      <c r="F36" s="32">
        <v>4</v>
      </c>
      <c r="G36" s="23">
        <v>3</v>
      </c>
      <c r="H36" s="23">
        <v>81588</v>
      </c>
      <c r="I36" s="32" t="s">
        <v>17</v>
      </c>
      <c r="J36" s="22">
        <v>55419733</v>
      </c>
      <c r="K36" s="22" t="s">
        <v>5936</v>
      </c>
      <c r="L36" s="22" t="s">
        <v>5938</v>
      </c>
      <c r="M36" s="40">
        <v>199900</v>
      </c>
      <c r="N36" s="64" t="s">
        <v>2569</v>
      </c>
      <c r="O36" s="34" t="str">
        <f t="shared" si="0"/>
        <v>B1G1</v>
      </c>
      <c r="P36" s="32" t="s">
        <v>2569</v>
      </c>
    </row>
    <row r="37" spans="1:16" x14ac:dyDescent="0.35">
      <c r="A37" s="32" t="str">
        <f t="shared" si="1"/>
        <v>2025 JUL-SEPT B1G1</v>
      </c>
      <c r="B37" s="33">
        <f t="shared" si="2"/>
        <v>46121</v>
      </c>
      <c r="C37" s="33">
        <f t="shared" si="3"/>
        <v>46127</v>
      </c>
      <c r="D37" s="32">
        <v>3281</v>
      </c>
      <c r="E37" s="32">
        <v>337</v>
      </c>
      <c r="F37" s="32">
        <v>4</v>
      </c>
      <c r="G37" s="23">
        <v>3</v>
      </c>
      <c r="H37" s="23">
        <v>81588</v>
      </c>
      <c r="I37" s="32" t="s">
        <v>17</v>
      </c>
      <c r="J37" s="22">
        <v>55419742</v>
      </c>
      <c r="K37" s="22" t="s">
        <v>5936</v>
      </c>
      <c r="L37" s="22" t="s">
        <v>5939</v>
      </c>
      <c r="M37" s="40">
        <v>199900</v>
      </c>
      <c r="N37" s="64" t="s">
        <v>2569</v>
      </c>
      <c r="O37" s="34" t="str">
        <f t="shared" si="0"/>
        <v>B1G1</v>
      </c>
      <c r="P37" s="32" t="s">
        <v>2569</v>
      </c>
    </row>
    <row r="38" spans="1:16" x14ac:dyDescent="0.35">
      <c r="A38" s="32" t="str">
        <f t="shared" si="1"/>
        <v>2025 JUL-SEPT B1G1</v>
      </c>
      <c r="B38" s="33">
        <f t="shared" si="2"/>
        <v>46121</v>
      </c>
      <c r="C38" s="33">
        <f t="shared" si="3"/>
        <v>46127</v>
      </c>
      <c r="D38" s="32">
        <v>3281</v>
      </c>
      <c r="E38" s="32">
        <v>337</v>
      </c>
      <c r="F38" s="32">
        <v>4</v>
      </c>
      <c r="G38" s="23">
        <v>3</v>
      </c>
      <c r="H38" s="23">
        <v>81588</v>
      </c>
      <c r="I38" s="32" t="s">
        <v>17</v>
      </c>
      <c r="J38" s="22">
        <v>55419751</v>
      </c>
      <c r="K38" s="22" t="s">
        <v>5936</v>
      </c>
      <c r="L38" s="22" t="s">
        <v>5940</v>
      </c>
      <c r="M38" s="40">
        <v>199900</v>
      </c>
      <c r="N38" s="64" t="s">
        <v>2569</v>
      </c>
      <c r="O38" s="34" t="str">
        <f t="shared" si="0"/>
        <v>B1G1</v>
      </c>
      <c r="P38" s="32" t="s">
        <v>2569</v>
      </c>
    </row>
    <row r="39" spans="1:16" x14ac:dyDescent="0.35">
      <c r="A39" s="32" t="str">
        <f t="shared" si="1"/>
        <v>2025 JUL-SEPT B1G1</v>
      </c>
      <c r="B39" s="33">
        <f t="shared" si="2"/>
        <v>46121</v>
      </c>
      <c r="C39" s="33">
        <f t="shared" si="3"/>
        <v>46127</v>
      </c>
      <c r="D39" s="32">
        <v>3281</v>
      </c>
      <c r="E39" s="32">
        <v>337</v>
      </c>
      <c r="F39" s="32">
        <v>4</v>
      </c>
      <c r="G39" s="23">
        <v>3</v>
      </c>
      <c r="H39" s="23">
        <v>81588</v>
      </c>
      <c r="I39" s="32" t="s">
        <v>17</v>
      </c>
      <c r="J39" s="22">
        <v>55419760</v>
      </c>
      <c r="K39" s="22" t="s">
        <v>5936</v>
      </c>
      <c r="L39" s="22" t="s">
        <v>5942</v>
      </c>
      <c r="M39" s="40">
        <v>199900</v>
      </c>
      <c r="N39" s="64" t="s">
        <v>2569</v>
      </c>
      <c r="O39" s="34" t="str">
        <f t="shared" si="0"/>
        <v>B1G1</v>
      </c>
      <c r="P39" s="32" t="s">
        <v>2569</v>
      </c>
    </row>
    <row r="40" spans="1:16" x14ac:dyDescent="0.35">
      <c r="A40" s="32" t="str">
        <f t="shared" si="1"/>
        <v>2025 JUL-SEPT B1G1</v>
      </c>
      <c r="B40" s="33">
        <f t="shared" si="2"/>
        <v>46121</v>
      </c>
      <c r="C40" s="33">
        <f t="shared" si="3"/>
        <v>46127</v>
      </c>
      <c r="D40" s="32">
        <v>3281</v>
      </c>
      <c r="E40" s="32">
        <v>337</v>
      </c>
      <c r="F40" s="32">
        <v>4</v>
      </c>
      <c r="G40" s="23">
        <v>3</v>
      </c>
      <c r="H40" s="23">
        <v>81588</v>
      </c>
      <c r="I40" s="32" t="s">
        <v>17</v>
      </c>
      <c r="J40" s="22">
        <v>54822165</v>
      </c>
      <c r="K40" s="22" t="s">
        <v>5926</v>
      </c>
      <c r="L40" s="22" t="s">
        <v>5927</v>
      </c>
      <c r="M40" s="40">
        <v>179900</v>
      </c>
      <c r="N40" s="64" t="s">
        <v>2569</v>
      </c>
      <c r="O40" s="34" t="str">
        <f t="shared" si="0"/>
        <v>B1G1</v>
      </c>
      <c r="P40" s="32" t="s">
        <v>2569</v>
      </c>
    </row>
    <row r="41" spans="1:16" x14ac:dyDescent="0.35">
      <c r="A41" s="32" t="str">
        <f t="shared" si="1"/>
        <v>2025 JUL-SEPT B1G1</v>
      </c>
      <c r="B41" s="33">
        <f t="shared" si="2"/>
        <v>46121</v>
      </c>
      <c r="C41" s="33">
        <f t="shared" si="3"/>
        <v>46127</v>
      </c>
      <c r="D41" s="32">
        <v>3281</v>
      </c>
      <c r="E41" s="32">
        <v>337</v>
      </c>
      <c r="F41" s="32">
        <v>4</v>
      </c>
      <c r="G41" s="23">
        <v>3</v>
      </c>
      <c r="H41" s="23">
        <v>81588</v>
      </c>
      <c r="I41" s="32" t="s">
        <v>17</v>
      </c>
      <c r="J41" s="22">
        <v>54822174</v>
      </c>
      <c r="K41" s="22" t="s">
        <v>5926</v>
      </c>
      <c r="L41" s="22" t="s">
        <v>5928</v>
      </c>
      <c r="M41" s="40">
        <v>179900</v>
      </c>
      <c r="N41" s="64" t="s">
        <v>2569</v>
      </c>
      <c r="O41" s="34" t="str">
        <f t="shared" si="0"/>
        <v>B1G1</v>
      </c>
      <c r="P41" s="32" t="s">
        <v>2569</v>
      </c>
    </row>
    <row r="42" spans="1:16" x14ac:dyDescent="0.35">
      <c r="A42" s="32" t="str">
        <f t="shared" si="1"/>
        <v>2025 JUL-SEPT B1G1</v>
      </c>
      <c r="B42" s="33">
        <f t="shared" si="2"/>
        <v>46121</v>
      </c>
      <c r="C42" s="33">
        <f t="shared" si="3"/>
        <v>46127</v>
      </c>
      <c r="D42" s="32">
        <v>3281</v>
      </c>
      <c r="E42" s="32">
        <v>337</v>
      </c>
      <c r="F42" s="32">
        <v>4</v>
      </c>
      <c r="G42" s="23">
        <v>3</v>
      </c>
      <c r="H42" s="23">
        <v>81588</v>
      </c>
      <c r="I42" s="32" t="s">
        <v>17</v>
      </c>
      <c r="J42" s="22">
        <v>54822183</v>
      </c>
      <c r="K42" s="22" t="s">
        <v>5926</v>
      </c>
      <c r="L42" s="22" t="s">
        <v>5930</v>
      </c>
      <c r="M42" s="40">
        <v>179900</v>
      </c>
      <c r="N42" s="64" t="s">
        <v>2569</v>
      </c>
      <c r="O42" s="34" t="str">
        <f t="shared" si="0"/>
        <v>B1G1</v>
      </c>
      <c r="P42" s="32" t="s">
        <v>2569</v>
      </c>
    </row>
    <row r="43" spans="1:16" x14ac:dyDescent="0.35">
      <c r="A43" s="32" t="str">
        <f t="shared" si="1"/>
        <v>2025 JUL-SEPT B1G1</v>
      </c>
      <c r="B43" s="33">
        <f t="shared" si="2"/>
        <v>46121</v>
      </c>
      <c r="C43" s="33">
        <f t="shared" si="3"/>
        <v>46127</v>
      </c>
      <c r="D43" s="32">
        <v>3281</v>
      </c>
      <c r="E43" s="32">
        <v>337</v>
      </c>
      <c r="F43" s="32">
        <v>4</v>
      </c>
      <c r="G43" s="23">
        <v>3</v>
      </c>
      <c r="H43" s="23">
        <v>81588</v>
      </c>
      <c r="I43" s="32" t="s">
        <v>17</v>
      </c>
      <c r="J43" s="22">
        <v>54822192</v>
      </c>
      <c r="K43" s="22" t="s">
        <v>5926</v>
      </c>
      <c r="L43" s="22" t="s">
        <v>5929</v>
      </c>
      <c r="M43" s="40">
        <v>179900</v>
      </c>
      <c r="N43" s="64" t="s">
        <v>2569</v>
      </c>
      <c r="O43" s="34" t="str">
        <f t="shared" si="0"/>
        <v>B1G1</v>
      </c>
      <c r="P43" s="32" t="s">
        <v>2569</v>
      </c>
    </row>
    <row r="44" spans="1:16" x14ac:dyDescent="0.35">
      <c r="A44" s="32" t="str">
        <f t="shared" si="1"/>
        <v>2025 JUL-SEPT B1G1</v>
      </c>
      <c r="B44" s="33">
        <f t="shared" si="2"/>
        <v>46121</v>
      </c>
      <c r="C44" s="33">
        <f t="shared" si="3"/>
        <v>46127</v>
      </c>
      <c r="D44" s="32">
        <v>3281</v>
      </c>
      <c r="E44" s="32">
        <v>337</v>
      </c>
      <c r="F44" s="32">
        <v>4</v>
      </c>
      <c r="G44" s="23">
        <v>4</v>
      </c>
      <c r="H44" s="23">
        <v>81146</v>
      </c>
      <c r="I44" s="32" t="s">
        <v>17</v>
      </c>
      <c r="J44" s="22">
        <v>55419779</v>
      </c>
      <c r="K44" s="22" t="s">
        <v>5963</v>
      </c>
      <c r="L44" s="22" t="s">
        <v>5969</v>
      </c>
      <c r="M44" s="40">
        <v>149900</v>
      </c>
      <c r="N44" s="64" t="s">
        <v>2569</v>
      </c>
      <c r="O44" s="34" t="str">
        <f t="shared" si="0"/>
        <v>B1G1</v>
      </c>
      <c r="P44" s="32" t="s">
        <v>2569</v>
      </c>
    </row>
    <row r="45" spans="1:16" x14ac:dyDescent="0.35">
      <c r="A45" s="32" t="str">
        <f t="shared" si="1"/>
        <v>2025 JUL-SEPT B1G1</v>
      </c>
      <c r="B45" s="33">
        <f t="shared" si="2"/>
        <v>46121</v>
      </c>
      <c r="C45" s="33">
        <f t="shared" si="3"/>
        <v>46127</v>
      </c>
      <c r="D45" s="32">
        <v>3281</v>
      </c>
      <c r="E45" s="32">
        <v>337</v>
      </c>
      <c r="F45" s="32">
        <v>4</v>
      </c>
      <c r="G45" s="23">
        <v>4</v>
      </c>
      <c r="H45" s="23">
        <v>81146</v>
      </c>
      <c r="I45" s="32" t="s">
        <v>17</v>
      </c>
      <c r="J45" s="22">
        <v>55419788</v>
      </c>
      <c r="K45" s="22" t="s">
        <v>5963</v>
      </c>
      <c r="L45" s="22" t="s">
        <v>5965</v>
      </c>
      <c r="M45" s="40">
        <v>149900</v>
      </c>
      <c r="N45" s="64" t="s">
        <v>2569</v>
      </c>
      <c r="O45" s="34" t="str">
        <f t="shared" si="0"/>
        <v>B1G1</v>
      </c>
      <c r="P45" s="32" t="s">
        <v>2569</v>
      </c>
    </row>
    <row r="46" spans="1:16" x14ac:dyDescent="0.35">
      <c r="A46" s="32" t="str">
        <f t="shared" si="1"/>
        <v>2025 JUL-SEPT B1G1</v>
      </c>
      <c r="B46" s="33">
        <f t="shared" si="2"/>
        <v>46121</v>
      </c>
      <c r="C46" s="33">
        <f t="shared" si="3"/>
        <v>46127</v>
      </c>
      <c r="D46" s="32">
        <v>3281</v>
      </c>
      <c r="E46" s="32">
        <v>337</v>
      </c>
      <c r="F46" s="32">
        <v>4</v>
      </c>
      <c r="G46" s="23">
        <v>4</v>
      </c>
      <c r="H46" s="23">
        <v>81146</v>
      </c>
      <c r="I46" s="32" t="s">
        <v>17</v>
      </c>
      <c r="J46" s="22">
        <v>55419797</v>
      </c>
      <c r="K46" s="22" t="s">
        <v>5963</v>
      </c>
      <c r="L46" s="22" t="s">
        <v>5966</v>
      </c>
      <c r="M46" s="40">
        <v>149900</v>
      </c>
      <c r="N46" s="64" t="s">
        <v>2569</v>
      </c>
      <c r="O46" s="34" t="str">
        <f t="shared" si="0"/>
        <v>B1G1</v>
      </c>
      <c r="P46" s="32" t="s">
        <v>2569</v>
      </c>
    </row>
    <row r="47" spans="1:16" x14ac:dyDescent="0.35">
      <c r="A47" s="32" t="str">
        <f t="shared" si="1"/>
        <v>2025 JUL-SEPT B1G1</v>
      </c>
      <c r="B47" s="33">
        <f t="shared" si="2"/>
        <v>46121</v>
      </c>
      <c r="C47" s="33">
        <f t="shared" si="3"/>
        <v>46127</v>
      </c>
      <c r="D47" s="32">
        <v>3281</v>
      </c>
      <c r="E47" s="32">
        <v>337</v>
      </c>
      <c r="F47" s="32">
        <v>4</v>
      </c>
      <c r="G47" s="23">
        <v>4</v>
      </c>
      <c r="H47" s="23">
        <v>81146</v>
      </c>
      <c r="I47" s="32" t="s">
        <v>17</v>
      </c>
      <c r="J47" s="22">
        <v>55419804</v>
      </c>
      <c r="K47" s="22" t="s">
        <v>5963</v>
      </c>
      <c r="L47" s="22" t="s">
        <v>5968</v>
      </c>
      <c r="M47" s="40">
        <v>149900</v>
      </c>
      <c r="N47" s="64" t="s">
        <v>2569</v>
      </c>
      <c r="O47" s="34" t="str">
        <f t="shared" si="0"/>
        <v>B1G1</v>
      </c>
      <c r="P47" s="32" t="s">
        <v>2569</v>
      </c>
    </row>
    <row r="48" spans="1:16" x14ac:dyDescent="0.35">
      <c r="A48" s="32" t="str">
        <f t="shared" si="1"/>
        <v>2025 JUL-SEPT B1G1</v>
      </c>
      <c r="B48" s="33">
        <f t="shared" si="2"/>
        <v>46121</v>
      </c>
      <c r="C48" s="33">
        <f t="shared" si="3"/>
        <v>46127</v>
      </c>
      <c r="D48" s="32">
        <v>3281</v>
      </c>
      <c r="E48" s="32">
        <v>337</v>
      </c>
      <c r="F48" s="32">
        <v>4</v>
      </c>
      <c r="G48" s="23">
        <v>4</v>
      </c>
      <c r="H48" s="23">
        <v>81146</v>
      </c>
      <c r="I48" s="32" t="s">
        <v>17</v>
      </c>
      <c r="J48" s="22">
        <v>55419813</v>
      </c>
      <c r="K48" s="22" t="s">
        <v>5963</v>
      </c>
      <c r="L48" s="22" t="s">
        <v>5970</v>
      </c>
      <c r="M48" s="40">
        <v>149900</v>
      </c>
      <c r="N48" s="64" t="s">
        <v>2569</v>
      </c>
      <c r="O48" s="34" t="str">
        <f t="shared" si="0"/>
        <v>B1G1</v>
      </c>
      <c r="P48" s="32" t="s">
        <v>2569</v>
      </c>
    </row>
    <row r="49" spans="1:16" x14ac:dyDescent="0.35">
      <c r="A49" s="32" t="str">
        <f t="shared" si="1"/>
        <v>2025 JUL-SEPT B1G1</v>
      </c>
      <c r="B49" s="33">
        <f t="shared" si="2"/>
        <v>46121</v>
      </c>
      <c r="C49" s="33">
        <f t="shared" si="3"/>
        <v>46127</v>
      </c>
      <c r="D49" s="32">
        <v>3281</v>
      </c>
      <c r="E49" s="32">
        <v>337</v>
      </c>
      <c r="F49" s="32">
        <v>4</v>
      </c>
      <c r="G49" s="23">
        <v>4</v>
      </c>
      <c r="H49" s="23">
        <v>81146</v>
      </c>
      <c r="I49" s="32" t="s">
        <v>17</v>
      </c>
      <c r="J49" s="22">
        <v>55419822</v>
      </c>
      <c r="K49" s="22" t="s">
        <v>5963</v>
      </c>
      <c r="L49" s="22" t="s">
        <v>5964</v>
      </c>
      <c r="M49" s="40">
        <v>149900</v>
      </c>
      <c r="N49" s="64" t="s">
        <v>2569</v>
      </c>
      <c r="O49" s="34" t="str">
        <f t="shared" si="0"/>
        <v>B1G1</v>
      </c>
      <c r="P49" s="32" t="s">
        <v>2569</v>
      </c>
    </row>
    <row r="50" spans="1:16" x14ac:dyDescent="0.35">
      <c r="A50" s="32" t="str">
        <f t="shared" si="1"/>
        <v>2025 JUL-SEPT B1G1</v>
      </c>
      <c r="B50" s="33">
        <f t="shared" si="2"/>
        <v>46121</v>
      </c>
      <c r="C50" s="33">
        <f t="shared" si="3"/>
        <v>46127</v>
      </c>
      <c r="D50" s="32">
        <v>3281</v>
      </c>
      <c r="E50" s="32">
        <v>337</v>
      </c>
      <c r="F50" s="32">
        <v>4</v>
      </c>
      <c r="G50" s="23">
        <v>4</v>
      </c>
      <c r="H50" s="23">
        <v>81146</v>
      </c>
      <c r="I50" s="32" t="s">
        <v>17</v>
      </c>
      <c r="J50" s="22">
        <v>55419831</v>
      </c>
      <c r="K50" s="22" t="s">
        <v>5963</v>
      </c>
      <c r="L50" s="22" t="s">
        <v>5967</v>
      </c>
      <c r="M50" s="40">
        <v>149900</v>
      </c>
      <c r="N50" s="64" t="s">
        <v>2569</v>
      </c>
      <c r="O50" s="34" t="str">
        <f t="shared" si="0"/>
        <v>B1G1</v>
      </c>
      <c r="P50" s="32" t="s">
        <v>2569</v>
      </c>
    </row>
    <row r="51" spans="1:16" x14ac:dyDescent="0.35">
      <c r="A51" s="32" t="str">
        <f t="shared" si="1"/>
        <v>2025 JUL-SEPT B1G1</v>
      </c>
      <c r="B51" s="33">
        <f t="shared" si="2"/>
        <v>46121</v>
      </c>
      <c r="C51" s="33">
        <f t="shared" si="3"/>
        <v>46127</v>
      </c>
      <c r="D51" s="32">
        <v>3281</v>
      </c>
      <c r="E51" s="32">
        <v>337</v>
      </c>
      <c r="F51" s="32">
        <v>4</v>
      </c>
      <c r="G51" s="23">
        <v>4</v>
      </c>
      <c r="H51" s="23">
        <v>81146</v>
      </c>
      <c r="I51" s="32" t="s">
        <v>17</v>
      </c>
      <c r="J51" s="22">
        <v>55620407</v>
      </c>
      <c r="K51" s="22" t="s">
        <v>6416</v>
      </c>
      <c r="L51" s="22" t="s">
        <v>6419</v>
      </c>
      <c r="M51" s="40">
        <v>179900</v>
      </c>
      <c r="N51" s="64" t="s">
        <v>2569</v>
      </c>
      <c r="O51" s="34" t="str">
        <f t="shared" si="0"/>
        <v>B1G1</v>
      </c>
      <c r="P51" s="32" t="s">
        <v>2569</v>
      </c>
    </row>
    <row r="52" spans="1:16" x14ac:dyDescent="0.35">
      <c r="A52" s="32" t="str">
        <f t="shared" si="1"/>
        <v>2025 JUL-SEPT B1G1</v>
      </c>
      <c r="B52" s="33">
        <f t="shared" si="2"/>
        <v>46121</v>
      </c>
      <c r="C52" s="33">
        <f t="shared" si="3"/>
        <v>46127</v>
      </c>
      <c r="D52" s="32">
        <v>3281</v>
      </c>
      <c r="E52" s="32">
        <v>337</v>
      </c>
      <c r="F52" s="32">
        <v>4</v>
      </c>
      <c r="G52" s="23">
        <v>4</v>
      </c>
      <c r="H52" s="23">
        <v>81146</v>
      </c>
      <c r="I52" s="32" t="s">
        <v>17</v>
      </c>
      <c r="J52" s="22">
        <v>55620416</v>
      </c>
      <c r="K52" s="22" t="s">
        <v>6416</v>
      </c>
      <c r="L52" s="22" t="s">
        <v>6417</v>
      </c>
      <c r="M52" s="40">
        <v>179900</v>
      </c>
      <c r="N52" s="64" t="s">
        <v>2569</v>
      </c>
      <c r="O52" s="34" t="str">
        <f t="shared" si="0"/>
        <v>B1G1</v>
      </c>
      <c r="P52" s="32" t="s">
        <v>2569</v>
      </c>
    </row>
    <row r="53" spans="1:16" x14ac:dyDescent="0.35">
      <c r="A53" s="32" t="str">
        <f t="shared" si="1"/>
        <v>2025 JUL-SEPT B1G1</v>
      </c>
      <c r="B53" s="33">
        <f t="shared" si="2"/>
        <v>46121</v>
      </c>
      <c r="C53" s="33">
        <f t="shared" si="3"/>
        <v>46127</v>
      </c>
      <c r="D53" s="32">
        <v>3281</v>
      </c>
      <c r="E53" s="32">
        <v>337</v>
      </c>
      <c r="F53" s="32">
        <v>4</v>
      </c>
      <c r="G53" s="23">
        <v>4</v>
      </c>
      <c r="H53" s="23">
        <v>81146</v>
      </c>
      <c r="I53" s="32" t="s">
        <v>17</v>
      </c>
      <c r="J53" s="22">
        <v>55620425</v>
      </c>
      <c r="K53" s="22" t="s">
        <v>6416</v>
      </c>
      <c r="L53" s="22" t="s">
        <v>6420</v>
      </c>
      <c r="M53" s="40">
        <v>179900</v>
      </c>
      <c r="N53" s="64" t="s">
        <v>2569</v>
      </c>
      <c r="O53" s="34" t="str">
        <f t="shared" si="0"/>
        <v>B1G1</v>
      </c>
      <c r="P53" s="32" t="s">
        <v>2569</v>
      </c>
    </row>
    <row r="54" spans="1:16" x14ac:dyDescent="0.35">
      <c r="A54" s="32" t="str">
        <f t="shared" si="1"/>
        <v>2025 JUL-SEPT B1G1</v>
      </c>
      <c r="B54" s="33">
        <f t="shared" si="2"/>
        <v>46121</v>
      </c>
      <c r="C54" s="33">
        <f t="shared" si="3"/>
        <v>46127</v>
      </c>
      <c r="D54" s="32">
        <v>3281</v>
      </c>
      <c r="E54" s="32">
        <v>337</v>
      </c>
      <c r="F54" s="32">
        <v>4</v>
      </c>
      <c r="G54" s="23">
        <v>4</v>
      </c>
      <c r="H54" s="23">
        <v>81146</v>
      </c>
      <c r="I54" s="32" t="s">
        <v>17</v>
      </c>
      <c r="J54" s="22">
        <v>55620434</v>
      </c>
      <c r="K54" s="22" t="s">
        <v>6416</v>
      </c>
      <c r="L54" s="22" t="s">
        <v>6418</v>
      </c>
      <c r="M54" s="40">
        <v>179900</v>
      </c>
      <c r="N54" s="64" t="s">
        <v>2569</v>
      </c>
      <c r="O54" s="34" t="str">
        <f t="shared" si="0"/>
        <v>B1G1</v>
      </c>
      <c r="P54" s="32" t="s">
        <v>2569</v>
      </c>
    </row>
    <row r="55" spans="1:16" x14ac:dyDescent="0.35">
      <c r="A55" s="32" t="str">
        <f t="shared" si="1"/>
        <v>2025 JUL-SEPT B1G1</v>
      </c>
      <c r="B55" s="33">
        <f t="shared" si="2"/>
        <v>46121</v>
      </c>
      <c r="C55" s="33">
        <f t="shared" si="3"/>
        <v>46127</v>
      </c>
      <c r="D55" s="32">
        <v>3281</v>
      </c>
      <c r="E55" s="32">
        <v>337</v>
      </c>
      <c r="F55" s="32">
        <v>4</v>
      </c>
      <c r="G55" s="23">
        <v>4</v>
      </c>
      <c r="H55" s="23">
        <v>81588</v>
      </c>
      <c r="I55" s="32" t="s">
        <v>17</v>
      </c>
      <c r="J55" s="22">
        <v>54822209</v>
      </c>
      <c r="K55" s="22" t="s">
        <v>5822</v>
      </c>
      <c r="L55" s="22" t="s">
        <v>5826</v>
      </c>
      <c r="M55" s="40">
        <v>149900</v>
      </c>
      <c r="N55" s="64" t="s">
        <v>2569</v>
      </c>
      <c r="O55" s="34" t="str">
        <f t="shared" si="0"/>
        <v>B1G1</v>
      </c>
      <c r="P55" s="32" t="s">
        <v>2569</v>
      </c>
    </row>
    <row r="56" spans="1:16" x14ac:dyDescent="0.35">
      <c r="A56" s="32" t="str">
        <f t="shared" si="1"/>
        <v>2025 JUL-SEPT B1G1</v>
      </c>
      <c r="B56" s="33">
        <f t="shared" si="2"/>
        <v>46121</v>
      </c>
      <c r="C56" s="33">
        <f t="shared" si="3"/>
        <v>46127</v>
      </c>
      <c r="D56" s="32">
        <v>3281</v>
      </c>
      <c r="E56" s="32">
        <v>337</v>
      </c>
      <c r="F56" s="32">
        <v>4</v>
      </c>
      <c r="G56" s="23">
        <v>4</v>
      </c>
      <c r="H56" s="23">
        <v>81588</v>
      </c>
      <c r="I56" s="32" t="s">
        <v>17</v>
      </c>
      <c r="J56" s="22">
        <v>54822218</v>
      </c>
      <c r="K56" s="22" t="s">
        <v>5822</v>
      </c>
      <c r="L56" s="22" t="s">
        <v>5825</v>
      </c>
      <c r="M56" s="40">
        <v>149900</v>
      </c>
      <c r="N56" s="64" t="s">
        <v>2569</v>
      </c>
      <c r="O56" s="34" t="str">
        <f t="shared" si="0"/>
        <v>B1G1</v>
      </c>
      <c r="P56" s="32" t="s">
        <v>2569</v>
      </c>
    </row>
    <row r="57" spans="1:16" x14ac:dyDescent="0.35">
      <c r="A57" s="32" t="str">
        <f t="shared" si="1"/>
        <v>2025 JUL-SEPT B1G1</v>
      </c>
      <c r="B57" s="33">
        <f t="shared" si="2"/>
        <v>46121</v>
      </c>
      <c r="C57" s="33">
        <f t="shared" si="3"/>
        <v>46127</v>
      </c>
      <c r="D57" s="32">
        <v>3281</v>
      </c>
      <c r="E57" s="32">
        <v>337</v>
      </c>
      <c r="F57" s="32">
        <v>4</v>
      </c>
      <c r="G57" s="23">
        <v>4</v>
      </c>
      <c r="H57" s="23">
        <v>81588</v>
      </c>
      <c r="I57" s="32" t="s">
        <v>17</v>
      </c>
      <c r="J57" s="22">
        <v>54822227</v>
      </c>
      <c r="K57" s="22" t="s">
        <v>5822</v>
      </c>
      <c r="L57" s="22" t="s">
        <v>5823</v>
      </c>
      <c r="M57" s="40">
        <v>149900</v>
      </c>
      <c r="N57" s="64" t="s">
        <v>2569</v>
      </c>
      <c r="O57" s="34" t="str">
        <f t="shared" si="0"/>
        <v>B1G1</v>
      </c>
      <c r="P57" s="32" t="s">
        <v>2569</v>
      </c>
    </row>
    <row r="58" spans="1:16" x14ac:dyDescent="0.35">
      <c r="A58" s="32" t="str">
        <f t="shared" si="1"/>
        <v>2025 JUL-SEPT B1G1</v>
      </c>
      <c r="B58" s="33">
        <f t="shared" si="2"/>
        <v>46121</v>
      </c>
      <c r="C58" s="33">
        <f t="shared" si="3"/>
        <v>46127</v>
      </c>
      <c r="D58" s="32">
        <v>3281</v>
      </c>
      <c r="E58" s="32">
        <v>337</v>
      </c>
      <c r="F58" s="32">
        <v>4</v>
      </c>
      <c r="G58" s="23">
        <v>4</v>
      </c>
      <c r="H58" s="23">
        <v>81588</v>
      </c>
      <c r="I58" s="32" t="s">
        <v>17</v>
      </c>
      <c r="J58" s="22">
        <v>54822236</v>
      </c>
      <c r="K58" s="22" t="s">
        <v>5822</v>
      </c>
      <c r="L58" s="22" t="s">
        <v>5824</v>
      </c>
      <c r="M58" s="40">
        <v>149900</v>
      </c>
      <c r="N58" s="64" t="s">
        <v>2569</v>
      </c>
      <c r="O58" s="34" t="str">
        <f t="shared" si="0"/>
        <v>B1G1</v>
      </c>
      <c r="P58" s="32" t="s">
        <v>2569</v>
      </c>
    </row>
    <row r="59" spans="1:16" x14ac:dyDescent="0.35">
      <c r="A59" s="32" t="str">
        <f t="shared" si="1"/>
        <v>2025 JUL-SEPT B1G1</v>
      </c>
      <c r="B59" s="33">
        <f t="shared" si="2"/>
        <v>46121</v>
      </c>
      <c r="C59" s="33">
        <f t="shared" si="3"/>
        <v>46127</v>
      </c>
      <c r="D59" s="32">
        <v>3281</v>
      </c>
      <c r="E59" s="32">
        <v>337</v>
      </c>
      <c r="F59" s="32">
        <v>4</v>
      </c>
      <c r="G59" s="23">
        <v>5</v>
      </c>
      <c r="H59" s="23">
        <v>81146</v>
      </c>
      <c r="I59" s="32" t="s">
        <v>17</v>
      </c>
      <c r="J59" s="22">
        <v>55620443</v>
      </c>
      <c r="K59" s="22" t="s">
        <v>5971</v>
      </c>
      <c r="L59" s="22" t="s">
        <v>5974</v>
      </c>
      <c r="M59" s="40">
        <v>149900</v>
      </c>
      <c r="N59" s="64" t="s">
        <v>2569</v>
      </c>
      <c r="O59" s="34" t="str">
        <f t="shared" si="0"/>
        <v>B1G1</v>
      </c>
      <c r="P59" s="32" t="s">
        <v>2569</v>
      </c>
    </row>
    <row r="60" spans="1:16" x14ac:dyDescent="0.35">
      <c r="A60" s="32" t="str">
        <f t="shared" si="1"/>
        <v>2025 JUL-SEPT B1G1</v>
      </c>
      <c r="B60" s="33">
        <f t="shared" si="2"/>
        <v>46121</v>
      </c>
      <c r="C60" s="33">
        <f t="shared" si="3"/>
        <v>46127</v>
      </c>
      <c r="D60" s="32">
        <v>3281</v>
      </c>
      <c r="E60" s="32">
        <v>337</v>
      </c>
      <c r="F60" s="32">
        <v>4</v>
      </c>
      <c r="G60" s="23">
        <v>5</v>
      </c>
      <c r="H60" s="23">
        <v>81146</v>
      </c>
      <c r="I60" s="32" t="s">
        <v>17</v>
      </c>
      <c r="J60" s="22">
        <v>55620452</v>
      </c>
      <c r="K60" s="22" t="s">
        <v>5971</v>
      </c>
      <c r="L60" s="22" t="s">
        <v>5972</v>
      </c>
      <c r="M60" s="40">
        <v>149900</v>
      </c>
      <c r="N60" s="64" t="s">
        <v>2569</v>
      </c>
      <c r="O60" s="34" t="str">
        <f t="shared" si="0"/>
        <v>B1G1</v>
      </c>
      <c r="P60" s="32" t="s">
        <v>2569</v>
      </c>
    </row>
    <row r="61" spans="1:16" x14ac:dyDescent="0.35">
      <c r="A61" s="32" t="str">
        <f t="shared" si="1"/>
        <v>2025 JUL-SEPT B1G1</v>
      </c>
      <c r="B61" s="33">
        <f t="shared" si="2"/>
        <v>46121</v>
      </c>
      <c r="C61" s="33">
        <f t="shared" si="3"/>
        <v>46127</v>
      </c>
      <c r="D61" s="32">
        <v>3281</v>
      </c>
      <c r="E61" s="32">
        <v>337</v>
      </c>
      <c r="F61" s="32">
        <v>4</v>
      </c>
      <c r="G61" s="23">
        <v>5</v>
      </c>
      <c r="H61" s="23">
        <v>81146</v>
      </c>
      <c r="I61" s="32" t="s">
        <v>17</v>
      </c>
      <c r="J61" s="22">
        <v>55620461</v>
      </c>
      <c r="K61" s="22" t="s">
        <v>5971</v>
      </c>
      <c r="L61" s="22" t="s">
        <v>5975</v>
      </c>
      <c r="M61" s="40">
        <v>149900</v>
      </c>
      <c r="N61" s="64" t="s">
        <v>2569</v>
      </c>
      <c r="O61" s="34" t="str">
        <f t="shared" si="0"/>
        <v>B1G1</v>
      </c>
      <c r="P61" s="32" t="s">
        <v>2569</v>
      </c>
    </row>
    <row r="62" spans="1:16" x14ac:dyDescent="0.35">
      <c r="A62" s="32" t="str">
        <f t="shared" si="1"/>
        <v>2025 JUL-SEPT B1G1</v>
      </c>
      <c r="B62" s="33">
        <f t="shared" si="2"/>
        <v>46121</v>
      </c>
      <c r="C62" s="33">
        <f t="shared" si="3"/>
        <v>46127</v>
      </c>
      <c r="D62" s="32">
        <v>3281</v>
      </c>
      <c r="E62" s="32">
        <v>337</v>
      </c>
      <c r="F62" s="32">
        <v>4</v>
      </c>
      <c r="G62" s="23">
        <v>5</v>
      </c>
      <c r="H62" s="23">
        <v>81146</v>
      </c>
      <c r="I62" s="32" t="s">
        <v>17</v>
      </c>
      <c r="J62" s="22">
        <v>55620470</v>
      </c>
      <c r="K62" s="22" t="s">
        <v>5971</v>
      </c>
      <c r="L62" s="22" t="s">
        <v>5973</v>
      </c>
      <c r="M62" s="40">
        <v>149900</v>
      </c>
      <c r="N62" s="64" t="s">
        <v>2569</v>
      </c>
      <c r="O62" s="34" t="str">
        <f t="shared" si="0"/>
        <v>B1G1</v>
      </c>
      <c r="P62" s="32" t="s">
        <v>2569</v>
      </c>
    </row>
    <row r="63" spans="1:16" x14ac:dyDescent="0.35">
      <c r="A63" s="32" t="str">
        <f t="shared" si="1"/>
        <v>2025 JUL-SEPT B1G1</v>
      </c>
      <c r="B63" s="33">
        <f t="shared" si="2"/>
        <v>46121</v>
      </c>
      <c r="C63" s="33">
        <f t="shared" si="3"/>
        <v>46127</v>
      </c>
      <c r="D63" s="32">
        <v>3281</v>
      </c>
      <c r="E63" s="32">
        <v>337</v>
      </c>
      <c r="F63" s="32">
        <v>4</v>
      </c>
      <c r="G63" s="23">
        <v>5</v>
      </c>
      <c r="H63" s="23">
        <v>81588</v>
      </c>
      <c r="I63" s="32" t="s">
        <v>17</v>
      </c>
      <c r="J63" s="22">
        <v>55419840</v>
      </c>
      <c r="K63" s="22" t="s">
        <v>5943</v>
      </c>
      <c r="L63" s="22" t="s">
        <v>5947</v>
      </c>
      <c r="M63" s="40">
        <v>149900</v>
      </c>
      <c r="N63" s="64" t="s">
        <v>2569</v>
      </c>
      <c r="O63" s="34" t="str">
        <f t="shared" si="0"/>
        <v>B1G1</v>
      </c>
      <c r="P63" s="32" t="s">
        <v>2569</v>
      </c>
    </row>
    <row r="64" spans="1:16" x14ac:dyDescent="0.35">
      <c r="A64" s="32" t="str">
        <f t="shared" si="1"/>
        <v>2025 JUL-SEPT B1G1</v>
      </c>
      <c r="B64" s="33">
        <f t="shared" si="2"/>
        <v>46121</v>
      </c>
      <c r="C64" s="33">
        <f t="shared" si="3"/>
        <v>46127</v>
      </c>
      <c r="D64" s="32">
        <v>3281</v>
      </c>
      <c r="E64" s="32">
        <v>337</v>
      </c>
      <c r="F64" s="32">
        <v>4</v>
      </c>
      <c r="G64" s="23">
        <v>5</v>
      </c>
      <c r="H64" s="23">
        <v>81588</v>
      </c>
      <c r="I64" s="32" t="s">
        <v>17</v>
      </c>
      <c r="J64" s="22">
        <v>55419859</v>
      </c>
      <c r="K64" s="22" t="s">
        <v>5943</v>
      </c>
      <c r="L64" s="22" t="s">
        <v>5944</v>
      </c>
      <c r="M64" s="40">
        <v>149900</v>
      </c>
      <c r="N64" s="64" t="s">
        <v>2569</v>
      </c>
      <c r="O64" s="34" t="str">
        <f t="shared" si="0"/>
        <v>B1G1</v>
      </c>
      <c r="P64" s="32" t="s">
        <v>2569</v>
      </c>
    </row>
    <row r="65" spans="1:16" x14ac:dyDescent="0.35">
      <c r="A65" s="32" t="str">
        <f t="shared" si="1"/>
        <v>2025 JUL-SEPT B1G1</v>
      </c>
      <c r="B65" s="33">
        <f t="shared" si="2"/>
        <v>46121</v>
      </c>
      <c r="C65" s="33">
        <f t="shared" si="3"/>
        <v>46127</v>
      </c>
      <c r="D65" s="32">
        <v>3281</v>
      </c>
      <c r="E65" s="32">
        <v>337</v>
      </c>
      <c r="F65" s="32">
        <v>4</v>
      </c>
      <c r="G65" s="23">
        <v>5</v>
      </c>
      <c r="H65" s="23">
        <v>81588</v>
      </c>
      <c r="I65" s="32" t="s">
        <v>17</v>
      </c>
      <c r="J65" s="22">
        <v>55419868</v>
      </c>
      <c r="K65" s="22" t="s">
        <v>5943</v>
      </c>
      <c r="L65" s="22" t="s">
        <v>5946</v>
      </c>
      <c r="M65" s="40">
        <v>149900</v>
      </c>
      <c r="N65" s="64" t="s">
        <v>2569</v>
      </c>
      <c r="O65" s="34" t="str">
        <f t="shared" si="0"/>
        <v>B1G1</v>
      </c>
      <c r="P65" s="32" t="s">
        <v>2569</v>
      </c>
    </row>
    <row r="66" spans="1:16" x14ac:dyDescent="0.35">
      <c r="A66" s="32" t="str">
        <f t="shared" ref="A66:A70" si="4">A65</f>
        <v>2025 JUL-SEPT B1G1</v>
      </c>
      <c r="B66" s="33">
        <f t="shared" ref="B66:B70" si="5">B65</f>
        <v>46121</v>
      </c>
      <c r="C66" s="33">
        <f t="shared" ref="C66:C70" si="6">C65</f>
        <v>46127</v>
      </c>
      <c r="D66" s="32">
        <v>3281</v>
      </c>
      <c r="E66" s="32">
        <v>337</v>
      </c>
      <c r="F66" s="32">
        <v>4</v>
      </c>
      <c r="G66" s="23">
        <v>5</v>
      </c>
      <c r="H66" s="23">
        <v>81588</v>
      </c>
      <c r="I66" s="32" t="s">
        <v>17</v>
      </c>
      <c r="J66" s="22">
        <v>55419877</v>
      </c>
      <c r="K66" s="22" t="s">
        <v>5943</v>
      </c>
      <c r="L66" s="22" t="s">
        <v>5945</v>
      </c>
      <c r="M66" s="40">
        <v>149900</v>
      </c>
      <c r="N66" s="64" t="s">
        <v>2569</v>
      </c>
      <c r="O66" s="34" t="str">
        <f t="shared" ref="O66:O70" si="7">O65</f>
        <v>B1G1</v>
      </c>
      <c r="P66" s="32" t="s">
        <v>2569</v>
      </c>
    </row>
    <row r="67" spans="1:16" x14ac:dyDescent="0.35">
      <c r="A67" s="32" t="str">
        <f t="shared" si="4"/>
        <v>2025 JUL-SEPT B1G1</v>
      </c>
      <c r="B67" s="33">
        <f t="shared" si="5"/>
        <v>46121</v>
      </c>
      <c r="C67" s="33">
        <f t="shared" si="6"/>
        <v>46127</v>
      </c>
      <c r="D67" s="32">
        <v>3281</v>
      </c>
      <c r="E67" s="32">
        <v>337</v>
      </c>
      <c r="F67" s="32">
        <v>4</v>
      </c>
      <c r="G67" s="23">
        <v>3</v>
      </c>
      <c r="H67" s="23">
        <v>81588</v>
      </c>
      <c r="I67" s="32" t="s">
        <v>17</v>
      </c>
      <c r="J67" s="22">
        <v>54822129</v>
      </c>
      <c r="K67" s="22" t="s">
        <v>6498</v>
      </c>
      <c r="L67" s="22" t="s">
        <v>6499</v>
      </c>
      <c r="M67" s="40">
        <v>229900</v>
      </c>
      <c r="N67" s="64" t="s">
        <v>2569</v>
      </c>
      <c r="O67" s="34" t="str">
        <f t="shared" si="7"/>
        <v>B1G1</v>
      </c>
      <c r="P67" s="32" t="s">
        <v>2569</v>
      </c>
    </row>
    <row r="68" spans="1:16" x14ac:dyDescent="0.35">
      <c r="A68" s="32" t="str">
        <f t="shared" si="4"/>
        <v>2025 JUL-SEPT B1G1</v>
      </c>
      <c r="B68" s="33">
        <f t="shared" si="5"/>
        <v>46121</v>
      </c>
      <c r="C68" s="33">
        <f t="shared" si="6"/>
        <v>46127</v>
      </c>
      <c r="D68" s="32">
        <v>3281</v>
      </c>
      <c r="E68" s="32">
        <v>337</v>
      </c>
      <c r="F68" s="32">
        <v>4</v>
      </c>
      <c r="G68" s="23">
        <v>3</v>
      </c>
      <c r="H68" s="23">
        <v>81588</v>
      </c>
      <c r="I68" s="32" t="s">
        <v>17</v>
      </c>
      <c r="J68" s="22">
        <v>54822138</v>
      </c>
      <c r="K68" s="22" t="s">
        <v>6498</v>
      </c>
      <c r="L68" s="22" t="s">
        <v>6500</v>
      </c>
      <c r="M68" s="40">
        <v>229900</v>
      </c>
      <c r="N68" s="64" t="s">
        <v>2569</v>
      </c>
      <c r="O68" s="34" t="str">
        <f t="shared" si="7"/>
        <v>B1G1</v>
      </c>
      <c r="P68" s="32" t="s">
        <v>2569</v>
      </c>
    </row>
    <row r="69" spans="1:16" x14ac:dyDescent="0.35">
      <c r="A69" s="32" t="str">
        <f t="shared" si="4"/>
        <v>2025 JUL-SEPT B1G1</v>
      </c>
      <c r="B69" s="33">
        <f t="shared" si="5"/>
        <v>46121</v>
      </c>
      <c r="C69" s="33">
        <f t="shared" si="6"/>
        <v>46127</v>
      </c>
      <c r="D69" s="32">
        <v>3281</v>
      </c>
      <c r="E69" s="32">
        <v>337</v>
      </c>
      <c r="F69" s="32">
        <v>4</v>
      </c>
      <c r="G69" s="23">
        <v>3</v>
      </c>
      <c r="H69" s="23">
        <v>81588</v>
      </c>
      <c r="I69" s="32" t="s">
        <v>17</v>
      </c>
      <c r="J69" s="22">
        <v>54822147</v>
      </c>
      <c r="K69" s="22" t="s">
        <v>6498</v>
      </c>
      <c r="L69" s="22" t="s">
        <v>6501</v>
      </c>
      <c r="M69" s="40">
        <v>229900</v>
      </c>
      <c r="N69" s="64" t="s">
        <v>2569</v>
      </c>
      <c r="O69" s="34" t="str">
        <f t="shared" si="7"/>
        <v>B1G1</v>
      </c>
      <c r="P69" s="32" t="s">
        <v>2569</v>
      </c>
    </row>
    <row r="70" spans="1:16" x14ac:dyDescent="0.35">
      <c r="A70" s="32" t="str">
        <f t="shared" si="4"/>
        <v>2025 JUL-SEPT B1G1</v>
      </c>
      <c r="B70" s="33">
        <f t="shared" si="5"/>
        <v>46121</v>
      </c>
      <c r="C70" s="33">
        <f t="shared" si="6"/>
        <v>46127</v>
      </c>
      <c r="D70" s="32">
        <v>3281</v>
      </c>
      <c r="E70" s="32">
        <v>337</v>
      </c>
      <c r="F70" s="32">
        <v>4</v>
      </c>
      <c r="G70" s="23">
        <v>3</v>
      </c>
      <c r="H70" s="23">
        <v>81588</v>
      </c>
      <c r="I70" s="32" t="s">
        <v>17</v>
      </c>
      <c r="J70" s="22">
        <v>54822156</v>
      </c>
      <c r="K70" s="22" t="s">
        <v>6498</v>
      </c>
      <c r="L70" s="22" t="s">
        <v>6502</v>
      </c>
      <c r="M70" s="40">
        <v>229900</v>
      </c>
      <c r="N70" s="64" t="s">
        <v>2569</v>
      </c>
      <c r="O70" s="34" t="str">
        <f t="shared" si="7"/>
        <v>B1G1</v>
      </c>
      <c r="P70" s="32" t="s">
        <v>2569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048576">
    <cfRule type="duplicateValues" dxfId="1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FB35-7B30-4338-88E3-86A5E1A1ACA3}">
  <dimension ref="A1:P33"/>
  <sheetViews>
    <sheetView zoomScaleNormal="100" workbookViewId="0">
      <pane ySplit="1" topLeftCell="A2" activePane="bottomLeft" state="frozen"/>
      <selection activeCell="F18" sqref="F18"/>
      <selection pane="bottomLeft" activeCell="B2" sqref="B2:C2"/>
    </sheetView>
  </sheetViews>
  <sheetFormatPr defaultColWidth="8.6328125" defaultRowHeight="14.5" x14ac:dyDescent="0.35"/>
  <cols>
    <col min="1" max="1" width="22.17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59.08984375" style="17" customWidth="1"/>
    <col min="13" max="13" width="17.54296875" style="4" customWidth="1"/>
    <col min="14" max="14" width="17.4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6176</v>
      </c>
      <c r="B2" s="7">
        <f>'2025 HILITE D80 - 3321'!B2</f>
        <v>46121</v>
      </c>
      <c r="C2" s="7">
        <f>'2025 HILITE D80 - 3321'!C2</f>
        <v>46127</v>
      </c>
      <c r="D2" s="6">
        <v>3281</v>
      </c>
      <c r="E2" s="6">
        <v>337</v>
      </c>
      <c r="F2" s="6">
        <v>4</v>
      </c>
      <c r="G2" s="6">
        <v>5</v>
      </c>
      <c r="H2" s="6">
        <v>81506</v>
      </c>
      <c r="I2" s="6" t="s">
        <v>17</v>
      </c>
      <c r="J2" s="6">
        <v>51361767</v>
      </c>
      <c r="K2" s="6" t="s">
        <v>4509</v>
      </c>
      <c r="L2" s="16" t="s">
        <v>4510</v>
      </c>
      <c r="M2" s="8">
        <v>339900</v>
      </c>
      <c r="N2" s="9">
        <v>0.8</v>
      </c>
      <c r="O2" s="8">
        <f>M2-((80*M2)/100)</f>
        <v>67980</v>
      </c>
      <c r="P2" s="6" t="s">
        <v>16</v>
      </c>
    </row>
    <row r="3" spans="1:16" x14ac:dyDescent="0.35">
      <c r="A3" s="32" t="s">
        <v>6176</v>
      </c>
      <c r="B3" s="7">
        <f>B2</f>
        <v>46121</v>
      </c>
      <c r="C3" s="7">
        <f>C2</f>
        <v>46127</v>
      </c>
      <c r="D3" s="6">
        <v>3281</v>
      </c>
      <c r="E3" s="6">
        <v>337</v>
      </c>
      <c r="F3" s="6">
        <v>4</v>
      </c>
      <c r="G3" s="6">
        <v>5</v>
      </c>
      <c r="H3" s="6">
        <v>81506</v>
      </c>
      <c r="I3" s="6" t="s">
        <v>17</v>
      </c>
      <c r="J3" s="6">
        <v>51361776</v>
      </c>
      <c r="K3" s="6" t="s">
        <v>4509</v>
      </c>
      <c r="L3" s="16" t="s">
        <v>4511</v>
      </c>
      <c r="M3" s="8">
        <v>339900</v>
      </c>
      <c r="N3" s="35">
        <v>0.8</v>
      </c>
      <c r="O3" s="34">
        <f t="shared" ref="O3:O33" si="0">M3-((80*M3)/100)</f>
        <v>67980</v>
      </c>
      <c r="P3" s="6" t="s">
        <v>16</v>
      </c>
    </row>
    <row r="4" spans="1:16" x14ac:dyDescent="0.35">
      <c r="A4" s="32" t="s">
        <v>6176</v>
      </c>
      <c r="B4" s="7">
        <f t="shared" ref="B4:B33" si="1">B3</f>
        <v>46121</v>
      </c>
      <c r="C4" s="7">
        <f t="shared" ref="C4:C33" si="2">C3</f>
        <v>46127</v>
      </c>
      <c r="D4" s="6">
        <v>3281</v>
      </c>
      <c r="E4" s="6">
        <v>337</v>
      </c>
      <c r="F4" s="6">
        <v>4</v>
      </c>
      <c r="G4" s="6">
        <v>5</v>
      </c>
      <c r="H4" s="6">
        <v>81506</v>
      </c>
      <c r="I4" s="6" t="s">
        <v>17</v>
      </c>
      <c r="J4" s="6">
        <v>51361749</v>
      </c>
      <c r="K4" s="6" t="s">
        <v>4509</v>
      </c>
      <c r="L4" s="16" t="s">
        <v>4512</v>
      </c>
      <c r="M4" s="8">
        <v>339900</v>
      </c>
      <c r="N4" s="35">
        <v>0.8</v>
      </c>
      <c r="O4" s="34">
        <f t="shared" si="0"/>
        <v>67980</v>
      </c>
      <c r="P4" s="6" t="s">
        <v>16</v>
      </c>
    </row>
    <row r="5" spans="1:16" x14ac:dyDescent="0.35">
      <c r="A5" s="32" t="s">
        <v>6176</v>
      </c>
      <c r="B5" s="7">
        <f t="shared" si="1"/>
        <v>46121</v>
      </c>
      <c r="C5" s="7">
        <f t="shared" si="2"/>
        <v>46127</v>
      </c>
      <c r="D5" s="6">
        <v>3281</v>
      </c>
      <c r="E5" s="6">
        <v>337</v>
      </c>
      <c r="F5" s="6">
        <v>4</v>
      </c>
      <c r="G5" s="6">
        <v>5</v>
      </c>
      <c r="H5" s="6">
        <v>81506</v>
      </c>
      <c r="I5" s="6" t="s">
        <v>17</v>
      </c>
      <c r="J5" s="6">
        <v>51361758</v>
      </c>
      <c r="K5" s="6" t="s">
        <v>4509</v>
      </c>
      <c r="L5" s="16" t="s">
        <v>4513</v>
      </c>
      <c r="M5" s="8">
        <v>339900</v>
      </c>
      <c r="N5" s="35">
        <v>0.8</v>
      </c>
      <c r="O5" s="34">
        <f t="shared" si="0"/>
        <v>67980</v>
      </c>
      <c r="P5" s="6" t="s">
        <v>16</v>
      </c>
    </row>
    <row r="6" spans="1:16" x14ac:dyDescent="0.35">
      <c r="A6" s="32" t="s">
        <v>6176</v>
      </c>
      <c r="B6" s="7">
        <f t="shared" si="1"/>
        <v>46121</v>
      </c>
      <c r="C6" s="7">
        <f t="shared" si="2"/>
        <v>46127</v>
      </c>
      <c r="D6" s="6">
        <v>3281</v>
      </c>
      <c r="E6" s="6">
        <v>337</v>
      </c>
      <c r="F6" s="6">
        <v>4</v>
      </c>
      <c r="G6" s="6">
        <v>5</v>
      </c>
      <c r="H6" s="6">
        <v>81506</v>
      </c>
      <c r="I6" s="6" t="s">
        <v>17</v>
      </c>
      <c r="J6" s="6">
        <v>51361801</v>
      </c>
      <c r="K6" s="6" t="s">
        <v>4504</v>
      </c>
      <c r="L6" s="16" t="s">
        <v>4505</v>
      </c>
      <c r="M6" s="8">
        <v>319900</v>
      </c>
      <c r="N6" s="35">
        <v>0.8</v>
      </c>
      <c r="O6" s="34">
        <f t="shared" si="0"/>
        <v>63980</v>
      </c>
      <c r="P6" s="6" t="s">
        <v>16</v>
      </c>
    </row>
    <row r="7" spans="1:16" x14ac:dyDescent="0.35">
      <c r="A7" s="32" t="s">
        <v>6176</v>
      </c>
      <c r="B7" s="7">
        <f t="shared" si="1"/>
        <v>46121</v>
      </c>
      <c r="C7" s="7">
        <f t="shared" si="2"/>
        <v>46127</v>
      </c>
      <c r="D7" s="6">
        <v>3281</v>
      </c>
      <c r="E7" s="6">
        <v>337</v>
      </c>
      <c r="F7" s="6">
        <v>4</v>
      </c>
      <c r="G7" s="6">
        <v>5</v>
      </c>
      <c r="H7" s="6">
        <v>81506</v>
      </c>
      <c r="I7" s="6" t="s">
        <v>17</v>
      </c>
      <c r="J7" s="6">
        <v>51361785</v>
      </c>
      <c r="K7" s="6" t="s">
        <v>4504</v>
      </c>
      <c r="L7" s="16" t="s">
        <v>4506</v>
      </c>
      <c r="M7" s="8">
        <v>319900</v>
      </c>
      <c r="N7" s="35">
        <v>0.8</v>
      </c>
      <c r="O7" s="34">
        <f t="shared" si="0"/>
        <v>63980</v>
      </c>
      <c r="P7" s="6" t="s">
        <v>16</v>
      </c>
    </row>
    <row r="8" spans="1:16" x14ac:dyDescent="0.35">
      <c r="A8" s="32" t="s">
        <v>6176</v>
      </c>
      <c r="B8" s="7">
        <f t="shared" si="1"/>
        <v>46121</v>
      </c>
      <c r="C8" s="7">
        <f t="shared" si="2"/>
        <v>46127</v>
      </c>
      <c r="D8" s="6">
        <v>3281</v>
      </c>
      <c r="E8" s="6">
        <v>337</v>
      </c>
      <c r="F8" s="6">
        <v>4</v>
      </c>
      <c r="G8" s="6">
        <v>5</v>
      </c>
      <c r="H8" s="6">
        <v>81506</v>
      </c>
      <c r="I8" s="6" t="s">
        <v>17</v>
      </c>
      <c r="J8" s="6">
        <v>51361810</v>
      </c>
      <c r="K8" s="6" t="s">
        <v>4504</v>
      </c>
      <c r="L8" s="16" t="s">
        <v>4507</v>
      </c>
      <c r="M8" s="8">
        <v>319900</v>
      </c>
      <c r="N8" s="35">
        <v>0.8</v>
      </c>
      <c r="O8" s="34">
        <f t="shared" si="0"/>
        <v>63980</v>
      </c>
      <c r="P8" s="6" t="s">
        <v>16</v>
      </c>
    </row>
    <row r="9" spans="1:16" x14ac:dyDescent="0.35">
      <c r="A9" s="32" t="s">
        <v>6176</v>
      </c>
      <c r="B9" s="7">
        <f t="shared" si="1"/>
        <v>46121</v>
      </c>
      <c r="C9" s="7">
        <f t="shared" si="2"/>
        <v>46127</v>
      </c>
      <c r="D9" s="6">
        <v>3281</v>
      </c>
      <c r="E9" s="6">
        <v>337</v>
      </c>
      <c r="F9" s="6">
        <v>4</v>
      </c>
      <c r="G9" s="6">
        <v>5</v>
      </c>
      <c r="H9" s="6">
        <v>81506</v>
      </c>
      <c r="I9" s="6" t="s">
        <v>17</v>
      </c>
      <c r="J9" s="6">
        <v>51361794</v>
      </c>
      <c r="K9" s="6" t="s">
        <v>4504</v>
      </c>
      <c r="L9" s="16" t="s">
        <v>4508</v>
      </c>
      <c r="M9" s="8">
        <v>319900</v>
      </c>
      <c r="N9" s="35">
        <v>0.8</v>
      </c>
      <c r="O9" s="34">
        <f t="shared" si="0"/>
        <v>63980</v>
      </c>
      <c r="P9" s="6" t="s">
        <v>16</v>
      </c>
    </row>
    <row r="10" spans="1:16" x14ac:dyDescent="0.35">
      <c r="A10" s="32" t="s">
        <v>6176</v>
      </c>
      <c r="B10" s="7">
        <f t="shared" si="1"/>
        <v>46121</v>
      </c>
      <c r="C10" s="7">
        <f t="shared" si="2"/>
        <v>46127</v>
      </c>
      <c r="D10" s="6">
        <v>3281</v>
      </c>
      <c r="E10" s="6">
        <v>337</v>
      </c>
      <c r="F10" s="6">
        <v>4</v>
      </c>
      <c r="G10" s="6">
        <v>5</v>
      </c>
      <c r="H10" s="6">
        <v>81146</v>
      </c>
      <c r="I10" s="6" t="s">
        <v>17</v>
      </c>
      <c r="J10" s="6">
        <v>51361972</v>
      </c>
      <c r="K10" s="6" t="s">
        <v>4683</v>
      </c>
      <c r="L10" s="16" t="s">
        <v>4684</v>
      </c>
      <c r="M10" s="8">
        <v>339900</v>
      </c>
      <c r="N10" s="35">
        <v>0.8</v>
      </c>
      <c r="O10" s="34">
        <f t="shared" si="0"/>
        <v>67980</v>
      </c>
      <c r="P10" s="6" t="s">
        <v>16</v>
      </c>
    </row>
    <row r="11" spans="1:16" x14ac:dyDescent="0.35">
      <c r="A11" s="32" t="s">
        <v>6176</v>
      </c>
      <c r="B11" s="33">
        <f t="shared" si="1"/>
        <v>46121</v>
      </c>
      <c r="C11" s="7">
        <f t="shared" si="2"/>
        <v>46127</v>
      </c>
      <c r="D11" s="6">
        <v>3281</v>
      </c>
      <c r="E11" s="6">
        <v>337</v>
      </c>
      <c r="F11" s="6">
        <v>4</v>
      </c>
      <c r="G11" s="6">
        <v>5</v>
      </c>
      <c r="H11" s="6">
        <v>81146</v>
      </c>
      <c r="I11" s="6" t="s">
        <v>17</v>
      </c>
      <c r="J11" s="6">
        <v>51361954</v>
      </c>
      <c r="K11" s="6" t="s">
        <v>4683</v>
      </c>
      <c r="L11" s="16" t="s">
        <v>4685</v>
      </c>
      <c r="M11" s="8">
        <v>339900</v>
      </c>
      <c r="N11" s="35">
        <v>0.8</v>
      </c>
      <c r="O11" s="34">
        <f t="shared" si="0"/>
        <v>67980</v>
      </c>
      <c r="P11" s="6" t="s">
        <v>16</v>
      </c>
    </row>
    <row r="12" spans="1:16" x14ac:dyDescent="0.35">
      <c r="A12" s="32" t="s">
        <v>6176</v>
      </c>
      <c r="B12" s="33">
        <f t="shared" si="1"/>
        <v>46121</v>
      </c>
      <c r="C12" s="7">
        <f t="shared" si="2"/>
        <v>46127</v>
      </c>
      <c r="D12" s="6">
        <v>3281</v>
      </c>
      <c r="E12" s="6">
        <v>337</v>
      </c>
      <c r="F12" s="6">
        <v>4</v>
      </c>
      <c r="G12" s="6">
        <v>5</v>
      </c>
      <c r="H12" s="6">
        <v>81146</v>
      </c>
      <c r="I12" s="6" t="s">
        <v>17</v>
      </c>
      <c r="J12" s="6">
        <v>51361945</v>
      </c>
      <c r="K12" s="6" t="s">
        <v>4683</v>
      </c>
      <c r="L12" s="16" t="s">
        <v>4686</v>
      </c>
      <c r="M12" s="8">
        <v>339900</v>
      </c>
      <c r="N12" s="35">
        <v>0.8</v>
      </c>
      <c r="O12" s="34">
        <f t="shared" si="0"/>
        <v>67980</v>
      </c>
      <c r="P12" s="6" t="s">
        <v>16</v>
      </c>
    </row>
    <row r="13" spans="1:16" x14ac:dyDescent="0.35">
      <c r="A13" s="32" t="s">
        <v>6176</v>
      </c>
      <c r="B13" s="33">
        <f t="shared" si="1"/>
        <v>46121</v>
      </c>
      <c r="C13" s="7">
        <f t="shared" si="2"/>
        <v>46127</v>
      </c>
      <c r="D13" s="6">
        <v>3281</v>
      </c>
      <c r="E13" s="6">
        <v>337</v>
      </c>
      <c r="F13" s="6">
        <v>4</v>
      </c>
      <c r="G13" s="6">
        <v>5</v>
      </c>
      <c r="H13" s="6">
        <v>81146</v>
      </c>
      <c r="I13" s="6" t="s">
        <v>17</v>
      </c>
      <c r="J13" s="6">
        <v>51361963</v>
      </c>
      <c r="K13" s="6" t="s">
        <v>4683</v>
      </c>
      <c r="L13" s="16" t="s">
        <v>4687</v>
      </c>
      <c r="M13" s="8">
        <v>339900</v>
      </c>
      <c r="N13" s="35">
        <v>0.8</v>
      </c>
      <c r="O13" s="34">
        <f t="shared" si="0"/>
        <v>67980</v>
      </c>
      <c r="P13" s="6" t="s">
        <v>16</v>
      </c>
    </row>
    <row r="14" spans="1:16" x14ac:dyDescent="0.35">
      <c r="A14" s="32" t="s">
        <v>6176</v>
      </c>
      <c r="B14" s="33">
        <f t="shared" si="1"/>
        <v>46121</v>
      </c>
      <c r="C14" s="7">
        <f t="shared" si="2"/>
        <v>46127</v>
      </c>
      <c r="D14" s="6">
        <v>3281</v>
      </c>
      <c r="E14" s="6">
        <v>337</v>
      </c>
      <c r="F14" s="6">
        <v>4</v>
      </c>
      <c r="G14" s="6">
        <v>4</v>
      </c>
      <c r="H14" s="6">
        <v>81146</v>
      </c>
      <c r="I14" s="6" t="s">
        <v>17</v>
      </c>
      <c r="J14" s="6">
        <v>51721289</v>
      </c>
      <c r="K14" s="6" t="s">
        <v>4449</v>
      </c>
      <c r="L14" s="16" t="s">
        <v>4450</v>
      </c>
      <c r="M14" s="8">
        <v>279900</v>
      </c>
      <c r="N14" s="35">
        <v>0.8</v>
      </c>
      <c r="O14" s="34">
        <f t="shared" si="0"/>
        <v>55980</v>
      </c>
      <c r="P14" s="6" t="s">
        <v>16</v>
      </c>
    </row>
    <row r="15" spans="1:16" x14ac:dyDescent="0.35">
      <c r="A15" s="32" t="s">
        <v>6176</v>
      </c>
      <c r="B15" s="33">
        <f t="shared" si="1"/>
        <v>46121</v>
      </c>
      <c r="C15" s="7">
        <f t="shared" si="2"/>
        <v>46127</v>
      </c>
      <c r="D15" s="6">
        <v>3281</v>
      </c>
      <c r="E15" s="6">
        <v>337</v>
      </c>
      <c r="F15" s="6">
        <v>4</v>
      </c>
      <c r="G15" s="6">
        <v>4</v>
      </c>
      <c r="H15" s="6">
        <v>81146</v>
      </c>
      <c r="I15" s="6" t="s">
        <v>17</v>
      </c>
      <c r="J15" s="6">
        <v>51721270</v>
      </c>
      <c r="K15" s="6" t="s">
        <v>4449</v>
      </c>
      <c r="L15" s="16" t="s">
        <v>4451</v>
      </c>
      <c r="M15" s="8">
        <v>279900</v>
      </c>
      <c r="N15" s="35">
        <v>0.8</v>
      </c>
      <c r="O15" s="34">
        <f t="shared" si="0"/>
        <v>55980</v>
      </c>
      <c r="P15" s="6" t="s">
        <v>16</v>
      </c>
    </row>
    <row r="16" spans="1:16" x14ac:dyDescent="0.35">
      <c r="A16" s="32" t="s">
        <v>6176</v>
      </c>
      <c r="B16" s="33">
        <f t="shared" si="1"/>
        <v>46121</v>
      </c>
      <c r="C16" s="7">
        <f t="shared" si="2"/>
        <v>46127</v>
      </c>
      <c r="D16" s="6">
        <v>3281</v>
      </c>
      <c r="E16" s="6">
        <v>337</v>
      </c>
      <c r="F16" s="6">
        <v>4</v>
      </c>
      <c r="G16" s="6">
        <v>4</v>
      </c>
      <c r="H16" s="6">
        <v>81146</v>
      </c>
      <c r="I16" s="6" t="s">
        <v>17</v>
      </c>
      <c r="J16" s="6">
        <v>51721298</v>
      </c>
      <c r="K16" s="6" t="s">
        <v>4449</v>
      </c>
      <c r="L16" s="16" t="s">
        <v>4452</v>
      </c>
      <c r="M16" s="8">
        <v>279900</v>
      </c>
      <c r="N16" s="35">
        <v>0.8</v>
      </c>
      <c r="O16" s="34">
        <f t="shared" si="0"/>
        <v>55980</v>
      </c>
      <c r="P16" s="6" t="s">
        <v>16</v>
      </c>
    </row>
    <row r="17" spans="1:16" x14ac:dyDescent="0.35">
      <c r="A17" s="32" t="s">
        <v>6176</v>
      </c>
      <c r="B17" s="33">
        <f t="shared" si="1"/>
        <v>46121</v>
      </c>
      <c r="C17" s="7">
        <f t="shared" si="2"/>
        <v>46127</v>
      </c>
      <c r="D17" s="6">
        <v>3281</v>
      </c>
      <c r="E17" s="6">
        <v>337</v>
      </c>
      <c r="F17" s="6">
        <v>4</v>
      </c>
      <c r="G17" s="6">
        <v>4</v>
      </c>
      <c r="H17" s="6">
        <v>81146</v>
      </c>
      <c r="I17" s="6" t="s">
        <v>17</v>
      </c>
      <c r="J17" s="6">
        <v>51721305</v>
      </c>
      <c r="K17" s="6" t="s">
        <v>4449</v>
      </c>
      <c r="L17" s="16" t="s">
        <v>4453</v>
      </c>
      <c r="M17" s="8">
        <v>279900</v>
      </c>
      <c r="N17" s="35">
        <v>0.8</v>
      </c>
      <c r="O17" s="34">
        <f t="shared" si="0"/>
        <v>55980</v>
      </c>
      <c r="P17" s="6" t="s">
        <v>16</v>
      </c>
    </row>
    <row r="18" spans="1:16" x14ac:dyDescent="0.35">
      <c r="A18" s="32" t="s">
        <v>6176</v>
      </c>
      <c r="B18" s="33">
        <f t="shared" si="1"/>
        <v>46121</v>
      </c>
      <c r="C18" s="7">
        <f t="shared" si="2"/>
        <v>46127</v>
      </c>
      <c r="D18" s="6">
        <v>3281</v>
      </c>
      <c r="E18" s="6">
        <v>337</v>
      </c>
      <c r="F18" s="6">
        <v>4</v>
      </c>
      <c r="G18" s="6">
        <v>2</v>
      </c>
      <c r="H18" s="6">
        <v>81506</v>
      </c>
      <c r="I18" s="6" t="s">
        <v>17</v>
      </c>
      <c r="J18" s="6">
        <v>51361669</v>
      </c>
      <c r="K18" s="6" t="s">
        <v>4479</v>
      </c>
      <c r="L18" s="16" t="s">
        <v>4480</v>
      </c>
      <c r="M18" s="8">
        <v>279900</v>
      </c>
      <c r="N18" s="35">
        <v>0.8</v>
      </c>
      <c r="O18" s="34">
        <f t="shared" si="0"/>
        <v>55980</v>
      </c>
      <c r="P18" s="6" t="s">
        <v>16</v>
      </c>
    </row>
    <row r="19" spans="1:16" x14ac:dyDescent="0.35">
      <c r="A19" s="32" t="s">
        <v>6176</v>
      </c>
      <c r="B19" s="33">
        <f t="shared" si="1"/>
        <v>46121</v>
      </c>
      <c r="C19" s="7">
        <f t="shared" si="2"/>
        <v>46127</v>
      </c>
      <c r="D19" s="6">
        <v>3281</v>
      </c>
      <c r="E19" s="6">
        <v>337</v>
      </c>
      <c r="F19" s="6">
        <v>4</v>
      </c>
      <c r="G19" s="6">
        <v>2</v>
      </c>
      <c r="H19" s="6">
        <v>81506</v>
      </c>
      <c r="I19" s="6" t="s">
        <v>17</v>
      </c>
      <c r="J19" s="6">
        <v>51361696</v>
      </c>
      <c r="K19" s="6" t="s">
        <v>4479</v>
      </c>
      <c r="L19" s="16" t="s">
        <v>4481</v>
      </c>
      <c r="M19" s="8">
        <v>279900</v>
      </c>
      <c r="N19" s="35">
        <v>0.8</v>
      </c>
      <c r="O19" s="34">
        <f t="shared" si="0"/>
        <v>55980</v>
      </c>
      <c r="P19" s="6" t="s">
        <v>16</v>
      </c>
    </row>
    <row r="20" spans="1:16" x14ac:dyDescent="0.35">
      <c r="A20" s="32" t="s">
        <v>6176</v>
      </c>
      <c r="B20" s="33">
        <f t="shared" si="1"/>
        <v>46121</v>
      </c>
      <c r="C20" s="7">
        <f t="shared" si="2"/>
        <v>46127</v>
      </c>
      <c r="D20" s="6">
        <v>3281</v>
      </c>
      <c r="E20" s="6">
        <v>337</v>
      </c>
      <c r="F20" s="6">
        <v>4</v>
      </c>
      <c r="G20" s="6">
        <v>2</v>
      </c>
      <c r="H20" s="6">
        <v>81506</v>
      </c>
      <c r="I20" s="6" t="s">
        <v>17</v>
      </c>
      <c r="J20" s="6">
        <v>51361678</v>
      </c>
      <c r="K20" s="6" t="s">
        <v>4479</v>
      </c>
      <c r="L20" s="16" t="s">
        <v>4482</v>
      </c>
      <c r="M20" s="8">
        <v>279900</v>
      </c>
      <c r="N20" s="35">
        <v>0.8</v>
      </c>
      <c r="O20" s="34">
        <f t="shared" si="0"/>
        <v>55980</v>
      </c>
      <c r="P20" s="6" t="s">
        <v>16</v>
      </c>
    </row>
    <row r="21" spans="1:16" x14ac:dyDescent="0.35">
      <c r="A21" s="32" t="s">
        <v>6176</v>
      </c>
      <c r="B21" s="33">
        <f t="shared" si="1"/>
        <v>46121</v>
      </c>
      <c r="C21" s="7">
        <f t="shared" si="2"/>
        <v>46127</v>
      </c>
      <c r="D21" s="6">
        <v>3281</v>
      </c>
      <c r="E21" s="6">
        <v>337</v>
      </c>
      <c r="F21" s="6">
        <v>4</v>
      </c>
      <c r="G21" s="6">
        <v>2</v>
      </c>
      <c r="H21" s="6">
        <v>81506</v>
      </c>
      <c r="I21" s="6" t="s">
        <v>17</v>
      </c>
      <c r="J21" s="6">
        <v>51361687</v>
      </c>
      <c r="K21" s="6" t="s">
        <v>4479</v>
      </c>
      <c r="L21" s="16" t="s">
        <v>4483</v>
      </c>
      <c r="M21" s="8">
        <v>279900</v>
      </c>
      <c r="N21" s="35">
        <v>0.8</v>
      </c>
      <c r="O21" s="34">
        <f t="shared" si="0"/>
        <v>55980</v>
      </c>
      <c r="P21" s="6" t="s">
        <v>16</v>
      </c>
    </row>
    <row r="22" spans="1:16" x14ac:dyDescent="0.35">
      <c r="A22" s="32" t="s">
        <v>6176</v>
      </c>
      <c r="B22" s="33">
        <f t="shared" si="1"/>
        <v>46121</v>
      </c>
      <c r="C22" s="7">
        <f t="shared" si="2"/>
        <v>46127</v>
      </c>
      <c r="D22" s="6">
        <v>3281</v>
      </c>
      <c r="E22" s="6">
        <v>337</v>
      </c>
      <c r="F22" s="6">
        <v>4</v>
      </c>
      <c r="G22" s="6">
        <v>2</v>
      </c>
      <c r="H22" s="6">
        <v>81146</v>
      </c>
      <c r="I22" s="6" t="s">
        <v>17</v>
      </c>
      <c r="J22" s="6">
        <v>51867104</v>
      </c>
      <c r="K22" s="6" t="s">
        <v>4668</v>
      </c>
      <c r="L22" s="16" t="s">
        <v>4669</v>
      </c>
      <c r="M22" s="8">
        <v>279900</v>
      </c>
      <c r="N22" s="35">
        <v>0.8</v>
      </c>
      <c r="O22" s="34">
        <f t="shared" si="0"/>
        <v>55980</v>
      </c>
      <c r="P22" s="6" t="s">
        <v>16</v>
      </c>
    </row>
    <row r="23" spans="1:16" x14ac:dyDescent="0.35">
      <c r="A23" s="32" t="s">
        <v>6176</v>
      </c>
      <c r="B23" s="33">
        <f t="shared" si="1"/>
        <v>46121</v>
      </c>
      <c r="C23" s="7">
        <f t="shared" si="2"/>
        <v>46127</v>
      </c>
      <c r="D23" s="6">
        <v>3281</v>
      </c>
      <c r="E23" s="6">
        <v>337</v>
      </c>
      <c r="F23" s="6">
        <v>4</v>
      </c>
      <c r="G23" s="6">
        <v>2</v>
      </c>
      <c r="H23" s="6">
        <v>81146</v>
      </c>
      <c r="I23" s="6" t="s">
        <v>17</v>
      </c>
      <c r="J23" s="6">
        <v>51867113</v>
      </c>
      <c r="K23" s="6" t="s">
        <v>4668</v>
      </c>
      <c r="L23" s="16" t="s">
        <v>4670</v>
      </c>
      <c r="M23" s="8">
        <v>279900</v>
      </c>
      <c r="N23" s="35">
        <v>0.8</v>
      </c>
      <c r="O23" s="34">
        <f t="shared" si="0"/>
        <v>55980</v>
      </c>
      <c r="P23" s="6" t="s">
        <v>16</v>
      </c>
    </row>
    <row r="24" spans="1:16" x14ac:dyDescent="0.35">
      <c r="A24" s="32" t="s">
        <v>6176</v>
      </c>
      <c r="B24" s="33">
        <f t="shared" si="1"/>
        <v>46121</v>
      </c>
      <c r="C24" s="7">
        <f t="shared" si="2"/>
        <v>46127</v>
      </c>
      <c r="D24" s="6">
        <v>3281</v>
      </c>
      <c r="E24" s="6">
        <v>337</v>
      </c>
      <c r="F24" s="6">
        <v>4</v>
      </c>
      <c r="G24" s="6">
        <v>2</v>
      </c>
      <c r="H24" s="6">
        <v>81146</v>
      </c>
      <c r="I24" s="6" t="s">
        <v>17</v>
      </c>
      <c r="J24" s="6">
        <v>51867097</v>
      </c>
      <c r="K24" s="6" t="s">
        <v>4668</v>
      </c>
      <c r="L24" s="16" t="s">
        <v>4671</v>
      </c>
      <c r="M24" s="8">
        <v>279900</v>
      </c>
      <c r="N24" s="35">
        <v>0.8</v>
      </c>
      <c r="O24" s="34">
        <f t="shared" si="0"/>
        <v>55980</v>
      </c>
      <c r="P24" s="6" t="s">
        <v>16</v>
      </c>
    </row>
    <row r="25" spans="1:16" x14ac:dyDescent="0.35">
      <c r="A25" s="32" t="s">
        <v>6176</v>
      </c>
      <c r="B25" s="33">
        <f t="shared" si="1"/>
        <v>46121</v>
      </c>
      <c r="C25" s="7">
        <f t="shared" si="2"/>
        <v>46127</v>
      </c>
      <c r="D25" s="6">
        <v>3281</v>
      </c>
      <c r="E25" s="6">
        <v>337</v>
      </c>
      <c r="F25" s="6">
        <v>4</v>
      </c>
      <c r="G25" s="6">
        <v>2</v>
      </c>
      <c r="H25" s="6">
        <v>81146</v>
      </c>
      <c r="I25" s="6" t="s">
        <v>17</v>
      </c>
      <c r="J25" s="6">
        <v>51867088</v>
      </c>
      <c r="K25" s="6" t="s">
        <v>4668</v>
      </c>
      <c r="L25" s="16" t="s">
        <v>4672</v>
      </c>
      <c r="M25" s="8">
        <v>279900</v>
      </c>
      <c r="N25" s="35">
        <v>0.8</v>
      </c>
      <c r="O25" s="34">
        <f t="shared" si="0"/>
        <v>55980</v>
      </c>
      <c r="P25" s="6" t="s">
        <v>16</v>
      </c>
    </row>
    <row r="26" spans="1:16" x14ac:dyDescent="0.35">
      <c r="A26" s="32" t="s">
        <v>6176</v>
      </c>
      <c r="B26" s="33">
        <f t="shared" si="1"/>
        <v>46121</v>
      </c>
      <c r="C26" s="7">
        <f t="shared" si="2"/>
        <v>46127</v>
      </c>
      <c r="D26" s="6">
        <v>3281</v>
      </c>
      <c r="E26" s="6">
        <v>337</v>
      </c>
      <c r="F26" s="6">
        <v>4</v>
      </c>
      <c r="G26" s="6">
        <v>2</v>
      </c>
      <c r="H26" s="6">
        <v>81506</v>
      </c>
      <c r="I26" s="6" t="s">
        <v>17</v>
      </c>
      <c r="J26" s="6">
        <v>52525794</v>
      </c>
      <c r="K26" s="6" t="s">
        <v>5282</v>
      </c>
      <c r="L26" s="16" t="s">
        <v>5283</v>
      </c>
      <c r="M26" s="8">
        <v>279900</v>
      </c>
      <c r="N26" s="35">
        <v>0.8</v>
      </c>
      <c r="O26" s="34">
        <f t="shared" si="0"/>
        <v>55980</v>
      </c>
      <c r="P26" s="6" t="s">
        <v>16</v>
      </c>
    </row>
    <row r="27" spans="1:16" x14ac:dyDescent="0.35">
      <c r="A27" s="32" t="s">
        <v>6176</v>
      </c>
      <c r="B27" s="33">
        <f t="shared" si="1"/>
        <v>46121</v>
      </c>
      <c r="C27" s="7">
        <f t="shared" si="2"/>
        <v>46127</v>
      </c>
      <c r="D27" s="6">
        <v>3281</v>
      </c>
      <c r="E27" s="6">
        <v>337</v>
      </c>
      <c r="F27" s="6">
        <v>4</v>
      </c>
      <c r="G27" s="6">
        <v>2</v>
      </c>
      <c r="H27" s="6">
        <v>81506</v>
      </c>
      <c r="I27" s="6" t="s">
        <v>17</v>
      </c>
      <c r="J27" s="6">
        <v>52525785</v>
      </c>
      <c r="K27" s="6" t="s">
        <v>5282</v>
      </c>
      <c r="L27" s="16" t="s">
        <v>5284</v>
      </c>
      <c r="M27" s="8">
        <v>279900</v>
      </c>
      <c r="N27" s="35">
        <v>0.8</v>
      </c>
      <c r="O27" s="34">
        <f t="shared" si="0"/>
        <v>55980</v>
      </c>
      <c r="P27" s="6" t="s">
        <v>16</v>
      </c>
    </row>
    <row r="28" spans="1:16" x14ac:dyDescent="0.35">
      <c r="A28" s="32" t="s">
        <v>6176</v>
      </c>
      <c r="B28" s="33">
        <f t="shared" si="1"/>
        <v>46121</v>
      </c>
      <c r="C28" s="7">
        <f t="shared" si="2"/>
        <v>46127</v>
      </c>
      <c r="D28" s="6">
        <v>3281</v>
      </c>
      <c r="E28" s="6">
        <v>337</v>
      </c>
      <c r="F28" s="6">
        <v>4</v>
      </c>
      <c r="G28" s="6">
        <v>2</v>
      </c>
      <c r="H28" s="6">
        <v>81506</v>
      </c>
      <c r="I28" s="6" t="s">
        <v>17</v>
      </c>
      <c r="J28" s="6">
        <v>52525801</v>
      </c>
      <c r="K28" s="6" t="s">
        <v>5282</v>
      </c>
      <c r="L28" s="16" t="s">
        <v>5285</v>
      </c>
      <c r="M28" s="8">
        <v>279900</v>
      </c>
      <c r="N28" s="35">
        <v>0.8</v>
      </c>
      <c r="O28" s="34">
        <f t="shared" si="0"/>
        <v>55980</v>
      </c>
      <c r="P28" s="6" t="s">
        <v>16</v>
      </c>
    </row>
    <row r="29" spans="1:16" x14ac:dyDescent="0.35">
      <c r="A29" s="32" t="s">
        <v>6176</v>
      </c>
      <c r="B29" s="33">
        <f t="shared" si="1"/>
        <v>46121</v>
      </c>
      <c r="C29" s="7">
        <f t="shared" si="2"/>
        <v>46127</v>
      </c>
      <c r="D29" s="6">
        <v>3281</v>
      </c>
      <c r="E29" s="6">
        <v>337</v>
      </c>
      <c r="F29" s="6">
        <v>4</v>
      </c>
      <c r="G29" s="6">
        <v>2</v>
      </c>
      <c r="H29" s="6">
        <v>81506</v>
      </c>
      <c r="I29" s="6" t="s">
        <v>17</v>
      </c>
      <c r="J29" s="6">
        <v>52525776</v>
      </c>
      <c r="K29" s="6" t="s">
        <v>5282</v>
      </c>
      <c r="L29" s="16" t="s">
        <v>5286</v>
      </c>
      <c r="M29" s="8">
        <v>279900</v>
      </c>
      <c r="N29" s="35">
        <v>0.8</v>
      </c>
      <c r="O29" s="34">
        <f t="shared" si="0"/>
        <v>55980</v>
      </c>
      <c r="P29" s="6" t="s">
        <v>16</v>
      </c>
    </row>
    <row r="30" spans="1:16" x14ac:dyDescent="0.35">
      <c r="A30" s="32" t="s">
        <v>6176</v>
      </c>
      <c r="B30" s="33">
        <f t="shared" si="1"/>
        <v>46121</v>
      </c>
      <c r="C30" s="7">
        <f t="shared" si="2"/>
        <v>46127</v>
      </c>
      <c r="D30" s="6">
        <v>3281</v>
      </c>
      <c r="E30" s="6">
        <v>337</v>
      </c>
      <c r="F30" s="6">
        <v>4</v>
      </c>
      <c r="G30" s="6">
        <v>2</v>
      </c>
      <c r="H30" s="6">
        <v>81506</v>
      </c>
      <c r="I30" s="6" t="s">
        <v>17</v>
      </c>
      <c r="J30" s="6">
        <v>51361721</v>
      </c>
      <c r="K30" s="6" t="s">
        <v>4459</v>
      </c>
      <c r="L30" s="16" t="s">
        <v>4460</v>
      </c>
      <c r="M30" s="8">
        <v>279900</v>
      </c>
      <c r="N30" s="35">
        <v>0.8</v>
      </c>
      <c r="O30" s="34">
        <f t="shared" si="0"/>
        <v>55980</v>
      </c>
      <c r="P30" s="6" t="s">
        <v>16</v>
      </c>
    </row>
    <row r="31" spans="1:16" x14ac:dyDescent="0.35">
      <c r="A31" s="32" t="s">
        <v>6176</v>
      </c>
      <c r="B31" s="33">
        <f t="shared" si="1"/>
        <v>46121</v>
      </c>
      <c r="C31" s="7">
        <f t="shared" si="2"/>
        <v>46127</v>
      </c>
      <c r="D31" s="6">
        <v>3281</v>
      </c>
      <c r="E31" s="6">
        <v>337</v>
      </c>
      <c r="F31" s="6">
        <v>4</v>
      </c>
      <c r="G31" s="6">
        <v>2</v>
      </c>
      <c r="H31" s="6">
        <v>81506</v>
      </c>
      <c r="I31" s="6" t="s">
        <v>17</v>
      </c>
      <c r="J31" s="6">
        <v>51361703</v>
      </c>
      <c r="K31" s="6" t="s">
        <v>4459</v>
      </c>
      <c r="L31" s="16" t="s">
        <v>4461</v>
      </c>
      <c r="M31" s="8">
        <v>279900</v>
      </c>
      <c r="N31" s="35">
        <v>0.8</v>
      </c>
      <c r="O31" s="34">
        <f t="shared" si="0"/>
        <v>55980</v>
      </c>
      <c r="P31" s="6" t="s">
        <v>16</v>
      </c>
    </row>
    <row r="32" spans="1:16" x14ac:dyDescent="0.35">
      <c r="A32" s="32" t="s">
        <v>6176</v>
      </c>
      <c r="B32" s="33">
        <f t="shared" si="1"/>
        <v>46121</v>
      </c>
      <c r="C32" s="7">
        <f t="shared" si="2"/>
        <v>46127</v>
      </c>
      <c r="D32" s="6">
        <v>3281</v>
      </c>
      <c r="E32" s="6">
        <v>337</v>
      </c>
      <c r="F32" s="6">
        <v>4</v>
      </c>
      <c r="G32" s="6">
        <v>2</v>
      </c>
      <c r="H32" s="6">
        <v>81506</v>
      </c>
      <c r="I32" s="6" t="s">
        <v>17</v>
      </c>
      <c r="J32" s="6">
        <v>51361730</v>
      </c>
      <c r="K32" s="6" t="s">
        <v>4459</v>
      </c>
      <c r="L32" s="16" t="s">
        <v>4462</v>
      </c>
      <c r="M32" s="8">
        <v>279900</v>
      </c>
      <c r="N32" s="35">
        <v>0.8</v>
      </c>
      <c r="O32" s="34">
        <f t="shared" si="0"/>
        <v>55980</v>
      </c>
      <c r="P32" s="6" t="s">
        <v>16</v>
      </c>
    </row>
    <row r="33" spans="1:16" x14ac:dyDescent="0.35">
      <c r="A33" s="32" t="s">
        <v>6176</v>
      </c>
      <c r="B33" s="33">
        <f t="shared" si="1"/>
        <v>46121</v>
      </c>
      <c r="C33" s="7">
        <f t="shared" si="2"/>
        <v>46127</v>
      </c>
      <c r="D33" s="6">
        <v>3281</v>
      </c>
      <c r="E33" s="6">
        <v>337</v>
      </c>
      <c r="F33" s="6">
        <v>4</v>
      </c>
      <c r="G33" s="6">
        <v>2</v>
      </c>
      <c r="H33" s="6">
        <v>81506</v>
      </c>
      <c r="I33" s="6" t="s">
        <v>17</v>
      </c>
      <c r="J33" s="6">
        <v>51361712</v>
      </c>
      <c r="K33" s="6" t="s">
        <v>4459</v>
      </c>
      <c r="L33" s="16" t="s">
        <v>4463</v>
      </c>
      <c r="M33" s="8">
        <v>279900</v>
      </c>
      <c r="N33" s="35">
        <v>0.8</v>
      </c>
      <c r="O33" s="34">
        <f t="shared" si="0"/>
        <v>55980</v>
      </c>
      <c r="P33" s="6" t="s">
        <v>16</v>
      </c>
    </row>
  </sheetData>
  <autoFilter ref="A1:P1" xr:uid="{00000000-0009-0000-0000-000005000000}">
    <sortState xmlns:xlrd2="http://schemas.microsoft.com/office/spreadsheetml/2017/richdata2" ref="A2:P33">
      <sortCondition ref="K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51"/>
  <sheetViews>
    <sheetView zoomScale="73" zoomScaleNormal="100" workbookViewId="0">
      <pane ySplit="1" topLeftCell="A2" activePane="bottomLeft" state="frozen"/>
      <selection activeCell="F18" sqref="F18"/>
      <selection pane="bottomLeft" activeCell="G160" sqref="G160"/>
    </sheetView>
  </sheetViews>
  <sheetFormatPr defaultColWidth="8.6328125" defaultRowHeight="14.5" x14ac:dyDescent="0.35"/>
  <cols>
    <col min="1" max="1" width="27.269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31" bestFit="1" customWidth="1"/>
    <col min="8" max="8" width="13.90625" style="31" bestFit="1" customWidth="1"/>
    <col min="9" max="9" width="16.54296875" style="31" bestFit="1" customWidth="1"/>
    <col min="10" max="10" width="11.6328125" style="31" customWidth="1"/>
    <col min="11" max="11" width="12.54296875" style="31" bestFit="1" customWidth="1"/>
    <col min="12" max="12" width="45.6328125" style="17" customWidth="1"/>
    <col min="13" max="13" width="17.54296875" style="4" customWidth="1"/>
    <col min="14" max="14" width="17.4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7135</v>
      </c>
      <c r="B2" s="33">
        <f>'2025 HILITE D80 - 3321'!B2</f>
        <v>46121</v>
      </c>
      <c r="C2" s="33">
        <f>'2025 HILITE D80 - 3321'!C2</f>
        <v>46127</v>
      </c>
      <c r="D2" s="32">
        <v>3281</v>
      </c>
      <c r="E2" s="32">
        <v>337</v>
      </c>
      <c r="F2" s="32">
        <v>4</v>
      </c>
      <c r="G2" s="32">
        <v>5</v>
      </c>
      <c r="H2" s="32">
        <v>81146</v>
      </c>
      <c r="I2" s="32" t="s">
        <v>17</v>
      </c>
      <c r="J2" s="32">
        <v>51721314</v>
      </c>
      <c r="K2" s="32" t="s">
        <v>7136</v>
      </c>
      <c r="L2" s="38" t="s">
        <v>7137</v>
      </c>
      <c r="M2" s="34">
        <v>319900</v>
      </c>
      <c r="N2" s="20">
        <v>0.75</v>
      </c>
      <c r="O2" s="78">
        <f>M2-((75*M2))/100</f>
        <v>79975</v>
      </c>
      <c r="P2" s="20" t="s">
        <v>16</v>
      </c>
    </row>
    <row r="3" spans="1:16" x14ac:dyDescent="0.35">
      <c r="A3" s="32" t="str">
        <f>A2</f>
        <v>2025 JAN-JUN DISCOUNT 75%</v>
      </c>
      <c r="B3" s="33">
        <f>B2</f>
        <v>46121</v>
      </c>
      <c r="C3" s="33">
        <f>C2</f>
        <v>46127</v>
      </c>
      <c r="D3" s="32">
        <v>3281</v>
      </c>
      <c r="E3" s="32">
        <v>337</v>
      </c>
      <c r="F3" s="32">
        <v>4</v>
      </c>
      <c r="G3" s="32">
        <v>5</v>
      </c>
      <c r="H3" s="32">
        <v>81146</v>
      </c>
      <c r="I3" s="32" t="s">
        <v>17</v>
      </c>
      <c r="J3" s="32">
        <v>51721341</v>
      </c>
      <c r="K3" s="32" t="s">
        <v>7136</v>
      </c>
      <c r="L3" s="38" t="s">
        <v>7138</v>
      </c>
      <c r="M3" s="34">
        <v>319900</v>
      </c>
      <c r="N3" s="20">
        <f>N2</f>
        <v>0.75</v>
      </c>
      <c r="O3" s="78">
        <f t="shared" ref="O3:O66" si="0">M3-((75*M3))/100</f>
        <v>79975</v>
      </c>
      <c r="P3" s="20" t="str">
        <f>P2</f>
        <v>PERCENTAGE</v>
      </c>
    </row>
    <row r="4" spans="1:16" x14ac:dyDescent="0.35">
      <c r="A4" s="32" t="str">
        <f t="shared" ref="A4:C19" si="1">A3</f>
        <v>2025 JAN-JUN DISCOUNT 75%</v>
      </c>
      <c r="B4" s="33">
        <f t="shared" si="1"/>
        <v>46121</v>
      </c>
      <c r="C4" s="33">
        <f t="shared" si="1"/>
        <v>46127</v>
      </c>
      <c r="D4" s="32">
        <v>3281</v>
      </c>
      <c r="E4" s="32">
        <v>337</v>
      </c>
      <c r="F4" s="32">
        <v>4</v>
      </c>
      <c r="G4" s="32">
        <v>5</v>
      </c>
      <c r="H4" s="32">
        <v>81146</v>
      </c>
      <c r="I4" s="32" t="s">
        <v>17</v>
      </c>
      <c r="J4" s="32">
        <v>51721332</v>
      </c>
      <c r="K4" s="32" t="s">
        <v>7136</v>
      </c>
      <c r="L4" s="38" t="s">
        <v>7139</v>
      </c>
      <c r="M4" s="34">
        <v>319900</v>
      </c>
      <c r="N4" s="20">
        <f t="shared" ref="N4:N67" si="2">N3</f>
        <v>0.75</v>
      </c>
      <c r="O4" s="78">
        <f t="shared" si="0"/>
        <v>79975</v>
      </c>
      <c r="P4" s="20" t="str">
        <f t="shared" ref="P4:P67" si="3">P3</f>
        <v>PERCENTAGE</v>
      </c>
    </row>
    <row r="5" spans="1:16" x14ac:dyDescent="0.35">
      <c r="A5" s="32" t="str">
        <f t="shared" si="1"/>
        <v>2025 JAN-JUN DISCOUNT 75%</v>
      </c>
      <c r="B5" s="33">
        <f t="shared" si="1"/>
        <v>46121</v>
      </c>
      <c r="C5" s="33">
        <f t="shared" si="1"/>
        <v>46127</v>
      </c>
      <c r="D5" s="32">
        <v>3281</v>
      </c>
      <c r="E5" s="32">
        <v>337</v>
      </c>
      <c r="F5" s="32">
        <v>4</v>
      </c>
      <c r="G5" s="32">
        <v>5</v>
      </c>
      <c r="H5" s="32">
        <v>81146</v>
      </c>
      <c r="I5" s="32" t="s">
        <v>17</v>
      </c>
      <c r="J5" s="32">
        <v>51721323</v>
      </c>
      <c r="K5" s="32" t="s">
        <v>7136</v>
      </c>
      <c r="L5" s="38" t="s">
        <v>7140</v>
      </c>
      <c r="M5" s="34">
        <v>319900</v>
      </c>
      <c r="N5" s="20">
        <f t="shared" si="2"/>
        <v>0.75</v>
      </c>
      <c r="O5" s="78">
        <f t="shared" si="0"/>
        <v>79975</v>
      </c>
      <c r="P5" s="20" t="str">
        <f t="shared" si="3"/>
        <v>PERCENTAGE</v>
      </c>
    </row>
    <row r="6" spans="1:16" x14ac:dyDescent="0.35">
      <c r="A6" s="32" t="str">
        <f t="shared" si="1"/>
        <v>2025 JAN-JUN DISCOUNT 75%</v>
      </c>
      <c r="B6" s="33">
        <f t="shared" si="1"/>
        <v>46121</v>
      </c>
      <c r="C6" s="33">
        <f t="shared" si="1"/>
        <v>46127</v>
      </c>
      <c r="D6" s="32">
        <v>3281</v>
      </c>
      <c r="E6" s="32">
        <v>337</v>
      </c>
      <c r="F6" s="32">
        <v>4</v>
      </c>
      <c r="G6" s="32">
        <v>5</v>
      </c>
      <c r="H6" s="32">
        <v>81146</v>
      </c>
      <c r="I6" s="32" t="s">
        <v>17</v>
      </c>
      <c r="J6" s="32">
        <v>51361918</v>
      </c>
      <c r="K6" s="32" t="s">
        <v>7141</v>
      </c>
      <c r="L6" s="38" t="s">
        <v>7142</v>
      </c>
      <c r="M6" s="34">
        <v>339900</v>
      </c>
      <c r="N6" s="20">
        <f t="shared" si="2"/>
        <v>0.75</v>
      </c>
      <c r="O6" s="78">
        <f t="shared" si="0"/>
        <v>84975</v>
      </c>
      <c r="P6" s="20" t="str">
        <f t="shared" si="3"/>
        <v>PERCENTAGE</v>
      </c>
    </row>
    <row r="7" spans="1:16" x14ac:dyDescent="0.35">
      <c r="A7" s="32" t="str">
        <f t="shared" si="1"/>
        <v>2025 JAN-JUN DISCOUNT 75%</v>
      </c>
      <c r="B7" s="33">
        <f t="shared" si="1"/>
        <v>46121</v>
      </c>
      <c r="C7" s="33">
        <f t="shared" si="1"/>
        <v>46127</v>
      </c>
      <c r="D7" s="32">
        <v>3281</v>
      </c>
      <c r="E7" s="32">
        <v>337</v>
      </c>
      <c r="F7" s="32">
        <v>4</v>
      </c>
      <c r="G7" s="32">
        <v>5</v>
      </c>
      <c r="H7" s="32">
        <v>81146</v>
      </c>
      <c r="I7" s="32" t="s">
        <v>17</v>
      </c>
      <c r="J7" s="32">
        <v>51361909</v>
      </c>
      <c r="K7" s="32" t="s">
        <v>7141</v>
      </c>
      <c r="L7" s="38" t="s">
        <v>7143</v>
      </c>
      <c r="M7" s="34">
        <v>339900</v>
      </c>
      <c r="N7" s="20">
        <f t="shared" si="2"/>
        <v>0.75</v>
      </c>
      <c r="O7" s="78">
        <f t="shared" si="0"/>
        <v>84975</v>
      </c>
      <c r="P7" s="20" t="str">
        <f t="shared" si="3"/>
        <v>PERCENTAGE</v>
      </c>
    </row>
    <row r="8" spans="1:16" x14ac:dyDescent="0.35">
      <c r="A8" s="32" t="str">
        <f t="shared" si="1"/>
        <v>2025 JAN-JUN DISCOUNT 75%</v>
      </c>
      <c r="B8" s="33">
        <f t="shared" si="1"/>
        <v>46121</v>
      </c>
      <c r="C8" s="33">
        <f t="shared" si="1"/>
        <v>46127</v>
      </c>
      <c r="D8" s="32">
        <v>3281</v>
      </c>
      <c r="E8" s="32">
        <v>337</v>
      </c>
      <c r="F8" s="32">
        <v>4</v>
      </c>
      <c r="G8" s="32">
        <v>5</v>
      </c>
      <c r="H8" s="32">
        <v>81146</v>
      </c>
      <c r="I8" s="32" t="s">
        <v>17</v>
      </c>
      <c r="J8" s="32">
        <v>51361936</v>
      </c>
      <c r="K8" s="32" t="s">
        <v>7141</v>
      </c>
      <c r="L8" s="38" t="s">
        <v>7144</v>
      </c>
      <c r="M8" s="34">
        <v>339900</v>
      </c>
      <c r="N8" s="20">
        <f t="shared" si="2"/>
        <v>0.75</v>
      </c>
      <c r="O8" s="78">
        <f t="shared" si="0"/>
        <v>84975</v>
      </c>
      <c r="P8" s="20" t="str">
        <f t="shared" si="3"/>
        <v>PERCENTAGE</v>
      </c>
    </row>
    <row r="9" spans="1:16" x14ac:dyDescent="0.35">
      <c r="A9" s="32" t="str">
        <f t="shared" si="1"/>
        <v>2025 JAN-JUN DISCOUNT 75%</v>
      </c>
      <c r="B9" s="33">
        <f t="shared" si="1"/>
        <v>46121</v>
      </c>
      <c r="C9" s="33">
        <f t="shared" si="1"/>
        <v>46127</v>
      </c>
      <c r="D9" s="32">
        <v>3281</v>
      </c>
      <c r="E9" s="32">
        <v>337</v>
      </c>
      <c r="F9" s="32">
        <v>4</v>
      </c>
      <c r="G9" s="32">
        <v>5</v>
      </c>
      <c r="H9" s="32">
        <v>81146</v>
      </c>
      <c r="I9" s="32" t="s">
        <v>17</v>
      </c>
      <c r="J9" s="32">
        <v>51361927</v>
      </c>
      <c r="K9" s="32" t="s">
        <v>7141</v>
      </c>
      <c r="L9" s="38" t="s">
        <v>7145</v>
      </c>
      <c r="M9" s="34">
        <v>339900</v>
      </c>
      <c r="N9" s="20">
        <f t="shared" si="2"/>
        <v>0.75</v>
      </c>
      <c r="O9" s="78">
        <f t="shared" si="0"/>
        <v>84975</v>
      </c>
      <c r="P9" s="20" t="str">
        <f t="shared" si="3"/>
        <v>PERCENTAGE</v>
      </c>
    </row>
    <row r="10" spans="1:16" x14ac:dyDescent="0.35">
      <c r="A10" s="32" t="str">
        <f t="shared" si="1"/>
        <v>2025 JAN-JUN DISCOUNT 75%</v>
      </c>
      <c r="B10" s="33">
        <f t="shared" si="1"/>
        <v>46121</v>
      </c>
      <c r="C10" s="33">
        <f t="shared" si="1"/>
        <v>46127</v>
      </c>
      <c r="D10" s="32">
        <v>3281</v>
      </c>
      <c r="E10" s="32">
        <v>337</v>
      </c>
      <c r="F10" s="32">
        <v>4</v>
      </c>
      <c r="G10" s="32">
        <v>1</v>
      </c>
      <c r="H10" s="32">
        <v>81462</v>
      </c>
      <c r="I10" s="32" t="s">
        <v>17</v>
      </c>
      <c r="J10" s="32">
        <v>51361614</v>
      </c>
      <c r="K10" s="32" t="s">
        <v>4454</v>
      </c>
      <c r="L10" s="38" t="s">
        <v>4455</v>
      </c>
      <c r="M10" s="34">
        <v>149900</v>
      </c>
      <c r="N10" s="20">
        <f t="shared" si="2"/>
        <v>0.75</v>
      </c>
      <c r="O10" s="78">
        <f t="shared" si="0"/>
        <v>37475</v>
      </c>
      <c r="P10" s="20" t="str">
        <f t="shared" si="3"/>
        <v>PERCENTAGE</v>
      </c>
    </row>
    <row r="11" spans="1:16" x14ac:dyDescent="0.35">
      <c r="A11" s="32" t="str">
        <f t="shared" si="1"/>
        <v>2025 JAN-JUN DISCOUNT 75%</v>
      </c>
      <c r="B11" s="33">
        <f t="shared" si="1"/>
        <v>46121</v>
      </c>
      <c r="C11" s="33">
        <f t="shared" si="1"/>
        <v>46127</v>
      </c>
      <c r="D11" s="32">
        <v>3281</v>
      </c>
      <c r="E11" s="32">
        <v>337</v>
      </c>
      <c r="F11" s="32">
        <v>4</v>
      </c>
      <c r="G11" s="32">
        <v>1</v>
      </c>
      <c r="H11" s="32">
        <v>81462</v>
      </c>
      <c r="I11" s="32" t="s">
        <v>17</v>
      </c>
      <c r="J11" s="32">
        <v>51361589</v>
      </c>
      <c r="K11" s="32" t="s">
        <v>4454</v>
      </c>
      <c r="L11" s="38" t="s">
        <v>4456</v>
      </c>
      <c r="M11" s="34">
        <v>149900</v>
      </c>
      <c r="N11" s="20">
        <f t="shared" si="2"/>
        <v>0.75</v>
      </c>
      <c r="O11" s="78">
        <f t="shared" si="0"/>
        <v>37475</v>
      </c>
      <c r="P11" s="20" t="str">
        <f t="shared" si="3"/>
        <v>PERCENTAGE</v>
      </c>
    </row>
    <row r="12" spans="1:16" x14ac:dyDescent="0.35">
      <c r="A12" s="32" t="str">
        <f t="shared" si="1"/>
        <v>2025 JAN-JUN DISCOUNT 75%</v>
      </c>
      <c r="B12" s="33">
        <f t="shared" si="1"/>
        <v>46121</v>
      </c>
      <c r="C12" s="33">
        <f t="shared" si="1"/>
        <v>46127</v>
      </c>
      <c r="D12" s="32">
        <v>3281</v>
      </c>
      <c r="E12" s="32">
        <v>337</v>
      </c>
      <c r="F12" s="32">
        <v>4</v>
      </c>
      <c r="G12" s="32">
        <v>1</v>
      </c>
      <c r="H12" s="32">
        <v>81462</v>
      </c>
      <c r="I12" s="32" t="s">
        <v>17</v>
      </c>
      <c r="J12" s="32">
        <v>51361605</v>
      </c>
      <c r="K12" s="32" t="s">
        <v>4454</v>
      </c>
      <c r="L12" s="38" t="s">
        <v>4457</v>
      </c>
      <c r="M12" s="34">
        <v>149900</v>
      </c>
      <c r="N12" s="20">
        <f t="shared" si="2"/>
        <v>0.75</v>
      </c>
      <c r="O12" s="78">
        <f t="shared" si="0"/>
        <v>37475</v>
      </c>
      <c r="P12" s="20" t="str">
        <f t="shared" si="3"/>
        <v>PERCENTAGE</v>
      </c>
    </row>
    <row r="13" spans="1:16" x14ac:dyDescent="0.35">
      <c r="A13" s="32" t="str">
        <f t="shared" si="1"/>
        <v>2025 JAN-JUN DISCOUNT 75%</v>
      </c>
      <c r="B13" s="33">
        <f t="shared" si="1"/>
        <v>46121</v>
      </c>
      <c r="C13" s="33">
        <f t="shared" si="1"/>
        <v>46127</v>
      </c>
      <c r="D13" s="32">
        <v>3281</v>
      </c>
      <c r="E13" s="32">
        <v>337</v>
      </c>
      <c r="F13" s="32">
        <v>4</v>
      </c>
      <c r="G13" s="32">
        <v>1</v>
      </c>
      <c r="H13" s="32">
        <v>81462</v>
      </c>
      <c r="I13" s="32" t="s">
        <v>17</v>
      </c>
      <c r="J13" s="32">
        <v>51361598</v>
      </c>
      <c r="K13" s="32" t="s">
        <v>4454</v>
      </c>
      <c r="L13" s="38" t="s">
        <v>4458</v>
      </c>
      <c r="M13" s="34">
        <v>149900</v>
      </c>
      <c r="N13" s="20">
        <f t="shared" si="2"/>
        <v>0.75</v>
      </c>
      <c r="O13" s="78">
        <f t="shared" si="0"/>
        <v>37475</v>
      </c>
      <c r="P13" s="20" t="str">
        <f t="shared" si="3"/>
        <v>PERCENTAGE</v>
      </c>
    </row>
    <row r="14" spans="1:16" x14ac:dyDescent="0.35">
      <c r="A14" s="32" t="str">
        <f t="shared" si="1"/>
        <v>2025 JAN-JUN DISCOUNT 75%</v>
      </c>
      <c r="B14" s="33">
        <f t="shared" si="1"/>
        <v>46121</v>
      </c>
      <c r="C14" s="33">
        <f t="shared" si="1"/>
        <v>46127</v>
      </c>
      <c r="D14" s="32">
        <v>3281</v>
      </c>
      <c r="E14" s="32">
        <v>337</v>
      </c>
      <c r="F14" s="32">
        <v>4</v>
      </c>
      <c r="G14" s="32">
        <v>3</v>
      </c>
      <c r="H14" s="32">
        <v>81506</v>
      </c>
      <c r="I14" s="32" t="s">
        <v>17</v>
      </c>
      <c r="J14" s="32">
        <v>51721529</v>
      </c>
      <c r="K14" s="32" t="s">
        <v>4464</v>
      </c>
      <c r="L14" s="38" t="s">
        <v>4465</v>
      </c>
      <c r="M14" s="34">
        <v>229900</v>
      </c>
      <c r="N14" s="20">
        <f t="shared" si="2"/>
        <v>0.75</v>
      </c>
      <c r="O14" s="78">
        <f t="shared" si="0"/>
        <v>57475</v>
      </c>
      <c r="P14" s="20" t="str">
        <f t="shared" si="3"/>
        <v>PERCENTAGE</v>
      </c>
    </row>
    <row r="15" spans="1:16" x14ac:dyDescent="0.35">
      <c r="A15" s="32" t="str">
        <f t="shared" si="1"/>
        <v>2025 JAN-JUN DISCOUNT 75%</v>
      </c>
      <c r="B15" s="33">
        <f t="shared" si="1"/>
        <v>46121</v>
      </c>
      <c r="C15" s="33">
        <f t="shared" si="1"/>
        <v>46127</v>
      </c>
      <c r="D15" s="32">
        <v>3281</v>
      </c>
      <c r="E15" s="32">
        <v>337</v>
      </c>
      <c r="F15" s="32">
        <v>4</v>
      </c>
      <c r="G15" s="32">
        <v>3</v>
      </c>
      <c r="H15" s="32">
        <v>81506</v>
      </c>
      <c r="I15" s="32" t="s">
        <v>17</v>
      </c>
      <c r="J15" s="32">
        <v>51721547</v>
      </c>
      <c r="K15" s="32" t="s">
        <v>4464</v>
      </c>
      <c r="L15" s="38" t="s">
        <v>4466</v>
      </c>
      <c r="M15" s="34">
        <v>229900</v>
      </c>
      <c r="N15" s="20">
        <f t="shared" si="2"/>
        <v>0.75</v>
      </c>
      <c r="O15" s="78">
        <f t="shared" si="0"/>
        <v>57475</v>
      </c>
      <c r="P15" s="20" t="str">
        <f t="shared" si="3"/>
        <v>PERCENTAGE</v>
      </c>
    </row>
    <row r="16" spans="1:16" x14ac:dyDescent="0.35">
      <c r="A16" s="32" t="str">
        <f t="shared" si="1"/>
        <v>2025 JAN-JUN DISCOUNT 75%</v>
      </c>
      <c r="B16" s="33">
        <f t="shared" si="1"/>
        <v>46121</v>
      </c>
      <c r="C16" s="33">
        <f t="shared" si="1"/>
        <v>46127</v>
      </c>
      <c r="D16" s="32">
        <v>3281</v>
      </c>
      <c r="E16" s="32">
        <v>337</v>
      </c>
      <c r="F16" s="32">
        <v>4</v>
      </c>
      <c r="G16" s="32">
        <v>3</v>
      </c>
      <c r="H16" s="32">
        <v>81506</v>
      </c>
      <c r="I16" s="32" t="s">
        <v>17</v>
      </c>
      <c r="J16" s="32">
        <v>51721510</v>
      </c>
      <c r="K16" s="32" t="s">
        <v>4464</v>
      </c>
      <c r="L16" s="38" t="s">
        <v>4467</v>
      </c>
      <c r="M16" s="34">
        <v>229900</v>
      </c>
      <c r="N16" s="20">
        <f t="shared" si="2"/>
        <v>0.75</v>
      </c>
      <c r="O16" s="78">
        <f t="shared" si="0"/>
        <v>57475</v>
      </c>
      <c r="P16" s="20" t="str">
        <f t="shared" si="3"/>
        <v>PERCENTAGE</v>
      </c>
    </row>
    <row r="17" spans="1:16" x14ac:dyDescent="0.35">
      <c r="A17" s="32" t="str">
        <f t="shared" si="1"/>
        <v>2025 JAN-JUN DISCOUNT 75%</v>
      </c>
      <c r="B17" s="33">
        <f t="shared" si="1"/>
        <v>46121</v>
      </c>
      <c r="C17" s="33">
        <f t="shared" si="1"/>
        <v>46127</v>
      </c>
      <c r="D17" s="32">
        <v>3281</v>
      </c>
      <c r="E17" s="32">
        <v>337</v>
      </c>
      <c r="F17" s="32">
        <v>4</v>
      </c>
      <c r="G17" s="32">
        <v>3</v>
      </c>
      <c r="H17" s="32">
        <v>81506</v>
      </c>
      <c r="I17" s="32" t="s">
        <v>17</v>
      </c>
      <c r="J17" s="32">
        <v>51721538</v>
      </c>
      <c r="K17" s="32" t="s">
        <v>4464</v>
      </c>
      <c r="L17" s="38" t="s">
        <v>4468</v>
      </c>
      <c r="M17" s="34">
        <v>229900</v>
      </c>
      <c r="N17" s="20">
        <f t="shared" si="2"/>
        <v>0.75</v>
      </c>
      <c r="O17" s="78">
        <f t="shared" si="0"/>
        <v>57475</v>
      </c>
      <c r="P17" s="20" t="str">
        <f t="shared" si="3"/>
        <v>PERCENTAGE</v>
      </c>
    </row>
    <row r="18" spans="1:16" x14ac:dyDescent="0.35">
      <c r="A18" s="32" t="str">
        <f t="shared" si="1"/>
        <v>2025 JAN-JUN DISCOUNT 75%</v>
      </c>
      <c r="B18" s="33">
        <f t="shared" si="1"/>
        <v>46121</v>
      </c>
      <c r="C18" s="33">
        <f t="shared" si="1"/>
        <v>46127</v>
      </c>
      <c r="D18" s="32">
        <v>3281</v>
      </c>
      <c r="E18" s="32">
        <v>337</v>
      </c>
      <c r="F18" s="32">
        <v>4</v>
      </c>
      <c r="G18" s="32">
        <v>1</v>
      </c>
      <c r="H18" s="32">
        <v>81506</v>
      </c>
      <c r="I18" s="32" t="s">
        <v>17</v>
      </c>
      <c r="J18" s="32">
        <v>51721458</v>
      </c>
      <c r="K18" s="32" t="s">
        <v>4469</v>
      </c>
      <c r="L18" s="38" t="s">
        <v>4470</v>
      </c>
      <c r="M18" s="34">
        <v>149900</v>
      </c>
      <c r="N18" s="20">
        <f t="shared" si="2"/>
        <v>0.75</v>
      </c>
      <c r="O18" s="78">
        <f t="shared" si="0"/>
        <v>37475</v>
      </c>
      <c r="P18" s="20" t="str">
        <f t="shared" si="3"/>
        <v>PERCENTAGE</v>
      </c>
    </row>
    <row r="19" spans="1:16" x14ac:dyDescent="0.35">
      <c r="A19" s="32" t="str">
        <f t="shared" si="1"/>
        <v>2025 JAN-JUN DISCOUNT 75%</v>
      </c>
      <c r="B19" s="33">
        <f t="shared" si="1"/>
        <v>46121</v>
      </c>
      <c r="C19" s="33">
        <f t="shared" si="1"/>
        <v>46127</v>
      </c>
      <c r="D19" s="32">
        <v>3281</v>
      </c>
      <c r="E19" s="32">
        <v>337</v>
      </c>
      <c r="F19" s="32">
        <v>4</v>
      </c>
      <c r="G19" s="32">
        <v>1</v>
      </c>
      <c r="H19" s="32">
        <v>81506</v>
      </c>
      <c r="I19" s="32" t="s">
        <v>17</v>
      </c>
      <c r="J19" s="32">
        <v>51721412</v>
      </c>
      <c r="K19" s="32" t="s">
        <v>4474</v>
      </c>
      <c r="L19" s="38" t="s">
        <v>4475</v>
      </c>
      <c r="M19" s="34">
        <v>179900</v>
      </c>
      <c r="N19" s="20">
        <f t="shared" si="2"/>
        <v>0.75</v>
      </c>
      <c r="O19" s="78">
        <f t="shared" si="0"/>
        <v>44975</v>
      </c>
      <c r="P19" s="20" t="str">
        <f t="shared" si="3"/>
        <v>PERCENTAGE</v>
      </c>
    </row>
    <row r="20" spans="1:16" x14ac:dyDescent="0.35">
      <c r="A20" s="32" t="str">
        <f t="shared" ref="A20:C35" si="4">A19</f>
        <v>2025 JAN-JUN DISCOUNT 75%</v>
      </c>
      <c r="B20" s="33">
        <f t="shared" si="4"/>
        <v>46121</v>
      </c>
      <c r="C20" s="33">
        <f t="shared" si="4"/>
        <v>46127</v>
      </c>
      <c r="D20" s="32">
        <v>3281</v>
      </c>
      <c r="E20" s="32">
        <v>337</v>
      </c>
      <c r="F20" s="32">
        <v>4</v>
      </c>
      <c r="G20" s="32">
        <v>1</v>
      </c>
      <c r="H20" s="32">
        <v>81506</v>
      </c>
      <c r="I20" s="32" t="s">
        <v>17</v>
      </c>
      <c r="J20" s="32">
        <v>51721403</v>
      </c>
      <c r="K20" s="32" t="s">
        <v>4474</v>
      </c>
      <c r="L20" s="38" t="s">
        <v>4476</v>
      </c>
      <c r="M20" s="34">
        <v>179900</v>
      </c>
      <c r="N20" s="20">
        <f t="shared" si="2"/>
        <v>0.75</v>
      </c>
      <c r="O20" s="78">
        <f t="shared" si="0"/>
        <v>44975</v>
      </c>
      <c r="P20" s="20" t="str">
        <f t="shared" si="3"/>
        <v>PERCENTAGE</v>
      </c>
    </row>
    <row r="21" spans="1:16" x14ac:dyDescent="0.35">
      <c r="A21" s="32" t="str">
        <f t="shared" si="4"/>
        <v>2025 JAN-JUN DISCOUNT 75%</v>
      </c>
      <c r="B21" s="33">
        <f t="shared" si="4"/>
        <v>46121</v>
      </c>
      <c r="C21" s="33">
        <f t="shared" si="4"/>
        <v>46127</v>
      </c>
      <c r="D21" s="32">
        <v>3281</v>
      </c>
      <c r="E21" s="32">
        <v>337</v>
      </c>
      <c r="F21" s="32">
        <v>4</v>
      </c>
      <c r="G21" s="32">
        <v>1</v>
      </c>
      <c r="H21" s="32">
        <v>81506</v>
      </c>
      <c r="I21" s="32" t="s">
        <v>17</v>
      </c>
      <c r="J21" s="32">
        <v>51721430</v>
      </c>
      <c r="K21" s="32" t="s">
        <v>4469</v>
      </c>
      <c r="L21" s="38" t="s">
        <v>4471</v>
      </c>
      <c r="M21" s="34">
        <v>149900</v>
      </c>
      <c r="N21" s="20">
        <f t="shared" si="2"/>
        <v>0.75</v>
      </c>
      <c r="O21" s="78">
        <f t="shared" si="0"/>
        <v>37475</v>
      </c>
      <c r="P21" s="20" t="str">
        <f t="shared" si="3"/>
        <v>PERCENTAGE</v>
      </c>
    </row>
    <row r="22" spans="1:16" x14ac:dyDescent="0.35">
      <c r="A22" s="32" t="str">
        <f t="shared" si="4"/>
        <v>2025 JAN-JUN DISCOUNT 75%</v>
      </c>
      <c r="B22" s="33">
        <f t="shared" si="4"/>
        <v>46121</v>
      </c>
      <c r="C22" s="33">
        <f t="shared" si="4"/>
        <v>46127</v>
      </c>
      <c r="D22" s="32">
        <v>3281</v>
      </c>
      <c r="E22" s="32">
        <v>337</v>
      </c>
      <c r="F22" s="32">
        <v>4</v>
      </c>
      <c r="G22" s="32">
        <v>1</v>
      </c>
      <c r="H22" s="32">
        <v>81506</v>
      </c>
      <c r="I22" s="32" t="s">
        <v>17</v>
      </c>
      <c r="J22" s="32">
        <v>51721421</v>
      </c>
      <c r="K22" s="32" t="s">
        <v>4474</v>
      </c>
      <c r="L22" s="38" t="s">
        <v>4477</v>
      </c>
      <c r="M22" s="34">
        <v>179900</v>
      </c>
      <c r="N22" s="20">
        <f t="shared" si="2"/>
        <v>0.75</v>
      </c>
      <c r="O22" s="78">
        <f t="shared" si="0"/>
        <v>44975</v>
      </c>
      <c r="P22" s="20" t="str">
        <f t="shared" si="3"/>
        <v>PERCENTAGE</v>
      </c>
    </row>
    <row r="23" spans="1:16" x14ac:dyDescent="0.35">
      <c r="A23" s="32" t="str">
        <f t="shared" si="4"/>
        <v>2025 JAN-JUN DISCOUNT 75%</v>
      </c>
      <c r="B23" s="33">
        <f t="shared" si="4"/>
        <v>46121</v>
      </c>
      <c r="C23" s="33">
        <f t="shared" si="4"/>
        <v>46127</v>
      </c>
      <c r="D23" s="32">
        <v>3281</v>
      </c>
      <c r="E23" s="32">
        <v>337</v>
      </c>
      <c r="F23" s="32">
        <v>4</v>
      </c>
      <c r="G23" s="32">
        <v>1</v>
      </c>
      <c r="H23" s="32">
        <v>81506</v>
      </c>
      <c r="I23" s="32" t="s">
        <v>17</v>
      </c>
      <c r="J23" s="32">
        <v>51721449</v>
      </c>
      <c r="K23" s="32" t="s">
        <v>4469</v>
      </c>
      <c r="L23" s="38" t="s">
        <v>4472</v>
      </c>
      <c r="M23" s="34">
        <v>149900</v>
      </c>
      <c r="N23" s="20">
        <f t="shared" si="2"/>
        <v>0.75</v>
      </c>
      <c r="O23" s="78">
        <f t="shared" si="0"/>
        <v>37475</v>
      </c>
      <c r="P23" s="20" t="str">
        <f t="shared" si="3"/>
        <v>PERCENTAGE</v>
      </c>
    </row>
    <row r="24" spans="1:16" x14ac:dyDescent="0.35">
      <c r="A24" s="32" t="str">
        <f t="shared" si="4"/>
        <v>2025 JAN-JUN DISCOUNT 75%</v>
      </c>
      <c r="B24" s="33">
        <f t="shared" si="4"/>
        <v>46121</v>
      </c>
      <c r="C24" s="33">
        <f t="shared" si="4"/>
        <v>46127</v>
      </c>
      <c r="D24" s="32">
        <v>3281</v>
      </c>
      <c r="E24" s="32">
        <v>337</v>
      </c>
      <c r="F24" s="32">
        <v>4</v>
      </c>
      <c r="G24" s="32">
        <v>1</v>
      </c>
      <c r="H24" s="32">
        <v>81506</v>
      </c>
      <c r="I24" s="32" t="s">
        <v>17</v>
      </c>
      <c r="J24" s="32">
        <v>51721396</v>
      </c>
      <c r="K24" s="32" t="s">
        <v>4474</v>
      </c>
      <c r="L24" s="38" t="s">
        <v>4478</v>
      </c>
      <c r="M24" s="34">
        <v>179900</v>
      </c>
      <c r="N24" s="20">
        <f t="shared" si="2"/>
        <v>0.75</v>
      </c>
      <c r="O24" s="78">
        <f t="shared" si="0"/>
        <v>44975</v>
      </c>
      <c r="P24" s="20" t="str">
        <f t="shared" si="3"/>
        <v>PERCENTAGE</v>
      </c>
    </row>
    <row r="25" spans="1:16" x14ac:dyDescent="0.35">
      <c r="A25" s="32" t="str">
        <f t="shared" si="4"/>
        <v>2025 JAN-JUN DISCOUNT 75%</v>
      </c>
      <c r="B25" s="33">
        <f t="shared" si="4"/>
        <v>46121</v>
      </c>
      <c r="C25" s="33">
        <f t="shared" si="4"/>
        <v>46127</v>
      </c>
      <c r="D25" s="32">
        <v>3281</v>
      </c>
      <c r="E25" s="32">
        <v>337</v>
      </c>
      <c r="F25" s="32">
        <v>4</v>
      </c>
      <c r="G25" s="32">
        <v>1</v>
      </c>
      <c r="H25" s="32">
        <v>81506</v>
      </c>
      <c r="I25" s="32" t="s">
        <v>17</v>
      </c>
      <c r="J25" s="32">
        <v>51721467</v>
      </c>
      <c r="K25" s="32" t="s">
        <v>4469</v>
      </c>
      <c r="L25" s="38" t="s">
        <v>4473</v>
      </c>
      <c r="M25" s="34">
        <v>149900</v>
      </c>
      <c r="N25" s="20">
        <f t="shared" si="2"/>
        <v>0.75</v>
      </c>
      <c r="O25" s="78">
        <f t="shared" si="0"/>
        <v>37475</v>
      </c>
      <c r="P25" s="20" t="str">
        <f t="shared" si="3"/>
        <v>PERCENTAGE</v>
      </c>
    </row>
    <row r="26" spans="1:16" x14ac:dyDescent="0.35">
      <c r="A26" s="32" t="str">
        <f t="shared" si="4"/>
        <v>2025 JAN-JUN DISCOUNT 75%</v>
      </c>
      <c r="B26" s="33">
        <f t="shared" si="4"/>
        <v>46121</v>
      </c>
      <c r="C26" s="33">
        <f t="shared" si="4"/>
        <v>46127</v>
      </c>
      <c r="D26" s="32">
        <v>3281</v>
      </c>
      <c r="E26" s="32">
        <v>337</v>
      </c>
      <c r="F26" s="32">
        <v>4</v>
      </c>
      <c r="G26" s="32">
        <v>1</v>
      </c>
      <c r="H26" s="32">
        <v>81506</v>
      </c>
      <c r="I26" s="32" t="s">
        <v>17</v>
      </c>
      <c r="J26" s="32">
        <v>51721485</v>
      </c>
      <c r="K26" s="32" t="s">
        <v>4663</v>
      </c>
      <c r="L26" s="38" t="s">
        <v>4664</v>
      </c>
      <c r="M26" s="34">
        <v>179900</v>
      </c>
      <c r="N26" s="20">
        <f t="shared" si="2"/>
        <v>0.75</v>
      </c>
      <c r="O26" s="78">
        <f t="shared" si="0"/>
        <v>44975</v>
      </c>
      <c r="P26" s="20" t="str">
        <f t="shared" si="3"/>
        <v>PERCENTAGE</v>
      </c>
    </row>
    <row r="27" spans="1:16" x14ac:dyDescent="0.35">
      <c r="A27" s="32" t="str">
        <f t="shared" si="4"/>
        <v>2025 JAN-JUN DISCOUNT 75%</v>
      </c>
      <c r="B27" s="33">
        <f t="shared" si="4"/>
        <v>46121</v>
      </c>
      <c r="C27" s="33">
        <f t="shared" si="4"/>
        <v>46127</v>
      </c>
      <c r="D27" s="32">
        <v>3281</v>
      </c>
      <c r="E27" s="32">
        <v>337</v>
      </c>
      <c r="F27" s="32">
        <v>4</v>
      </c>
      <c r="G27" s="32">
        <v>1</v>
      </c>
      <c r="H27" s="32">
        <v>81506</v>
      </c>
      <c r="I27" s="32" t="s">
        <v>17</v>
      </c>
      <c r="J27" s="32">
        <v>51721501</v>
      </c>
      <c r="K27" s="32" t="s">
        <v>4663</v>
      </c>
      <c r="L27" s="38" t="s">
        <v>4665</v>
      </c>
      <c r="M27" s="34">
        <v>179900</v>
      </c>
      <c r="N27" s="20">
        <f t="shared" si="2"/>
        <v>0.75</v>
      </c>
      <c r="O27" s="78">
        <f t="shared" si="0"/>
        <v>44975</v>
      </c>
      <c r="P27" s="20" t="str">
        <f t="shared" si="3"/>
        <v>PERCENTAGE</v>
      </c>
    </row>
    <row r="28" spans="1:16" x14ac:dyDescent="0.35">
      <c r="A28" s="32" t="str">
        <f t="shared" si="4"/>
        <v>2025 JAN-JUN DISCOUNT 75%</v>
      </c>
      <c r="B28" s="33">
        <f t="shared" si="4"/>
        <v>46121</v>
      </c>
      <c r="C28" s="33">
        <f t="shared" si="4"/>
        <v>46127</v>
      </c>
      <c r="D28" s="32">
        <v>3281</v>
      </c>
      <c r="E28" s="32">
        <v>337</v>
      </c>
      <c r="F28" s="32">
        <v>4</v>
      </c>
      <c r="G28" s="32">
        <v>1</v>
      </c>
      <c r="H28" s="32">
        <v>81506</v>
      </c>
      <c r="I28" s="32" t="s">
        <v>17</v>
      </c>
      <c r="J28" s="32">
        <v>51721476</v>
      </c>
      <c r="K28" s="32" t="s">
        <v>4663</v>
      </c>
      <c r="L28" s="38" t="s">
        <v>4666</v>
      </c>
      <c r="M28" s="34">
        <v>179900</v>
      </c>
      <c r="N28" s="20">
        <f t="shared" si="2"/>
        <v>0.75</v>
      </c>
      <c r="O28" s="78">
        <f t="shared" si="0"/>
        <v>44975</v>
      </c>
      <c r="P28" s="20" t="str">
        <f t="shared" si="3"/>
        <v>PERCENTAGE</v>
      </c>
    </row>
    <row r="29" spans="1:16" x14ac:dyDescent="0.35">
      <c r="A29" s="32" t="str">
        <f t="shared" si="4"/>
        <v>2025 JAN-JUN DISCOUNT 75%</v>
      </c>
      <c r="B29" s="33">
        <f t="shared" si="4"/>
        <v>46121</v>
      </c>
      <c r="C29" s="33">
        <f t="shared" si="4"/>
        <v>46127</v>
      </c>
      <c r="D29" s="32">
        <v>3281</v>
      </c>
      <c r="E29" s="32">
        <v>337</v>
      </c>
      <c r="F29" s="32">
        <v>4</v>
      </c>
      <c r="G29" s="32">
        <v>1</v>
      </c>
      <c r="H29" s="32">
        <v>81506</v>
      </c>
      <c r="I29" s="32" t="s">
        <v>17</v>
      </c>
      <c r="J29" s="32">
        <v>51721494</v>
      </c>
      <c r="K29" s="32" t="s">
        <v>4663</v>
      </c>
      <c r="L29" s="38" t="s">
        <v>4667</v>
      </c>
      <c r="M29" s="34">
        <v>179900</v>
      </c>
      <c r="N29" s="20">
        <f t="shared" si="2"/>
        <v>0.75</v>
      </c>
      <c r="O29" s="78">
        <f t="shared" si="0"/>
        <v>44975</v>
      </c>
      <c r="P29" s="20" t="str">
        <f t="shared" si="3"/>
        <v>PERCENTAGE</v>
      </c>
    </row>
    <row r="30" spans="1:16" x14ac:dyDescent="0.35">
      <c r="A30" s="32" t="str">
        <f t="shared" si="4"/>
        <v>2025 JAN-JUN DISCOUNT 75%</v>
      </c>
      <c r="B30" s="33">
        <f t="shared" si="4"/>
        <v>46121</v>
      </c>
      <c r="C30" s="33">
        <f t="shared" si="4"/>
        <v>46127</v>
      </c>
      <c r="D30" s="32">
        <v>3281</v>
      </c>
      <c r="E30" s="32">
        <v>337</v>
      </c>
      <c r="F30" s="32">
        <v>4</v>
      </c>
      <c r="G30" s="32">
        <v>1</v>
      </c>
      <c r="H30" s="32">
        <v>81146</v>
      </c>
      <c r="I30" s="32" t="s">
        <v>17</v>
      </c>
      <c r="J30" s="32">
        <v>51867033</v>
      </c>
      <c r="K30" s="32" t="s">
        <v>4484</v>
      </c>
      <c r="L30" s="38" t="s">
        <v>4485</v>
      </c>
      <c r="M30" s="34">
        <v>189900</v>
      </c>
      <c r="N30" s="20">
        <f t="shared" si="2"/>
        <v>0.75</v>
      </c>
      <c r="O30" s="78">
        <f t="shared" si="0"/>
        <v>47475</v>
      </c>
      <c r="P30" s="20" t="str">
        <f t="shared" si="3"/>
        <v>PERCENTAGE</v>
      </c>
    </row>
    <row r="31" spans="1:16" x14ac:dyDescent="0.35">
      <c r="A31" s="32" t="str">
        <f t="shared" si="4"/>
        <v>2025 JAN-JUN DISCOUNT 75%</v>
      </c>
      <c r="B31" s="33">
        <f t="shared" si="4"/>
        <v>46121</v>
      </c>
      <c r="C31" s="33">
        <f t="shared" si="4"/>
        <v>46127</v>
      </c>
      <c r="D31" s="32">
        <v>3281</v>
      </c>
      <c r="E31" s="32">
        <v>337</v>
      </c>
      <c r="F31" s="32">
        <v>4</v>
      </c>
      <c r="G31" s="32">
        <v>1</v>
      </c>
      <c r="H31" s="32">
        <v>81146</v>
      </c>
      <c r="I31" s="32" t="s">
        <v>17</v>
      </c>
      <c r="J31" s="32">
        <v>51867015</v>
      </c>
      <c r="K31" s="32" t="s">
        <v>4484</v>
      </c>
      <c r="L31" s="38" t="s">
        <v>4486</v>
      </c>
      <c r="M31" s="34">
        <v>189900</v>
      </c>
      <c r="N31" s="20">
        <f t="shared" si="2"/>
        <v>0.75</v>
      </c>
      <c r="O31" s="78">
        <f t="shared" si="0"/>
        <v>47475</v>
      </c>
      <c r="P31" s="20" t="str">
        <f t="shared" si="3"/>
        <v>PERCENTAGE</v>
      </c>
    </row>
    <row r="32" spans="1:16" x14ac:dyDescent="0.35">
      <c r="A32" s="32" t="str">
        <f t="shared" si="4"/>
        <v>2025 JAN-JUN DISCOUNT 75%</v>
      </c>
      <c r="B32" s="33">
        <f t="shared" si="4"/>
        <v>46121</v>
      </c>
      <c r="C32" s="33">
        <f t="shared" si="4"/>
        <v>46127</v>
      </c>
      <c r="D32" s="32">
        <v>3281</v>
      </c>
      <c r="E32" s="32">
        <v>337</v>
      </c>
      <c r="F32" s="32">
        <v>4</v>
      </c>
      <c r="G32" s="32">
        <v>1</v>
      </c>
      <c r="H32" s="32">
        <v>81146</v>
      </c>
      <c r="I32" s="32" t="s">
        <v>17</v>
      </c>
      <c r="J32" s="32">
        <v>51867006</v>
      </c>
      <c r="K32" s="32" t="s">
        <v>4484</v>
      </c>
      <c r="L32" s="38" t="s">
        <v>4487</v>
      </c>
      <c r="M32" s="34">
        <v>189900</v>
      </c>
      <c r="N32" s="20">
        <f t="shared" si="2"/>
        <v>0.75</v>
      </c>
      <c r="O32" s="78">
        <f t="shared" si="0"/>
        <v>47475</v>
      </c>
      <c r="P32" s="20" t="str">
        <f t="shared" si="3"/>
        <v>PERCENTAGE</v>
      </c>
    </row>
    <row r="33" spans="1:16" x14ac:dyDescent="0.35">
      <c r="A33" s="32" t="str">
        <f t="shared" si="4"/>
        <v>2025 JAN-JUN DISCOUNT 75%</v>
      </c>
      <c r="B33" s="33">
        <f t="shared" si="4"/>
        <v>46121</v>
      </c>
      <c r="C33" s="33">
        <f t="shared" si="4"/>
        <v>46127</v>
      </c>
      <c r="D33" s="32">
        <v>3281</v>
      </c>
      <c r="E33" s="32">
        <v>337</v>
      </c>
      <c r="F33" s="32">
        <v>4</v>
      </c>
      <c r="G33" s="32">
        <v>1</v>
      </c>
      <c r="H33" s="32">
        <v>81146</v>
      </c>
      <c r="I33" s="32" t="s">
        <v>17</v>
      </c>
      <c r="J33" s="32">
        <v>51867024</v>
      </c>
      <c r="K33" s="32" t="s">
        <v>4484</v>
      </c>
      <c r="L33" s="38" t="s">
        <v>4488</v>
      </c>
      <c r="M33" s="34">
        <v>189900</v>
      </c>
      <c r="N33" s="20">
        <f t="shared" si="2"/>
        <v>0.75</v>
      </c>
      <c r="O33" s="78">
        <f t="shared" si="0"/>
        <v>47475</v>
      </c>
      <c r="P33" s="20" t="str">
        <f t="shared" si="3"/>
        <v>PERCENTAGE</v>
      </c>
    </row>
    <row r="34" spans="1:16" x14ac:dyDescent="0.35">
      <c r="A34" s="32" t="str">
        <f t="shared" si="4"/>
        <v>2025 JAN-JUN DISCOUNT 75%</v>
      </c>
      <c r="B34" s="33">
        <f t="shared" si="4"/>
        <v>46121</v>
      </c>
      <c r="C34" s="33">
        <f t="shared" si="4"/>
        <v>46127</v>
      </c>
      <c r="D34" s="32">
        <v>3281</v>
      </c>
      <c r="E34" s="32">
        <v>337</v>
      </c>
      <c r="F34" s="32">
        <v>4</v>
      </c>
      <c r="G34" s="32">
        <v>3</v>
      </c>
      <c r="H34" s="32">
        <v>81506</v>
      </c>
      <c r="I34" s="32" t="s">
        <v>17</v>
      </c>
      <c r="J34" s="32">
        <v>51866918</v>
      </c>
      <c r="K34" s="32" t="s">
        <v>4673</v>
      </c>
      <c r="L34" s="38" t="s">
        <v>4674</v>
      </c>
      <c r="M34" s="34">
        <v>229900</v>
      </c>
      <c r="N34" s="20">
        <f t="shared" si="2"/>
        <v>0.75</v>
      </c>
      <c r="O34" s="78">
        <f t="shared" si="0"/>
        <v>57475</v>
      </c>
      <c r="P34" s="20" t="str">
        <f t="shared" si="3"/>
        <v>PERCENTAGE</v>
      </c>
    </row>
    <row r="35" spans="1:16" x14ac:dyDescent="0.35">
      <c r="A35" s="32" t="str">
        <f t="shared" si="4"/>
        <v>2025 JAN-JUN DISCOUNT 75%</v>
      </c>
      <c r="B35" s="33">
        <f t="shared" si="4"/>
        <v>46121</v>
      </c>
      <c r="C35" s="33">
        <f t="shared" si="4"/>
        <v>46127</v>
      </c>
      <c r="D35" s="32">
        <v>3281</v>
      </c>
      <c r="E35" s="32">
        <v>337</v>
      </c>
      <c r="F35" s="32">
        <v>4</v>
      </c>
      <c r="G35" s="32">
        <v>3</v>
      </c>
      <c r="H35" s="32">
        <v>81506</v>
      </c>
      <c r="I35" s="32" t="s">
        <v>17</v>
      </c>
      <c r="J35" s="32">
        <v>51866892</v>
      </c>
      <c r="K35" s="32" t="s">
        <v>4673</v>
      </c>
      <c r="L35" s="38" t="s">
        <v>4675</v>
      </c>
      <c r="M35" s="34">
        <v>229900</v>
      </c>
      <c r="N35" s="20">
        <f t="shared" si="2"/>
        <v>0.75</v>
      </c>
      <c r="O35" s="78">
        <f t="shared" si="0"/>
        <v>57475</v>
      </c>
      <c r="P35" s="20" t="str">
        <f t="shared" si="3"/>
        <v>PERCENTAGE</v>
      </c>
    </row>
    <row r="36" spans="1:16" x14ac:dyDescent="0.35">
      <c r="A36" s="32" t="str">
        <f t="shared" ref="A36:C51" si="5">A35</f>
        <v>2025 JAN-JUN DISCOUNT 75%</v>
      </c>
      <c r="B36" s="33">
        <f t="shared" si="5"/>
        <v>46121</v>
      </c>
      <c r="C36" s="33">
        <f t="shared" si="5"/>
        <v>46127</v>
      </c>
      <c r="D36" s="32">
        <v>3281</v>
      </c>
      <c r="E36" s="32">
        <v>337</v>
      </c>
      <c r="F36" s="32">
        <v>4</v>
      </c>
      <c r="G36" s="32">
        <v>3</v>
      </c>
      <c r="H36" s="32">
        <v>81506</v>
      </c>
      <c r="I36" s="32" t="s">
        <v>17</v>
      </c>
      <c r="J36" s="32">
        <v>51866909</v>
      </c>
      <c r="K36" s="32" t="s">
        <v>4673</v>
      </c>
      <c r="L36" s="38" t="s">
        <v>4676</v>
      </c>
      <c r="M36" s="34">
        <v>229900</v>
      </c>
      <c r="N36" s="20">
        <f t="shared" si="2"/>
        <v>0.75</v>
      </c>
      <c r="O36" s="78">
        <f t="shared" si="0"/>
        <v>57475</v>
      </c>
      <c r="P36" s="20" t="str">
        <f t="shared" si="3"/>
        <v>PERCENTAGE</v>
      </c>
    </row>
    <row r="37" spans="1:16" x14ac:dyDescent="0.35">
      <c r="A37" s="32" t="str">
        <f t="shared" si="5"/>
        <v>2025 JAN-JUN DISCOUNT 75%</v>
      </c>
      <c r="B37" s="33">
        <f t="shared" si="5"/>
        <v>46121</v>
      </c>
      <c r="C37" s="33">
        <f t="shared" si="5"/>
        <v>46127</v>
      </c>
      <c r="D37" s="32">
        <v>3281</v>
      </c>
      <c r="E37" s="32">
        <v>337</v>
      </c>
      <c r="F37" s="32">
        <v>4</v>
      </c>
      <c r="G37" s="32">
        <v>3</v>
      </c>
      <c r="H37" s="32">
        <v>81506</v>
      </c>
      <c r="I37" s="32" t="s">
        <v>17</v>
      </c>
      <c r="J37" s="32">
        <v>51866883</v>
      </c>
      <c r="K37" s="32" t="s">
        <v>4673</v>
      </c>
      <c r="L37" s="38" t="s">
        <v>4677</v>
      </c>
      <c r="M37" s="34">
        <v>229900</v>
      </c>
      <c r="N37" s="20">
        <f t="shared" si="2"/>
        <v>0.75</v>
      </c>
      <c r="O37" s="78">
        <f t="shared" si="0"/>
        <v>57475</v>
      </c>
      <c r="P37" s="20" t="str">
        <f t="shared" si="3"/>
        <v>PERCENTAGE</v>
      </c>
    </row>
    <row r="38" spans="1:16" x14ac:dyDescent="0.35">
      <c r="A38" s="32" t="str">
        <f t="shared" si="5"/>
        <v>2025 JAN-JUN DISCOUNT 75%</v>
      </c>
      <c r="B38" s="33">
        <f t="shared" si="5"/>
        <v>46121</v>
      </c>
      <c r="C38" s="33">
        <f t="shared" si="5"/>
        <v>46127</v>
      </c>
      <c r="D38" s="32">
        <v>3281</v>
      </c>
      <c r="E38" s="32">
        <v>337</v>
      </c>
      <c r="F38" s="32">
        <v>4</v>
      </c>
      <c r="G38" s="32">
        <v>3</v>
      </c>
      <c r="H38" s="32">
        <v>81146</v>
      </c>
      <c r="I38" s="32" t="s">
        <v>17</v>
      </c>
      <c r="J38" s="32">
        <v>51721378</v>
      </c>
      <c r="K38" s="32" t="s">
        <v>4489</v>
      </c>
      <c r="L38" s="38" t="s">
        <v>4490</v>
      </c>
      <c r="M38" s="34">
        <v>229900</v>
      </c>
      <c r="N38" s="20">
        <f t="shared" si="2"/>
        <v>0.75</v>
      </c>
      <c r="O38" s="78">
        <f t="shared" si="0"/>
        <v>57475</v>
      </c>
      <c r="P38" s="20" t="str">
        <f t="shared" si="3"/>
        <v>PERCENTAGE</v>
      </c>
    </row>
    <row r="39" spans="1:16" x14ac:dyDescent="0.35">
      <c r="A39" s="32" t="str">
        <f t="shared" si="5"/>
        <v>2025 JAN-JUN DISCOUNT 75%</v>
      </c>
      <c r="B39" s="33">
        <f t="shared" si="5"/>
        <v>46121</v>
      </c>
      <c r="C39" s="33">
        <f t="shared" si="5"/>
        <v>46127</v>
      </c>
      <c r="D39" s="32">
        <v>3281</v>
      </c>
      <c r="E39" s="32">
        <v>337</v>
      </c>
      <c r="F39" s="32">
        <v>4</v>
      </c>
      <c r="G39" s="32">
        <v>3</v>
      </c>
      <c r="H39" s="32">
        <v>81146</v>
      </c>
      <c r="I39" s="32" t="s">
        <v>17</v>
      </c>
      <c r="J39" s="32">
        <v>51721350</v>
      </c>
      <c r="K39" s="32" t="s">
        <v>4489</v>
      </c>
      <c r="L39" s="38" t="s">
        <v>4491</v>
      </c>
      <c r="M39" s="34">
        <v>229900</v>
      </c>
      <c r="N39" s="20">
        <f t="shared" si="2"/>
        <v>0.75</v>
      </c>
      <c r="O39" s="78">
        <f t="shared" si="0"/>
        <v>57475</v>
      </c>
      <c r="P39" s="20" t="str">
        <f t="shared" si="3"/>
        <v>PERCENTAGE</v>
      </c>
    </row>
    <row r="40" spans="1:16" x14ac:dyDescent="0.35">
      <c r="A40" s="32" t="str">
        <f t="shared" si="5"/>
        <v>2025 JAN-JUN DISCOUNT 75%</v>
      </c>
      <c r="B40" s="33">
        <f t="shared" si="5"/>
        <v>46121</v>
      </c>
      <c r="C40" s="33">
        <f t="shared" si="5"/>
        <v>46127</v>
      </c>
      <c r="D40" s="32">
        <v>3281</v>
      </c>
      <c r="E40" s="32">
        <v>337</v>
      </c>
      <c r="F40" s="32">
        <v>4</v>
      </c>
      <c r="G40" s="32">
        <v>3</v>
      </c>
      <c r="H40" s="32">
        <v>81146</v>
      </c>
      <c r="I40" s="32" t="s">
        <v>17</v>
      </c>
      <c r="J40" s="32">
        <v>51721369</v>
      </c>
      <c r="K40" s="32" t="s">
        <v>4489</v>
      </c>
      <c r="L40" s="38" t="s">
        <v>4492</v>
      </c>
      <c r="M40" s="34">
        <v>229900</v>
      </c>
      <c r="N40" s="20">
        <f t="shared" si="2"/>
        <v>0.75</v>
      </c>
      <c r="O40" s="78">
        <f t="shared" si="0"/>
        <v>57475</v>
      </c>
      <c r="P40" s="20" t="str">
        <f t="shared" si="3"/>
        <v>PERCENTAGE</v>
      </c>
    </row>
    <row r="41" spans="1:16" x14ac:dyDescent="0.35">
      <c r="A41" s="32" t="str">
        <f t="shared" si="5"/>
        <v>2025 JAN-JUN DISCOUNT 75%</v>
      </c>
      <c r="B41" s="33">
        <f t="shared" si="5"/>
        <v>46121</v>
      </c>
      <c r="C41" s="33">
        <f t="shared" si="5"/>
        <v>46127</v>
      </c>
      <c r="D41" s="32">
        <v>3281</v>
      </c>
      <c r="E41" s="32">
        <v>337</v>
      </c>
      <c r="F41" s="32">
        <v>4</v>
      </c>
      <c r="G41" s="32">
        <v>3</v>
      </c>
      <c r="H41" s="32">
        <v>81146</v>
      </c>
      <c r="I41" s="32" t="s">
        <v>17</v>
      </c>
      <c r="J41" s="32">
        <v>51721387</v>
      </c>
      <c r="K41" s="32" t="s">
        <v>4489</v>
      </c>
      <c r="L41" s="38" t="s">
        <v>4493</v>
      </c>
      <c r="M41" s="34">
        <v>229900</v>
      </c>
      <c r="N41" s="20">
        <f t="shared" si="2"/>
        <v>0.75</v>
      </c>
      <c r="O41" s="78">
        <f t="shared" si="0"/>
        <v>57475</v>
      </c>
      <c r="P41" s="20" t="str">
        <f t="shared" si="3"/>
        <v>PERCENTAGE</v>
      </c>
    </row>
    <row r="42" spans="1:16" x14ac:dyDescent="0.35">
      <c r="A42" s="32" t="str">
        <f t="shared" si="5"/>
        <v>2025 JAN-JUN DISCOUNT 75%</v>
      </c>
      <c r="B42" s="33">
        <f t="shared" si="5"/>
        <v>46121</v>
      </c>
      <c r="C42" s="33">
        <f t="shared" si="5"/>
        <v>46127</v>
      </c>
      <c r="D42" s="32">
        <v>3281</v>
      </c>
      <c r="E42" s="32">
        <v>337</v>
      </c>
      <c r="F42" s="32">
        <v>4</v>
      </c>
      <c r="G42" s="32">
        <v>3</v>
      </c>
      <c r="H42" s="32">
        <v>81462</v>
      </c>
      <c r="I42" s="32" t="s">
        <v>17</v>
      </c>
      <c r="J42" s="32">
        <v>51866990</v>
      </c>
      <c r="K42" s="32" t="s">
        <v>4678</v>
      </c>
      <c r="L42" s="38" t="s">
        <v>4679</v>
      </c>
      <c r="M42" s="34">
        <v>229900</v>
      </c>
      <c r="N42" s="20">
        <f t="shared" si="2"/>
        <v>0.75</v>
      </c>
      <c r="O42" s="78">
        <f t="shared" si="0"/>
        <v>57475</v>
      </c>
      <c r="P42" s="20" t="str">
        <f t="shared" si="3"/>
        <v>PERCENTAGE</v>
      </c>
    </row>
    <row r="43" spans="1:16" x14ac:dyDescent="0.35">
      <c r="A43" s="32" t="str">
        <f t="shared" si="5"/>
        <v>2025 JAN-JUN DISCOUNT 75%</v>
      </c>
      <c r="B43" s="33">
        <f t="shared" si="5"/>
        <v>46121</v>
      </c>
      <c r="C43" s="33">
        <f t="shared" si="5"/>
        <v>46127</v>
      </c>
      <c r="D43" s="32">
        <v>3281</v>
      </c>
      <c r="E43" s="32">
        <v>337</v>
      </c>
      <c r="F43" s="32">
        <v>4</v>
      </c>
      <c r="G43" s="32">
        <v>3</v>
      </c>
      <c r="H43" s="32">
        <v>81462</v>
      </c>
      <c r="I43" s="32" t="s">
        <v>17</v>
      </c>
      <c r="J43" s="32">
        <v>51866981</v>
      </c>
      <c r="K43" s="32" t="s">
        <v>4678</v>
      </c>
      <c r="L43" s="38" t="s">
        <v>4680</v>
      </c>
      <c r="M43" s="34">
        <v>229900</v>
      </c>
      <c r="N43" s="20">
        <f t="shared" si="2"/>
        <v>0.75</v>
      </c>
      <c r="O43" s="78">
        <f t="shared" si="0"/>
        <v>57475</v>
      </c>
      <c r="P43" s="20" t="str">
        <f t="shared" si="3"/>
        <v>PERCENTAGE</v>
      </c>
    </row>
    <row r="44" spans="1:16" x14ac:dyDescent="0.35">
      <c r="A44" s="32" t="str">
        <f t="shared" si="5"/>
        <v>2025 JAN-JUN DISCOUNT 75%</v>
      </c>
      <c r="B44" s="33">
        <f t="shared" si="5"/>
        <v>46121</v>
      </c>
      <c r="C44" s="33">
        <f t="shared" si="5"/>
        <v>46127</v>
      </c>
      <c r="D44" s="32">
        <v>3281</v>
      </c>
      <c r="E44" s="32">
        <v>337</v>
      </c>
      <c r="F44" s="32">
        <v>4</v>
      </c>
      <c r="G44" s="32">
        <v>3</v>
      </c>
      <c r="H44" s="32">
        <v>81462</v>
      </c>
      <c r="I44" s="32" t="s">
        <v>17</v>
      </c>
      <c r="J44" s="32">
        <v>51866972</v>
      </c>
      <c r="K44" s="32" t="s">
        <v>4678</v>
      </c>
      <c r="L44" s="38" t="s">
        <v>4681</v>
      </c>
      <c r="M44" s="34">
        <v>229900</v>
      </c>
      <c r="N44" s="20">
        <f t="shared" si="2"/>
        <v>0.75</v>
      </c>
      <c r="O44" s="78">
        <f t="shared" si="0"/>
        <v>57475</v>
      </c>
      <c r="P44" s="20" t="str">
        <f t="shared" si="3"/>
        <v>PERCENTAGE</v>
      </c>
    </row>
    <row r="45" spans="1:16" x14ac:dyDescent="0.35">
      <c r="A45" s="32" t="str">
        <f t="shared" si="5"/>
        <v>2025 JAN-JUN DISCOUNT 75%</v>
      </c>
      <c r="B45" s="33">
        <f t="shared" si="5"/>
        <v>46121</v>
      </c>
      <c r="C45" s="33">
        <f t="shared" si="5"/>
        <v>46127</v>
      </c>
      <c r="D45" s="32">
        <v>3281</v>
      </c>
      <c r="E45" s="32">
        <v>337</v>
      </c>
      <c r="F45" s="32">
        <v>4</v>
      </c>
      <c r="G45" s="32">
        <v>3</v>
      </c>
      <c r="H45" s="32">
        <v>81462</v>
      </c>
      <c r="I45" s="32" t="s">
        <v>17</v>
      </c>
      <c r="J45" s="32">
        <v>51866963</v>
      </c>
      <c r="K45" s="32" t="s">
        <v>4678</v>
      </c>
      <c r="L45" s="38" t="s">
        <v>4682</v>
      </c>
      <c r="M45" s="34">
        <v>229900</v>
      </c>
      <c r="N45" s="20">
        <f t="shared" si="2"/>
        <v>0.75</v>
      </c>
      <c r="O45" s="78">
        <f t="shared" si="0"/>
        <v>57475</v>
      </c>
      <c r="P45" s="20" t="str">
        <f t="shared" si="3"/>
        <v>PERCENTAGE</v>
      </c>
    </row>
    <row r="46" spans="1:16" x14ac:dyDescent="0.35">
      <c r="A46" s="32" t="str">
        <f t="shared" si="5"/>
        <v>2025 JAN-JUN DISCOUNT 75%</v>
      </c>
      <c r="B46" s="33">
        <f t="shared" si="5"/>
        <v>46121</v>
      </c>
      <c r="C46" s="33">
        <f t="shared" si="5"/>
        <v>46127</v>
      </c>
      <c r="D46" s="32">
        <v>3281</v>
      </c>
      <c r="E46" s="32">
        <v>337</v>
      </c>
      <c r="F46" s="32">
        <v>4</v>
      </c>
      <c r="G46" s="32">
        <v>5</v>
      </c>
      <c r="H46" s="32">
        <v>81506</v>
      </c>
      <c r="I46" s="32" t="s">
        <v>17</v>
      </c>
      <c r="J46" s="32">
        <v>51362015</v>
      </c>
      <c r="K46" s="32" t="s">
        <v>4494</v>
      </c>
      <c r="L46" s="38" t="s">
        <v>4495</v>
      </c>
      <c r="M46" s="34">
        <v>279900</v>
      </c>
      <c r="N46" s="20">
        <f t="shared" si="2"/>
        <v>0.75</v>
      </c>
      <c r="O46" s="78">
        <f t="shared" si="0"/>
        <v>69975</v>
      </c>
      <c r="P46" s="20" t="str">
        <f t="shared" si="3"/>
        <v>PERCENTAGE</v>
      </c>
    </row>
    <row r="47" spans="1:16" x14ac:dyDescent="0.35">
      <c r="A47" s="32" t="str">
        <f t="shared" si="5"/>
        <v>2025 JAN-JUN DISCOUNT 75%</v>
      </c>
      <c r="B47" s="33">
        <f t="shared" si="5"/>
        <v>46121</v>
      </c>
      <c r="C47" s="33">
        <f t="shared" si="5"/>
        <v>46127</v>
      </c>
      <c r="D47" s="32">
        <v>3281</v>
      </c>
      <c r="E47" s="32">
        <v>337</v>
      </c>
      <c r="F47" s="32">
        <v>4</v>
      </c>
      <c r="G47" s="32">
        <v>5</v>
      </c>
      <c r="H47" s="32">
        <v>81506</v>
      </c>
      <c r="I47" s="32" t="s">
        <v>17</v>
      </c>
      <c r="J47" s="32">
        <v>51362051</v>
      </c>
      <c r="K47" s="32" t="s">
        <v>4499</v>
      </c>
      <c r="L47" s="38" t="s">
        <v>4500</v>
      </c>
      <c r="M47" s="34">
        <v>279900</v>
      </c>
      <c r="N47" s="20">
        <f t="shared" si="2"/>
        <v>0.75</v>
      </c>
      <c r="O47" s="78">
        <f t="shared" si="0"/>
        <v>69975</v>
      </c>
      <c r="P47" s="20" t="str">
        <f t="shared" si="3"/>
        <v>PERCENTAGE</v>
      </c>
    </row>
    <row r="48" spans="1:16" x14ac:dyDescent="0.35">
      <c r="A48" s="32" t="str">
        <f t="shared" si="5"/>
        <v>2025 JAN-JUN DISCOUNT 75%</v>
      </c>
      <c r="B48" s="33">
        <f t="shared" si="5"/>
        <v>46121</v>
      </c>
      <c r="C48" s="33">
        <f t="shared" si="5"/>
        <v>46127</v>
      </c>
      <c r="D48" s="32">
        <v>3281</v>
      </c>
      <c r="E48" s="32">
        <v>337</v>
      </c>
      <c r="F48" s="32">
        <v>4</v>
      </c>
      <c r="G48" s="32">
        <v>5</v>
      </c>
      <c r="H48" s="32">
        <v>81506</v>
      </c>
      <c r="I48" s="32" t="s">
        <v>17</v>
      </c>
      <c r="J48" s="32">
        <v>51362024</v>
      </c>
      <c r="K48" s="32" t="s">
        <v>4499</v>
      </c>
      <c r="L48" s="38" t="s">
        <v>4501</v>
      </c>
      <c r="M48" s="34">
        <v>279900</v>
      </c>
      <c r="N48" s="20">
        <f t="shared" si="2"/>
        <v>0.75</v>
      </c>
      <c r="O48" s="78">
        <f t="shared" si="0"/>
        <v>69975</v>
      </c>
      <c r="P48" s="20" t="str">
        <f t="shared" si="3"/>
        <v>PERCENTAGE</v>
      </c>
    </row>
    <row r="49" spans="1:16" x14ac:dyDescent="0.35">
      <c r="A49" s="32" t="str">
        <f t="shared" si="5"/>
        <v>2025 JAN-JUN DISCOUNT 75%</v>
      </c>
      <c r="B49" s="33">
        <f t="shared" si="5"/>
        <v>46121</v>
      </c>
      <c r="C49" s="33">
        <f t="shared" si="5"/>
        <v>46127</v>
      </c>
      <c r="D49" s="32">
        <v>3281</v>
      </c>
      <c r="E49" s="32">
        <v>337</v>
      </c>
      <c r="F49" s="32">
        <v>4</v>
      </c>
      <c r="G49" s="32">
        <v>5</v>
      </c>
      <c r="H49" s="32">
        <v>81506</v>
      </c>
      <c r="I49" s="32" t="s">
        <v>17</v>
      </c>
      <c r="J49" s="32">
        <v>51361990</v>
      </c>
      <c r="K49" s="32" t="s">
        <v>4494</v>
      </c>
      <c r="L49" s="38" t="s">
        <v>4496</v>
      </c>
      <c r="M49" s="34">
        <v>279900</v>
      </c>
      <c r="N49" s="20">
        <f t="shared" si="2"/>
        <v>0.75</v>
      </c>
      <c r="O49" s="78">
        <f t="shared" si="0"/>
        <v>69975</v>
      </c>
      <c r="P49" s="20" t="str">
        <f t="shared" si="3"/>
        <v>PERCENTAGE</v>
      </c>
    </row>
    <row r="50" spans="1:16" x14ac:dyDescent="0.35">
      <c r="A50" s="32" t="str">
        <f t="shared" si="5"/>
        <v>2025 JAN-JUN DISCOUNT 75%</v>
      </c>
      <c r="B50" s="33">
        <f t="shared" si="5"/>
        <v>46121</v>
      </c>
      <c r="C50" s="33">
        <f t="shared" si="5"/>
        <v>46127</v>
      </c>
      <c r="D50" s="32">
        <v>3281</v>
      </c>
      <c r="E50" s="32">
        <v>337</v>
      </c>
      <c r="F50" s="32">
        <v>4</v>
      </c>
      <c r="G50" s="32">
        <v>5</v>
      </c>
      <c r="H50" s="32">
        <v>81506</v>
      </c>
      <c r="I50" s="32" t="s">
        <v>17</v>
      </c>
      <c r="J50" s="32">
        <v>51361981</v>
      </c>
      <c r="K50" s="32" t="s">
        <v>4494</v>
      </c>
      <c r="L50" s="38" t="s">
        <v>4497</v>
      </c>
      <c r="M50" s="34">
        <v>279900</v>
      </c>
      <c r="N50" s="20">
        <f t="shared" si="2"/>
        <v>0.75</v>
      </c>
      <c r="O50" s="78">
        <f t="shared" si="0"/>
        <v>69975</v>
      </c>
      <c r="P50" s="20" t="str">
        <f t="shared" si="3"/>
        <v>PERCENTAGE</v>
      </c>
    </row>
    <row r="51" spans="1:16" x14ac:dyDescent="0.35">
      <c r="A51" s="32" t="str">
        <f t="shared" si="5"/>
        <v>2025 JAN-JUN DISCOUNT 75%</v>
      </c>
      <c r="B51" s="33">
        <f t="shared" si="5"/>
        <v>46121</v>
      </c>
      <c r="C51" s="33">
        <f t="shared" si="5"/>
        <v>46127</v>
      </c>
      <c r="D51" s="32">
        <v>3281</v>
      </c>
      <c r="E51" s="32">
        <v>337</v>
      </c>
      <c r="F51" s="32">
        <v>4</v>
      </c>
      <c r="G51" s="32">
        <v>5</v>
      </c>
      <c r="H51" s="32">
        <v>81506</v>
      </c>
      <c r="I51" s="32" t="s">
        <v>17</v>
      </c>
      <c r="J51" s="32">
        <v>51362042</v>
      </c>
      <c r="K51" s="32" t="s">
        <v>4499</v>
      </c>
      <c r="L51" s="38" t="s">
        <v>4502</v>
      </c>
      <c r="M51" s="34">
        <v>279900</v>
      </c>
      <c r="N51" s="20">
        <f t="shared" si="2"/>
        <v>0.75</v>
      </c>
      <c r="O51" s="78">
        <f t="shared" si="0"/>
        <v>69975</v>
      </c>
      <c r="P51" s="20" t="str">
        <f t="shared" si="3"/>
        <v>PERCENTAGE</v>
      </c>
    </row>
    <row r="52" spans="1:16" x14ac:dyDescent="0.35">
      <c r="A52" s="32" t="str">
        <f t="shared" ref="A52:C67" si="6">A51</f>
        <v>2025 JAN-JUN DISCOUNT 75%</v>
      </c>
      <c r="B52" s="33">
        <f t="shared" si="6"/>
        <v>46121</v>
      </c>
      <c r="C52" s="33">
        <f t="shared" si="6"/>
        <v>46127</v>
      </c>
      <c r="D52" s="32">
        <v>3281</v>
      </c>
      <c r="E52" s="32">
        <v>337</v>
      </c>
      <c r="F52" s="32">
        <v>4</v>
      </c>
      <c r="G52" s="32">
        <v>5</v>
      </c>
      <c r="H52" s="32">
        <v>81506</v>
      </c>
      <c r="I52" s="32" t="s">
        <v>17</v>
      </c>
      <c r="J52" s="32">
        <v>51362033</v>
      </c>
      <c r="K52" s="32" t="s">
        <v>4499</v>
      </c>
      <c r="L52" s="38" t="s">
        <v>4503</v>
      </c>
      <c r="M52" s="34">
        <v>279900</v>
      </c>
      <c r="N52" s="20">
        <f t="shared" si="2"/>
        <v>0.75</v>
      </c>
      <c r="O52" s="78">
        <f t="shared" si="0"/>
        <v>69975</v>
      </c>
      <c r="P52" s="20" t="str">
        <f t="shared" si="3"/>
        <v>PERCENTAGE</v>
      </c>
    </row>
    <row r="53" spans="1:16" x14ac:dyDescent="0.35">
      <c r="A53" s="32" t="str">
        <f t="shared" si="6"/>
        <v>2025 JAN-JUN DISCOUNT 75%</v>
      </c>
      <c r="B53" s="33">
        <f t="shared" si="6"/>
        <v>46121</v>
      </c>
      <c r="C53" s="33">
        <f t="shared" si="6"/>
        <v>46127</v>
      </c>
      <c r="D53" s="32">
        <v>3281</v>
      </c>
      <c r="E53" s="32">
        <v>337</v>
      </c>
      <c r="F53" s="32">
        <v>4</v>
      </c>
      <c r="G53" s="32">
        <v>5</v>
      </c>
      <c r="H53" s="32">
        <v>81506</v>
      </c>
      <c r="I53" s="32" t="s">
        <v>17</v>
      </c>
      <c r="J53" s="32">
        <v>51362006</v>
      </c>
      <c r="K53" s="32" t="s">
        <v>4494</v>
      </c>
      <c r="L53" s="38" t="s">
        <v>4498</v>
      </c>
      <c r="M53" s="34">
        <v>279900</v>
      </c>
      <c r="N53" s="20">
        <f t="shared" si="2"/>
        <v>0.75</v>
      </c>
      <c r="O53" s="78">
        <f t="shared" si="0"/>
        <v>69975</v>
      </c>
      <c r="P53" s="20" t="str">
        <f t="shared" si="3"/>
        <v>PERCENTAGE</v>
      </c>
    </row>
    <row r="54" spans="1:16" x14ac:dyDescent="0.35">
      <c r="A54" s="32" t="str">
        <f t="shared" si="6"/>
        <v>2025 JAN-JUN DISCOUNT 75%</v>
      </c>
      <c r="B54" s="33">
        <f t="shared" si="6"/>
        <v>46121</v>
      </c>
      <c r="C54" s="33">
        <f t="shared" si="6"/>
        <v>46127</v>
      </c>
      <c r="D54" s="32">
        <v>3281</v>
      </c>
      <c r="E54" s="32">
        <v>337</v>
      </c>
      <c r="F54" s="32">
        <v>4</v>
      </c>
      <c r="G54" s="32">
        <v>5</v>
      </c>
      <c r="H54" s="32">
        <v>81506</v>
      </c>
      <c r="I54" s="32" t="s">
        <v>17</v>
      </c>
      <c r="J54" s="32">
        <v>51361874</v>
      </c>
      <c r="K54" s="32" t="s">
        <v>4514</v>
      </c>
      <c r="L54" s="38" t="s">
        <v>4515</v>
      </c>
      <c r="M54" s="34">
        <v>319900</v>
      </c>
      <c r="N54" s="20">
        <f t="shared" si="2"/>
        <v>0.75</v>
      </c>
      <c r="O54" s="78">
        <f t="shared" si="0"/>
        <v>79975</v>
      </c>
      <c r="P54" s="20" t="str">
        <f t="shared" si="3"/>
        <v>PERCENTAGE</v>
      </c>
    </row>
    <row r="55" spans="1:16" x14ac:dyDescent="0.35">
      <c r="A55" s="32" t="str">
        <f t="shared" si="6"/>
        <v>2025 JAN-JUN DISCOUNT 75%</v>
      </c>
      <c r="B55" s="33">
        <f t="shared" si="6"/>
        <v>46121</v>
      </c>
      <c r="C55" s="33">
        <f t="shared" si="6"/>
        <v>46127</v>
      </c>
      <c r="D55" s="32">
        <v>3281</v>
      </c>
      <c r="E55" s="32">
        <v>337</v>
      </c>
      <c r="F55" s="32">
        <v>4</v>
      </c>
      <c r="G55" s="32">
        <v>5</v>
      </c>
      <c r="H55" s="32">
        <v>81506</v>
      </c>
      <c r="I55" s="32" t="s">
        <v>17</v>
      </c>
      <c r="J55" s="32">
        <v>51361892</v>
      </c>
      <c r="K55" s="32" t="s">
        <v>4514</v>
      </c>
      <c r="L55" s="38" t="s">
        <v>4516</v>
      </c>
      <c r="M55" s="34">
        <v>319900</v>
      </c>
      <c r="N55" s="20">
        <f t="shared" si="2"/>
        <v>0.75</v>
      </c>
      <c r="O55" s="78">
        <f t="shared" si="0"/>
        <v>79975</v>
      </c>
      <c r="P55" s="20" t="str">
        <f t="shared" si="3"/>
        <v>PERCENTAGE</v>
      </c>
    </row>
    <row r="56" spans="1:16" x14ac:dyDescent="0.35">
      <c r="A56" s="32" t="str">
        <f t="shared" si="6"/>
        <v>2025 JAN-JUN DISCOUNT 75%</v>
      </c>
      <c r="B56" s="33">
        <f t="shared" si="6"/>
        <v>46121</v>
      </c>
      <c r="C56" s="33">
        <f t="shared" si="6"/>
        <v>46127</v>
      </c>
      <c r="D56" s="32">
        <v>3281</v>
      </c>
      <c r="E56" s="32">
        <v>337</v>
      </c>
      <c r="F56" s="32">
        <v>4</v>
      </c>
      <c r="G56" s="32">
        <v>5</v>
      </c>
      <c r="H56" s="32">
        <v>81506</v>
      </c>
      <c r="I56" s="32" t="s">
        <v>17</v>
      </c>
      <c r="J56" s="32">
        <v>51361883</v>
      </c>
      <c r="K56" s="32" t="s">
        <v>4514</v>
      </c>
      <c r="L56" s="38" t="s">
        <v>4517</v>
      </c>
      <c r="M56" s="34">
        <v>319900</v>
      </c>
      <c r="N56" s="20">
        <f t="shared" si="2"/>
        <v>0.75</v>
      </c>
      <c r="O56" s="78">
        <f t="shared" si="0"/>
        <v>79975</v>
      </c>
      <c r="P56" s="20" t="str">
        <f t="shared" si="3"/>
        <v>PERCENTAGE</v>
      </c>
    </row>
    <row r="57" spans="1:16" x14ac:dyDescent="0.35">
      <c r="A57" s="32" t="str">
        <f t="shared" si="6"/>
        <v>2025 JAN-JUN DISCOUNT 75%</v>
      </c>
      <c r="B57" s="33">
        <f t="shared" si="6"/>
        <v>46121</v>
      </c>
      <c r="C57" s="33">
        <f t="shared" si="6"/>
        <v>46127</v>
      </c>
      <c r="D57" s="32">
        <v>3281</v>
      </c>
      <c r="E57" s="32">
        <v>337</v>
      </c>
      <c r="F57" s="32">
        <v>4</v>
      </c>
      <c r="G57" s="32">
        <v>5</v>
      </c>
      <c r="H57" s="32">
        <v>81506</v>
      </c>
      <c r="I57" s="32" t="s">
        <v>17</v>
      </c>
      <c r="J57" s="32">
        <v>51361865</v>
      </c>
      <c r="K57" s="32" t="s">
        <v>4514</v>
      </c>
      <c r="L57" s="38" t="s">
        <v>4518</v>
      </c>
      <c r="M57" s="34">
        <v>319900</v>
      </c>
      <c r="N57" s="20">
        <f t="shared" si="2"/>
        <v>0.75</v>
      </c>
      <c r="O57" s="78">
        <f t="shared" si="0"/>
        <v>79975</v>
      </c>
      <c r="P57" s="20" t="str">
        <f t="shared" si="3"/>
        <v>PERCENTAGE</v>
      </c>
    </row>
    <row r="58" spans="1:16" x14ac:dyDescent="0.35">
      <c r="A58" s="32" t="str">
        <f t="shared" si="6"/>
        <v>2025 JAN-JUN DISCOUNT 75%</v>
      </c>
      <c r="B58" s="33">
        <f>B57</f>
        <v>46121</v>
      </c>
      <c r="C58" s="33">
        <f>C57</f>
        <v>46127</v>
      </c>
      <c r="D58" s="32">
        <v>3281</v>
      </c>
      <c r="E58" s="32">
        <v>337</v>
      </c>
      <c r="F58" s="32">
        <v>4</v>
      </c>
      <c r="G58" s="32">
        <v>3</v>
      </c>
      <c r="H58" s="32">
        <v>81462</v>
      </c>
      <c r="I58" s="32" t="s">
        <v>17</v>
      </c>
      <c r="J58" s="32">
        <v>51866936</v>
      </c>
      <c r="K58" s="32" t="s">
        <v>4688</v>
      </c>
      <c r="L58" s="38" t="s">
        <v>4689</v>
      </c>
      <c r="M58" s="34">
        <v>249900</v>
      </c>
      <c r="N58" s="20">
        <f t="shared" si="2"/>
        <v>0.75</v>
      </c>
      <c r="O58" s="78">
        <f t="shared" si="0"/>
        <v>62475</v>
      </c>
      <c r="P58" s="20" t="str">
        <f t="shared" si="3"/>
        <v>PERCENTAGE</v>
      </c>
    </row>
    <row r="59" spans="1:16" x14ac:dyDescent="0.35">
      <c r="A59" s="32" t="str">
        <f t="shared" si="6"/>
        <v>2025 JAN-JUN DISCOUNT 75%</v>
      </c>
      <c r="B59" s="33">
        <f t="shared" si="6"/>
        <v>46121</v>
      </c>
      <c r="C59" s="33">
        <f t="shared" si="6"/>
        <v>46127</v>
      </c>
      <c r="D59" s="32">
        <v>3281</v>
      </c>
      <c r="E59" s="32">
        <v>337</v>
      </c>
      <c r="F59" s="32">
        <v>4</v>
      </c>
      <c r="G59" s="32">
        <v>3</v>
      </c>
      <c r="H59" s="32">
        <v>81462</v>
      </c>
      <c r="I59" s="32" t="s">
        <v>17</v>
      </c>
      <c r="J59" s="32">
        <v>51866927</v>
      </c>
      <c r="K59" s="32" t="s">
        <v>4688</v>
      </c>
      <c r="L59" s="38" t="s">
        <v>4690</v>
      </c>
      <c r="M59" s="34">
        <v>249900</v>
      </c>
      <c r="N59" s="20">
        <f t="shared" si="2"/>
        <v>0.75</v>
      </c>
      <c r="O59" s="78">
        <f t="shared" si="0"/>
        <v>62475</v>
      </c>
      <c r="P59" s="20" t="str">
        <f t="shared" si="3"/>
        <v>PERCENTAGE</v>
      </c>
    </row>
    <row r="60" spans="1:16" x14ac:dyDescent="0.35">
      <c r="A60" s="32" t="str">
        <f t="shared" si="6"/>
        <v>2025 JAN-JUN DISCOUNT 75%</v>
      </c>
      <c r="B60" s="33">
        <f t="shared" si="6"/>
        <v>46121</v>
      </c>
      <c r="C60" s="33">
        <f t="shared" si="6"/>
        <v>46127</v>
      </c>
      <c r="D60" s="32">
        <v>3281</v>
      </c>
      <c r="E60" s="32">
        <v>337</v>
      </c>
      <c r="F60" s="32">
        <v>4</v>
      </c>
      <c r="G60" s="32">
        <v>3</v>
      </c>
      <c r="H60" s="32">
        <v>81462</v>
      </c>
      <c r="I60" s="32" t="s">
        <v>17</v>
      </c>
      <c r="J60" s="32">
        <v>51866945</v>
      </c>
      <c r="K60" s="32" t="s">
        <v>4688</v>
      </c>
      <c r="L60" s="38" t="s">
        <v>4691</v>
      </c>
      <c r="M60" s="34">
        <v>249900</v>
      </c>
      <c r="N60" s="20">
        <f t="shared" si="2"/>
        <v>0.75</v>
      </c>
      <c r="O60" s="78">
        <f t="shared" si="0"/>
        <v>62475</v>
      </c>
      <c r="P60" s="20" t="str">
        <f t="shared" si="3"/>
        <v>PERCENTAGE</v>
      </c>
    </row>
    <row r="61" spans="1:16" x14ac:dyDescent="0.35">
      <c r="A61" s="32" t="str">
        <f t="shared" si="6"/>
        <v>2025 JAN-JUN DISCOUNT 75%</v>
      </c>
      <c r="B61" s="33">
        <f t="shared" si="6"/>
        <v>46121</v>
      </c>
      <c r="C61" s="33">
        <f t="shared" si="6"/>
        <v>46127</v>
      </c>
      <c r="D61" s="32">
        <v>3281</v>
      </c>
      <c r="E61" s="32">
        <v>337</v>
      </c>
      <c r="F61" s="32">
        <v>4</v>
      </c>
      <c r="G61" s="32">
        <v>3</v>
      </c>
      <c r="H61" s="32">
        <v>81462</v>
      </c>
      <c r="I61" s="32" t="s">
        <v>17</v>
      </c>
      <c r="J61" s="32">
        <v>51866954</v>
      </c>
      <c r="K61" s="32" t="s">
        <v>4688</v>
      </c>
      <c r="L61" s="38" t="s">
        <v>4692</v>
      </c>
      <c r="M61" s="34">
        <v>249900</v>
      </c>
      <c r="N61" s="20">
        <f t="shared" si="2"/>
        <v>0.75</v>
      </c>
      <c r="O61" s="78">
        <f t="shared" si="0"/>
        <v>62475</v>
      </c>
      <c r="P61" s="20" t="str">
        <f t="shared" si="3"/>
        <v>PERCENTAGE</v>
      </c>
    </row>
    <row r="62" spans="1:16" x14ac:dyDescent="0.35">
      <c r="A62" s="32" t="str">
        <f t="shared" si="6"/>
        <v>2025 JAN-JUN DISCOUNT 75%</v>
      </c>
      <c r="B62" s="33">
        <f t="shared" si="6"/>
        <v>46121</v>
      </c>
      <c r="C62" s="33">
        <f t="shared" si="6"/>
        <v>46127</v>
      </c>
      <c r="D62" s="32">
        <v>3281</v>
      </c>
      <c r="E62" s="32">
        <v>337</v>
      </c>
      <c r="F62" s="32">
        <v>4</v>
      </c>
      <c r="G62" s="32">
        <v>1</v>
      </c>
      <c r="H62" s="32">
        <v>81462</v>
      </c>
      <c r="I62" s="32" t="s">
        <v>17</v>
      </c>
      <c r="J62" s="32">
        <v>51867051</v>
      </c>
      <c r="K62" s="32" t="s">
        <v>5277</v>
      </c>
      <c r="L62" s="38" t="s">
        <v>5278</v>
      </c>
      <c r="M62" s="34">
        <v>149900</v>
      </c>
      <c r="N62" s="20">
        <f t="shared" si="2"/>
        <v>0.75</v>
      </c>
      <c r="O62" s="78">
        <f t="shared" si="0"/>
        <v>37475</v>
      </c>
      <c r="P62" s="20" t="str">
        <f t="shared" si="3"/>
        <v>PERCENTAGE</v>
      </c>
    </row>
    <row r="63" spans="1:16" x14ac:dyDescent="0.35">
      <c r="A63" s="32" t="str">
        <f t="shared" si="6"/>
        <v>2025 JAN-JUN DISCOUNT 75%</v>
      </c>
      <c r="B63" s="33">
        <f t="shared" si="6"/>
        <v>46121</v>
      </c>
      <c r="C63" s="33">
        <f t="shared" si="6"/>
        <v>46127</v>
      </c>
      <c r="D63" s="32">
        <v>3281</v>
      </c>
      <c r="E63" s="32">
        <v>337</v>
      </c>
      <c r="F63" s="32">
        <v>4</v>
      </c>
      <c r="G63" s="32">
        <v>1</v>
      </c>
      <c r="H63" s="32">
        <v>81462</v>
      </c>
      <c r="I63" s="32" t="s">
        <v>17</v>
      </c>
      <c r="J63" s="32">
        <v>51867079</v>
      </c>
      <c r="K63" s="32" t="s">
        <v>5277</v>
      </c>
      <c r="L63" s="38" t="s">
        <v>5279</v>
      </c>
      <c r="M63" s="34">
        <v>149900</v>
      </c>
      <c r="N63" s="20">
        <f t="shared" si="2"/>
        <v>0.75</v>
      </c>
      <c r="O63" s="78">
        <f t="shared" si="0"/>
        <v>37475</v>
      </c>
      <c r="P63" s="20" t="str">
        <f t="shared" si="3"/>
        <v>PERCENTAGE</v>
      </c>
    </row>
    <row r="64" spans="1:16" x14ac:dyDescent="0.35">
      <c r="A64" s="32" t="str">
        <f t="shared" si="6"/>
        <v>2025 JAN-JUN DISCOUNT 75%</v>
      </c>
      <c r="B64" s="33">
        <f t="shared" si="6"/>
        <v>46121</v>
      </c>
      <c r="C64" s="33">
        <f t="shared" si="6"/>
        <v>46127</v>
      </c>
      <c r="D64" s="32">
        <v>3281</v>
      </c>
      <c r="E64" s="32">
        <v>337</v>
      </c>
      <c r="F64" s="32">
        <v>4</v>
      </c>
      <c r="G64" s="32">
        <v>1</v>
      </c>
      <c r="H64" s="32">
        <v>81462</v>
      </c>
      <c r="I64" s="32" t="s">
        <v>17</v>
      </c>
      <c r="J64" s="32">
        <v>51867042</v>
      </c>
      <c r="K64" s="32" t="s">
        <v>5277</v>
      </c>
      <c r="L64" s="38" t="s">
        <v>5280</v>
      </c>
      <c r="M64" s="34">
        <v>149900</v>
      </c>
      <c r="N64" s="20">
        <f t="shared" si="2"/>
        <v>0.75</v>
      </c>
      <c r="O64" s="78">
        <f t="shared" si="0"/>
        <v>37475</v>
      </c>
      <c r="P64" s="20" t="str">
        <f t="shared" si="3"/>
        <v>PERCENTAGE</v>
      </c>
    </row>
    <row r="65" spans="1:16" x14ac:dyDescent="0.35">
      <c r="A65" s="32" t="str">
        <f t="shared" si="6"/>
        <v>2025 JAN-JUN DISCOUNT 75%</v>
      </c>
      <c r="B65" s="33">
        <f t="shared" si="6"/>
        <v>46121</v>
      </c>
      <c r="C65" s="33">
        <f t="shared" si="6"/>
        <v>46127</v>
      </c>
      <c r="D65" s="32">
        <v>3281</v>
      </c>
      <c r="E65" s="32">
        <v>337</v>
      </c>
      <c r="F65" s="32">
        <v>4</v>
      </c>
      <c r="G65" s="32">
        <v>1</v>
      </c>
      <c r="H65" s="32">
        <v>81462</v>
      </c>
      <c r="I65" s="32" t="s">
        <v>17</v>
      </c>
      <c r="J65" s="32">
        <v>51867060</v>
      </c>
      <c r="K65" s="32" t="s">
        <v>5277</v>
      </c>
      <c r="L65" s="38" t="s">
        <v>5281</v>
      </c>
      <c r="M65" s="34">
        <v>149900</v>
      </c>
      <c r="N65" s="20">
        <f t="shared" si="2"/>
        <v>0.75</v>
      </c>
      <c r="O65" s="78">
        <f t="shared" si="0"/>
        <v>37475</v>
      </c>
      <c r="P65" s="20" t="str">
        <f t="shared" si="3"/>
        <v>PERCENTAGE</v>
      </c>
    </row>
    <row r="66" spans="1:16" x14ac:dyDescent="0.35">
      <c r="A66" s="32" t="str">
        <f t="shared" si="6"/>
        <v>2025 JAN-JUN DISCOUNT 75%</v>
      </c>
      <c r="B66" s="33">
        <f t="shared" si="6"/>
        <v>46121</v>
      </c>
      <c r="C66" s="33">
        <f t="shared" si="6"/>
        <v>46127</v>
      </c>
      <c r="D66" s="32">
        <v>3281</v>
      </c>
      <c r="E66" s="32">
        <v>337</v>
      </c>
      <c r="F66" s="32">
        <v>4</v>
      </c>
      <c r="G66" s="32">
        <v>5</v>
      </c>
      <c r="H66" s="32">
        <v>81146</v>
      </c>
      <c r="I66" s="32" t="s">
        <v>17</v>
      </c>
      <c r="J66" s="32">
        <v>51867159</v>
      </c>
      <c r="K66" s="32" t="s">
        <v>4693</v>
      </c>
      <c r="L66" s="38" t="s">
        <v>4694</v>
      </c>
      <c r="M66" s="34">
        <v>279900</v>
      </c>
      <c r="N66" s="20">
        <f t="shared" si="2"/>
        <v>0.75</v>
      </c>
      <c r="O66" s="78">
        <f t="shared" si="0"/>
        <v>69975</v>
      </c>
      <c r="P66" s="20" t="str">
        <f t="shared" si="3"/>
        <v>PERCENTAGE</v>
      </c>
    </row>
    <row r="67" spans="1:16" x14ac:dyDescent="0.35">
      <c r="A67" s="32" t="str">
        <f t="shared" si="6"/>
        <v>2025 JAN-JUN DISCOUNT 75%</v>
      </c>
      <c r="B67" s="33">
        <f t="shared" si="6"/>
        <v>46121</v>
      </c>
      <c r="C67" s="33">
        <f t="shared" si="6"/>
        <v>46127</v>
      </c>
      <c r="D67" s="32">
        <v>3281</v>
      </c>
      <c r="E67" s="32">
        <v>337</v>
      </c>
      <c r="F67" s="32">
        <v>4</v>
      </c>
      <c r="G67" s="32">
        <v>5</v>
      </c>
      <c r="H67" s="32">
        <v>81146</v>
      </c>
      <c r="I67" s="32" t="s">
        <v>17</v>
      </c>
      <c r="J67" s="32">
        <v>51867122</v>
      </c>
      <c r="K67" s="32" t="s">
        <v>4693</v>
      </c>
      <c r="L67" s="38" t="s">
        <v>4695</v>
      </c>
      <c r="M67" s="34">
        <v>279900</v>
      </c>
      <c r="N67" s="20">
        <f t="shared" si="2"/>
        <v>0.75</v>
      </c>
      <c r="O67" s="78">
        <f t="shared" ref="O67:O115" si="7">M67-((75*M67))/100</f>
        <v>69975</v>
      </c>
      <c r="P67" s="20" t="str">
        <f t="shared" si="3"/>
        <v>PERCENTAGE</v>
      </c>
    </row>
    <row r="68" spans="1:16" x14ac:dyDescent="0.35">
      <c r="A68" s="32" t="str">
        <f t="shared" ref="A68:C83" si="8">A67</f>
        <v>2025 JAN-JUN DISCOUNT 75%</v>
      </c>
      <c r="B68" s="33">
        <f t="shared" si="8"/>
        <v>46121</v>
      </c>
      <c r="C68" s="33">
        <f t="shared" si="8"/>
        <v>46127</v>
      </c>
      <c r="D68" s="32">
        <v>3281</v>
      </c>
      <c r="E68" s="32">
        <v>337</v>
      </c>
      <c r="F68" s="32">
        <v>4</v>
      </c>
      <c r="G68" s="32">
        <v>5</v>
      </c>
      <c r="H68" s="32">
        <v>81146</v>
      </c>
      <c r="I68" s="32" t="s">
        <v>17</v>
      </c>
      <c r="J68" s="32">
        <v>51867131</v>
      </c>
      <c r="K68" s="32" t="s">
        <v>4693</v>
      </c>
      <c r="L68" s="38" t="s">
        <v>4696</v>
      </c>
      <c r="M68" s="34">
        <v>279900</v>
      </c>
      <c r="N68" s="20">
        <f t="shared" ref="N68:N115" si="9">N67</f>
        <v>0.75</v>
      </c>
      <c r="O68" s="78">
        <f t="shared" si="7"/>
        <v>69975</v>
      </c>
      <c r="P68" s="20" t="str">
        <f t="shared" ref="P68:P115" si="10">P67</f>
        <v>PERCENTAGE</v>
      </c>
    </row>
    <row r="69" spans="1:16" x14ac:dyDescent="0.35">
      <c r="A69" s="32" t="str">
        <f t="shared" si="8"/>
        <v>2025 JAN-JUN DISCOUNT 75%</v>
      </c>
      <c r="B69" s="33">
        <f t="shared" si="8"/>
        <v>46121</v>
      </c>
      <c r="C69" s="33">
        <f t="shared" si="8"/>
        <v>46127</v>
      </c>
      <c r="D69" s="32">
        <v>3281</v>
      </c>
      <c r="E69" s="32">
        <v>337</v>
      </c>
      <c r="F69" s="32">
        <v>4</v>
      </c>
      <c r="G69" s="32">
        <v>5</v>
      </c>
      <c r="H69" s="32">
        <v>81146</v>
      </c>
      <c r="I69" s="32" t="s">
        <v>17</v>
      </c>
      <c r="J69" s="32">
        <v>51867140</v>
      </c>
      <c r="K69" s="32" t="s">
        <v>4693</v>
      </c>
      <c r="L69" s="38" t="s">
        <v>4697</v>
      </c>
      <c r="M69" s="34">
        <v>279900</v>
      </c>
      <c r="N69" s="20">
        <f t="shared" si="9"/>
        <v>0.75</v>
      </c>
      <c r="O69" s="78">
        <f t="shared" si="7"/>
        <v>69975</v>
      </c>
      <c r="P69" s="20" t="str">
        <f t="shared" si="10"/>
        <v>PERCENTAGE</v>
      </c>
    </row>
    <row r="70" spans="1:16" x14ac:dyDescent="0.35">
      <c r="A70" s="32" t="str">
        <f t="shared" si="8"/>
        <v>2025 JAN-JUN DISCOUNT 75%</v>
      </c>
      <c r="B70" s="33">
        <f t="shared" si="8"/>
        <v>46121</v>
      </c>
      <c r="C70" s="33">
        <f t="shared" si="8"/>
        <v>46127</v>
      </c>
      <c r="D70" s="32">
        <v>3281</v>
      </c>
      <c r="E70" s="32">
        <v>337</v>
      </c>
      <c r="F70" s="32">
        <v>4</v>
      </c>
      <c r="G70" s="32">
        <v>3</v>
      </c>
      <c r="H70" s="32">
        <v>81506</v>
      </c>
      <c r="I70" s="32" t="s">
        <v>17</v>
      </c>
      <c r="J70" s="32">
        <v>52525874</v>
      </c>
      <c r="K70" s="32" t="s">
        <v>5287</v>
      </c>
      <c r="L70" s="38" t="s">
        <v>5288</v>
      </c>
      <c r="M70" s="34">
        <v>229900</v>
      </c>
      <c r="N70" s="20">
        <f t="shared" si="9"/>
        <v>0.75</v>
      </c>
      <c r="O70" s="78">
        <f t="shared" si="7"/>
        <v>57475</v>
      </c>
      <c r="P70" s="20" t="str">
        <f t="shared" si="10"/>
        <v>PERCENTAGE</v>
      </c>
    </row>
    <row r="71" spans="1:16" x14ac:dyDescent="0.35">
      <c r="A71" s="32" t="str">
        <f t="shared" si="8"/>
        <v>2025 JAN-JUN DISCOUNT 75%</v>
      </c>
      <c r="B71" s="33">
        <f t="shared" si="8"/>
        <v>46121</v>
      </c>
      <c r="C71" s="33">
        <f t="shared" si="8"/>
        <v>46127</v>
      </c>
      <c r="D71" s="32">
        <v>3281</v>
      </c>
      <c r="E71" s="32">
        <v>337</v>
      </c>
      <c r="F71" s="32">
        <v>4</v>
      </c>
      <c r="G71" s="32">
        <v>3</v>
      </c>
      <c r="H71" s="32">
        <v>81506</v>
      </c>
      <c r="I71" s="32" t="s">
        <v>17</v>
      </c>
      <c r="J71" s="32">
        <v>52525856</v>
      </c>
      <c r="K71" s="32" t="s">
        <v>5287</v>
      </c>
      <c r="L71" s="38" t="s">
        <v>5289</v>
      </c>
      <c r="M71" s="34">
        <v>229900</v>
      </c>
      <c r="N71" s="20">
        <f t="shared" si="9"/>
        <v>0.75</v>
      </c>
      <c r="O71" s="78">
        <f t="shared" si="7"/>
        <v>57475</v>
      </c>
      <c r="P71" s="20" t="str">
        <f t="shared" si="10"/>
        <v>PERCENTAGE</v>
      </c>
    </row>
    <row r="72" spans="1:16" x14ac:dyDescent="0.35">
      <c r="A72" s="32" t="str">
        <f t="shared" si="8"/>
        <v>2025 JAN-JUN DISCOUNT 75%</v>
      </c>
      <c r="B72" s="33">
        <f t="shared" si="8"/>
        <v>46121</v>
      </c>
      <c r="C72" s="33">
        <f t="shared" si="8"/>
        <v>46127</v>
      </c>
      <c r="D72" s="32">
        <v>3281</v>
      </c>
      <c r="E72" s="32">
        <v>337</v>
      </c>
      <c r="F72" s="32">
        <v>4</v>
      </c>
      <c r="G72" s="32">
        <v>3</v>
      </c>
      <c r="H72" s="32">
        <v>81506</v>
      </c>
      <c r="I72" s="32" t="s">
        <v>17</v>
      </c>
      <c r="J72" s="32">
        <v>52525883</v>
      </c>
      <c r="K72" s="32" t="s">
        <v>5287</v>
      </c>
      <c r="L72" s="38" t="s">
        <v>5290</v>
      </c>
      <c r="M72" s="34">
        <v>229900</v>
      </c>
      <c r="N72" s="20">
        <f t="shared" si="9"/>
        <v>0.75</v>
      </c>
      <c r="O72" s="78">
        <f t="shared" si="7"/>
        <v>57475</v>
      </c>
      <c r="P72" s="20" t="str">
        <f t="shared" si="10"/>
        <v>PERCENTAGE</v>
      </c>
    </row>
    <row r="73" spans="1:16" x14ac:dyDescent="0.35">
      <c r="A73" s="32" t="str">
        <f t="shared" si="8"/>
        <v>2025 JAN-JUN DISCOUNT 75%</v>
      </c>
      <c r="B73" s="33">
        <f t="shared" si="8"/>
        <v>46121</v>
      </c>
      <c r="C73" s="33">
        <f t="shared" si="8"/>
        <v>46127</v>
      </c>
      <c r="D73" s="32">
        <v>3281</v>
      </c>
      <c r="E73" s="32">
        <v>337</v>
      </c>
      <c r="F73" s="32">
        <v>4</v>
      </c>
      <c r="G73" s="32">
        <v>3</v>
      </c>
      <c r="H73" s="32">
        <v>81506</v>
      </c>
      <c r="I73" s="32" t="s">
        <v>17</v>
      </c>
      <c r="J73" s="32">
        <v>52525865</v>
      </c>
      <c r="K73" s="32" t="s">
        <v>5287</v>
      </c>
      <c r="L73" s="38" t="s">
        <v>5291</v>
      </c>
      <c r="M73" s="34">
        <v>229900</v>
      </c>
      <c r="N73" s="20">
        <f t="shared" si="9"/>
        <v>0.75</v>
      </c>
      <c r="O73" s="78">
        <f t="shared" si="7"/>
        <v>57475</v>
      </c>
      <c r="P73" s="20" t="str">
        <f t="shared" si="10"/>
        <v>PERCENTAGE</v>
      </c>
    </row>
    <row r="74" spans="1:16" x14ac:dyDescent="0.35">
      <c r="A74" s="32" t="str">
        <f t="shared" si="8"/>
        <v>2025 JAN-JUN DISCOUNT 75%</v>
      </c>
      <c r="B74" s="33">
        <f t="shared" si="8"/>
        <v>46121</v>
      </c>
      <c r="C74" s="33">
        <f t="shared" si="8"/>
        <v>46127</v>
      </c>
      <c r="D74" s="32">
        <v>3281</v>
      </c>
      <c r="E74" s="32">
        <v>337</v>
      </c>
      <c r="F74" s="32">
        <v>4</v>
      </c>
      <c r="G74" s="32">
        <v>3</v>
      </c>
      <c r="H74" s="32">
        <v>81588</v>
      </c>
      <c r="I74" s="32" t="s">
        <v>17</v>
      </c>
      <c r="J74" s="32">
        <v>52525829</v>
      </c>
      <c r="K74" s="32" t="s">
        <v>5292</v>
      </c>
      <c r="L74" s="38" t="s">
        <v>5293</v>
      </c>
      <c r="M74" s="34">
        <v>299900</v>
      </c>
      <c r="N74" s="20">
        <f t="shared" si="9"/>
        <v>0.75</v>
      </c>
      <c r="O74" s="78">
        <f t="shared" si="7"/>
        <v>74975</v>
      </c>
      <c r="P74" s="20" t="str">
        <f t="shared" si="10"/>
        <v>PERCENTAGE</v>
      </c>
    </row>
    <row r="75" spans="1:16" x14ac:dyDescent="0.35">
      <c r="A75" s="32" t="str">
        <f t="shared" si="8"/>
        <v>2025 JAN-JUN DISCOUNT 75%</v>
      </c>
      <c r="B75" s="33">
        <f t="shared" si="8"/>
        <v>46121</v>
      </c>
      <c r="C75" s="33">
        <f t="shared" si="8"/>
        <v>46127</v>
      </c>
      <c r="D75" s="32">
        <v>3281</v>
      </c>
      <c r="E75" s="32">
        <v>337</v>
      </c>
      <c r="F75" s="32">
        <v>4</v>
      </c>
      <c r="G75" s="32">
        <v>3</v>
      </c>
      <c r="H75" s="32">
        <v>81588</v>
      </c>
      <c r="I75" s="32" t="s">
        <v>17</v>
      </c>
      <c r="J75" s="32">
        <v>52525810</v>
      </c>
      <c r="K75" s="32" t="s">
        <v>5292</v>
      </c>
      <c r="L75" s="38" t="s">
        <v>5294</v>
      </c>
      <c r="M75" s="34">
        <v>299900</v>
      </c>
      <c r="N75" s="20">
        <f t="shared" si="9"/>
        <v>0.75</v>
      </c>
      <c r="O75" s="78">
        <f t="shared" si="7"/>
        <v>74975</v>
      </c>
      <c r="P75" s="20" t="str">
        <f t="shared" si="10"/>
        <v>PERCENTAGE</v>
      </c>
    </row>
    <row r="76" spans="1:16" x14ac:dyDescent="0.35">
      <c r="A76" s="32" t="str">
        <f t="shared" si="8"/>
        <v>2025 JAN-JUN DISCOUNT 75%</v>
      </c>
      <c r="B76" s="33">
        <f t="shared" si="8"/>
        <v>46121</v>
      </c>
      <c r="C76" s="33">
        <f t="shared" si="8"/>
        <v>46127</v>
      </c>
      <c r="D76" s="32">
        <v>3281</v>
      </c>
      <c r="E76" s="32">
        <v>337</v>
      </c>
      <c r="F76" s="32">
        <v>4</v>
      </c>
      <c r="G76" s="32">
        <v>3</v>
      </c>
      <c r="H76" s="32">
        <v>81588</v>
      </c>
      <c r="I76" s="32" t="s">
        <v>17</v>
      </c>
      <c r="J76" s="32">
        <v>52525838</v>
      </c>
      <c r="K76" s="32" t="s">
        <v>5292</v>
      </c>
      <c r="L76" s="38" t="s">
        <v>5295</v>
      </c>
      <c r="M76" s="34">
        <v>299900</v>
      </c>
      <c r="N76" s="20">
        <f t="shared" si="9"/>
        <v>0.75</v>
      </c>
      <c r="O76" s="78">
        <f t="shared" si="7"/>
        <v>74975</v>
      </c>
      <c r="P76" s="20" t="str">
        <f t="shared" si="10"/>
        <v>PERCENTAGE</v>
      </c>
    </row>
    <row r="77" spans="1:16" x14ac:dyDescent="0.35">
      <c r="A77" s="32" t="str">
        <f t="shared" si="8"/>
        <v>2025 JAN-JUN DISCOUNT 75%</v>
      </c>
      <c r="B77" s="33">
        <f t="shared" si="8"/>
        <v>46121</v>
      </c>
      <c r="C77" s="33">
        <f t="shared" si="8"/>
        <v>46127</v>
      </c>
      <c r="D77" s="32">
        <v>3281</v>
      </c>
      <c r="E77" s="32">
        <v>337</v>
      </c>
      <c r="F77" s="32">
        <v>4</v>
      </c>
      <c r="G77" s="32">
        <v>3</v>
      </c>
      <c r="H77" s="32">
        <v>81588</v>
      </c>
      <c r="I77" s="32" t="s">
        <v>17</v>
      </c>
      <c r="J77" s="32">
        <v>52525847</v>
      </c>
      <c r="K77" s="32" t="s">
        <v>5292</v>
      </c>
      <c r="L77" s="38" t="s">
        <v>5296</v>
      </c>
      <c r="M77" s="34">
        <v>299900</v>
      </c>
      <c r="N77" s="20">
        <f t="shared" si="9"/>
        <v>0.75</v>
      </c>
      <c r="O77" s="78">
        <f t="shared" si="7"/>
        <v>74975</v>
      </c>
      <c r="P77" s="20" t="str">
        <f t="shared" si="10"/>
        <v>PERCENTAGE</v>
      </c>
    </row>
    <row r="78" spans="1:16" x14ac:dyDescent="0.35">
      <c r="A78" s="32" t="str">
        <f t="shared" si="8"/>
        <v>2025 JAN-JUN DISCOUNT 75%</v>
      </c>
      <c r="B78" s="33">
        <f t="shared" si="8"/>
        <v>46121</v>
      </c>
      <c r="C78" s="33">
        <f t="shared" si="8"/>
        <v>46127</v>
      </c>
      <c r="D78" s="32">
        <v>3281</v>
      </c>
      <c r="E78" s="32">
        <v>337</v>
      </c>
      <c r="F78" s="32">
        <v>4</v>
      </c>
      <c r="G78" s="32">
        <v>5</v>
      </c>
      <c r="H78" s="32">
        <v>81506</v>
      </c>
      <c r="I78" s="32" t="s">
        <v>17</v>
      </c>
      <c r="J78" s="32">
        <v>52525918</v>
      </c>
      <c r="K78" s="32" t="s">
        <v>5297</v>
      </c>
      <c r="L78" s="38" t="s">
        <v>5298</v>
      </c>
      <c r="M78" s="34">
        <v>299900</v>
      </c>
      <c r="N78" s="20">
        <f t="shared" si="9"/>
        <v>0.75</v>
      </c>
      <c r="O78" s="78">
        <f t="shared" si="7"/>
        <v>74975</v>
      </c>
      <c r="P78" s="20" t="str">
        <f t="shared" si="10"/>
        <v>PERCENTAGE</v>
      </c>
    </row>
    <row r="79" spans="1:16" x14ac:dyDescent="0.35">
      <c r="A79" s="32" t="str">
        <f t="shared" si="8"/>
        <v>2025 JAN-JUN DISCOUNT 75%</v>
      </c>
      <c r="B79" s="33">
        <f t="shared" si="8"/>
        <v>46121</v>
      </c>
      <c r="C79" s="33">
        <f t="shared" si="8"/>
        <v>46127</v>
      </c>
      <c r="D79" s="32">
        <v>3281</v>
      </c>
      <c r="E79" s="32">
        <v>337</v>
      </c>
      <c r="F79" s="32">
        <v>4</v>
      </c>
      <c r="G79" s="32">
        <v>5</v>
      </c>
      <c r="H79" s="32">
        <v>81506</v>
      </c>
      <c r="I79" s="32" t="s">
        <v>17</v>
      </c>
      <c r="J79" s="32">
        <v>52525927</v>
      </c>
      <c r="K79" s="32" t="s">
        <v>5297</v>
      </c>
      <c r="L79" s="38" t="s">
        <v>5299</v>
      </c>
      <c r="M79" s="34">
        <v>299900</v>
      </c>
      <c r="N79" s="20">
        <f t="shared" si="9"/>
        <v>0.75</v>
      </c>
      <c r="O79" s="78">
        <f t="shared" si="7"/>
        <v>74975</v>
      </c>
      <c r="P79" s="20" t="str">
        <f t="shared" si="10"/>
        <v>PERCENTAGE</v>
      </c>
    </row>
    <row r="80" spans="1:16" x14ac:dyDescent="0.35">
      <c r="A80" s="32" t="str">
        <f t="shared" si="8"/>
        <v>2025 JAN-JUN DISCOUNT 75%</v>
      </c>
      <c r="B80" s="33">
        <f t="shared" si="8"/>
        <v>46121</v>
      </c>
      <c r="C80" s="33">
        <f t="shared" si="8"/>
        <v>46127</v>
      </c>
      <c r="D80" s="32">
        <v>3281</v>
      </c>
      <c r="E80" s="32">
        <v>337</v>
      </c>
      <c r="F80" s="32">
        <v>4</v>
      </c>
      <c r="G80" s="32">
        <v>5</v>
      </c>
      <c r="H80" s="32">
        <v>81506</v>
      </c>
      <c r="I80" s="32" t="s">
        <v>17</v>
      </c>
      <c r="J80" s="32">
        <v>52525892</v>
      </c>
      <c r="K80" s="32" t="s">
        <v>5297</v>
      </c>
      <c r="L80" s="38" t="s">
        <v>5300</v>
      </c>
      <c r="M80" s="34">
        <v>299900</v>
      </c>
      <c r="N80" s="20">
        <f t="shared" si="9"/>
        <v>0.75</v>
      </c>
      <c r="O80" s="78">
        <f t="shared" si="7"/>
        <v>74975</v>
      </c>
      <c r="P80" s="20" t="str">
        <f t="shared" si="10"/>
        <v>PERCENTAGE</v>
      </c>
    </row>
    <row r="81" spans="1:16" x14ac:dyDescent="0.35">
      <c r="A81" s="32" t="str">
        <f t="shared" si="8"/>
        <v>2025 JAN-JUN DISCOUNT 75%</v>
      </c>
      <c r="B81" s="33">
        <f t="shared" si="8"/>
        <v>46121</v>
      </c>
      <c r="C81" s="33">
        <f t="shared" si="8"/>
        <v>46127</v>
      </c>
      <c r="D81" s="32">
        <v>3281</v>
      </c>
      <c r="E81" s="32">
        <v>337</v>
      </c>
      <c r="F81" s="32">
        <v>4</v>
      </c>
      <c r="G81" s="32">
        <v>5</v>
      </c>
      <c r="H81" s="32">
        <v>81506</v>
      </c>
      <c r="I81" s="32" t="s">
        <v>17</v>
      </c>
      <c r="J81" s="32">
        <v>52525909</v>
      </c>
      <c r="K81" s="32" t="s">
        <v>5297</v>
      </c>
      <c r="L81" s="38" t="s">
        <v>5301</v>
      </c>
      <c r="M81" s="34">
        <v>299900</v>
      </c>
      <c r="N81" s="20">
        <f t="shared" si="9"/>
        <v>0.75</v>
      </c>
      <c r="O81" s="78">
        <f t="shared" si="7"/>
        <v>74975</v>
      </c>
      <c r="P81" s="20" t="str">
        <f t="shared" si="10"/>
        <v>PERCENTAGE</v>
      </c>
    </row>
    <row r="82" spans="1:16" x14ac:dyDescent="0.35">
      <c r="A82" s="32" t="str">
        <f t="shared" si="8"/>
        <v>2025 JAN-JUN DISCOUNT 75%</v>
      </c>
      <c r="B82" s="33">
        <f t="shared" si="8"/>
        <v>46121</v>
      </c>
      <c r="C82" s="33">
        <f t="shared" si="8"/>
        <v>46127</v>
      </c>
      <c r="D82" s="32">
        <v>3281</v>
      </c>
      <c r="E82" s="32">
        <v>337</v>
      </c>
      <c r="F82" s="32">
        <v>4</v>
      </c>
      <c r="G82" s="32">
        <v>5</v>
      </c>
      <c r="H82" s="32">
        <v>81506</v>
      </c>
      <c r="I82" s="32" t="s">
        <v>17</v>
      </c>
      <c r="J82" s="32">
        <v>52763223</v>
      </c>
      <c r="K82" s="32" t="s">
        <v>5302</v>
      </c>
      <c r="L82" s="38" t="s">
        <v>5303</v>
      </c>
      <c r="M82" s="34">
        <v>279900</v>
      </c>
      <c r="N82" s="20">
        <f t="shared" si="9"/>
        <v>0.75</v>
      </c>
      <c r="O82" s="78">
        <f t="shared" si="7"/>
        <v>69975</v>
      </c>
      <c r="P82" s="20" t="str">
        <f t="shared" si="10"/>
        <v>PERCENTAGE</v>
      </c>
    </row>
    <row r="83" spans="1:16" x14ac:dyDescent="0.35">
      <c r="A83" s="32" t="str">
        <f t="shared" si="8"/>
        <v>2025 JAN-JUN DISCOUNT 75%</v>
      </c>
      <c r="B83" s="33">
        <f t="shared" si="8"/>
        <v>46121</v>
      </c>
      <c r="C83" s="33">
        <f t="shared" si="8"/>
        <v>46127</v>
      </c>
      <c r="D83" s="32">
        <v>3281</v>
      </c>
      <c r="E83" s="32">
        <v>337</v>
      </c>
      <c r="F83" s="32">
        <v>4</v>
      </c>
      <c r="G83" s="32">
        <v>5</v>
      </c>
      <c r="H83" s="32">
        <v>81506</v>
      </c>
      <c r="I83" s="32" t="s">
        <v>17</v>
      </c>
      <c r="J83" s="32">
        <v>52763205</v>
      </c>
      <c r="K83" s="32" t="s">
        <v>5302</v>
      </c>
      <c r="L83" s="38" t="s">
        <v>5306</v>
      </c>
      <c r="M83" s="34">
        <v>279900</v>
      </c>
      <c r="N83" s="20">
        <f t="shared" si="9"/>
        <v>0.75</v>
      </c>
      <c r="O83" s="78">
        <f t="shared" si="7"/>
        <v>69975</v>
      </c>
      <c r="P83" s="20" t="str">
        <f t="shared" si="10"/>
        <v>PERCENTAGE</v>
      </c>
    </row>
    <row r="84" spans="1:16" x14ac:dyDescent="0.35">
      <c r="A84" s="32" t="str">
        <f t="shared" ref="A84:C99" si="11">A83</f>
        <v>2025 JAN-JUN DISCOUNT 75%</v>
      </c>
      <c r="B84" s="33">
        <f t="shared" si="11"/>
        <v>46121</v>
      </c>
      <c r="C84" s="33">
        <f t="shared" si="11"/>
        <v>46127</v>
      </c>
      <c r="D84" s="32">
        <v>3281</v>
      </c>
      <c r="E84" s="32">
        <v>337</v>
      </c>
      <c r="F84" s="32">
        <v>4</v>
      </c>
      <c r="G84" s="32">
        <v>5</v>
      </c>
      <c r="H84" s="32">
        <v>81506</v>
      </c>
      <c r="I84" s="32" t="s">
        <v>17</v>
      </c>
      <c r="J84" s="32">
        <v>52763214</v>
      </c>
      <c r="K84" s="32" t="s">
        <v>5302</v>
      </c>
      <c r="L84" s="38" t="s">
        <v>5307</v>
      </c>
      <c r="M84" s="34">
        <v>279900</v>
      </c>
      <c r="N84" s="20">
        <f t="shared" si="9"/>
        <v>0.75</v>
      </c>
      <c r="O84" s="78">
        <f t="shared" si="7"/>
        <v>69975</v>
      </c>
      <c r="P84" s="20" t="str">
        <f t="shared" si="10"/>
        <v>PERCENTAGE</v>
      </c>
    </row>
    <row r="85" spans="1:16" x14ac:dyDescent="0.35">
      <c r="A85" s="32" t="str">
        <f t="shared" si="11"/>
        <v>2025 JAN-JUN DISCOUNT 75%</v>
      </c>
      <c r="B85" s="33">
        <f t="shared" si="11"/>
        <v>46121</v>
      </c>
      <c r="C85" s="33">
        <f t="shared" si="11"/>
        <v>46127</v>
      </c>
      <c r="D85" s="32">
        <v>3281</v>
      </c>
      <c r="E85" s="32">
        <v>337</v>
      </c>
      <c r="F85" s="32">
        <v>4</v>
      </c>
      <c r="G85" s="32">
        <v>5</v>
      </c>
      <c r="H85" s="32">
        <v>81506</v>
      </c>
      <c r="I85" s="32" t="s">
        <v>17</v>
      </c>
      <c r="J85" s="32">
        <v>52763198</v>
      </c>
      <c r="K85" s="32" t="s">
        <v>5302</v>
      </c>
      <c r="L85" s="38" t="s">
        <v>5308</v>
      </c>
      <c r="M85" s="34">
        <v>279900</v>
      </c>
      <c r="N85" s="20">
        <f t="shared" si="9"/>
        <v>0.75</v>
      </c>
      <c r="O85" s="78">
        <f t="shared" si="7"/>
        <v>69975</v>
      </c>
      <c r="P85" s="20" t="str">
        <f t="shared" si="10"/>
        <v>PERCENTAGE</v>
      </c>
    </row>
    <row r="86" spans="1:16" x14ac:dyDescent="0.35">
      <c r="A86" s="32" t="str">
        <f t="shared" si="11"/>
        <v>2025 JAN-JUN DISCOUNT 75%</v>
      </c>
      <c r="B86" s="33">
        <f t="shared" si="11"/>
        <v>46121</v>
      </c>
      <c r="C86" s="33">
        <f t="shared" si="11"/>
        <v>46127</v>
      </c>
      <c r="D86" s="32">
        <v>3281</v>
      </c>
      <c r="E86" s="32">
        <v>337</v>
      </c>
      <c r="F86" s="32">
        <v>4</v>
      </c>
      <c r="G86" s="32">
        <v>5</v>
      </c>
      <c r="H86" s="32">
        <v>81506</v>
      </c>
      <c r="I86" s="32" t="s">
        <v>17</v>
      </c>
      <c r="J86" s="32">
        <v>52525963</v>
      </c>
      <c r="K86" s="32" t="s">
        <v>5304</v>
      </c>
      <c r="L86" s="38" t="s">
        <v>5305</v>
      </c>
      <c r="M86" s="34">
        <v>279900</v>
      </c>
      <c r="N86" s="20">
        <f t="shared" si="9"/>
        <v>0.75</v>
      </c>
      <c r="O86" s="78">
        <f t="shared" si="7"/>
        <v>69975</v>
      </c>
      <c r="P86" s="20" t="str">
        <f t="shared" si="10"/>
        <v>PERCENTAGE</v>
      </c>
    </row>
    <row r="87" spans="1:16" x14ac:dyDescent="0.35">
      <c r="A87" s="32" t="str">
        <f t="shared" si="11"/>
        <v>2025 JAN-JUN DISCOUNT 75%</v>
      </c>
      <c r="B87" s="33">
        <f t="shared" si="11"/>
        <v>46121</v>
      </c>
      <c r="C87" s="33">
        <f t="shared" si="11"/>
        <v>46127</v>
      </c>
      <c r="D87" s="32">
        <v>3281</v>
      </c>
      <c r="E87" s="32">
        <v>337</v>
      </c>
      <c r="F87" s="32">
        <v>4</v>
      </c>
      <c r="G87" s="32">
        <v>5</v>
      </c>
      <c r="H87" s="32">
        <v>81506</v>
      </c>
      <c r="I87" s="32" t="s">
        <v>17</v>
      </c>
      <c r="J87" s="32">
        <v>52525936</v>
      </c>
      <c r="K87" s="32" t="s">
        <v>5304</v>
      </c>
      <c r="L87" s="38" t="s">
        <v>5309</v>
      </c>
      <c r="M87" s="34">
        <v>279900</v>
      </c>
      <c r="N87" s="20">
        <f t="shared" si="9"/>
        <v>0.75</v>
      </c>
      <c r="O87" s="78">
        <f t="shared" si="7"/>
        <v>69975</v>
      </c>
      <c r="P87" s="20" t="str">
        <f t="shared" si="10"/>
        <v>PERCENTAGE</v>
      </c>
    </row>
    <row r="88" spans="1:16" x14ac:dyDescent="0.35">
      <c r="A88" s="32" t="str">
        <f t="shared" si="11"/>
        <v>2025 JAN-JUN DISCOUNT 75%</v>
      </c>
      <c r="B88" s="33">
        <f t="shared" si="11"/>
        <v>46121</v>
      </c>
      <c r="C88" s="33">
        <f t="shared" si="11"/>
        <v>46127</v>
      </c>
      <c r="D88" s="32">
        <v>3281</v>
      </c>
      <c r="E88" s="32">
        <v>337</v>
      </c>
      <c r="F88" s="32">
        <v>4</v>
      </c>
      <c r="G88" s="32">
        <v>5</v>
      </c>
      <c r="H88" s="32">
        <v>81506</v>
      </c>
      <c r="I88" s="32" t="s">
        <v>17</v>
      </c>
      <c r="J88" s="32">
        <v>52525954</v>
      </c>
      <c r="K88" s="32" t="s">
        <v>5304</v>
      </c>
      <c r="L88" s="38" t="s">
        <v>5310</v>
      </c>
      <c r="M88" s="34">
        <v>279900</v>
      </c>
      <c r="N88" s="20">
        <f t="shared" si="9"/>
        <v>0.75</v>
      </c>
      <c r="O88" s="78">
        <f t="shared" si="7"/>
        <v>69975</v>
      </c>
      <c r="P88" s="20" t="str">
        <f t="shared" si="10"/>
        <v>PERCENTAGE</v>
      </c>
    </row>
    <row r="89" spans="1:16" x14ac:dyDescent="0.35">
      <c r="A89" s="32" t="str">
        <f t="shared" si="11"/>
        <v>2025 JAN-JUN DISCOUNT 75%</v>
      </c>
      <c r="B89" s="33">
        <f t="shared" si="11"/>
        <v>46121</v>
      </c>
      <c r="C89" s="33">
        <f t="shared" si="11"/>
        <v>46127</v>
      </c>
      <c r="D89" s="32">
        <v>3281</v>
      </c>
      <c r="E89" s="32">
        <v>337</v>
      </c>
      <c r="F89" s="32">
        <v>4</v>
      </c>
      <c r="G89" s="32">
        <v>5</v>
      </c>
      <c r="H89" s="32">
        <v>81506</v>
      </c>
      <c r="I89" s="32" t="s">
        <v>17</v>
      </c>
      <c r="J89" s="32">
        <v>52525945</v>
      </c>
      <c r="K89" s="32" t="s">
        <v>5304</v>
      </c>
      <c r="L89" s="38" t="s">
        <v>5311</v>
      </c>
      <c r="M89" s="34">
        <v>279900</v>
      </c>
      <c r="N89" s="20">
        <f t="shared" si="9"/>
        <v>0.75</v>
      </c>
      <c r="O89" s="78">
        <f t="shared" si="7"/>
        <v>69975</v>
      </c>
      <c r="P89" s="20" t="str">
        <f t="shared" si="10"/>
        <v>PERCENTAGE</v>
      </c>
    </row>
    <row r="90" spans="1:16" x14ac:dyDescent="0.35">
      <c r="A90" s="32" t="str">
        <f t="shared" si="11"/>
        <v>2025 JAN-JUN DISCOUNT 75%</v>
      </c>
      <c r="B90" s="33">
        <f t="shared" si="11"/>
        <v>46121</v>
      </c>
      <c r="C90" s="33">
        <f t="shared" si="11"/>
        <v>46127</v>
      </c>
      <c r="D90" s="32">
        <v>3281</v>
      </c>
      <c r="E90" s="32">
        <v>337</v>
      </c>
      <c r="F90" s="32">
        <v>4</v>
      </c>
      <c r="G90" s="32">
        <v>5</v>
      </c>
      <c r="H90" s="32">
        <v>81506</v>
      </c>
      <c r="I90" s="32" t="s">
        <v>17</v>
      </c>
      <c r="J90" s="32">
        <v>51362079</v>
      </c>
      <c r="K90" s="32" t="s">
        <v>5316</v>
      </c>
      <c r="L90" s="38" t="s">
        <v>5317</v>
      </c>
      <c r="M90" s="34">
        <v>299900</v>
      </c>
      <c r="N90" s="20">
        <f t="shared" si="9"/>
        <v>0.75</v>
      </c>
      <c r="O90" s="78">
        <f t="shared" si="7"/>
        <v>74975</v>
      </c>
      <c r="P90" s="20" t="str">
        <f t="shared" si="10"/>
        <v>PERCENTAGE</v>
      </c>
    </row>
    <row r="91" spans="1:16" x14ac:dyDescent="0.35">
      <c r="A91" s="32" t="str">
        <f t="shared" si="11"/>
        <v>2025 JAN-JUN DISCOUNT 75%</v>
      </c>
      <c r="B91" s="33">
        <f t="shared" si="11"/>
        <v>46121</v>
      </c>
      <c r="C91" s="33">
        <f t="shared" si="11"/>
        <v>46127</v>
      </c>
      <c r="D91" s="32">
        <v>3281</v>
      </c>
      <c r="E91" s="32">
        <v>337</v>
      </c>
      <c r="F91" s="32">
        <v>4</v>
      </c>
      <c r="G91" s="32">
        <v>5</v>
      </c>
      <c r="H91" s="32">
        <v>81506</v>
      </c>
      <c r="I91" s="32" t="s">
        <v>17</v>
      </c>
      <c r="J91" s="32">
        <v>51367485</v>
      </c>
      <c r="K91" s="32" t="s">
        <v>5316</v>
      </c>
      <c r="L91" s="38" t="s">
        <v>5318</v>
      </c>
      <c r="M91" s="34">
        <v>299900</v>
      </c>
      <c r="N91" s="20">
        <f t="shared" si="9"/>
        <v>0.75</v>
      </c>
      <c r="O91" s="78">
        <f t="shared" si="7"/>
        <v>74975</v>
      </c>
      <c r="P91" s="20" t="str">
        <f t="shared" si="10"/>
        <v>PERCENTAGE</v>
      </c>
    </row>
    <row r="92" spans="1:16" x14ac:dyDescent="0.35">
      <c r="A92" s="32" t="str">
        <f t="shared" si="11"/>
        <v>2025 JAN-JUN DISCOUNT 75%</v>
      </c>
      <c r="B92" s="33">
        <f t="shared" si="11"/>
        <v>46121</v>
      </c>
      <c r="C92" s="33">
        <f t="shared" si="11"/>
        <v>46127</v>
      </c>
      <c r="D92" s="32">
        <v>3281</v>
      </c>
      <c r="E92" s="32">
        <v>337</v>
      </c>
      <c r="F92" s="32">
        <v>4</v>
      </c>
      <c r="G92" s="32">
        <v>5</v>
      </c>
      <c r="H92" s="32">
        <v>81506</v>
      </c>
      <c r="I92" s="32" t="s">
        <v>17</v>
      </c>
      <c r="J92" s="32">
        <v>51362088</v>
      </c>
      <c r="K92" s="32" t="s">
        <v>5316</v>
      </c>
      <c r="L92" s="38" t="s">
        <v>5321</v>
      </c>
      <c r="M92" s="34">
        <v>299900</v>
      </c>
      <c r="N92" s="20">
        <f t="shared" si="9"/>
        <v>0.75</v>
      </c>
      <c r="O92" s="78">
        <f t="shared" si="7"/>
        <v>74975</v>
      </c>
      <c r="P92" s="20" t="str">
        <f t="shared" si="10"/>
        <v>PERCENTAGE</v>
      </c>
    </row>
    <row r="93" spans="1:16" x14ac:dyDescent="0.35">
      <c r="A93" s="32" t="str">
        <f t="shared" si="11"/>
        <v>2025 JAN-JUN DISCOUNT 75%</v>
      </c>
      <c r="B93" s="33">
        <f t="shared" si="11"/>
        <v>46121</v>
      </c>
      <c r="C93" s="33">
        <f t="shared" si="11"/>
        <v>46127</v>
      </c>
      <c r="D93" s="32">
        <v>3281</v>
      </c>
      <c r="E93" s="32">
        <v>337</v>
      </c>
      <c r="F93" s="32">
        <v>4</v>
      </c>
      <c r="G93" s="32">
        <v>5</v>
      </c>
      <c r="H93" s="32">
        <v>81506</v>
      </c>
      <c r="I93" s="32" t="s">
        <v>17</v>
      </c>
      <c r="J93" s="32">
        <v>51362060</v>
      </c>
      <c r="K93" s="32" t="s">
        <v>5316</v>
      </c>
      <c r="L93" s="38" t="s">
        <v>5322</v>
      </c>
      <c r="M93" s="34">
        <v>299900</v>
      </c>
      <c r="N93" s="20">
        <f t="shared" si="9"/>
        <v>0.75</v>
      </c>
      <c r="O93" s="78">
        <f t="shared" si="7"/>
        <v>74975</v>
      </c>
      <c r="P93" s="20" t="str">
        <f t="shared" si="10"/>
        <v>PERCENTAGE</v>
      </c>
    </row>
    <row r="94" spans="1:16" x14ac:dyDescent="0.35">
      <c r="A94" s="32" t="str">
        <f t="shared" si="11"/>
        <v>2025 JAN-JUN DISCOUNT 75%</v>
      </c>
      <c r="B94" s="33">
        <f t="shared" si="11"/>
        <v>46121</v>
      </c>
      <c r="C94" s="33">
        <f t="shared" si="11"/>
        <v>46127</v>
      </c>
      <c r="D94" s="32">
        <v>3281</v>
      </c>
      <c r="E94" s="32">
        <v>337</v>
      </c>
      <c r="F94" s="32">
        <v>4</v>
      </c>
      <c r="G94" s="32">
        <v>1</v>
      </c>
      <c r="H94" s="32">
        <v>81588</v>
      </c>
      <c r="I94" s="32" t="s">
        <v>17</v>
      </c>
      <c r="J94" s="32">
        <v>52763303</v>
      </c>
      <c r="K94" s="32" t="s">
        <v>5324</v>
      </c>
      <c r="L94" s="38" t="s">
        <v>5325</v>
      </c>
      <c r="M94" s="34">
        <v>169900</v>
      </c>
      <c r="N94" s="20">
        <f t="shared" si="9"/>
        <v>0.75</v>
      </c>
      <c r="O94" s="78">
        <f t="shared" si="7"/>
        <v>42475</v>
      </c>
      <c r="P94" s="20" t="str">
        <f t="shared" si="10"/>
        <v>PERCENTAGE</v>
      </c>
    </row>
    <row r="95" spans="1:16" x14ac:dyDescent="0.35">
      <c r="A95" s="32" t="str">
        <f t="shared" si="11"/>
        <v>2025 JAN-JUN DISCOUNT 75%</v>
      </c>
      <c r="B95" s="33">
        <f t="shared" si="11"/>
        <v>46121</v>
      </c>
      <c r="C95" s="33">
        <f t="shared" si="11"/>
        <v>46127</v>
      </c>
      <c r="D95" s="32">
        <v>3281</v>
      </c>
      <c r="E95" s="32">
        <v>337</v>
      </c>
      <c r="F95" s="32">
        <v>4</v>
      </c>
      <c r="G95" s="32">
        <v>1</v>
      </c>
      <c r="H95" s="32">
        <v>81588</v>
      </c>
      <c r="I95" s="32" t="s">
        <v>17</v>
      </c>
      <c r="J95" s="32">
        <v>52763287</v>
      </c>
      <c r="K95" s="32" t="s">
        <v>5324</v>
      </c>
      <c r="L95" s="38" t="s">
        <v>5326</v>
      </c>
      <c r="M95" s="34">
        <v>169900</v>
      </c>
      <c r="N95" s="20">
        <f t="shared" si="9"/>
        <v>0.75</v>
      </c>
      <c r="O95" s="78">
        <f t="shared" si="7"/>
        <v>42475</v>
      </c>
      <c r="P95" s="20" t="str">
        <f t="shared" si="10"/>
        <v>PERCENTAGE</v>
      </c>
    </row>
    <row r="96" spans="1:16" x14ac:dyDescent="0.35">
      <c r="A96" s="32" t="str">
        <f t="shared" si="11"/>
        <v>2025 JAN-JUN DISCOUNT 75%</v>
      </c>
      <c r="B96" s="33">
        <f t="shared" si="11"/>
        <v>46121</v>
      </c>
      <c r="C96" s="33">
        <f t="shared" si="11"/>
        <v>46127</v>
      </c>
      <c r="D96" s="32">
        <v>3281</v>
      </c>
      <c r="E96" s="32">
        <v>337</v>
      </c>
      <c r="F96" s="32">
        <v>4</v>
      </c>
      <c r="G96" s="32">
        <v>1</v>
      </c>
      <c r="H96" s="32">
        <v>81588</v>
      </c>
      <c r="I96" s="32" t="s">
        <v>17</v>
      </c>
      <c r="J96" s="32">
        <v>52763278</v>
      </c>
      <c r="K96" s="32" t="s">
        <v>5324</v>
      </c>
      <c r="L96" s="38" t="s">
        <v>5327</v>
      </c>
      <c r="M96" s="34">
        <v>169900</v>
      </c>
      <c r="N96" s="20">
        <f t="shared" si="9"/>
        <v>0.75</v>
      </c>
      <c r="O96" s="78">
        <f t="shared" si="7"/>
        <v>42475</v>
      </c>
      <c r="P96" s="20" t="str">
        <f t="shared" si="10"/>
        <v>PERCENTAGE</v>
      </c>
    </row>
    <row r="97" spans="1:16" x14ac:dyDescent="0.35">
      <c r="A97" s="32" t="str">
        <f t="shared" si="11"/>
        <v>2025 JAN-JUN DISCOUNT 75%</v>
      </c>
      <c r="B97" s="33">
        <f t="shared" si="11"/>
        <v>46121</v>
      </c>
      <c r="C97" s="33">
        <f t="shared" si="11"/>
        <v>46127</v>
      </c>
      <c r="D97" s="32">
        <v>3281</v>
      </c>
      <c r="E97" s="32">
        <v>337</v>
      </c>
      <c r="F97" s="32">
        <v>4</v>
      </c>
      <c r="G97" s="32">
        <v>1</v>
      </c>
      <c r="H97" s="32">
        <v>81588</v>
      </c>
      <c r="I97" s="32" t="s">
        <v>17</v>
      </c>
      <c r="J97" s="32">
        <v>52763296</v>
      </c>
      <c r="K97" s="32" t="s">
        <v>5324</v>
      </c>
      <c r="L97" s="38" t="s">
        <v>5328</v>
      </c>
      <c r="M97" s="34">
        <v>169900</v>
      </c>
      <c r="N97" s="20">
        <f t="shared" si="9"/>
        <v>0.75</v>
      </c>
      <c r="O97" s="78">
        <f t="shared" si="7"/>
        <v>42475</v>
      </c>
      <c r="P97" s="20" t="str">
        <f t="shared" si="10"/>
        <v>PERCENTAGE</v>
      </c>
    </row>
    <row r="98" spans="1:16" x14ac:dyDescent="0.35">
      <c r="A98" s="32" t="str">
        <f t="shared" si="11"/>
        <v>2025 JAN-JUN DISCOUNT 75%</v>
      </c>
      <c r="B98" s="33">
        <f t="shared" si="11"/>
        <v>46121</v>
      </c>
      <c r="C98" s="33">
        <f t="shared" si="11"/>
        <v>46127</v>
      </c>
      <c r="D98" s="32">
        <v>3281</v>
      </c>
      <c r="E98" s="32">
        <v>337</v>
      </c>
      <c r="F98" s="32">
        <v>4</v>
      </c>
      <c r="G98" s="32">
        <v>3</v>
      </c>
      <c r="H98" s="32">
        <v>81588</v>
      </c>
      <c r="I98" s="32" t="s">
        <v>17</v>
      </c>
      <c r="J98" s="32">
        <v>52763321</v>
      </c>
      <c r="K98" s="32" t="s">
        <v>5329</v>
      </c>
      <c r="L98" s="38" t="s">
        <v>5330</v>
      </c>
      <c r="M98" s="34">
        <v>299900</v>
      </c>
      <c r="N98" s="20">
        <f t="shared" si="9"/>
        <v>0.75</v>
      </c>
      <c r="O98" s="78">
        <f t="shared" si="7"/>
        <v>74975</v>
      </c>
      <c r="P98" s="20" t="str">
        <f t="shared" si="10"/>
        <v>PERCENTAGE</v>
      </c>
    </row>
    <row r="99" spans="1:16" x14ac:dyDescent="0.35">
      <c r="A99" s="32" t="str">
        <f t="shared" si="11"/>
        <v>2025 JAN-JUN DISCOUNT 75%</v>
      </c>
      <c r="B99" s="33">
        <f t="shared" si="11"/>
        <v>46121</v>
      </c>
      <c r="C99" s="33">
        <f t="shared" si="11"/>
        <v>46127</v>
      </c>
      <c r="D99" s="32">
        <v>3281</v>
      </c>
      <c r="E99" s="32">
        <v>337</v>
      </c>
      <c r="F99" s="32">
        <v>4</v>
      </c>
      <c r="G99" s="32">
        <v>3</v>
      </c>
      <c r="H99" s="32">
        <v>81588</v>
      </c>
      <c r="I99" s="32" t="s">
        <v>17</v>
      </c>
      <c r="J99" s="32">
        <v>52763330</v>
      </c>
      <c r="K99" s="32" t="s">
        <v>5329</v>
      </c>
      <c r="L99" s="38" t="s">
        <v>5331</v>
      </c>
      <c r="M99" s="34">
        <v>299900</v>
      </c>
      <c r="N99" s="20">
        <f t="shared" si="9"/>
        <v>0.75</v>
      </c>
      <c r="O99" s="78">
        <f t="shared" si="7"/>
        <v>74975</v>
      </c>
      <c r="P99" s="20" t="str">
        <f t="shared" si="10"/>
        <v>PERCENTAGE</v>
      </c>
    </row>
    <row r="100" spans="1:16" x14ac:dyDescent="0.35">
      <c r="A100" s="32" t="str">
        <f t="shared" ref="A100:C115" si="12">A99</f>
        <v>2025 JAN-JUN DISCOUNT 75%</v>
      </c>
      <c r="B100" s="33">
        <f t="shared" si="12"/>
        <v>46121</v>
      </c>
      <c r="C100" s="33">
        <f t="shared" si="12"/>
        <v>46127</v>
      </c>
      <c r="D100" s="32">
        <v>3281</v>
      </c>
      <c r="E100" s="32">
        <v>337</v>
      </c>
      <c r="F100" s="32">
        <v>4</v>
      </c>
      <c r="G100" s="32">
        <v>3</v>
      </c>
      <c r="H100" s="32">
        <v>81588</v>
      </c>
      <c r="I100" s="32" t="s">
        <v>17</v>
      </c>
      <c r="J100" s="32">
        <v>52763349</v>
      </c>
      <c r="K100" s="32" t="s">
        <v>5329</v>
      </c>
      <c r="L100" s="38" t="s">
        <v>5332</v>
      </c>
      <c r="M100" s="34">
        <v>299900</v>
      </c>
      <c r="N100" s="20">
        <f t="shared" si="9"/>
        <v>0.75</v>
      </c>
      <c r="O100" s="78">
        <f t="shared" si="7"/>
        <v>74975</v>
      </c>
      <c r="P100" s="20" t="str">
        <f t="shared" si="10"/>
        <v>PERCENTAGE</v>
      </c>
    </row>
    <row r="101" spans="1:16" x14ac:dyDescent="0.35">
      <c r="A101" s="32" t="str">
        <f t="shared" si="12"/>
        <v>2025 JAN-JUN DISCOUNT 75%</v>
      </c>
      <c r="B101" s="33">
        <f t="shared" si="12"/>
        <v>46121</v>
      </c>
      <c r="C101" s="33">
        <f t="shared" si="12"/>
        <v>46127</v>
      </c>
      <c r="D101" s="32">
        <v>3281</v>
      </c>
      <c r="E101" s="32">
        <v>337</v>
      </c>
      <c r="F101" s="32">
        <v>4</v>
      </c>
      <c r="G101" s="32">
        <v>3</v>
      </c>
      <c r="H101" s="32">
        <v>81588</v>
      </c>
      <c r="I101" s="32" t="s">
        <v>17</v>
      </c>
      <c r="J101" s="32">
        <v>52763312</v>
      </c>
      <c r="K101" s="32" t="s">
        <v>5329</v>
      </c>
      <c r="L101" s="38" t="s">
        <v>5333</v>
      </c>
      <c r="M101" s="34">
        <v>299900</v>
      </c>
      <c r="N101" s="20">
        <f t="shared" si="9"/>
        <v>0.75</v>
      </c>
      <c r="O101" s="78">
        <f t="shared" si="7"/>
        <v>74975</v>
      </c>
      <c r="P101" s="20" t="str">
        <f t="shared" si="10"/>
        <v>PERCENTAGE</v>
      </c>
    </row>
    <row r="102" spans="1:16" x14ac:dyDescent="0.35">
      <c r="A102" s="32" t="str">
        <f t="shared" si="12"/>
        <v>2025 JAN-JUN DISCOUNT 75%</v>
      </c>
      <c r="B102" s="33">
        <f t="shared" si="12"/>
        <v>46121</v>
      </c>
      <c r="C102" s="33">
        <f t="shared" si="12"/>
        <v>46127</v>
      </c>
      <c r="D102" s="32">
        <v>3281</v>
      </c>
      <c r="E102" s="32">
        <v>337</v>
      </c>
      <c r="F102" s="32">
        <v>4</v>
      </c>
      <c r="G102" s="32">
        <v>5</v>
      </c>
      <c r="H102" s="32">
        <v>81506</v>
      </c>
      <c r="I102" s="32" t="s">
        <v>17</v>
      </c>
      <c r="J102" s="32">
        <v>52525972</v>
      </c>
      <c r="K102" s="32" t="s">
        <v>5312</v>
      </c>
      <c r="L102" s="38" t="s">
        <v>5313</v>
      </c>
      <c r="M102" s="34">
        <v>299900</v>
      </c>
      <c r="N102" s="20">
        <f t="shared" si="9"/>
        <v>0.75</v>
      </c>
      <c r="O102" s="78">
        <f t="shared" si="7"/>
        <v>74975</v>
      </c>
      <c r="P102" s="20" t="str">
        <f t="shared" si="10"/>
        <v>PERCENTAGE</v>
      </c>
    </row>
    <row r="103" spans="1:16" x14ac:dyDescent="0.35">
      <c r="A103" s="32" t="str">
        <f t="shared" si="12"/>
        <v>2025 JAN-JUN DISCOUNT 75%</v>
      </c>
      <c r="B103" s="33">
        <f t="shared" si="12"/>
        <v>46121</v>
      </c>
      <c r="C103" s="33">
        <f t="shared" si="12"/>
        <v>46127</v>
      </c>
      <c r="D103" s="32">
        <v>3281</v>
      </c>
      <c r="E103" s="32">
        <v>337</v>
      </c>
      <c r="F103" s="32">
        <v>4</v>
      </c>
      <c r="G103" s="32">
        <v>5</v>
      </c>
      <c r="H103" s="32">
        <v>81506</v>
      </c>
      <c r="I103" s="32" t="s">
        <v>17</v>
      </c>
      <c r="J103" s="32">
        <v>52526024</v>
      </c>
      <c r="K103" s="32" t="s">
        <v>5312</v>
      </c>
      <c r="L103" s="38" t="s">
        <v>5314</v>
      </c>
      <c r="M103" s="34">
        <v>299900</v>
      </c>
      <c r="N103" s="20">
        <f t="shared" si="9"/>
        <v>0.75</v>
      </c>
      <c r="O103" s="78">
        <f t="shared" si="7"/>
        <v>74975</v>
      </c>
      <c r="P103" s="20" t="str">
        <f t="shared" si="10"/>
        <v>PERCENTAGE</v>
      </c>
    </row>
    <row r="104" spans="1:16" x14ac:dyDescent="0.35">
      <c r="A104" s="32" t="str">
        <f t="shared" si="12"/>
        <v>2025 JAN-JUN DISCOUNT 75%</v>
      </c>
      <c r="B104" s="33">
        <f t="shared" si="12"/>
        <v>46121</v>
      </c>
      <c r="C104" s="33">
        <f t="shared" si="12"/>
        <v>46127</v>
      </c>
      <c r="D104" s="32">
        <v>3281</v>
      </c>
      <c r="E104" s="32">
        <v>337</v>
      </c>
      <c r="F104" s="32">
        <v>4</v>
      </c>
      <c r="G104" s="32">
        <v>5</v>
      </c>
      <c r="H104" s="32">
        <v>81506</v>
      </c>
      <c r="I104" s="32" t="s">
        <v>17</v>
      </c>
      <c r="J104" s="32">
        <v>52526006</v>
      </c>
      <c r="K104" s="32" t="s">
        <v>5312</v>
      </c>
      <c r="L104" s="38" t="s">
        <v>5315</v>
      </c>
      <c r="M104" s="34">
        <v>299900</v>
      </c>
      <c r="N104" s="20">
        <f t="shared" si="9"/>
        <v>0.75</v>
      </c>
      <c r="O104" s="78">
        <f t="shared" si="7"/>
        <v>74975</v>
      </c>
      <c r="P104" s="20" t="str">
        <f t="shared" si="10"/>
        <v>PERCENTAGE</v>
      </c>
    </row>
    <row r="105" spans="1:16" x14ac:dyDescent="0.35">
      <c r="A105" s="32" t="str">
        <f t="shared" si="12"/>
        <v>2025 JAN-JUN DISCOUNT 75%</v>
      </c>
      <c r="B105" s="33">
        <f t="shared" si="12"/>
        <v>46121</v>
      </c>
      <c r="C105" s="33">
        <f t="shared" si="12"/>
        <v>46127</v>
      </c>
      <c r="D105" s="32">
        <v>3281</v>
      </c>
      <c r="E105" s="32">
        <v>337</v>
      </c>
      <c r="F105" s="32">
        <v>4</v>
      </c>
      <c r="G105" s="32">
        <v>5</v>
      </c>
      <c r="H105" s="32">
        <v>81506</v>
      </c>
      <c r="I105" s="32" t="s">
        <v>17</v>
      </c>
      <c r="J105" s="32">
        <v>52525981</v>
      </c>
      <c r="K105" s="32" t="s">
        <v>5312</v>
      </c>
      <c r="L105" s="38" t="s">
        <v>5319</v>
      </c>
      <c r="M105" s="34">
        <v>299900</v>
      </c>
      <c r="N105" s="20">
        <f t="shared" si="9"/>
        <v>0.75</v>
      </c>
      <c r="O105" s="78">
        <f t="shared" si="7"/>
        <v>74975</v>
      </c>
      <c r="P105" s="20" t="str">
        <f t="shared" si="10"/>
        <v>PERCENTAGE</v>
      </c>
    </row>
    <row r="106" spans="1:16" x14ac:dyDescent="0.35">
      <c r="A106" s="32" t="str">
        <f t="shared" si="12"/>
        <v>2025 JAN-JUN DISCOUNT 75%</v>
      </c>
      <c r="B106" s="33">
        <f t="shared" si="12"/>
        <v>46121</v>
      </c>
      <c r="C106" s="33">
        <f t="shared" si="12"/>
        <v>46127</v>
      </c>
      <c r="D106" s="32">
        <v>3281</v>
      </c>
      <c r="E106" s="32">
        <v>337</v>
      </c>
      <c r="F106" s="32">
        <v>4</v>
      </c>
      <c r="G106" s="32">
        <v>5</v>
      </c>
      <c r="H106" s="32">
        <v>81506</v>
      </c>
      <c r="I106" s="32" t="s">
        <v>17</v>
      </c>
      <c r="J106" s="32">
        <v>52525990</v>
      </c>
      <c r="K106" s="32" t="s">
        <v>5312</v>
      </c>
      <c r="L106" s="38" t="s">
        <v>5320</v>
      </c>
      <c r="M106" s="34">
        <v>299900</v>
      </c>
      <c r="N106" s="20">
        <f t="shared" si="9"/>
        <v>0.75</v>
      </c>
      <c r="O106" s="78">
        <f t="shared" si="7"/>
        <v>74975</v>
      </c>
      <c r="P106" s="20" t="str">
        <f t="shared" si="10"/>
        <v>PERCENTAGE</v>
      </c>
    </row>
    <row r="107" spans="1:16" x14ac:dyDescent="0.35">
      <c r="A107" s="32" t="str">
        <f t="shared" si="12"/>
        <v>2025 JAN-JUN DISCOUNT 75%</v>
      </c>
      <c r="B107" s="33">
        <f t="shared" si="12"/>
        <v>46121</v>
      </c>
      <c r="C107" s="33">
        <f t="shared" si="12"/>
        <v>46127</v>
      </c>
      <c r="D107" s="32">
        <v>3281</v>
      </c>
      <c r="E107" s="32">
        <v>337</v>
      </c>
      <c r="F107" s="32">
        <v>4</v>
      </c>
      <c r="G107" s="32">
        <v>5</v>
      </c>
      <c r="H107" s="32">
        <v>81506</v>
      </c>
      <c r="I107" s="32" t="s">
        <v>17</v>
      </c>
      <c r="J107" s="32">
        <v>52526015</v>
      </c>
      <c r="K107" s="32" t="s">
        <v>5312</v>
      </c>
      <c r="L107" s="38" t="s">
        <v>5323</v>
      </c>
      <c r="M107" s="34">
        <v>299900</v>
      </c>
      <c r="N107" s="20">
        <f t="shared" si="9"/>
        <v>0.75</v>
      </c>
      <c r="O107" s="78">
        <f t="shared" si="7"/>
        <v>74975</v>
      </c>
      <c r="P107" s="20" t="str">
        <f t="shared" si="10"/>
        <v>PERCENTAGE</v>
      </c>
    </row>
    <row r="108" spans="1:16" x14ac:dyDescent="0.35">
      <c r="A108" s="32" t="str">
        <f t="shared" si="12"/>
        <v>2025 JAN-JUN DISCOUNT 75%</v>
      </c>
      <c r="B108" s="33">
        <f t="shared" si="12"/>
        <v>46121</v>
      </c>
      <c r="C108" s="33">
        <f t="shared" si="12"/>
        <v>46127</v>
      </c>
      <c r="D108" s="32">
        <v>3281</v>
      </c>
      <c r="E108" s="32">
        <v>337</v>
      </c>
      <c r="F108" s="32">
        <v>4</v>
      </c>
      <c r="G108" s="32">
        <v>5</v>
      </c>
      <c r="H108" s="32">
        <v>81146</v>
      </c>
      <c r="I108" s="32" t="s">
        <v>17</v>
      </c>
      <c r="J108" s="32">
        <v>52526060</v>
      </c>
      <c r="K108" s="32" t="s">
        <v>5334</v>
      </c>
      <c r="L108" s="38" t="s">
        <v>5335</v>
      </c>
      <c r="M108" s="34">
        <v>279900</v>
      </c>
      <c r="N108" s="20">
        <f t="shared" si="9"/>
        <v>0.75</v>
      </c>
      <c r="O108" s="78">
        <f t="shared" si="7"/>
        <v>69975</v>
      </c>
      <c r="P108" s="20" t="str">
        <f t="shared" si="10"/>
        <v>PERCENTAGE</v>
      </c>
    </row>
    <row r="109" spans="1:16" x14ac:dyDescent="0.35">
      <c r="A109" s="32" t="str">
        <f t="shared" si="12"/>
        <v>2025 JAN-JUN DISCOUNT 75%</v>
      </c>
      <c r="B109" s="33">
        <f t="shared" si="12"/>
        <v>46121</v>
      </c>
      <c r="C109" s="33">
        <f t="shared" si="12"/>
        <v>46127</v>
      </c>
      <c r="D109" s="32">
        <v>3281</v>
      </c>
      <c r="E109" s="32">
        <v>337</v>
      </c>
      <c r="F109" s="32">
        <v>4</v>
      </c>
      <c r="G109" s="32">
        <v>5</v>
      </c>
      <c r="H109" s="32">
        <v>81146</v>
      </c>
      <c r="I109" s="32" t="s">
        <v>17</v>
      </c>
      <c r="J109" s="32">
        <v>52526042</v>
      </c>
      <c r="K109" s="32" t="s">
        <v>5334</v>
      </c>
      <c r="L109" s="38" t="s">
        <v>5336</v>
      </c>
      <c r="M109" s="34">
        <v>279900</v>
      </c>
      <c r="N109" s="20">
        <f t="shared" si="9"/>
        <v>0.75</v>
      </c>
      <c r="O109" s="78">
        <f t="shared" si="7"/>
        <v>69975</v>
      </c>
      <c r="P109" s="20" t="str">
        <f t="shared" si="10"/>
        <v>PERCENTAGE</v>
      </c>
    </row>
    <row r="110" spans="1:16" x14ac:dyDescent="0.35">
      <c r="A110" s="32" t="str">
        <f t="shared" si="12"/>
        <v>2025 JAN-JUN DISCOUNT 75%</v>
      </c>
      <c r="B110" s="33">
        <f t="shared" si="12"/>
        <v>46121</v>
      </c>
      <c r="C110" s="33">
        <f t="shared" si="12"/>
        <v>46127</v>
      </c>
      <c r="D110" s="32">
        <v>3281</v>
      </c>
      <c r="E110" s="32">
        <v>337</v>
      </c>
      <c r="F110" s="32">
        <v>4</v>
      </c>
      <c r="G110" s="32">
        <v>5</v>
      </c>
      <c r="H110" s="32">
        <v>81146</v>
      </c>
      <c r="I110" s="32" t="s">
        <v>17</v>
      </c>
      <c r="J110" s="32">
        <v>52526051</v>
      </c>
      <c r="K110" s="32" t="s">
        <v>5334</v>
      </c>
      <c r="L110" s="38" t="s">
        <v>5337</v>
      </c>
      <c r="M110" s="34">
        <v>279900</v>
      </c>
      <c r="N110" s="20">
        <f t="shared" si="9"/>
        <v>0.75</v>
      </c>
      <c r="O110" s="78">
        <f t="shared" si="7"/>
        <v>69975</v>
      </c>
      <c r="P110" s="20" t="str">
        <f t="shared" si="10"/>
        <v>PERCENTAGE</v>
      </c>
    </row>
    <row r="111" spans="1:16" x14ac:dyDescent="0.35">
      <c r="A111" s="32" t="str">
        <f t="shared" si="12"/>
        <v>2025 JAN-JUN DISCOUNT 75%</v>
      </c>
      <c r="B111" s="33">
        <f t="shared" si="12"/>
        <v>46121</v>
      </c>
      <c r="C111" s="33">
        <f t="shared" si="12"/>
        <v>46127</v>
      </c>
      <c r="D111" s="32">
        <v>3281</v>
      </c>
      <c r="E111" s="32">
        <v>337</v>
      </c>
      <c r="F111" s="32">
        <v>4</v>
      </c>
      <c r="G111" s="32">
        <v>5</v>
      </c>
      <c r="H111" s="32">
        <v>81146</v>
      </c>
      <c r="I111" s="32" t="s">
        <v>17</v>
      </c>
      <c r="J111" s="32">
        <v>52526033</v>
      </c>
      <c r="K111" s="32" t="s">
        <v>5334</v>
      </c>
      <c r="L111" s="38" t="s">
        <v>5338</v>
      </c>
      <c r="M111" s="34">
        <v>279900</v>
      </c>
      <c r="N111" s="20">
        <f t="shared" si="9"/>
        <v>0.75</v>
      </c>
      <c r="O111" s="78">
        <f t="shared" si="7"/>
        <v>69975</v>
      </c>
      <c r="P111" s="20" t="str">
        <f t="shared" si="10"/>
        <v>PERCENTAGE</v>
      </c>
    </row>
    <row r="112" spans="1:16" x14ac:dyDescent="0.35">
      <c r="A112" s="32" t="str">
        <f t="shared" si="12"/>
        <v>2025 JAN-JUN DISCOUNT 75%</v>
      </c>
      <c r="B112" s="33">
        <f t="shared" si="12"/>
        <v>46121</v>
      </c>
      <c r="C112" s="33">
        <f t="shared" si="12"/>
        <v>46127</v>
      </c>
      <c r="D112" s="32">
        <v>3281</v>
      </c>
      <c r="E112" s="32">
        <v>337</v>
      </c>
      <c r="F112" s="32">
        <v>4</v>
      </c>
      <c r="G112" s="32">
        <v>1</v>
      </c>
      <c r="H112" s="32">
        <v>81588</v>
      </c>
      <c r="I112" s="32" t="s">
        <v>17</v>
      </c>
      <c r="J112" s="32">
        <v>52763232</v>
      </c>
      <c r="K112" s="32" t="s">
        <v>5339</v>
      </c>
      <c r="L112" s="38" t="s">
        <v>5340</v>
      </c>
      <c r="M112" s="34">
        <v>149900</v>
      </c>
      <c r="N112" s="20">
        <f t="shared" si="9"/>
        <v>0.75</v>
      </c>
      <c r="O112" s="78">
        <f t="shared" si="7"/>
        <v>37475</v>
      </c>
      <c r="P112" s="20" t="str">
        <f t="shared" si="10"/>
        <v>PERCENTAGE</v>
      </c>
    </row>
    <row r="113" spans="1:16" x14ac:dyDescent="0.35">
      <c r="A113" s="32" t="str">
        <f t="shared" si="12"/>
        <v>2025 JAN-JUN DISCOUNT 75%</v>
      </c>
      <c r="B113" s="33">
        <f t="shared" si="12"/>
        <v>46121</v>
      </c>
      <c r="C113" s="33">
        <f t="shared" si="12"/>
        <v>46127</v>
      </c>
      <c r="D113" s="32">
        <v>3281</v>
      </c>
      <c r="E113" s="32">
        <v>337</v>
      </c>
      <c r="F113" s="32">
        <v>4</v>
      </c>
      <c r="G113" s="32">
        <v>1</v>
      </c>
      <c r="H113" s="32">
        <v>81588</v>
      </c>
      <c r="I113" s="32" t="s">
        <v>17</v>
      </c>
      <c r="J113" s="32">
        <v>52763269</v>
      </c>
      <c r="K113" s="32" t="s">
        <v>5339</v>
      </c>
      <c r="L113" s="38" t="s">
        <v>5341</v>
      </c>
      <c r="M113" s="34">
        <v>149900</v>
      </c>
      <c r="N113" s="20">
        <f t="shared" si="9"/>
        <v>0.75</v>
      </c>
      <c r="O113" s="78">
        <f t="shared" si="7"/>
        <v>37475</v>
      </c>
      <c r="P113" s="20" t="str">
        <f t="shared" si="10"/>
        <v>PERCENTAGE</v>
      </c>
    </row>
    <row r="114" spans="1:16" x14ac:dyDescent="0.35">
      <c r="A114" s="32" t="str">
        <f t="shared" si="12"/>
        <v>2025 JAN-JUN DISCOUNT 75%</v>
      </c>
      <c r="B114" s="33">
        <f t="shared" si="12"/>
        <v>46121</v>
      </c>
      <c r="C114" s="33">
        <f t="shared" si="12"/>
        <v>46127</v>
      </c>
      <c r="D114" s="32">
        <v>3281</v>
      </c>
      <c r="E114" s="32">
        <v>337</v>
      </c>
      <c r="F114" s="32">
        <v>4</v>
      </c>
      <c r="G114" s="32">
        <v>1</v>
      </c>
      <c r="H114" s="32">
        <v>81588</v>
      </c>
      <c r="I114" s="32" t="s">
        <v>17</v>
      </c>
      <c r="J114" s="32">
        <v>52763250</v>
      </c>
      <c r="K114" s="32" t="s">
        <v>5339</v>
      </c>
      <c r="L114" s="38" t="s">
        <v>5342</v>
      </c>
      <c r="M114" s="34">
        <v>149900</v>
      </c>
      <c r="N114" s="20">
        <f t="shared" si="9"/>
        <v>0.75</v>
      </c>
      <c r="O114" s="78">
        <f t="shared" si="7"/>
        <v>37475</v>
      </c>
      <c r="P114" s="20" t="str">
        <f t="shared" si="10"/>
        <v>PERCENTAGE</v>
      </c>
    </row>
    <row r="115" spans="1:16" x14ac:dyDescent="0.35">
      <c r="A115" s="32" t="str">
        <f t="shared" si="12"/>
        <v>2025 JAN-JUN DISCOUNT 75%</v>
      </c>
      <c r="B115" s="33">
        <f t="shared" si="12"/>
        <v>46121</v>
      </c>
      <c r="C115" s="33">
        <f t="shared" si="12"/>
        <v>46127</v>
      </c>
      <c r="D115" s="32">
        <v>3281</v>
      </c>
      <c r="E115" s="32">
        <v>337</v>
      </c>
      <c r="F115" s="32">
        <v>4</v>
      </c>
      <c r="G115" s="32">
        <v>1</v>
      </c>
      <c r="H115" s="32">
        <v>81588</v>
      </c>
      <c r="I115" s="32" t="s">
        <v>17</v>
      </c>
      <c r="J115" s="32">
        <v>52763241</v>
      </c>
      <c r="K115" s="32" t="s">
        <v>5339</v>
      </c>
      <c r="L115" s="38" t="s">
        <v>5343</v>
      </c>
      <c r="M115" s="34">
        <v>149900</v>
      </c>
      <c r="N115" s="20">
        <f t="shared" si="9"/>
        <v>0.75</v>
      </c>
      <c r="O115" s="78">
        <f t="shared" si="7"/>
        <v>37475</v>
      </c>
      <c r="P115" s="20" t="str">
        <f t="shared" si="10"/>
        <v>PERCENTAGE</v>
      </c>
    </row>
    <row r="116" spans="1:16" x14ac:dyDescent="0.35">
      <c r="A116" s="32" t="str">
        <f t="shared" ref="A116:C116" si="13">A115</f>
        <v>2025 JAN-JUN DISCOUNT 75%</v>
      </c>
      <c r="B116" s="33">
        <f t="shared" si="13"/>
        <v>46121</v>
      </c>
      <c r="C116" s="33">
        <f t="shared" si="13"/>
        <v>46127</v>
      </c>
      <c r="D116" s="32">
        <v>3281</v>
      </c>
      <c r="E116" s="32">
        <v>337</v>
      </c>
      <c r="F116" s="32">
        <v>4</v>
      </c>
      <c r="G116" s="23">
        <v>1</v>
      </c>
      <c r="H116" s="23">
        <v>81588</v>
      </c>
      <c r="I116" s="32" t="s">
        <v>17</v>
      </c>
      <c r="J116" s="23">
        <v>53401399</v>
      </c>
      <c r="K116" s="23" t="s">
        <v>7026</v>
      </c>
      <c r="L116" s="22" t="s">
        <v>7027</v>
      </c>
      <c r="M116" s="40">
        <v>149900</v>
      </c>
      <c r="N116" s="35">
        <v>0.75</v>
      </c>
      <c r="O116" s="78">
        <f t="shared" ref="O116:O151" si="14">M116-((75*M116))/100</f>
        <v>37475</v>
      </c>
      <c r="P116" s="32" t="s">
        <v>16</v>
      </c>
    </row>
    <row r="117" spans="1:16" x14ac:dyDescent="0.35">
      <c r="A117" s="32" t="str">
        <f t="shared" ref="A117:C117" si="15">A116</f>
        <v>2025 JAN-JUN DISCOUNT 75%</v>
      </c>
      <c r="B117" s="33">
        <f t="shared" si="15"/>
        <v>46121</v>
      </c>
      <c r="C117" s="33">
        <f t="shared" si="15"/>
        <v>46127</v>
      </c>
      <c r="D117" s="32">
        <v>3281</v>
      </c>
      <c r="E117" s="32">
        <v>337</v>
      </c>
      <c r="F117" s="32">
        <v>4</v>
      </c>
      <c r="G117" s="23">
        <v>1</v>
      </c>
      <c r="H117" s="23">
        <v>81588</v>
      </c>
      <c r="I117" s="32" t="s">
        <v>17</v>
      </c>
      <c r="J117" s="23">
        <v>53401406</v>
      </c>
      <c r="K117" s="23" t="s">
        <v>7026</v>
      </c>
      <c r="L117" s="22" t="s">
        <v>7028</v>
      </c>
      <c r="M117" s="40">
        <v>149900</v>
      </c>
      <c r="N117" s="35">
        <v>0.75</v>
      </c>
      <c r="O117" s="78">
        <f t="shared" si="14"/>
        <v>37475</v>
      </c>
      <c r="P117" s="32" t="s">
        <v>16</v>
      </c>
    </row>
    <row r="118" spans="1:16" x14ac:dyDescent="0.35">
      <c r="A118" s="32" t="str">
        <f t="shared" ref="A118:C118" si="16">A117</f>
        <v>2025 JAN-JUN DISCOUNT 75%</v>
      </c>
      <c r="B118" s="33">
        <f t="shared" si="16"/>
        <v>46121</v>
      </c>
      <c r="C118" s="33">
        <f t="shared" si="16"/>
        <v>46127</v>
      </c>
      <c r="D118" s="32">
        <v>3281</v>
      </c>
      <c r="E118" s="32">
        <v>337</v>
      </c>
      <c r="F118" s="32">
        <v>4</v>
      </c>
      <c r="G118" s="23">
        <v>1</v>
      </c>
      <c r="H118" s="23">
        <v>81588</v>
      </c>
      <c r="I118" s="32" t="s">
        <v>17</v>
      </c>
      <c r="J118" s="23">
        <v>53401415</v>
      </c>
      <c r="K118" s="23" t="s">
        <v>7026</v>
      </c>
      <c r="L118" s="22" t="s">
        <v>7029</v>
      </c>
      <c r="M118" s="40">
        <v>149900</v>
      </c>
      <c r="N118" s="35">
        <v>0.75</v>
      </c>
      <c r="O118" s="78">
        <f t="shared" si="14"/>
        <v>37475</v>
      </c>
      <c r="P118" s="32" t="s">
        <v>16</v>
      </c>
    </row>
    <row r="119" spans="1:16" x14ac:dyDescent="0.35">
      <c r="A119" s="32" t="str">
        <f t="shared" ref="A119:C119" si="17">A118</f>
        <v>2025 JAN-JUN DISCOUNT 75%</v>
      </c>
      <c r="B119" s="33">
        <f t="shared" si="17"/>
        <v>46121</v>
      </c>
      <c r="C119" s="33">
        <f t="shared" si="17"/>
        <v>46127</v>
      </c>
      <c r="D119" s="32">
        <v>3281</v>
      </c>
      <c r="E119" s="32">
        <v>337</v>
      </c>
      <c r="F119" s="32">
        <v>4</v>
      </c>
      <c r="G119" s="23">
        <v>1</v>
      </c>
      <c r="H119" s="23">
        <v>81588</v>
      </c>
      <c r="I119" s="32" t="s">
        <v>17</v>
      </c>
      <c r="J119" s="23">
        <v>53401424</v>
      </c>
      <c r="K119" s="23" t="s">
        <v>7026</v>
      </c>
      <c r="L119" s="22" t="s">
        <v>7030</v>
      </c>
      <c r="M119" s="40">
        <v>149900</v>
      </c>
      <c r="N119" s="35">
        <v>0.75</v>
      </c>
      <c r="O119" s="78">
        <f t="shared" si="14"/>
        <v>37475</v>
      </c>
      <c r="P119" s="32" t="s">
        <v>16</v>
      </c>
    </row>
    <row r="120" spans="1:16" x14ac:dyDescent="0.35">
      <c r="A120" s="32" t="str">
        <f t="shared" ref="A120:C120" si="18">A119</f>
        <v>2025 JAN-JUN DISCOUNT 75%</v>
      </c>
      <c r="B120" s="33">
        <f t="shared" si="18"/>
        <v>46121</v>
      </c>
      <c r="C120" s="33">
        <f t="shared" si="18"/>
        <v>46127</v>
      </c>
      <c r="D120" s="32">
        <v>3281</v>
      </c>
      <c r="E120" s="32">
        <v>337</v>
      </c>
      <c r="F120" s="32">
        <v>4</v>
      </c>
      <c r="G120" s="23">
        <v>1</v>
      </c>
      <c r="H120" s="23">
        <v>81146</v>
      </c>
      <c r="I120" s="32" t="s">
        <v>17</v>
      </c>
      <c r="J120" s="23">
        <v>53401317</v>
      </c>
      <c r="K120" s="23" t="s">
        <v>7031</v>
      </c>
      <c r="L120" s="22" t="s">
        <v>7032</v>
      </c>
      <c r="M120" s="40">
        <v>169900</v>
      </c>
      <c r="N120" s="35">
        <v>0.75</v>
      </c>
      <c r="O120" s="78">
        <f t="shared" si="14"/>
        <v>42475</v>
      </c>
      <c r="P120" s="32" t="s">
        <v>16</v>
      </c>
    </row>
    <row r="121" spans="1:16" x14ac:dyDescent="0.35">
      <c r="A121" s="32" t="str">
        <f t="shared" ref="A121:C121" si="19">A120</f>
        <v>2025 JAN-JUN DISCOUNT 75%</v>
      </c>
      <c r="B121" s="33">
        <f t="shared" si="19"/>
        <v>46121</v>
      </c>
      <c r="C121" s="33">
        <f t="shared" si="19"/>
        <v>46127</v>
      </c>
      <c r="D121" s="32">
        <v>3281</v>
      </c>
      <c r="E121" s="32">
        <v>337</v>
      </c>
      <c r="F121" s="32">
        <v>4</v>
      </c>
      <c r="G121" s="23">
        <v>1</v>
      </c>
      <c r="H121" s="23">
        <v>81146</v>
      </c>
      <c r="I121" s="32" t="s">
        <v>17</v>
      </c>
      <c r="J121" s="23">
        <v>53401326</v>
      </c>
      <c r="K121" s="23" t="s">
        <v>7031</v>
      </c>
      <c r="L121" s="22" t="s">
        <v>7033</v>
      </c>
      <c r="M121" s="40">
        <v>169900</v>
      </c>
      <c r="N121" s="35">
        <v>0.75</v>
      </c>
      <c r="O121" s="78">
        <f t="shared" si="14"/>
        <v>42475</v>
      </c>
      <c r="P121" s="32" t="s">
        <v>16</v>
      </c>
    </row>
    <row r="122" spans="1:16" x14ac:dyDescent="0.35">
      <c r="A122" s="32" t="str">
        <f t="shared" ref="A122:C122" si="20">A121</f>
        <v>2025 JAN-JUN DISCOUNT 75%</v>
      </c>
      <c r="B122" s="33">
        <f t="shared" si="20"/>
        <v>46121</v>
      </c>
      <c r="C122" s="33">
        <f t="shared" si="20"/>
        <v>46127</v>
      </c>
      <c r="D122" s="32">
        <v>3281</v>
      </c>
      <c r="E122" s="32">
        <v>337</v>
      </c>
      <c r="F122" s="32">
        <v>4</v>
      </c>
      <c r="G122" s="23">
        <v>1</v>
      </c>
      <c r="H122" s="23">
        <v>81146</v>
      </c>
      <c r="I122" s="32" t="s">
        <v>17</v>
      </c>
      <c r="J122" s="23">
        <v>53401335</v>
      </c>
      <c r="K122" s="23" t="s">
        <v>7031</v>
      </c>
      <c r="L122" s="22" t="s">
        <v>7034</v>
      </c>
      <c r="M122" s="40">
        <v>169900</v>
      </c>
      <c r="N122" s="35">
        <v>0.75</v>
      </c>
      <c r="O122" s="78">
        <f t="shared" si="14"/>
        <v>42475</v>
      </c>
      <c r="P122" s="32" t="s">
        <v>16</v>
      </c>
    </row>
    <row r="123" spans="1:16" x14ac:dyDescent="0.35">
      <c r="A123" s="32" t="str">
        <f t="shared" ref="A123:C123" si="21">A122</f>
        <v>2025 JAN-JUN DISCOUNT 75%</v>
      </c>
      <c r="B123" s="33">
        <f t="shared" si="21"/>
        <v>46121</v>
      </c>
      <c r="C123" s="33">
        <f t="shared" si="21"/>
        <v>46127</v>
      </c>
      <c r="D123" s="32">
        <v>3281</v>
      </c>
      <c r="E123" s="32">
        <v>337</v>
      </c>
      <c r="F123" s="32">
        <v>4</v>
      </c>
      <c r="G123" s="23">
        <v>1</v>
      </c>
      <c r="H123" s="23">
        <v>81146</v>
      </c>
      <c r="I123" s="32" t="s">
        <v>17</v>
      </c>
      <c r="J123" s="23">
        <v>53401344</v>
      </c>
      <c r="K123" s="23" t="s">
        <v>7031</v>
      </c>
      <c r="L123" s="22" t="s">
        <v>7035</v>
      </c>
      <c r="M123" s="40">
        <v>169900</v>
      </c>
      <c r="N123" s="35">
        <v>0.75</v>
      </c>
      <c r="O123" s="78">
        <f t="shared" si="14"/>
        <v>42475</v>
      </c>
      <c r="P123" s="32" t="s">
        <v>16</v>
      </c>
    </row>
    <row r="124" spans="1:16" x14ac:dyDescent="0.35">
      <c r="A124" s="32" t="str">
        <f t="shared" ref="A124:C124" si="22">A123</f>
        <v>2025 JAN-JUN DISCOUNT 75%</v>
      </c>
      <c r="B124" s="33">
        <f t="shared" si="22"/>
        <v>46121</v>
      </c>
      <c r="C124" s="33">
        <f t="shared" si="22"/>
        <v>46127</v>
      </c>
      <c r="D124" s="32">
        <v>3281</v>
      </c>
      <c r="E124" s="32">
        <v>337</v>
      </c>
      <c r="F124" s="32">
        <v>4</v>
      </c>
      <c r="G124" s="23">
        <v>1</v>
      </c>
      <c r="H124" s="23">
        <v>81676</v>
      </c>
      <c r="I124" s="32" t="s">
        <v>17</v>
      </c>
      <c r="J124" s="23">
        <v>53401353</v>
      </c>
      <c r="K124" s="23" t="s">
        <v>7036</v>
      </c>
      <c r="L124" s="22" t="s">
        <v>7037</v>
      </c>
      <c r="M124" s="40">
        <v>149900</v>
      </c>
      <c r="N124" s="35">
        <v>0.75</v>
      </c>
      <c r="O124" s="78">
        <f t="shared" si="14"/>
        <v>37475</v>
      </c>
      <c r="P124" s="32" t="s">
        <v>16</v>
      </c>
    </row>
    <row r="125" spans="1:16" x14ac:dyDescent="0.35">
      <c r="A125" s="32" t="str">
        <f t="shared" ref="A125:C125" si="23">A124</f>
        <v>2025 JAN-JUN DISCOUNT 75%</v>
      </c>
      <c r="B125" s="33">
        <f t="shared" si="23"/>
        <v>46121</v>
      </c>
      <c r="C125" s="33">
        <f t="shared" si="23"/>
        <v>46127</v>
      </c>
      <c r="D125" s="32">
        <v>3281</v>
      </c>
      <c r="E125" s="32">
        <v>337</v>
      </c>
      <c r="F125" s="32">
        <v>4</v>
      </c>
      <c r="G125" s="23">
        <v>1</v>
      </c>
      <c r="H125" s="23">
        <v>81676</v>
      </c>
      <c r="I125" s="32" t="s">
        <v>17</v>
      </c>
      <c r="J125" s="23">
        <v>53401362</v>
      </c>
      <c r="K125" s="23" t="s">
        <v>7036</v>
      </c>
      <c r="L125" s="22" t="s">
        <v>7038</v>
      </c>
      <c r="M125" s="40">
        <v>149900</v>
      </c>
      <c r="N125" s="35">
        <v>0.75</v>
      </c>
      <c r="O125" s="78">
        <f t="shared" si="14"/>
        <v>37475</v>
      </c>
      <c r="P125" s="32" t="s">
        <v>16</v>
      </c>
    </row>
    <row r="126" spans="1:16" x14ac:dyDescent="0.35">
      <c r="A126" s="32" t="str">
        <f t="shared" ref="A126:C126" si="24">A125</f>
        <v>2025 JAN-JUN DISCOUNT 75%</v>
      </c>
      <c r="B126" s="33">
        <f t="shared" si="24"/>
        <v>46121</v>
      </c>
      <c r="C126" s="33">
        <f t="shared" si="24"/>
        <v>46127</v>
      </c>
      <c r="D126" s="32">
        <v>3281</v>
      </c>
      <c r="E126" s="32">
        <v>337</v>
      </c>
      <c r="F126" s="32">
        <v>4</v>
      </c>
      <c r="G126" s="23">
        <v>1</v>
      </c>
      <c r="H126" s="23">
        <v>81676</v>
      </c>
      <c r="I126" s="32" t="s">
        <v>17</v>
      </c>
      <c r="J126" s="23">
        <v>53401371</v>
      </c>
      <c r="K126" s="23" t="s">
        <v>7036</v>
      </c>
      <c r="L126" s="22" t="s">
        <v>7039</v>
      </c>
      <c r="M126" s="40">
        <v>149900</v>
      </c>
      <c r="N126" s="35">
        <v>0.75</v>
      </c>
      <c r="O126" s="78">
        <f t="shared" si="14"/>
        <v>37475</v>
      </c>
      <c r="P126" s="32" t="s">
        <v>16</v>
      </c>
    </row>
    <row r="127" spans="1:16" x14ac:dyDescent="0.35">
      <c r="A127" s="32" t="str">
        <f t="shared" ref="A127:C127" si="25">A126</f>
        <v>2025 JAN-JUN DISCOUNT 75%</v>
      </c>
      <c r="B127" s="33">
        <f t="shared" si="25"/>
        <v>46121</v>
      </c>
      <c r="C127" s="33">
        <f t="shared" si="25"/>
        <v>46127</v>
      </c>
      <c r="D127" s="32">
        <v>3281</v>
      </c>
      <c r="E127" s="32">
        <v>337</v>
      </c>
      <c r="F127" s="32">
        <v>4</v>
      </c>
      <c r="G127" s="23">
        <v>1</v>
      </c>
      <c r="H127" s="23">
        <v>81676</v>
      </c>
      <c r="I127" s="32" t="s">
        <v>17</v>
      </c>
      <c r="J127" s="23">
        <v>53401380</v>
      </c>
      <c r="K127" s="23" t="s">
        <v>7036</v>
      </c>
      <c r="L127" s="22" t="s">
        <v>7040</v>
      </c>
      <c r="M127" s="40">
        <v>149900</v>
      </c>
      <c r="N127" s="35">
        <v>0.75</v>
      </c>
      <c r="O127" s="78">
        <f t="shared" si="14"/>
        <v>37475</v>
      </c>
      <c r="P127" s="32" t="s">
        <v>16</v>
      </c>
    </row>
    <row r="128" spans="1:16" x14ac:dyDescent="0.35">
      <c r="A128" s="32" t="str">
        <f t="shared" ref="A128:C128" si="26">A127</f>
        <v>2025 JAN-JUN DISCOUNT 75%</v>
      </c>
      <c r="B128" s="33">
        <f t="shared" si="26"/>
        <v>46121</v>
      </c>
      <c r="C128" s="33">
        <f t="shared" si="26"/>
        <v>46127</v>
      </c>
      <c r="D128" s="32">
        <v>3281</v>
      </c>
      <c r="E128" s="32">
        <v>337</v>
      </c>
      <c r="F128" s="32">
        <v>4</v>
      </c>
      <c r="G128" s="23">
        <v>1</v>
      </c>
      <c r="H128" s="23">
        <v>81146</v>
      </c>
      <c r="I128" s="32" t="s">
        <v>17</v>
      </c>
      <c r="J128" s="23">
        <v>53401273</v>
      </c>
      <c r="K128" s="23" t="s">
        <v>7041</v>
      </c>
      <c r="L128" s="22" t="s">
        <v>7042</v>
      </c>
      <c r="M128" s="40">
        <v>169900</v>
      </c>
      <c r="N128" s="35">
        <v>0.75</v>
      </c>
      <c r="O128" s="78">
        <f t="shared" si="14"/>
        <v>42475</v>
      </c>
      <c r="P128" s="32" t="s">
        <v>16</v>
      </c>
    </row>
    <row r="129" spans="1:16" x14ac:dyDescent="0.35">
      <c r="A129" s="32" t="str">
        <f t="shared" ref="A129:C129" si="27">A128</f>
        <v>2025 JAN-JUN DISCOUNT 75%</v>
      </c>
      <c r="B129" s="33">
        <f t="shared" si="27"/>
        <v>46121</v>
      </c>
      <c r="C129" s="33">
        <f t="shared" si="27"/>
        <v>46127</v>
      </c>
      <c r="D129" s="32">
        <v>3281</v>
      </c>
      <c r="E129" s="32">
        <v>337</v>
      </c>
      <c r="F129" s="32">
        <v>4</v>
      </c>
      <c r="G129" s="23">
        <v>1</v>
      </c>
      <c r="H129" s="23">
        <v>81146</v>
      </c>
      <c r="I129" s="32" t="s">
        <v>17</v>
      </c>
      <c r="J129" s="23">
        <v>53401282</v>
      </c>
      <c r="K129" s="23" t="s">
        <v>7041</v>
      </c>
      <c r="L129" s="22" t="s">
        <v>7043</v>
      </c>
      <c r="M129" s="40">
        <v>169900</v>
      </c>
      <c r="N129" s="35">
        <v>0.75</v>
      </c>
      <c r="O129" s="78">
        <f t="shared" si="14"/>
        <v>42475</v>
      </c>
      <c r="P129" s="32" t="s">
        <v>16</v>
      </c>
    </row>
    <row r="130" spans="1:16" x14ac:dyDescent="0.35">
      <c r="A130" s="32" t="str">
        <f t="shared" ref="A130:C130" si="28">A129</f>
        <v>2025 JAN-JUN DISCOUNT 75%</v>
      </c>
      <c r="B130" s="33">
        <f t="shared" si="28"/>
        <v>46121</v>
      </c>
      <c r="C130" s="33">
        <f t="shared" si="28"/>
        <v>46127</v>
      </c>
      <c r="D130" s="32">
        <v>3281</v>
      </c>
      <c r="E130" s="32">
        <v>337</v>
      </c>
      <c r="F130" s="32">
        <v>4</v>
      </c>
      <c r="G130" s="23">
        <v>1</v>
      </c>
      <c r="H130" s="23">
        <v>81146</v>
      </c>
      <c r="I130" s="32" t="s">
        <v>17</v>
      </c>
      <c r="J130" s="23">
        <v>53401291</v>
      </c>
      <c r="K130" s="23" t="s">
        <v>7041</v>
      </c>
      <c r="L130" s="22" t="s">
        <v>7044</v>
      </c>
      <c r="M130" s="40">
        <v>169900</v>
      </c>
      <c r="N130" s="35">
        <v>0.75</v>
      </c>
      <c r="O130" s="78">
        <f t="shared" si="14"/>
        <v>42475</v>
      </c>
      <c r="P130" s="32" t="s">
        <v>16</v>
      </c>
    </row>
    <row r="131" spans="1:16" x14ac:dyDescent="0.35">
      <c r="A131" s="32" t="str">
        <f t="shared" ref="A131:C131" si="29">A130</f>
        <v>2025 JAN-JUN DISCOUNT 75%</v>
      </c>
      <c r="B131" s="33">
        <f t="shared" si="29"/>
        <v>46121</v>
      </c>
      <c r="C131" s="33">
        <f t="shared" si="29"/>
        <v>46127</v>
      </c>
      <c r="D131" s="32">
        <v>3281</v>
      </c>
      <c r="E131" s="32">
        <v>337</v>
      </c>
      <c r="F131" s="32">
        <v>4</v>
      </c>
      <c r="G131" s="23">
        <v>1</v>
      </c>
      <c r="H131" s="23">
        <v>81146</v>
      </c>
      <c r="I131" s="32" t="s">
        <v>17</v>
      </c>
      <c r="J131" s="23">
        <v>53401308</v>
      </c>
      <c r="K131" s="23" t="s">
        <v>7041</v>
      </c>
      <c r="L131" s="22" t="s">
        <v>7045</v>
      </c>
      <c r="M131" s="40">
        <v>169900</v>
      </c>
      <c r="N131" s="35">
        <v>0.75</v>
      </c>
      <c r="O131" s="78">
        <f t="shared" si="14"/>
        <v>42475</v>
      </c>
      <c r="P131" s="32" t="s">
        <v>16</v>
      </c>
    </row>
    <row r="132" spans="1:16" x14ac:dyDescent="0.35">
      <c r="A132" s="32" t="str">
        <f t="shared" ref="A132:C132" si="30">A131</f>
        <v>2025 JAN-JUN DISCOUNT 75%</v>
      </c>
      <c r="B132" s="33">
        <f t="shared" si="30"/>
        <v>46121</v>
      </c>
      <c r="C132" s="33">
        <f t="shared" si="30"/>
        <v>46127</v>
      </c>
      <c r="D132" s="32">
        <v>3281</v>
      </c>
      <c r="E132" s="32">
        <v>337</v>
      </c>
      <c r="F132" s="32">
        <v>4</v>
      </c>
      <c r="G132" s="23">
        <v>3</v>
      </c>
      <c r="H132" s="23">
        <v>81588</v>
      </c>
      <c r="I132" s="32" t="s">
        <v>17</v>
      </c>
      <c r="J132" s="23">
        <v>53401433</v>
      </c>
      <c r="K132" s="23" t="s">
        <v>7046</v>
      </c>
      <c r="L132" s="22" t="s">
        <v>7047</v>
      </c>
      <c r="M132" s="40">
        <v>299900</v>
      </c>
      <c r="N132" s="35">
        <v>0.75</v>
      </c>
      <c r="O132" s="78">
        <f t="shared" si="14"/>
        <v>74975</v>
      </c>
      <c r="P132" s="32" t="s">
        <v>16</v>
      </c>
    </row>
    <row r="133" spans="1:16" x14ac:dyDescent="0.35">
      <c r="A133" s="32" t="str">
        <f t="shared" ref="A133:C133" si="31">A132</f>
        <v>2025 JAN-JUN DISCOUNT 75%</v>
      </c>
      <c r="B133" s="33">
        <f t="shared" si="31"/>
        <v>46121</v>
      </c>
      <c r="C133" s="33">
        <f t="shared" si="31"/>
        <v>46127</v>
      </c>
      <c r="D133" s="32">
        <v>3281</v>
      </c>
      <c r="E133" s="32">
        <v>337</v>
      </c>
      <c r="F133" s="32">
        <v>4</v>
      </c>
      <c r="G133" s="23">
        <v>3</v>
      </c>
      <c r="H133" s="23">
        <v>81588</v>
      </c>
      <c r="I133" s="32" t="s">
        <v>17</v>
      </c>
      <c r="J133" s="23">
        <v>53401442</v>
      </c>
      <c r="K133" s="23" t="s">
        <v>7046</v>
      </c>
      <c r="L133" s="22" t="s">
        <v>7048</v>
      </c>
      <c r="M133" s="40">
        <v>299900</v>
      </c>
      <c r="N133" s="35">
        <v>0.75</v>
      </c>
      <c r="O133" s="78">
        <f t="shared" si="14"/>
        <v>74975</v>
      </c>
      <c r="P133" s="32" t="s">
        <v>16</v>
      </c>
    </row>
    <row r="134" spans="1:16" x14ac:dyDescent="0.35">
      <c r="A134" s="32" t="str">
        <f t="shared" ref="A134:C134" si="32">A133</f>
        <v>2025 JAN-JUN DISCOUNT 75%</v>
      </c>
      <c r="B134" s="33">
        <f t="shared" si="32"/>
        <v>46121</v>
      </c>
      <c r="C134" s="33">
        <f t="shared" si="32"/>
        <v>46127</v>
      </c>
      <c r="D134" s="32">
        <v>3281</v>
      </c>
      <c r="E134" s="32">
        <v>337</v>
      </c>
      <c r="F134" s="32">
        <v>4</v>
      </c>
      <c r="G134" s="23">
        <v>3</v>
      </c>
      <c r="H134" s="23">
        <v>81588</v>
      </c>
      <c r="I134" s="32" t="s">
        <v>17</v>
      </c>
      <c r="J134" s="23">
        <v>53401451</v>
      </c>
      <c r="K134" s="23" t="s">
        <v>7046</v>
      </c>
      <c r="L134" s="22" t="s">
        <v>7049</v>
      </c>
      <c r="M134" s="40">
        <v>299900</v>
      </c>
      <c r="N134" s="35">
        <v>0.75</v>
      </c>
      <c r="O134" s="78">
        <f t="shared" si="14"/>
        <v>74975</v>
      </c>
      <c r="P134" s="32" t="s">
        <v>16</v>
      </c>
    </row>
    <row r="135" spans="1:16" x14ac:dyDescent="0.35">
      <c r="A135" s="32" t="str">
        <f t="shared" ref="A135:C135" si="33">A134</f>
        <v>2025 JAN-JUN DISCOUNT 75%</v>
      </c>
      <c r="B135" s="33">
        <f t="shared" si="33"/>
        <v>46121</v>
      </c>
      <c r="C135" s="33">
        <f t="shared" si="33"/>
        <v>46127</v>
      </c>
      <c r="D135" s="32">
        <v>3281</v>
      </c>
      <c r="E135" s="32">
        <v>337</v>
      </c>
      <c r="F135" s="32">
        <v>4</v>
      </c>
      <c r="G135" s="23">
        <v>3</v>
      </c>
      <c r="H135" s="23">
        <v>81588</v>
      </c>
      <c r="I135" s="32" t="s">
        <v>17</v>
      </c>
      <c r="J135" s="23">
        <v>53401460</v>
      </c>
      <c r="K135" s="23" t="s">
        <v>7046</v>
      </c>
      <c r="L135" s="22" t="s">
        <v>7050</v>
      </c>
      <c r="M135" s="40">
        <v>299900</v>
      </c>
      <c r="N135" s="35">
        <v>0.75</v>
      </c>
      <c r="O135" s="78">
        <f t="shared" si="14"/>
        <v>74975</v>
      </c>
      <c r="P135" s="32" t="s">
        <v>16</v>
      </c>
    </row>
    <row r="136" spans="1:16" x14ac:dyDescent="0.35">
      <c r="A136" s="32" t="str">
        <f t="shared" ref="A136:C136" si="34">A135</f>
        <v>2025 JAN-JUN DISCOUNT 75%</v>
      </c>
      <c r="B136" s="33">
        <f t="shared" si="34"/>
        <v>46121</v>
      </c>
      <c r="C136" s="33">
        <f t="shared" si="34"/>
        <v>46127</v>
      </c>
      <c r="D136" s="32">
        <v>3281</v>
      </c>
      <c r="E136" s="32">
        <v>337</v>
      </c>
      <c r="F136" s="32">
        <v>4</v>
      </c>
      <c r="G136" s="23">
        <v>3</v>
      </c>
      <c r="H136" s="23">
        <v>81146</v>
      </c>
      <c r="I136" s="32" t="s">
        <v>17</v>
      </c>
      <c r="J136" s="23">
        <v>53401479</v>
      </c>
      <c r="K136" s="23" t="s">
        <v>5607</v>
      </c>
      <c r="L136" s="22" t="s">
        <v>7051</v>
      </c>
      <c r="M136" s="40">
        <v>229900</v>
      </c>
      <c r="N136" s="35">
        <v>0.75</v>
      </c>
      <c r="O136" s="78">
        <f t="shared" si="14"/>
        <v>57475</v>
      </c>
      <c r="P136" s="32" t="s">
        <v>16</v>
      </c>
    </row>
    <row r="137" spans="1:16" x14ac:dyDescent="0.35">
      <c r="A137" s="32" t="str">
        <f t="shared" ref="A137:C137" si="35">A136</f>
        <v>2025 JAN-JUN DISCOUNT 75%</v>
      </c>
      <c r="B137" s="33">
        <f t="shared" si="35"/>
        <v>46121</v>
      </c>
      <c r="C137" s="33">
        <f t="shared" si="35"/>
        <v>46127</v>
      </c>
      <c r="D137" s="32">
        <v>3281</v>
      </c>
      <c r="E137" s="32">
        <v>337</v>
      </c>
      <c r="F137" s="32">
        <v>4</v>
      </c>
      <c r="G137" s="23">
        <v>3</v>
      </c>
      <c r="H137" s="23">
        <v>81146</v>
      </c>
      <c r="I137" s="32" t="s">
        <v>17</v>
      </c>
      <c r="J137" s="23">
        <v>53401488</v>
      </c>
      <c r="K137" s="23" t="s">
        <v>5607</v>
      </c>
      <c r="L137" s="22" t="s">
        <v>7052</v>
      </c>
      <c r="M137" s="40">
        <v>229900</v>
      </c>
      <c r="N137" s="35">
        <v>0.75</v>
      </c>
      <c r="O137" s="78">
        <f t="shared" si="14"/>
        <v>57475</v>
      </c>
      <c r="P137" s="32" t="s">
        <v>16</v>
      </c>
    </row>
    <row r="138" spans="1:16" x14ac:dyDescent="0.35">
      <c r="A138" s="32" t="str">
        <f t="shared" ref="A138:C138" si="36">A137</f>
        <v>2025 JAN-JUN DISCOUNT 75%</v>
      </c>
      <c r="B138" s="33">
        <f t="shared" si="36"/>
        <v>46121</v>
      </c>
      <c r="C138" s="33">
        <f t="shared" si="36"/>
        <v>46127</v>
      </c>
      <c r="D138" s="32">
        <v>3281</v>
      </c>
      <c r="E138" s="32">
        <v>337</v>
      </c>
      <c r="F138" s="32">
        <v>4</v>
      </c>
      <c r="G138" s="23">
        <v>3</v>
      </c>
      <c r="H138" s="23">
        <v>81146</v>
      </c>
      <c r="I138" s="32" t="s">
        <v>17</v>
      </c>
      <c r="J138" s="23">
        <v>53401497</v>
      </c>
      <c r="K138" s="23" t="s">
        <v>5607</v>
      </c>
      <c r="L138" s="22" t="s">
        <v>7053</v>
      </c>
      <c r="M138" s="40">
        <v>229900</v>
      </c>
      <c r="N138" s="35">
        <v>0.75</v>
      </c>
      <c r="O138" s="78">
        <f t="shared" si="14"/>
        <v>57475</v>
      </c>
      <c r="P138" s="32" t="s">
        <v>16</v>
      </c>
    </row>
    <row r="139" spans="1:16" x14ac:dyDescent="0.35">
      <c r="A139" s="32" t="str">
        <f t="shared" ref="A139:C139" si="37">A138</f>
        <v>2025 JAN-JUN DISCOUNT 75%</v>
      </c>
      <c r="B139" s="33">
        <f t="shared" si="37"/>
        <v>46121</v>
      </c>
      <c r="C139" s="33">
        <f t="shared" si="37"/>
        <v>46127</v>
      </c>
      <c r="D139" s="32">
        <v>3281</v>
      </c>
      <c r="E139" s="32">
        <v>337</v>
      </c>
      <c r="F139" s="32">
        <v>4</v>
      </c>
      <c r="G139" s="23">
        <v>3</v>
      </c>
      <c r="H139" s="23">
        <v>81146</v>
      </c>
      <c r="I139" s="32" t="s">
        <v>17</v>
      </c>
      <c r="J139" s="23">
        <v>53401504</v>
      </c>
      <c r="K139" s="23" t="s">
        <v>5607</v>
      </c>
      <c r="L139" s="22" t="s">
        <v>7054</v>
      </c>
      <c r="M139" s="40">
        <v>229900</v>
      </c>
      <c r="N139" s="35">
        <v>0.75</v>
      </c>
      <c r="O139" s="78">
        <f t="shared" si="14"/>
        <v>57475</v>
      </c>
      <c r="P139" s="32" t="s">
        <v>16</v>
      </c>
    </row>
    <row r="140" spans="1:16" x14ac:dyDescent="0.35">
      <c r="A140" s="32" t="str">
        <f t="shared" ref="A140:C140" si="38">A139</f>
        <v>2025 JAN-JUN DISCOUNT 75%</v>
      </c>
      <c r="B140" s="33">
        <f t="shared" si="38"/>
        <v>46121</v>
      </c>
      <c r="C140" s="33">
        <f t="shared" si="38"/>
        <v>46127</v>
      </c>
      <c r="D140" s="32">
        <v>3281</v>
      </c>
      <c r="E140" s="32">
        <v>337</v>
      </c>
      <c r="F140" s="32">
        <v>4</v>
      </c>
      <c r="G140" s="23">
        <v>4</v>
      </c>
      <c r="H140" s="23">
        <v>81588</v>
      </c>
      <c r="I140" s="32" t="s">
        <v>17</v>
      </c>
      <c r="J140" s="23">
        <v>53401513</v>
      </c>
      <c r="K140" s="23" t="s">
        <v>7055</v>
      </c>
      <c r="L140" s="22" t="s">
        <v>7056</v>
      </c>
      <c r="M140" s="40">
        <v>199900</v>
      </c>
      <c r="N140" s="35">
        <v>0.75</v>
      </c>
      <c r="O140" s="78">
        <f t="shared" si="14"/>
        <v>49975</v>
      </c>
      <c r="P140" s="32" t="s">
        <v>16</v>
      </c>
    </row>
    <row r="141" spans="1:16" x14ac:dyDescent="0.35">
      <c r="A141" s="32" t="str">
        <f t="shared" ref="A141:C141" si="39">A140</f>
        <v>2025 JAN-JUN DISCOUNT 75%</v>
      </c>
      <c r="B141" s="33">
        <f t="shared" si="39"/>
        <v>46121</v>
      </c>
      <c r="C141" s="33">
        <f t="shared" si="39"/>
        <v>46127</v>
      </c>
      <c r="D141" s="32">
        <v>3281</v>
      </c>
      <c r="E141" s="32">
        <v>337</v>
      </c>
      <c r="F141" s="32">
        <v>4</v>
      </c>
      <c r="G141" s="23">
        <v>4</v>
      </c>
      <c r="H141" s="23">
        <v>81588</v>
      </c>
      <c r="I141" s="32" t="s">
        <v>17</v>
      </c>
      <c r="J141" s="23">
        <v>53401522</v>
      </c>
      <c r="K141" s="23" t="s">
        <v>7055</v>
      </c>
      <c r="L141" s="22" t="s">
        <v>7057</v>
      </c>
      <c r="M141" s="40">
        <v>199900</v>
      </c>
      <c r="N141" s="35">
        <v>0.75</v>
      </c>
      <c r="O141" s="78">
        <f t="shared" si="14"/>
        <v>49975</v>
      </c>
      <c r="P141" s="32" t="s">
        <v>16</v>
      </c>
    </row>
    <row r="142" spans="1:16" x14ac:dyDescent="0.35">
      <c r="A142" s="32" t="str">
        <f t="shared" ref="A142:C142" si="40">A141</f>
        <v>2025 JAN-JUN DISCOUNT 75%</v>
      </c>
      <c r="B142" s="33">
        <f t="shared" si="40"/>
        <v>46121</v>
      </c>
      <c r="C142" s="33">
        <f t="shared" si="40"/>
        <v>46127</v>
      </c>
      <c r="D142" s="32">
        <v>3281</v>
      </c>
      <c r="E142" s="32">
        <v>337</v>
      </c>
      <c r="F142" s="32">
        <v>4</v>
      </c>
      <c r="G142" s="23">
        <v>4</v>
      </c>
      <c r="H142" s="23">
        <v>81588</v>
      </c>
      <c r="I142" s="32" t="s">
        <v>17</v>
      </c>
      <c r="J142" s="23">
        <v>53401531</v>
      </c>
      <c r="K142" s="23" t="s">
        <v>7055</v>
      </c>
      <c r="L142" s="22" t="s">
        <v>7058</v>
      </c>
      <c r="M142" s="40">
        <v>199900</v>
      </c>
      <c r="N142" s="35">
        <v>0.75</v>
      </c>
      <c r="O142" s="78">
        <f t="shared" si="14"/>
        <v>49975</v>
      </c>
      <c r="P142" s="32" t="s">
        <v>16</v>
      </c>
    </row>
    <row r="143" spans="1:16" x14ac:dyDescent="0.35">
      <c r="A143" s="32" t="str">
        <f t="shared" ref="A143:C143" si="41">A142</f>
        <v>2025 JAN-JUN DISCOUNT 75%</v>
      </c>
      <c r="B143" s="33">
        <f t="shared" si="41"/>
        <v>46121</v>
      </c>
      <c r="C143" s="33">
        <f t="shared" si="41"/>
        <v>46127</v>
      </c>
      <c r="D143" s="32">
        <v>3281</v>
      </c>
      <c r="E143" s="32">
        <v>337</v>
      </c>
      <c r="F143" s="32">
        <v>4</v>
      </c>
      <c r="G143" s="23">
        <v>4</v>
      </c>
      <c r="H143" s="23">
        <v>81588</v>
      </c>
      <c r="I143" s="32" t="s">
        <v>17</v>
      </c>
      <c r="J143" s="23">
        <v>53401540</v>
      </c>
      <c r="K143" s="23" t="s">
        <v>7055</v>
      </c>
      <c r="L143" s="22" t="s">
        <v>7059</v>
      </c>
      <c r="M143" s="40">
        <v>199900</v>
      </c>
      <c r="N143" s="35">
        <v>0.75</v>
      </c>
      <c r="O143" s="78">
        <f t="shared" si="14"/>
        <v>49975</v>
      </c>
      <c r="P143" s="32" t="s">
        <v>16</v>
      </c>
    </row>
    <row r="144" spans="1:16" x14ac:dyDescent="0.35">
      <c r="A144" s="32" t="str">
        <f t="shared" ref="A144:C144" si="42">A143</f>
        <v>2025 JAN-JUN DISCOUNT 75%</v>
      </c>
      <c r="B144" s="33">
        <f t="shared" si="42"/>
        <v>46121</v>
      </c>
      <c r="C144" s="33">
        <f t="shared" si="42"/>
        <v>46127</v>
      </c>
      <c r="D144" s="32">
        <v>3281</v>
      </c>
      <c r="E144" s="32">
        <v>337</v>
      </c>
      <c r="F144" s="32">
        <v>4</v>
      </c>
      <c r="G144" s="23">
        <v>5</v>
      </c>
      <c r="H144" s="23">
        <v>81146</v>
      </c>
      <c r="I144" s="32" t="s">
        <v>17</v>
      </c>
      <c r="J144" s="23">
        <v>53401595</v>
      </c>
      <c r="K144" s="23" t="s">
        <v>7060</v>
      </c>
      <c r="L144" s="22" t="s">
        <v>7061</v>
      </c>
      <c r="M144" s="40">
        <v>259900</v>
      </c>
      <c r="N144" s="35">
        <v>0.75</v>
      </c>
      <c r="O144" s="78">
        <f t="shared" si="14"/>
        <v>64975</v>
      </c>
      <c r="P144" s="32" t="s">
        <v>16</v>
      </c>
    </row>
    <row r="145" spans="1:16" x14ac:dyDescent="0.35">
      <c r="A145" s="32" t="str">
        <f t="shared" ref="A145:C145" si="43">A144</f>
        <v>2025 JAN-JUN DISCOUNT 75%</v>
      </c>
      <c r="B145" s="33">
        <f t="shared" si="43"/>
        <v>46121</v>
      </c>
      <c r="C145" s="33">
        <f t="shared" si="43"/>
        <v>46127</v>
      </c>
      <c r="D145" s="32">
        <v>3281</v>
      </c>
      <c r="E145" s="32">
        <v>337</v>
      </c>
      <c r="F145" s="32">
        <v>4</v>
      </c>
      <c r="G145" s="23">
        <v>5</v>
      </c>
      <c r="H145" s="23">
        <v>81146</v>
      </c>
      <c r="I145" s="32" t="s">
        <v>17</v>
      </c>
      <c r="J145" s="23">
        <v>53401602</v>
      </c>
      <c r="K145" s="23" t="s">
        <v>7060</v>
      </c>
      <c r="L145" s="22" t="s">
        <v>7062</v>
      </c>
      <c r="M145" s="40">
        <v>259900</v>
      </c>
      <c r="N145" s="35">
        <v>0.75</v>
      </c>
      <c r="O145" s="78">
        <f t="shared" si="14"/>
        <v>64975</v>
      </c>
      <c r="P145" s="32" t="s">
        <v>16</v>
      </c>
    </row>
    <row r="146" spans="1:16" x14ac:dyDescent="0.35">
      <c r="A146" s="32" t="str">
        <f t="shared" ref="A146:C146" si="44">A145</f>
        <v>2025 JAN-JUN DISCOUNT 75%</v>
      </c>
      <c r="B146" s="33">
        <f t="shared" si="44"/>
        <v>46121</v>
      </c>
      <c r="C146" s="33">
        <f t="shared" si="44"/>
        <v>46127</v>
      </c>
      <c r="D146" s="32">
        <v>3281</v>
      </c>
      <c r="E146" s="32">
        <v>337</v>
      </c>
      <c r="F146" s="32">
        <v>4</v>
      </c>
      <c r="G146" s="23">
        <v>5</v>
      </c>
      <c r="H146" s="23">
        <v>81146</v>
      </c>
      <c r="I146" s="32" t="s">
        <v>17</v>
      </c>
      <c r="J146" s="23">
        <v>53401611</v>
      </c>
      <c r="K146" s="23" t="s">
        <v>7060</v>
      </c>
      <c r="L146" s="22" t="s">
        <v>7063</v>
      </c>
      <c r="M146" s="40">
        <v>259900</v>
      </c>
      <c r="N146" s="35">
        <v>0.75</v>
      </c>
      <c r="O146" s="78">
        <f t="shared" si="14"/>
        <v>64975</v>
      </c>
      <c r="P146" s="32" t="s">
        <v>16</v>
      </c>
    </row>
    <row r="147" spans="1:16" x14ac:dyDescent="0.35">
      <c r="A147" s="32" t="str">
        <f t="shared" ref="A147:C147" si="45">A146</f>
        <v>2025 JAN-JUN DISCOUNT 75%</v>
      </c>
      <c r="B147" s="33">
        <f t="shared" si="45"/>
        <v>46121</v>
      </c>
      <c r="C147" s="33">
        <f t="shared" si="45"/>
        <v>46127</v>
      </c>
      <c r="D147" s="32">
        <v>3281</v>
      </c>
      <c r="E147" s="32">
        <v>337</v>
      </c>
      <c r="F147" s="32">
        <v>4</v>
      </c>
      <c r="G147" s="23">
        <v>5</v>
      </c>
      <c r="H147" s="23">
        <v>81146</v>
      </c>
      <c r="I147" s="32" t="s">
        <v>17</v>
      </c>
      <c r="J147" s="23">
        <v>53401620</v>
      </c>
      <c r="K147" s="23" t="s">
        <v>7060</v>
      </c>
      <c r="L147" s="22" t="s">
        <v>7064</v>
      </c>
      <c r="M147" s="40">
        <v>259900</v>
      </c>
      <c r="N147" s="35">
        <v>0.75</v>
      </c>
      <c r="O147" s="78">
        <f t="shared" si="14"/>
        <v>64975</v>
      </c>
      <c r="P147" s="32" t="s">
        <v>16</v>
      </c>
    </row>
    <row r="148" spans="1:16" x14ac:dyDescent="0.35">
      <c r="A148" s="32" t="str">
        <f t="shared" ref="A148:C148" si="46">A147</f>
        <v>2025 JAN-JUN DISCOUNT 75%</v>
      </c>
      <c r="B148" s="33">
        <f t="shared" si="46"/>
        <v>46121</v>
      </c>
      <c r="C148" s="33">
        <f t="shared" si="46"/>
        <v>46127</v>
      </c>
      <c r="D148" s="32">
        <v>3281</v>
      </c>
      <c r="E148" s="32">
        <v>337</v>
      </c>
      <c r="F148" s="32">
        <v>4</v>
      </c>
      <c r="G148" s="23">
        <v>5</v>
      </c>
      <c r="H148" s="23">
        <v>81146</v>
      </c>
      <c r="I148" s="32" t="s">
        <v>17</v>
      </c>
      <c r="J148" s="23">
        <v>53401559</v>
      </c>
      <c r="K148" s="23" t="s">
        <v>7065</v>
      </c>
      <c r="L148" s="22" t="s">
        <v>7066</v>
      </c>
      <c r="M148" s="40">
        <v>259900</v>
      </c>
      <c r="N148" s="35">
        <v>0.75</v>
      </c>
      <c r="O148" s="78">
        <f t="shared" si="14"/>
        <v>64975</v>
      </c>
      <c r="P148" s="32" t="s">
        <v>16</v>
      </c>
    </row>
    <row r="149" spans="1:16" x14ac:dyDescent="0.35">
      <c r="A149" s="32" t="str">
        <f t="shared" ref="A149:C149" si="47">A148</f>
        <v>2025 JAN-JUN DISCOUNT 75%</v>
      </c>
      <c r="B149" s="33">
        <f t="shared" si="47"/>
        <v>46121</v>
      </c>
      <c r="C149" s="33">
        <f t="shared" si="47"/>
        <v>46127</v>
      </c>
      <c r="D149" s="32">
        <v>3281</v>
      </c>
      <c r="E149" s="32">
        <v>337</v>
      </c>
      <c r="F149" s="32">
        <v>4</v>
      </c>
      <c r="G149" s="23">
        <v>5</v>
      </c>
      <c r="H149" s="23">
        <v>81146</v>
      </c>
      <c r="I149" s="32" t="s">
        <v>17</v>
      </c>
      <c r="J149" s="23">
        <v>53401568</v>
      </c>
      <c r="K149" s="23" t="s">
        <v>7065</v>
      </c>
      <c r="L149" s="22" t="s">
        <v>7067</v>
      </c>
      <c r="M149" s="40">
        <v>259900</v>
      </c>
      <c r="N149" s="35">
        <v>0.75</v>
      </c>
      <c r="O149" s="78">
        <f t="shared" si="14"/>
        <v>64975</v>
      </c>
      <c r="P149" s="32" t="s">
        <v>16</v>
      </c>
    </row>
    <row r="150" spans="1:16" x14ac:dyDescent="0.35">
      <c r="A150" s="32" t="str">
        <f t="shared" ref="A150:C150" si="48">A149</f>
        <v>2025 JAN-JUN DISCOUNT 75%</v>
      </c>
      <c r="B150" s="33">
        <f t="shared" si="48"/>
        <v>46121</v>
      </c>
      <c r="C150" s="33">
        <f t="shared" si="48"/>
        <v>46127</v>
      </c>
      <c r="D150" s="32">
        <v>3281</v>
      </c>
      <c r="E150" s="32">
        <v>337</v>
      </c>
      <c r="F150" s="32">
        <v>4</v>
      </c>
      <c r="G150" s="23">
        <v>5</v>
      </c>
      <c r="H150" s="23">
        <v>81146</v>
      </c>
      <c r="I150" s="32" t="s">
        <v>17</v>
      </c>
      <c r="J150" s="23">
        <v>53401577</v>
      </c>
      <c r="K150" s="23" t="s">
        <v>7065</v>
      </c>
      <c r="L150" s="22" t="s">
        <v>7068</v>
      </c>
      <c r="M150" s="40">
        <v>259900</v>
      </c>
      <c r="N150" s="35">
        <v>0.75</v>
      </c>
      <c r="O150" s="78">
        <f t="shared" si="14"/>
        <v>64975</v>
      </c>
      <c r="P150" s="32" t="s">
        <v>16</v>
      </c>
    </row>
    <row r="151" spans="1:16" x14ac:dyDescent="0.35">
      <c r="A151" s="32" t="str">
        <f t="shared" ref="A151:C151" si="49">A150</f>
        <v>2025 JAN-JUN DISCOUNT 75%</v>
      </c>
      <c r="B151" s="33">
        <f t="shared" si="49"/>
        <v>46121</v>
      </c>
      <c r="C151" s="33">
        <f t="shared" si="49"/>
        <v>46127</v>
      </c>
      <c r="D151" s="32">
        <v>3281</v>
      </c>
      <c r="E151" s="32">
        <v>337</v>
      </c>
      <c r="F151" s="32">
        <v>4</v>
      </c>
      <c r="G151" s="23">
        <v>5</v>
      </c>
      <c r="H151" s="23">
        <v>81146</v>
      </c>
      <c r="I151" s="32" t="s">
        <v>17</v>
      </c>
      <c r="J151" s="23">
        <v>53401586</v>
      </c>
      <c r="K151" s="23" t="s">
        <v>7065</v>
      </c>
      <c r="L151" s="22" t="s">
        <v>7069</v>
      </c>
      <c r="M151" s="40">
        <v>259900</v>
      </c>
      <c r="N151" s="35">
        <v>0.75</v>
      </c>
      <c r="O151" s="78">
        <f t="shared" si="14"/>
        <v>64975</v>
      </c>
      <c r="P151" s="32" t="s">
        <v>16</v>
      </c>
    </row>
  </sheetData>
  <autoFilter ref="A1:P1" xr:uid="{00000000-0009-0000-0000-000005000000}">
    <sortState xmlns:xlrd2="http://schemas.microsoft.com/office/spreadsheetml/2017/richdata2" ref="A2:P153">
      <sortCondition ref="K1"/>
    </sortState>
  </autoFilter>
  <phoneticPr fontId="8" type="noConversion"/>
  <conditionalFormatting sqref="J1:J1048576">
    <cfRule type="duplicateValues" dxfId="13" priority="1"/>
  </conditionalFormatting>
  <pageMargins left="0.7" right="0.7" top="0.75" bottom="0.75" header="0.3" footer="0.3"/>
  <pageSetup paperSize="9" orientation="portrait" horizontalDpi="0" verticalDpi="0"/>
  <ignoredErrors>
    <ignoredError sqref="O3:O115 O116:O151" formula="1"/>
  </ignoredErrors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812A-B0A5-4F50-8229-92CB7D21CDB3}">
  <dimension ref="A1:P329"/>
  <sheetViews>
    <sheetView zoomScale="78" zoomScaleNormal="100" workbookViewId="0">
      <pane ySplit="1" topLeftCell="A2" activePane="bottomLeft" state="frozen"/>
      <selection activeCell="B2" sqref="B2"/>
      <selection pane="bottomLeft" activeCell="D382" sqref="D382"/>
    </sheetView>
  </sheetViews>
  <sheetFormatPr defaultColWidth="8.7265625" defaultRowHeight="14.5" x14ac:dyDescent="0.35"/>
  <cols>
    <col min="1" max="1" width="26.90625" style="31" customWidth="1"/>
    <col min="2" max="2" width="16.1796875" style="36" bestFit="1" customWidth="1"/>
    <col min="3" max="3" width="13.26953125" style="36" bestFit="1" customWidth="1"/>
    <col min="4" max="4" width="10" style="31" bestFit="1" customWidth="1"/>
    <col min="5" max="5" width="12.26953125" style="31" bestFit="1" customWidth="1"/>
    <col min="6" max="6" width="13.7265625" style="31" bestFit="1" customWidth="1"/>
    <col min="7" max="7" width="10.81640625" style="31" bestFit="1" customWidth="1"/>
    <col min="8" max="8" width="13.81640625" style="31" bestFit="1" customWidth="1"/>
    <col min="9" max="9" width="16.54296875" style="31" bestFit="1" customWidth="1"/>
    <col min="10" max="10" width="9.54296875" style="31" bestFit="1" customWidth="1"/>
    <col min="11" max="11" width="10" style="31" customWidth="1"/>
    <col min="12" max="12" width="71.54296875" style="17" customWidth="1"/>
    <col min="13" max="13" width="17.54296875" style="37" customWidth="1"/>
    <col min="14" max="14" width="17.453125" style="5" customWidth="1"/>
    <col min="15" max="15" width="19.81640625" style="37" bestFit="1" customWidth="1"/>
    <col min="16" max="16" width="19.81640625" style="31" bestFit="1" customWidth="1"/>
    <col min="17" max="16384" width="8.7265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x14ac:dyDescent="0.35">
      <c r="A2" s="32" t="s">
        <v>7146</v>
      </c>
      <c r="B2" s="33">
        <f>'2025 HILITE D80 - 3321'!B2</f>
        <v>46121</v>
      </c>
      <c r="C2" s="33">
        <f>'2025 HILITE D80 - 3321'!C2</f>
        <v>46127</v>
      </c>
      <c r="D2" s="32">
        <v>3281</v>
      </c>
      <c r="E2" s="32">
        <v>337</v>
      </c>
      <c r="F2" s="32">
        <v>4</v>
      </c>
      <c r="G2" s="32">
        <v>1</v>
      </c>
      <c r="H2" s="32">
        <v>81146</v>
      </c>
      <c r="I2" s="32" t="s">
        <v>17</v>
      </c>
      <c r="J2" s="32">
        <v>15372117</v>
      </c>
      <c r="K2" s="32" t="s">
        <v>2853</v>
      </c>
      <c r="L2" s="38" t="s">
        <v>2854</v>
      </c>
      <c r="M2" s="34">
        <v>149900</v>
      </c>
      <c r="N2" s="35">
        <v>0.75</v>
      </c>
      <c r="O2" s="34">
        <f>M2-((75*M2))/100</f>
        <v>37475</v>
      </c>
      <c r="P2" s="32" t="s">
        <v>16</v>
      </c>
    </row>
    <row r="3" spans="1:16" x14ac:dyDescent="0.35">
      <c r="A3" s="32" t="str">
        <f>A2</f>
        <v>2024 JAN-DEC DISC 75%</v>
      </c>
      <c r="B3" s="33">
        <f>B2</f>
        <v>46121</v>
      </c>
      <c r="C3" s="33">
        <f>C2</f>
        <v>46127</v>
      </c>
      <c r="D3" s="32">
        <v>3281</v>
      </c>
      <c r="E3" s="32">
        <v>337</v>
      </c>
      <c r="F3" s="32">
        <v>4</v>
      </c>
      <c r="G3" s="32">
        <v>1</v>
      </c>
      <c r="H3" s="32">
        <v>81146</v>
      </c>
      <c r="I3" s="32" t="s">
        <v>17</v>
      </c>
      <c r="J3" s="32">
        <v>15372126</v>
      </c>
      <c r="K3" s="32" t="s">
        <v>2853</v>
      </c>
      <c r="L3" s="38" t="s">
        <v>2855</v>
      </c>
      <c r="M3" s="34">
        <v>149900</v>
      </c>
      <c r="N3" s="35">
        <f>N2</f>
        <v>0.75</v>
      </c>
      <c r="O3" s="34">
        <f t="shared" ref="O3:O66" si="0">M3-((75*M3))/100</f>
        <v>37475</v>
      </c>
      <c r="P3" s="32" t="s">
        <v>16</v>
      </c>
    </row>
    <row r="4" spans="1:16" x14ac:dyDescent="0.35">
      <c r="A4" s="32" t="str">
        <f t="shared" ref="A4:C19" si="1">A3</f>
        <v>2024 JAN-DEC DISC 75%</v>
      </c>
      <c r="B4" s="33">
        <f t="shared" si="1"/>
        <v>46121</v>
      </c>
      <c r="C4" s="33">
        <f t="shared" si="1"/>
        <v>46127</v>
      </c>
      <c r="D4" s="32">
        <v>3281</v>
      </c>
      <c r="E4" s="32">
        <v>337</v>
      </c>
      <c r="F4" s="32">
        <v>4</v>
      </c>
      <c r="G4" s="32">
        <v>1</v>
      </c>
      <c r="H4" s="32">
        <v>81146</v>
      </c>
      <c r="I4" s="32" t="s">
        <v>17</v>
      </c>
      <c r="J4" s="32">
        <v>15372135</v>
      </c>
      <c r="K4" s="32" t="s">
        <v>2853</v>
      </c>
      <c r="L4" s="38" t="s">
        <v>2856</v>
      </c>
      <c r="M4" s="34">
        <v>149900</v>
      </c>
      <c r="N4" s="35">
        <f t="shared" ref="N4:N67" si="2">N3</f>
        <v>0.75</v>
      </c>
      <c r="O4" s="34">
        <f t="shared" si="0"/>
        <v>37475</v>
      </c>
      <c r="P4" s="32" t="s">
        <v>16</v>
      </c>
    </row>
    <row r="5" spans="1:16" x14ac:dyDescent="0.35">
      <c r="A5" s="32" t="str">
        <f t="shared" si="1"/>
        <v>2024 JAN-DEC DISC 75%</v>
      </c>
      <c r="B5" s="33">
        <f t="shared" si="1"/>
        <v>46121</v>
      </c>
      <c r="C5" s="33">
        <f t="shared" si="1"/>
        <v>46127</v>
      </c>
      <c r="D5" s="32">
        <v>3281</v>
      </c>
      <c r="E5" s="32">
        <v>337</v>
      </c>
      <c r="F5" s="32">
        <v>4</v>
      </c>
      <c r="G5" s="32">
        <v>1</v>
      </c>
      <c r="H5" s="32">
        <v>81146</v>
      </c>
      <c r="I5" s="32" t="s">
        <v>17</v>
      </c>
      <c r="J5" s="32">
        <v>15372144</v>
      </c>
      <c r="K5" s="32" t="s">
        <v>2853</v>
      </c>
      <c r="L5" s="38" t="s">
        <v>2857</v>
      </c>
      <c r="M5" s="34">
        <v>149900</v>
      </c>
      <c r="N5" s="35">
        <f t="shared" si="2"/>
        <v>0.75</v>
      </c>
      <c r="O5" s="34">
        <f t="shared" si="0"/>
        <v>37475</v>
      </c>
      <c r="P5" s="32" t="s">
        <v>16</v>
      </c>
    </row>
    <row r="6" spans="1:16" x14ac:dyDescent="0.35">
      <c r="A6" s="32" t="str">
        <f t="shared" si="1"/>
        <v>2024 JAN-DEC DISC 75%</v>
      </c>
      <c r="B6" s="33">
        <f t="shared" si="1"/>
        <v>46121</v>
      </c>
      <c r="C6" s="33">
        <f t="shared" si="1"/>
        <v>46127</v>
      </c>
      <c r="D6" s="32">
        <v>3281</v>
      </c>
      <c r="E6" s="32">
        <v>337</v>
      </c>
      <c r="F6" s="32">
        <v>4</v>
      </c>
      <c r="G6" s="32">
        <v>1</v>
      </c>
      <c r="H6" s="32">
        <v>81146</v>
      </c>
      <c r="I6" s="32" t="s">
        <v>17</v>
      </c>
      <c r="J6" s="32">
        <v>16418414</v>
      </c>
      <c r="K6" s="32" t="s">
        <v>2858</v>
      </c>
      <c r="L6" s="38" t="s">
        <v>2859</v>
      </c>
      <c r="M6" s="34">
        <v>149900</v>
      </c>
      <c r="N6" s="35">
        <f t="shared" si="2"/>
        <v>0.75</v>
      </c>
      <c r="O6" s="34">
        <f t="shared" si="0"/>
        <v>37475</v>
      </c>
      <c r="P6" s="32" t="s">
        <v>16</v>
      </c>
    </row>
    <row r="7" spans="1:16" x14ac:dyDescent="0.35">
      <c r="A7" s="32" t="str">
        <f t="shared" si="1"/>
        <v>2024 JAN-DEC DISC 75%</v>
      </c>
      <c r="B7" s="33">
        <f t="shared" si="1"/>
        <v>46121</v>
      </c>
      <c r="C7" s="33">
        <f t="shared" si="1"/>
        <v>46127</v>
      </c>
      <c r="D7" s="32">
        <v>3281</v>
      </c>
      <c r="E7" s="32">
        <v>337</v>
      </c>
      <c r="F7" s="32">
        <v>4</v>
      </c>
      <c r="G7" s="32">
        <v>1</v>
      </c>
      <c r="H7" s="32">
        <v>81146</v>
      </c>
      <c r="I7" s="32" t="s">
        <v>17</v>
      </c>
      <c r="J7" s="32">
        <v>16418423</v>
      </c>
      <c r="K7" s="32" t="s">
        <v>2858</v>
      </c>
      <c r="L7" s="38" t="s">
        <v>2860</v>
      </c>
      <c r="M7" s="34">
        <v>149900</v>
      </c>
      <c r="N7" s="35">
        <f t="shared" si="2"/>
        <v>0.75</v>
      </c>
      <c r="O7" s="34">
        <f t="shared" si="0"/>
        <v>37475</v>
      </c>
      <c r="P7" s="32" t="s">
        <v>16</v>
      </c>
    </row>
    <row r="8" spans="1:16" x14ac:dyDescent="0.35">
      <c r="A8" s="32" t="str">
        <f t="shared" si="1"/>
        <v>2024 JAN-DEC DISC 75%</v>
      </c>
      <c r="B8" s="33">
        <f t="shared" si="1"/>
        <v>46121</v>
      </c>
      <c r="C8" s="33">
        <f t="shared" si="1"/>
        <v>46127</v>
      </c>
      <c r="D8" s="32">
        <v>3281</v>
      </c>
      <c r="E8" s="32">
        <v>337</v>
      </c>
      <c r="F8" s="32">
        <v>4</v>
      </c>
      <c r="G8" s="32">
        <v>1</v>
      </c>
      <c r="H8" s="32">
        <v>81146</v>
      </c>
      <c r="I8" s="32" t="s">
        <v>17</v>
      </c>
      <c r="J8" s="32">
        <v>16418441</v>
      </c>
      <c r="K8" s="32" t="s">
        <v>2858</v>
      </c>
      <c r="L8" s="38" t="s">
        <v>2861</v>
      </c>
      <c r="M8" s="34">
        <v>149900</v>
      </c>
      <c r="N8" s="35">
        <f t="shared" si="2"/>
        <v>0.75</v>
      </c>
      <c r="O8" s="34">
        <f t="shared" si="0"/>
        <v>37475</v>
      </c>
      <c r="P8" s="32" t="s">
        <v>16</v>
      </c>
    </row>
    <row r="9" spans="1:16" x14ac:dyDescent="0.35">
      <c r="A9" s="32" t="str">
        <f t="shared" si="1"/>
        <v>2024 JAN-DEC DISC 75%</v>
      </c>
      <c r="B9" s="33">
        <f t="shared" si="1"/>
        <v>46121</v>
      </c>
      <c r="C9" s="33">
        <f t="shared" si="1"/>
        <v>46127</v>
      </c>
      <c r="D9" s="32">
        <v>3281</v>
      </c>
      <c r="E9" s="32">
        <v>337</v>
      </c>
      <c r="F9" s="32">
        <v>4</v>
      </c>
      <c r="G9" s="32">
        <v>1</v>
      </c>
      <c r="H9" s="32">
        <v>81421</v>
      </c>
      <c r="I9" s="32" t="s">
        <v>17</v>
      </c>
      <c r="J9" s="32">
        <v>16418450</v>
      </c>
      <c r="K9" s="32" t="s">
        <v>2862</v>
      </c>
      <c r="L9" s="38" t="s">
        <v>2863</v>
      </c>
      <c r="M9" s="34">
        <v>189900</v>
      </c>
      <c r="N9" s="35">
        <f t="shared" si="2"/>
        <v>0.75</v>
      </c>
      <c r="O9" s="34">
        <f t="shared" si="0"/>
        <v>47475</v>
      </c>
      <c r="P9" s="32" t="s">
        <v>16</v>
      </c>
    </row>
    <row r="10" spans="1:16" x14ac:dyDescent="0.35">
      <c r="A10" s="32" t="str">
        <f t="shared" si="1"/>
        <v>2024 JAN-DEC DISC 75%</v>
      </c>
      <c r="B10" s="33">
        <f t="shared" si="1"/>
        <v>46121</v>
      </c>
      <c r="C10" s="33">
        <f t="shared" si="1"/>
        <v>46127</v>
      </c>
      <c r="D10" s="32">
        <v>3281</v>
      </c>
      <c r="E10" s="32">
        <v>337</v>
      </c>
      <c r="F10" s="32">
        <v>4</v>
      </c>
      <c r="G10" s="32">
        <v>1</v>
      </c>
      <c r="H10" s="32">
        <v>81421</v>
      </c>
      <c r="I10" s="32" t="s">
        <v>17</v>
      </c>
      <c r="J10" s="32">
        <v>16418469</v>
      </c>
      <c r="K10" s="32" t="s">
        <v>2862</v>
      </c>
      <c r="L10" s="38" t="s">
        <v>2864</v>
      </c>
      <c r="M10" s="34">
        <v>189900</v>
      </c>
      <c r="N10" s="35">
        <f t="shared" si="2"/>
        <v>0.75</v>
      </c>
      <c r="O10" s="34">
        <f t="shared" si="0"/>
        <v>47475</v>
      </c>
      <c r="P10" s="32" t="s">
        <v>16</v>
      </c>
    </row>
    <row r="11" spans="1:16" x14ac:dyDescent="0.35">
      <c r="A11" s="32" t="str">
        <f t="shared" si="1"/>
        <v>2024 JAN-DEC DISC 75%</v>
      </c>
      <c r="B11" s="33">
        <f t="shared" si="1"/>
        <v>46121</v>
      </c>
      <c r="C11" s="33">
        <f t="shared" si="1"/>
        <v>46127</v>
      </c>
      <c r="D11" s="32">
        <v>3281</v>
      </c>
      <c r="E11" s="32">
        <v>337</v>
      </c>
      <c r="F11" s="32">
        <v>4</v>
      </c>
      <c r="G11" s="32">
        <v>1</v>
      </c>
      <c r="H11" s="32">
        <v>81421</v>
      </c>
      <c r="I11" s="32" t="s">
        <v>17</v>
      </c>
      <c r="J11" s="32">
        <v>16418487</v>
      </c>
      <c r="K11" s="32" t="s">
        <v>2862</v>
      </c>
      <c r="L11" s="38" t="s">
        <v>2865</v>
      </c>
      <c r="M11" s="34">
        <v>189900</v>
      </c>
      <c r="N11" s="35">
        <f t="shared" si="2"/>
        <v>0.75</v>
      </c>
      <c r="O11" s="34">
        <f t="shared" si="0"/>
        <v>47475</v>
      </c>
      <c r="P11" s="32" t="s">
        <v>16</v>
      </c>
    </row>
    <row r="12" spans="1:16" x14ac:dyDescent="0.35">
      <c r="A12" s="32" t="str">
        <f t="shared" si="1"/>
        <v>2024 JAN-DEC DISC 75%</v>
      </c>
      <c r="B12" s="33">
        <f t="shared" si="1"/>
        <v>46121</v>
      </c>
      <c r="C12" s="33">
        <f t="shared" si="1"/>
        <v>46127</v>
      </c>
      <c r="D12" s="32">
        <v>3281</v>
      </c>
      <c r="E12" s="32">
        <v>337</v>
      </c>
      <c r="F12" s="32">
        <v>4</v>
      </c>
      <c r="G12" s="32">
        <v>1</v>
      </c>
      <c r="H12" s="32">
        <v>80920</v>
      </c>
      <c r="I12" s="32" t="s">
        <v>17</v>
      </c>
      <c r="J12" s="32">
        <v>13493204</v>
      </c>
      <c r="K12" s="32" t="s">
        <v>2866</v>
      </c>
      <c r="L12" s="38" t="s">
        <v>2867</v>
      </c>
      <c r="M12" s="34">
        <v>149900</v>
      </c>
      <c r="N12" s="35">
        <f t="shared" si="2"/>
        <v>0.75</v>
      </c>
      <c r="O12" s="34">
        <f t="shared" si="0"/>
        <v>37475</v>
      </c>
      <c r="P12" s="32" t="s">
        <v>16</v>
      </c>
    </row>
    <row r="13" spans="1:16" x14ac:dyDescent="0.35">
      <c r="A13" s="32" t="str">
        <f t="shared" si="1"/>
        <v>2024 JAN-DEC DISC 75%</v>
      </c>
      <c r="B13" s="33">
        <f t="shared" si="1"/>
        <v>46121</v>
      </c>
      <c r="C13" s="33">
        <f t="shared" si="1"/>
        <v>46127</v>
      </c>
      <c r="D13" s="32">
        <v>3281</v>
      </c>
      <c r="E13" s="32">
        <v>337</v>
      </c>
      <c r="F13" s="32">
        <v>4</v>
      </c>
      <c r="G13" s="32">
        <v>1</v>
      </c>
      <c r="H13" s="32">
        <v>80920</v>
      </c>
      <c r="I13" s="32" t="s">
        <v>17</v>
      </c>
      <c r="J13" s="32">
        <v>13493213</v>
      </c>
      <c r="K13" s="32" t="s">
        <v>2866</v>
      </c>
      <c r="L13" s="38" t="s">
        <v>2868</v>
      </c>
      <c r="M13" s="34">
        <v>149900</v>
      </c>
      <c r="N13" s="35">
        <f t="shared" si="2"/>
        <v>0.75</v>
      </c>
      <c r="O13" s="34">
        <f t="shared" si="0"/>
        <v>37475</v>
      </c>
      <c r="P13" s="32" t="s">
        <v>16</v>
      </c>
    </row>
    <row r="14" spans="1:16" x14ac:dyDescent="0.35">
      <c r="A14" s="32" t="str">
        <f t="shared" si="1"/>
        <v>2024 JAN-DEC DISC 75%</v>
      </c>
      <c r="B14" s="33">
        <f t="shared" si="1"/>
        <v>46121</v>
      </c>
      <c r="C14" s="33">
        <f t="shared" si="1"/>
        <v>46127</v>
      </c>
      <c r="D14" s="32">
        <v>3281</v>
      </c>
      <c r="E14" s="32">
        <v>337</v>
      </c>
      <c r="F14" s="32">
        <v>4</v>
      </c>
      <c r="G14" s="32">
        <v>1</v>
      </c>
      <c r="H14" s="32">
        <v>80920</v>
      </c>
      <c r="I14" s="32" t="s">
        <v>17</v>
      </c>
      <c r="J14" s="32">
        <v>13493222</v>
      </c>
      <c r="K14" s="32" t="s">
        <v>2866</v>
      </c>
      <c r="L14" s="38" t="s">
        <v>2869</v>
      </c>
      <c r="M14" s="34">
        <v>149900</v>
      </c>
      <c r="N14" s="35">
        <f t="shared" si="2"/>
        <v>0.75</v>
      </c>
      <c r="O14" s="34">
        <f t="shared" si="0"/>
        <v>37475</v>
      </c>
      <c r="P14" s="32" t="s">
        <v>16</v>
      </c>
    </row>
    <row r="15" spans="1:16" x14ac:dyDescent="0.35">
      <c r="A15" s="32" t="str">
        <f t="shared" si="1"/>
        <v>2024 JAN-DEC DISC 75%</v>
      </c>
      <c r="B15" s="33">
        <f t="shared" si="1"/>
        <v>46121</v>
      </c>
      <c r="C15" s="33">
        <f t="shared" si="1"/>
        <v>46127</v>
      </c>
      <c r="D15" s="32">
        <v>3281</v>
      </c>
      <c r="E15" s="32">
        <v>337</v>
      </c>
      <c r="F15" s="32">
        <v>4</v>
      </c>
      <c r="G15" s="32">
        <v>1</v>
      </c>
      <c r="H15" s="32">
        <v>80920</v>
      </c>
      <c r="I15" s="32" t="s">
        <v>17</v>
      </c>
      <c r="J15" s="32">
        <v>13493231</v>
      </c>
      <c r="K15" s="32" t="s">
        <v>2866</v>
      </c>
      <c r="L15" s="38" t="s">
        <v>2870</v>
      </c>
      <c r="M15" s="34">
        <v>149900</v>
      </c>
      <c r="N15" s="35">
        <f t="shared" si="2"/>
        <v>0.75</v>
      </c>
      <c r="O15" s="34">
        <f t="shared" si="0"/>
        <v>37475</v>
      </c>
      <c r="P15" s="32" t="s">
        <v>16</v>
      </c>
    </row>
    <row r="16" spans="1:16" x14ac:dyDescent="0.35">
      <c r="A16" s="32" t="str">
        <f t="shared" si="1"/>
        <v>2024 JAN-DEC DISC 75%</v>
      </c>
      <c r="B16" s="33">
        <f t="shared" si="1"/>
        <v>46121</v>
      </c>
      <c r="C16" s="33">
        <f t="shared" si="1"/>
        <v>46127</v>
      </c>
      <c r="D16" s="32">
        <v>3281</v>
      </c>
      <c r="E16" s="32">
        <v>337</v>
      </c>
      <c r="F16" s="32">
        <v>4</v>
      </c>
      <c r="G16" s="32">
        <v>1</v>
      </c>
      <c r="H16" s="32">
        <v>80920</v>
      </c>
      <c r="I16" s="32" t="s">
        <v>17</v>
      </c>
      <c r="J16" s="32">
        <v>15634487</v>
      </c>
      <c r="K16" s="32" t="s">
        <v>2871</v>
      </c>
      <c r="L16" s="38" t="s">
        <v>2872</v>
      </c>
      <c r="M16" s="34">
        <v>189900</v>
      </c>
      <c r="N16" s="35">
        <f t="shared" si="2"/>
        <v>0.75</v>
      </c>
      <c r="O16" s="34">
        <f t="shared" si="0"/>
        <v>47475</v>
      </c>
      <c r="P16" s="32" t="s">
        <v>16</v>
      </c>
    </row>
    <row r="17" spans="1:16" x14ac:dyDescent="0.35">
      <c r="A17" s="32" t="str">
        <f t="shared" si="1"/>
        <v>2024 JAN-DEC DISC 75%</v>
      </c>
      <c r="B17" s="33">
        <f t="shared" si="1"/>
        <v>46121</v>
      </c>
      <c r="C17" s="33">
        <f t="shared" si="1"/>
        <v>46127</v>
      </c>
      <c r="D17" s="32">
        <v>3281</v>
      </c>
      <c r="E17" s="32">
        <v>337</v>
      </c>
      <c r="F17" s="32">
        <v>4</v>
      </c>
      <c r="G17" s="32">
        <v>1</v>
      </c>
      <c r="H17" s="32">
        <v>80920</v>
      </c>
      <c r="I17" s="32" t="s">
        <v>17</v>
      </c>
      <c r="J17" s="32">
        <v>15634496</v>
      </c>
      <c r="K17" s="32" t="s">
        <v>2871</v>
      </c>
      <c r="L17" s="38" t="s">
        <v>2873</v>
      </c>
      <c r="M17" s="34">
        <v>189900</v>
      </c>
      <c r="N17" s="35">
        <f t="shared" si="2"/>
        <v>0.75</v>
      </c>
      <c r="O17" s="34">
        <f t="shared" si="0"/>
        <v>47475</v>
      </c>
      <c r="P17" s="32" t="s">
        <v>16</v>
      </c>
    </row>
    <row r="18" spans="1:16" x14ac:dyDescent="0.35">
      <c r="A18" s="32" t="str">
        <f t="shared" si="1"/>
        <v>2024 JAN-DEC DISC 75%</v>
      </c>
      <c r="B18" s="33">
        <f t="shared" si="1"/>
        <v>46121</v>
      </c>
      <c r="C18" s="33">
        <f t="shared" si="1"/>
        <v>46127</v>
      </c>
      <c r="D18" s="32">
        <v>3281</v>
      </c>
      <c r="E18" s="32">
        <v>337</v>
      </c>
      <c r="F18" s="32">
        <v>4</v>
      </c>
      <c r="G18" s="32">
        <v>1</v>
      </c>
      <c r="H18" s="32">
        <v>80920</v>
      </c>
      <c r="I18" s="32" t="s">
        <v>17</v>
      </c>
      <c r="J18" s="32">
        <v>15634503</v>
      </c>
      <c r="K18" s="32" t="s">
        <v>2871</v>
      </c>
      <c r="L18" s="38" t="s">
        <v>2874</v>
      </c>
      <c r="M18" s="34">
        <v>189900</v>
      </c>
      <c r="N18" s="35">
        <f t="shared" si="2"/>
        <v>0.75</v>
      </c>
      <c r="O18" s="34">
        <f t="shared" si="0"/>
        <v>47475</v>
      </c>
      <c r="P18" s="32" t="s">
        <v>16</v>
      </c>
    </row>
    <row r="19" spans="1:16" x14ac:dyDescent="0.35">
      <c r="A19" s="32" t="str">
        <f t="shared" si="1"/>
        <v>2024 JAN-DEC DISC 75%</v>
      </c>
      <c r="B19" s="33">
        <f t="shared" si="1"/>
        <v>46121</v>
      </c>
      <c r="C19" s="33">
        <f t="shared" si="1"/>
        <v>46127</v>
      </c>
      <c r="D19" s="32">
        <v>3281</v>
      </c>
      <c r="E19" s="32">
        <v>337</v>
      </c>
      <c r="F19" s="32">
        <v>4</v>
      </c>
      <c r="G19" s="32">
        <v>1</v>
      </c>
      <c r="H19" s="32">
        <v>80920</v>
      </c>
      <c r="I19" s="32" t="s">
        <v>17</v>
      </c>
      <c r="J19" s="32">
        <v>15634512</v>
      </c>
      <c r="K19" s="32" t="s">
        <v>2871</v>
      </c>
      <c r="L19" s="38" t="s">
        <v>2875</v>
      </c>
      <c r="M19" s="34">
        <v>189900</v>
      </c>
      <c r="N19" s="35">
        <f t="shared" si="2"/>
        <v>0.75</v>
      </c>
      <c r="O19" s="34">
        <f t="shared" si="0"/>
        <v>47475</v>
      </c>
      <c r="P19" s="32" t="s">
        <v>16</v>
      </c>
    </row>
    <row r="20" spans="1:16" x14ac:dyDescent="0.35">
      <c r="A20" s="32" t="str">
        <f t="shared" ref="A20:C35" si="3">A19</f>
        <v>2024 JAN-DEC DISC 75%</v>
      </c>
      <c r="B20" s="33">
        <f t="shared" si="3"/>
        <v>46121</v>
      </c>
      <c r="C20" s="33">
        <f t="shared" si="3"/>
        <v>46127</v>
      </c>
      <c r="D20" s="32">
        <v>3281</v>
      </c>
      <c r="E20" s="32">
        <v>337</v>
      </c>
      <c r="F20" s="32">
        <v>4</v>
      </c>
      <c r="G20" s="32">
        <v>1</v>
      </c>
      <c r="H20" s="32">
        <v>80920</v>
      </c>
      <c r="I20" s="32" t="s">
        <v>17</v>
      </c>
      <c r="J20" s="32">
        <v>15634521</v>
      </c>
      <c r="K20" s="32" t="s">
        <v>2876</v>
      </c>
      <c r="L20" s="38" t="s">
        <v>2877</v>
      </c>
      <c r="M20" s="34">
        <v>189900</v>
      </c>
      <c r="N20" s="35">
        <f t="shared" si="2"/>
        <v>0.75</v>
      </c>
      <c r="O20" s="34">
        <f t="shared" si="0"/>
        <v>47475</v>
      </c>
      <c r="P20" s="32" t="s">
        <v>16</v>
      </c>
    </row>
    <row r="21" spans="1:16" x14ac:dyDescent="0.35">
      <c r="A21" s="32" t="str">
        <f t="shared" si="3"/>
        <v>2024 JAN-DEC DISC 75%</v>
      </c>
      <c r="B21" s="33">
        <f t="shared" si="3"/>
        <v>46121</v>
      </c>
      <c r="C21" s="33">
        <f t="shared" si="3"/>
        <v>46127</v>
      </c>
      <c r="D21" s="32">
        <v>3281</v>
      </c>
      <c r="E21" s="32">
        <v>337</v>
      </c>
      <c r="F21" s="32">
        <v>4</v>
      </c>
      <c r="G21" s="32">
        <v>1</v>
      </c>
      <c r="H21" s="32">
        <v>80920</v>
      </c>
      <c r="I21" s="32" t="s">
        <v>17</v>
      </c>
      <c r="J21" s="32">
        <v>15634530</v>
      </c>
      <c r="K21" s="32" t="s">
        <v>2876</v>
      </c>
      <c r="L21" s="38" t="s">
        <v>2878</v>
      </c>
      <c r="M21" s="34">
        <v>189900</v>
      </c>
      <c r="N21" s="35">
        <f t="shared" si="2"/>
        <v>0.75</v>
      </c>
      <c r="O21" s="34">
        <f t="shared" si="0"/>
        <v>47475</v>
      </c>
      <c r="P21" s="32" t="s">
        <v>16</v>
      </c>
    </row>
    <row r="22" spans="1:16" x14ac:dyDescent="0.35">
      <c r="A22" s="32" t="str">
        <f t="shared" si="3"/>
        <v>2024 JAN-DEC DISC 75%</v>
      </c>
      <c r="B22" s="33">
        <f t="shared" si="3"/>
        <v>46121</v>
      </c>
      <c r="C22" s="33">
        <f t="shared" si="3"/>
        <v>46127</v>
      </c>
      <c r="D22" s="32">
        <v>3281</v>
      </c>
      <c r="E22" s="32">
        <v>337</v>
      </c>
      <c r="F22" s="32">
        <v>4</v>
      </c>
      <c r="G22" s="32">
        <v>1</v>
      </c>
      <c r="H22" s="32">
        <v>80920</v>
      </c>
      <c r="I22" s="32" t="s">
        <v>17</v>
      </c>
      <c r="J22" s="32">
        <v>15634549</v>
      </c>
      <c r="K22" s="32" t="s">
        <v>2876</v>
      </c>
      <c r="L22" s="38" t="s">
        <v>2879</v>
      </c>
      <c r="M22" s="34">
        <v>189900</v>
      </c>
      <c r="N22" s="35">
        <f t="shared" si="2"/>
        <v>0.75</v>
      </c>
      <c r="O22" s="34">
        <f t="shared" si="0"/>
        <v>47475</v>
      </c>
      <c r="P22" s="32" t="s">
        <v>16</v>
      </c>
    </row>
    <row r="23" spans="1:16" x14ac:dyDescent="0.35">
      <c r="A23" s="32" t="str">
        <f t="shared" si="3"/>
        <v>2024 JAN-DEC DISC 75%</v>
      </c>
      <c r="B23" s="33">
        <f t="shared" si="3"/>
        <v>46121</v>
      </c>
      <c r="C23" s="33">
        <f t="shared" si="3"/>
        <v>46127</v>
      </c>
      <c r="D23" s="32">
        <v>3281</v>
      </c>
      <c r="E23" s="32">
        <v>337</v>
      </c>
      <c r="F23" s="32">
        <v>4</v>
      </c>
      <c r="G23" s="32">
        <v>1</v>
      </c>
      <c r="H23" s="32">
        <v>80920</v>
      </c>
      <c r="I23" s="32" t="s">
        <v>17</v>
      </c>
      <c r="J23" s="32">
        <v>15634558</v>
      </c>
      <c r="K23" s="32" t="s">
        <v>2876</v>
      </c>
      <c r="L23" s="38" t="s">
        <v>2880</v>
      </c>
      <c r="M23" s="34">
        <v>189900</v>
      </c>
      <c r="N23" s="35">
        <f t="shared" si="2"/>
        <v>0.75</v>
      </c>
      <c r="O23" s="34">
        <f t="shared" si="0"/>
        <v>47475</v>
      </c>
      <c r="P23" s="32" t="s">
        <v>16</v>
      </c>
    </row>
    <row r="24" spans="1:16" x14ac:dyDescent="0.35">
      <c r="A24" s="32" t="str">
        <f t="shared" si="3"/>
        <v>2024 JAN-DEC DISC 75%</v>
      </c>
      <c r="B24" s="33">
        <f t="shared" si="3"/>
        <v>46121</v>
      </c>
      <c r="C24" s="33">
        <f t="shared" si="3"/>
        <v>46127</v>
      </c>
      <c r="D24" s="32">
        <v>3281</v>
      </c>
      <c r="E24" s="32">
        <v>337</v>
      </c>
      <c r="F24" s="32">
        <v>4</v>
      </c>
      <c r="G24" s="32">
        <v>1</v>
      </c>
      <c r="H24" s="32">
        <v>81676</v>
      </c>
      <c r="I24" s="32" t="s">
        <v>17</v>
      </c>
      <c r="J24" s="32">
        <v>15372233</v>
      </c>
      <c r="K24" s="32" t="s">
        <v>2881</v>
      </c>
      <c r="L24" s="38" t="s">
        <v>2882</v>
      </c>
      <c r="M24" s="34">
        <v>149900</v>
      </c>
      <c r="N24" s="35">
        <f t="shared" si="2"/>
        <v>0.75</v>
      </c>
      <c r="O24" s="34">
        <f t="shared" si="0"/>
        <v>37475</v>
      </c>
      <c r="P24" s="32" t="s">
        <v>16</v>
      </c>
    </row>
    <row r="25" spans="1:16" x14ac:dyDescent="0.35">
      <c r="A25" s="32" t="str">
        <f t="shared" si="3"/>
        <v>2024 JAN-DEC DISC 75%</v>
      </c>
      <c r="B25" s="33">
        <f t="shared" si="3"/>
        <v>46121</v>
      </c>
      <c r="C25" s="33">
        <f t="shared" si="3"/>
        <v>46127</v>
      </c>
      <c r="D25" s="32">
        <v>3281</v>
      </c>
      <c r="E25" s="32">
        <v>337</v>
      </c>
      <c r="F25" s="32">
        <v>4</v>
      </c>
      <c r="G25" s="32">
        <v>1</v>
      </c>
      <c r="H25" s="32">
        <v>81676</v>
      </c>
      <c r="I25" s="32" t="s">
        <v>17</v>
      </c>
      <c r="J25" s="32">
        <v>15372242</v>
      </c>
      <c r="K25" s="32" t="s">
        <v>2881</v>
      </c>
      <c r="L25" s="38" t="s">
        <v>2883</v>
      </c>
      <c r="M25" s="34">
        <v>149900</v>
      </c>
      <c r="N25" s="35">
        <f t="shared" si="2"/>
        <v>0.75</v>
      </c>
      <c r="O25" s="34">
        <f t="shared" si="0"/>
        <v>37475</v>
      </c>
      <c r="P25" s="32" t="s">
        <v>16</v>
      </c>
    </row>
    <row r="26" spans="1:16" x14ac:dyDescent="0.35">
      <c r="A26" s="32" t="str">
        <f t="shared" si="3"/>
        <v>2024 JAN-DEC DISC 75%</v>
      </c>
      <c r="B26" s="33">
        <f t="shared" si="3"/>
        <v>46121</v>
      </c>
      <c r="C26" s="33">
        <f t="shared" si="3"/>
        <v>46127</v>
      </c>
      <c r="D26" s="32">
        <v>3281</v>
      </c>
      <c r="E26" s="32">
        <v>337</v>
      </c>
      <c r="F26" s="32">
        <v>4</v>
      </c>
      <c r="G26" s="32">
        <v>1</v>
      </c>
      <c r="H26" s="32">
        <v>81676</v>
      </c>
      <c r="I26" s="32" t="s">
        <v>17</v>
      </c>
      <c r="J26" s="32">
        <v>15372260</v>
      </c>
      <c r="K26" s="32" t="s">
        <v>2881</v>
      </c>
      <c r="L26" s="38" t="s">
        <v>2884</v>
      </c>
      <c r="M26" s="34">
        <v>149900</v>
      </c>
      <c r="N26" s="35">
        <f t="shared" si="2"/>
        <v>0.75</v>
      </c>
      <c r="O26" s="34">
        <f t="shared" si="0"/>
        <v>37475</v>
      </c>
      <c r="P26" s="32" t="s">
        <v>16</v>
      </c>
    </row>
    <row r="27" spans="1:16" x14ac:dyDescent="0.35">
      <c r="A27" s="32" t="str">
        <f t="shared" si="3"/>
        <v>2024 JAN-DEC DISC 75%</v>
      </c>
      <c r="B27" s="33">
        <f t="shared" si="3"/>
        <v>46121</v>
      </c>
      <c r="C27" s="33">
        <f t="shared" si="3"/>
        <v>46127</v>
      </c>
      <c r="D27" s="32">
        <v>3281</v>
      </c>
      <c r="E27" s="32">
        <v>337</v>
      </c>
      <c r="F27" s="32">
        <v>4</v>
      </c>
      <c r="G27" s="32">
        <v>3</v>
      </c>
      <c r="H27" s="32">
        <v>81146</v>
      </c>
      <c r="I27" s="32" t="s">
        <v>17</v>
      </c>
      <c r="J27" s="32">
        <v>15372153</v>
      </c>
      <c r="K27" s="32" t="s">
        <v>2885</v>
      </c>
      <c r="L27" s="38" t="s">
        <v>2886</v>
      </c>
      <c r="M27" s="34">
        <v>249900</v>
      </c>
      <c r="N27" s="35">
        <f t="shared" si="2"/>
        <v>0.75</v>
      </c>
      <c r="O27" s="34">
        <f t="shared" si="0"/>
        <v>62475</v>
      </c>
      <c r="P27" s="32" t="s">
        <v>16</v>
      </c>
    </row>
    <row r="28" spans="1:16" x14ac:dyDescent="0.35">
      <c r="A28" s="32" t="str">
        <f t="shared" si="3"/>
        <v>2024 JAN-DEC DISC 75%</v>
      </c>
      <c r="B28" s="33">
        <f t="shared" si="3"/>
        <v>46121</v>
      </c>
      <c r="C28" s="33">
        <f t="shared" si="3"/>
        <v>46127</v>
      </c>
      <c r="D28" s="32">
        <v>3281</v>
      </c>
      <c r="E28" s="32">
        <v>337</v>
      </c>
      <c r="F28" s="32">
        <v>4</v>
      </c>
      <c r="G28" s="32">
        <v>3</v>
      </c>
      <c r="H28" s="32">
        <v>81146</v>
      </c>
      <c r="I28" s="32" t="s">
        <v>17</v>
      </c>
      <c r="J28" s="32">
        <v>15372162</v>
      </c>
      <c r="K28" s="32" t="s">
        <v>2885</v>
      </c>
      <c r="L28" s="38" t="s">
        <v>2887</v>
      </c>
      <c r="M28" s="34">
        <v>249900</v>
      </c>
      <c r="N28" s="35">
        <f t="shared" si="2"/>
        <v>0.75</v>
      </c>
      <c r="O28" s="34">
        <f t="shared" si="0"/>
        <v>62475</v>
      </c>
      <c r="P28" s="32" t="s">
        <v>16</v>
      </c>
    </row>
    <row r="29" spans="1:16" x14ac:dyDescent="0.35">
      <c r="A29" s="32" t="str">
        <f t="shared" si="3"/>
        <v>2024 JAN-DEC DISC 75%</v>
      </c>
      <c r="B29" s="33">
        <f t="shared" si="3"/>
        <v>46121</v>
      </c>
      <c r="C29" s="33">
        <f t="shared" si="3"/>
        <v>46127</v>
      </c>
      <c r="D29" s="32">
        <v>3281</v>
      </c>
      <c r="E29" s="32">
        <v>337</v>
      </c>
      <c r="F29" s="32">
        <v>4</v>
      </c>
      <c r="G29" s="32">
        <v>3</v>
      </c>
      <c r="H29" s="32">
        <v>81146</v>
      </c>
      <c r="I29" s="32" t="s">
        <v>17</v>
      </c>
      <c r="J29" s="32">
        <v>15372171</v>
      </c>
      <c r="K29" s="32" t="s">
        <v>2885</v>
      </c>
      <c r="L29" s="38" t="s">
        <v>2888</v>
      </c>
      <c r="M29" s="34">
        <v>249900</v>
      </c>
      <c r="N29" s="35">
        <f t="shared" si="2"/>
        <v>0.75</v>
      </c>
      <c r="O29" s="34">
        <f t="shared" si="0"/>
        <v>62475</v>
      </c>
      <c r="P29" s="32" t="s">
        <v>16</v>
      </c>
    </row>
    <row r="30" spans="1:16" x14ac:dyDescent="0.35">
      <c r="A30" s="32" t="str">
        <f t="shared" si="3"/>
        <v>2024 JAN-DEC DISC 75%</v>
      </c>
      <c r="B30" s="33">
        <f t="shared" si="3"/>
        <v>46121</v>
      </c>
      <c r="C30" s="33">
        <f t="shared" si="3"/>
        <v>46127</v>
      </c>
      <c r="D30" s="32">
        <v>3281</v>
      </c>
      <c r="E30" s="32">
        <v>337</v>
      </c>
      <c r="F30" s="32">
        <v>4</v>
      </c>
      <c r="G30" s="32">
        <v>3</v>
      </c>
      <c r="H30" s="32">
        <v>81146</v>
      </c>
      <c r="I30" s="32" t="s">
        <v>17</v>
      </c>
      <c r="J30" s="32">
        <v>15372180</v>
      </c>
      <c r="K30" s="32" t="s">
        <v>2885</v>
      </c>
      <c r="L30" s="38" t="s">
        <v>2889</v>
      </c>
      <c r="M30" s="34">
        <v>249900</v>
      </c>
      <c r="N30" s="35">
        <f t="shared" si="2"/>
        <v>0.75</v>
      </c>
      <c r="O30" s="34">
        <f t="shared" si="0"/>
        <v>62475</v>
      </c>
      <c r="P30" s="32" t="s">
        <v>16</v>
      </c>
    </row>
    <row r="31" spans="1:16" x14ac:dyDescent="0.35">
      <c r="A31" s="32" t="str">
        <f t="shared" si="3"/>
        <v>2024 JAN-DEC DISC 75%</v>
      </c>
      <c r="B31" s="33">
        <f t="shared" si="3"/>
        <v>46121</v>
      </c>
      <c r="C31" s="33">
        <f t="shared" si="3"/>
        <v>46127</v>
      </c>
      <c r="D31" s="32">
        <v>3281</v>
      </c>
      <c r="E31" s="32">
        <v>337</v>
      </c>
      <c r="F31" s="32">
        <v>4</v>
      </c>
      <c r="G31" s="32">
        <v>3</v>
      </c>
      <c r="H31" s="32">
        <v>80920</v>
      </c>
      <c r="I31" s="32" t="s">
        <v>17</v>
      </c>
      <c r="J31" s="32">
        <v>15371798</v>
      </c>
      <c r="K31" s="32" t="s">
        <v>2890</v>
      </c>
      <c r="L31" s="38" t="s">
        <v>2891</v>
      </c>
      <c r="M31" s="34">
        <v>239900</v>
      </c>
      <c r="N31" s="35">
        <f t="shared" si="2"/>
        <v>0.75</v>
      </c>
      <c r="O31" s="34">
        <f t="shared" si="0"/>
        <v>59975</v>
      </c>
      <c r="P31" s="32" t="s">
        <v>16</v>
      </c>
    </row>
    <row r="32" spans="1:16" x14ac:dyDescent="0.35">
      <c r="A32" s="32" t="str">
        <f t="shared" si="3"/>
        <v>2024 JAN-DEC DISC 75%</v>
      </c>
      <c r="B32" s="33">
        <f t="shared" si="3"/>
        <v>46121</v>
      </c>
      <c r="C32" s="33">
        <f t="shared" si="3"/>
        <v>46127</v>
      </c>
      <c r="D32" s="32">
        <v>3281</v>
      </c>
      <c r="E32" s="32">
        <v>337</v>
      </c>
      <c r="F32" s="32">
        <v>4</v>
      </c>
      <c r="G32" s="32">
        <v>3</v>
      </c>
      <c r="H32" s="32">
        <v>80920</v>
      </c>
      <c r="I32" s="32" t="s">
        <v>17</v>
      </c>
      <c r="J32" s="32">
        <v>15371805</v>
      </c>
      <c r="K32" s="32" t="s">
        <v>2890</v>
      </c>
      <c r="L32" s="38" t="s">
        <v>2892</v>
      </c>
      <c r="M32" s="34">
        <v>239900</v>
      </c>
      <c r="N32" s="35">
        <f t="shared" si="2"/>
        <v>0.75</v>
      </c>
      <c r="O32" s="34">
        <f t="shared" si="0"/>
        <v>59975</v>
      </c>
      <c r="P32" s="32" t="s">
        <v>16</v>
      </c>
    </row>
    <row r="33" spans="1:16" x14ac:dyDescent="0.35">
      <c r="A33" s="32" t="str">
        <f t="shared" si="3"/>
        <v>2024 JAN-DEC DISC 75%</v>
      </c>
      <c r="B33" s="33">
        <f t="shared" si="3"/>
        <v>46121</v>
      </c>
      <c r="C33" s="33">
        <f t="shared" si="3"/>
        <v>46127</v>
      </c>
      <c r="D33" s="32">
        <v>3281</v>
      </c>
      <c r="E33" s="32">
        <v>337</v>
      </c>
      <c r="F33" s="32">
        <v>4</v>
      </c>
      <c r="G33" s="32">
        <v>3</v>
      </c>
      <c r="H33" s="32">
        <v>80920</v>
      </c>
      <c r="I33" s="32" t="s">
        <v>17</v>
      </c>
      <c r="J33" s="32">
        <v>15371814</v>
      </c>
      <c r="K33" s="32" t="s">
        <v>2890</v>
      </c>
      <c r="L33" s="38" t="s">
        <v>2893</v>
      </c>
      <c r="M33" s="34">
        <v>239900</v>
      </c>
      <c r="N33" s="35">
        <f t="shared" si="2"/>
        <v>0.75</v>
      </c>
      <c r="O33" s="34">
        <f t="shared" si="0"/>
        <v>59975</v>
      </c>
      <c r="P33" s="32" t="s">
        <v>16</v>
      </c>
    </row>
    <row r="34" spans="1:16" x14ac:dyDescent="0.35">
      <c r="A34" s="32" t="str">
        <f t="shared" si="3"/>
        <v>2024 JAN-DEC DISC 75%</v>
      </c>
      <c r="B34" s="33">
        <f t="shared" si="3"/>
        <v>46121</v>
      </c>
      <c r="C34" s="33">
        <f t="shared" si="3"/>
        <v>46127</v>
      </c>
      <c r="D34" s="32">
        <v>3281</v>
      </c>
      <c r="E34" s="32">
        <v>337</v>
      </c>
      <c r="F34" s="32">
        <v>4</v>
      </c>
      <c r="G34" s="32">
        <v>3</v>
      </c>
      <c r="H34" s="32">
        <v>80920</v>
      </c>
      <c r="I34" s="32" t="s">
        <v>17</v>
      </c>
      <c r="J34" s="32">
        <v>15371823</v>
      </c>
      <c r="K34" s="32" t="s">
        <v>2890</v>
      </c>
      <c r="L34" s="38" t="s">
        <v>2894</v>
      </c>
      <c r="M34" s="34">
        <v>239900</v>
      </c>
      <c r="N34" s="35">
        <f t="shared" si="2"/>
        <v>0.75</v>
      </c>
      <c r="O34" s="34">
        <f t="shared" si="0"/>
        <v>59975</v>
      </c>
      <c r="P34" s="32" t="s">
        <v>16</v>
      </c>
    </row>
    <row r="35" spans="1:16" x14ac:dyDescent="0.35">
      <c r="A35" s="32" t="str">
        <f t="shared" si="3"/>
        <v>2024 JAN-DEC DISC 75%</v>
      </c>
      <c r="B35" s="33">
        <f t="shared" si="3"/>
        <v>46121</v>
      </c>
      <c r="C35" s="33">
        <f t="shared" si="3"/>
        <v>46127</v>
      </c>
      <c r="D35" s="32">
        <v>3281</v>
      </c>
      <c r="E35" s="32">
        <v>337</v>
      </c>
      <c r="F35" s="32">
        <v>4</v>
      </c>
      <c r="G35" s="32">
        <v>5</v>
      </c>
      <c r="H35" s="32">
        <v>81146</v>
      </c>
      <c r="I35" s="32" t="s">
        <v>17</v>
      </c>
      <c r="J35" s="32">
        <v>15634683</v>
      </c>
      <c r="K35" s="32" t="s">
        <v>2895</v>
      </c>
      <c r="L35" s="38" t="s">
        <v>2896</v>
      </c>
      <c r="M35" s="34">
        <v>269900</v>
      </c>
      <c r="N35" s="35">
        <f t="shared" si="2"/>
        <v>0.75</v>
      </c>
      <c r="O35" s="34">
        <f t="shared" si="0"/>
        <v>67475</v>
      </c>
      <c r="P35" s="32" t="s">
        <v>16</v>
      </c>
    </row>
    <row r="36" spans="1:16" x14ac:dyDescent="0.35">
      <c r="A36" s="32" t="str">
        <f t="shared" ref="A36:C51" si="4">A35</f>
        <v>2024 JAN-DEC DISC 75%</v>
      </c>
      <c r="B36" s="33">
        <f t="shared" si="4"/>
        <v>46121</v>
      </c>
      <c r="C36" s="33">
        <f t="shared" si="4"/>
        <v>46127</v>
      </c>
      <c r="D36" s="32">
        <v>3281</v>
      </c>
      <c r="E36" s="32">
        <v>337</v>
      </c>
      <c r="F36" s="32">
        <v>4</v>
      </c>
      <c r="G36" s="32">
        <v>5</v>
      </c>
      <c r="H36" s="32">
        <v>81146</v>
      </c>
      <c r="I36" s="32" t="s">
        <v>17</v>
      </c>
      <c r="J36" s="32">
        <v>15634692</v>
      </c>
      <c r="K36" s="32" t="s">
        <v>2895</v>
      </c>
      <c r="L36" s="38" t="s">
        <v>2897</v>
      </c>
      <c r="M36" s="34">
        <v>269900</v>
      </c>
      <c r="N36" s="35">
        <f t="shared" si="2"/>
        <v>0.75</v>
      </c>
      <c r="O36" s="34">
        <f t="shared" si="0"/>
        <v>67475</v>
      </c>
      <c r="P36" s="32" t="s">
        <v>16</v>
      </c>
    </row>
    <row r="37" spans="1:16" x14ac:dyDescent="0.35">
      <c r="A37" s="32" t="str">
        <f t="shared" si="4"/>
        <v>2024 JAN-DEC DISC 75%</v>
      </c>
      <c r="B37" s="33">
        <f t="shared" si="4"/>
        <v>46121</v>
      </c>
      <c r="C37" s="33">
        <f t="shared" si="4"/>
        <v>46127</v>
      </c>
      <c r="D37" s="32">
        <v>3281</v>
      </c>
      <c r="E37" s="32">
        <v>337</v>
      </c>
      <c r="F37" s="32">
        <v>4</v>
      </c>
      <c r="G37" s="32">
        <v>5</v>
      </c>
      <c r="H37" s="32">
        <v>81146</v>
      </c>
      <c r="I37" s="32" t="s">
        <v>17</v>
      </c>
      <c r="J37" s="32">
        <v>15634709</v>
      </c>
      <c r="K37" s="32" t="s">
        <v>2895</v>
      </c>
      <c r="L37" s="38" t="s">
        <v>2898</v>
      </c>
      <c r="M37" s="34">
        <v>269900</v>
      </c>
      <c r="N37" s="35">
        <f t="shared" si="2"/>
        <v>0.75</v>
      </c>
      <c r="O37" s="34">
        <f t="shared" si="0"/>
        <v>67475</v>
      </c>
      <c r="P37" s="32" t="s">
        <v>16</v>
      </c>
    </row>
    <row r="38" spans="1:16" x14ac:dyDescent="0.35">
      <c r="A38" s="32" t="str">
        <f t="shared" si="4"/>
        <v>2024 JAN-DEC DISC 75%</v>
      </c>
      <c r="B38" s="33">
        <f t="shared" si="4"/>
        <v>46121</v>
      </c>
      <c r="C38" s="33">
        <f t="shared" si="4"/>
        <v>46127</v>
      </c>
      <c r="D38" s="32">
        <v>3281</v>
      </c>
      <c r="E38" s="32">
        <v>337</v>
      </c>
      <c r="F38" s="32">
        <v>4</v>
      </c>
      <c r="G38" s="32">
        <v>5</v>
      </c>
      <c r="H38" s="32">
        <v>81146</v>
      </c>
      <c r="I38" s="32" t="s">
        <v>17</v>
      </c>
      <c r="J38" s="32">
        <v>15634718</v>
      </c>
      <c r="K38" s="32" t="s">
        <v>2895</v>
      </c>
      <c r="L38" s="38" t="s">
        <v>2899</v>
      </c>
      <c r="M38" s="34">
        <v>269900</v>
      </c>
      <c r="N38" s="35">
        <f t="shared" si="2"/>
        <v>0.75</v>
      </c>
      <c r="O38" s="34">
        <f t="shared" si="0"/>
        <v>67475</v>
      </c>
      <c r="P38" s="32" t="s">
        <v>16</v>
      </c>
    </row>
    <row r="39" spans="1:16" x14ac:dyDescent="0.35">
      <c r="A39" s="32" t="str">
        <f t="shared" si="4"/>
        <v>2024 JAN-DEC DISC 75%</v>
      </c>
      <c r="B39" s="33">
        <f t="shared" si="4"/>
        <v>46121</v>
      </c>
      <c r="C39" s="33">
        <f t="shared" si="4"/>
        <v>46127</v>
      </c>
      <c r="D39" s="32">
        <v>3281</v>
      </c>
      <c r="E39" s="32">
        <v>337</v>
      </c>
      <c r="F39" s="32">
        <v>4</v>
      </c>
      <c r="G39" s="32">
        <v>5</v>
      </c>
      <c r="H39" s="32">
        <v>81421</v>
      </c>
      <c r="I39" s="32" t="s">
        <v>17</v>
      </c>
      <c r="J39" s="32">
        <v>76638850</v>
      </c>
      <c r="K39" s="32" t="s">
        <v>2900</v>
      </c>
      <c r="L39" s="38" t="s">
        <v>2901</v>
      </c>
      <c r="M39" s="34">
        <v>169900</v>
      </c>
      <c r="N39" s="35">
        <f t="shared" si="2"/>
        <v>0.75</v>
      </c>
      <c r="O39" s="34">
        <f t="shared" si="0"/>
        <v>42475</v>
      </c>
      <c r="P39" s="32" t="s">
        <v>16</v>
      </c>
    </row>
    <row r="40" spans="1:16" x14ac:dyDescent="0.35">
      <c r="A40" s="32" t="str">
        <f t="shared" si="4"/>
        <v>2024 JAN-DEC DISC 75%</v>
      </c>
      <c r="B40" s="33">
        <f t="shared" si="4"/>
        <v>46121</v>
      </c>
      <c r="C40" s="33">
        <f t="shared" si="4"/>
        <v>46127</v>
      </c>
      <c r="D40" s="32">
        <v>3281</v>
      </c>
      <c r="E40" s="32">
        <v>337</v>
      </c>
      <c r="F40" s="32">
        <v>4</v>
      </c>
      <c r="G40" s="32">
        <v>5</v>
      </c>
      <c r="H40" s="32">
        <v>81421</v>
      </c>
      <c r="I40" s="32" t="s">
        <v>17</v>
      </c>
      <c r="J40" s="32">
        <v>76638869</v>
      </c>
      <c r="K40" s="32" t="s">
        <v>2900</v>
      </c>
      <c r="L40" s="38" t="s">
        <v>2902</v>
      </c>
      <c r="M40" s="34">
        <v>169900</v>
      </c>
      <c r="N40" s="35">
        <f t="shared" si="2"/>
        <v>0.75</v>
      </c>
      <c r="O40" s="34">
        <f t="shared" si="0"/>
        <v>42475</v>
      </c>
      <c r="P40" s="32" t="s">
        <v>16</v>
      </c>
    </row>
    <row r="41" spans="1:16" x14ac:dyDescent="0.35">
      <c r="A41" s="32" t="str">
        <f t="shared" si="4"/>
        <v>2024 JAN-DEC DISC 75%</v>
      </c>
      <c r="B41" s="33">
        <f t="shared" si="4"/>
        <v>46121</v>
      </c>
      <c r="C41" s="33">
        <f t="shared" si="4"/>
        <v>46127</v>
      </c>
      <c r="D41" s="32">
        <v>3281</v>
      </c>
      <c r="E41" s="32">
        <v>337</v>
      </c>
      <c r="F41" s="32">
        <v>4</v>
      </c>
      <c r="G41" s="32">
        <v>5</v>
      </c>
      <c r="H41" s="32">
        <v>81421</v>
      </c>
      <c r="I41" s="32" t="s">
        <v>17</v>
      </c>
      <c r="J41" s="32">
        <v>76638878</v>
      </c>
      <c r="K41" s="32" t="s">
        <v>2900</v>
      </c>
      <c r="L41" s="38" t="s">
        <v>2903</v>
      </c>
      <c r="M41" s="34">
        <v>169900</v>
      </c>
      <c r="N41" s="35">
        <f t="shared" si="2"/>
        <v>0.75</v>
      </c>
      <c r="O41" s="34">
        <f t="shared" si="0"/>
        <v>42475</v>
      </c>
      <c r="P41" s="32" t="s">
        <v>16</v>
      </c>
    </row>
    <row r="42" spans="1:16" x14ac:dyDescent="0.35">
      <c r="A42" s="32" t="str">
        <f t="shared" si="4"/>
        <v>2024 JAN-DEC DISC 75%</v>
      </c>
      <c r="B42" s="33">
        <f t="shared" si="4"/>
        <v>46121</v>
      </c>
      <c r="C42" s="33">
        <f t="shared" si="4"/>
        <v>46127</v>
      </c>
      <c r="D42" s="32">
        <v>3281</v>
      </c>
      <c r="E42" s="32">
        <v>337</v>
      </c>
      <c r="F42" s="32">
        <v>4</v>
      </c>
      <c r="G42" s="32">
        <v>5</v>
      </c>
      <c r="H42" s="32">
        <v>81421</v>
      </c>
      <c r="I42" s="32" t="s">
        <v>17</v>
      </c>
      <c r="J42" s="32">
        <v>76638887</v>
      </c>
      <c r="K42" s="32" t="s">
        <v>2900</v>
      </c>
      <c r="L42" s="38" t="s">
        <v>2904</v>
      </c>
      <c r="M42" s="34">
        <v>169900</v>
      </c>
      <c r="N42" s="35">
        <f t="shared" si="2"/>
        <v>0.75</v>
      </c>
      <c r="O42" s="34">
        <f t="shared" si="0"/>
        <v>42475</v>
      </c>
      <c r="P42" s="32" t="s">
        <v>16</v>
      </c>
    </row>
    <row r="43" spans="1:16" x14ac:dyDescent="0.35">
      <c r="A43" s="32" t="str">
        <f t="shared" si="4"/>
        <v>2024 JAN-DEC DISC 75%</v>
      </c>
      <c r="B43" s="33">
        <f t="shared" si="4"/>
        <v>46121</v>
      </c>
      <c r="C43" s="33">
        <f t="shared" si="4"/>
        <v>46127</v>
      </c>
      <c r="D43" s="32">
        <v>3281</v>
      </c>
      <c r="E43" s="32">
        <v>337</v>
      </c>
      <c r="F43" s="32">
        <v>4</v>
      </c>
      <c r="G43" s="32">
        <v>5</v>
      </c>
      <c r="H43" s="32">
        <v>81421</v>
      </c>
      <c r="I43" s="32" t="s">
        <v>17</v>
      </c>
      <c r="J43" s="32">
        <v>15634647</v>
      </c>
      <c r="K43" s="32" t="s">
        <v>2905</v>
      </c>
      <c r="L43" s="38" t="s">
        <v>2906</v>
      </c>
      <c r="M43" s="34">
        <v>269900</v>
      </c>
      <c r="N43" s="35">
        <f t="shared" si="2"/>
        <v>0.75</v>
      </c>
      <c r="O43" s="34">
        <f t="shared" si="0"/>
        <v>67475</v>
      </c>
      <c r="P43" s="32" t="s">
        <v>16</v>
      </c>
    </row>
    <row r="44" spans="1:16" x14ac:dyDescent="0.35">
      <c r="A44" s="32" t="str">
        <f t="shared" si="4"/>
        <v>2024 JAN-DEC DISC 75%</v>
      </c>
      <c r="B44" s="33">
        <f t="shared" si="4"/>
        <v>46121</v>
      </c>
      <c r="C44" s="33">
        <f t="shared" si="4"/>
        <v>46127</v>
      </c>
      <c r="D44" s="32">
        <v>3281</v>
      </c>
      <c r="E44" s="32">
        <v>337</v>
      </c>
      <c r="F44" s="32">
        <v>4</v>
      </c>
      <c r="G44" s="32">
        <v>5</v>
      </c>
      <c r="H44" s="32">
        <v>81421</v>
      </c>
      <c r="I44" s="32" t="s">
        <v>17</v>
      </c>
      <c r="J44" s="32">
        <v>15634656</v>
      </c>
      <c r="K44" s="32" t="s">
        <v>2905</v>
      </c>
      <c r="L44" s="38" t="s">
        <v>2907</v>
      </c>
      <c r="M44" s="34">
        <v>269900</v>
      </c>
      <c r="N44" s="35">
        <f t="shared" si="2"/>
        <v>0.75</v>
      </c>
      <c r="O44" s="34">
        <f t="shared" si="0"/>
        <v>67475</v>
      </c>
      <c r="P44" s="32" t="s">
        <v>16</v>
      </c>
    </row>
    <row r="45" spans="1:16" x14ac:dyDescent="0.35">
      <c r="A45" s="32" t="str">
        <f t="shared" si="4"/>
        <v>2024 JAN-DEC DISC 75%</v>
      </c>
      <c r="B45" s="33">
        <f t="shared" si="4"/>
        <v>46121</v>
      </c>
      <c r="C45" s="33">
        <f t="shared" si="4"/>
        <v>46127</v>
      </c>
      <c r="D45" s="32">
        <v>3281</v>
      </c>
      <c r="E45" s="32">
        <v>337</v>
      </c>
      <c r="F45" s="32">
        <v>4</v>
      </c>
      <c r="G45" s="32">
        <v>5</v>
      </c>
      <c r="H45" s="32">
        <v>81421</v>
      </c>
      <c r="I45" s="32" t="s">
        <v>17</v>
      </c>
      <c r="J45" s="32">
        <v>15634665</v>
      </c>
      <c r="K45" s="32" t="s">
        <v>2905</v>
      </c>
      <c r="L45" s="38" t="s">
        <v>2908</v>
      </c>
      <c r="M45" s="34">
        <v>269900</v>
      </c>
      <c r="N45" s="35">
        <f t="shared" si="2"/>
        <v>0.75</v>
      </c>
      <c r="O45" s="34">
        <f t="shared" si="0"/>
        <v>67475</v>
      </c>
      <c r="P45" s="32" t="s">
        <v>16</v>
      </c>
    </row>
    <row r="46" spans="1:16" x14ac:dyDescent="0.35">
      <c r="A46" s="32" t="str">
        <f t="shared" si="4"/>
        <v>2024 JAN-DEC DISC 75%</v>
      </c>
      <c r="B46" s="33">
        <f t="shared" si="4"/>
        <v>46121</v>
      </c>
      <c r="C46" s="33">
        <f t="shared" si="4"/>
        <v>46127</v>
      </c>
      <c r="D46" s="32">
        <v>3281</v>
      </c>
      <c r="E46" s="32">
        <v>337</v>
      </c>
      <c r="F46" s="32">
        <v>4</v>
      </c>
      <c r="G46" s="32">
        <v>5</v>
      </c>
      <c r="H46" s="32">
        <v>81421</v>
      </c>
      <c r="I46" s="32" t="s">
        <v>17</v>
      </c>
      <c r="J46" s="32">
        <v>15634674</v>
      </c>
      <c r="K46" s="32" t="s">
        <v>2905</v>
      </c>
      <c r="L46" s="38" t="s">
        <v>2909</v>
      </c>
      <c r="M46" s="34">
        <v>269900</v>
      </c>
      <c r="N46" s="35">
        <f t="shared" si="2"/>
        <v>0.75</v>
      </c>
      <c r="O46" s="34">
        <f t="shared" si="0"/>
        <v>67475</v>
      </c>
      <c r="P46" s="32" t="s">
        <v>16</v>
      </c>
    </row>
    <row r="47" spans="1:16" x14ac:dyDescent="0.35">
      <c r="A47" s="32" t="str">
        <f t="shared" si="4"/>
        <v>2024 JAN-DEC DISC 75%</v>
      </c>
      <c r="B47" s="33">
        <f t="shared" si="4"/>
        <v>46121</v>
      </c>
      <c r="C47" s="33">
        <f t="shared" si="4"/>
        <v>46127</v>
      </c>
      <c r="D47" s="32">
        <v>3281</v>
      </c>
      <c r="E47" s="32">
        <v>337</v>
      </c>
      <c r="F47" s="32">
        <v>4</v>
      </c>
      <c r="G47" s="32">
        <v>5</v>
      </c>
      <c r="H47" s="32">
        <v>81421</v>
      </c>
      <c r="I47" s="32" t="s">
        <v>17</v>
      </c>
      <c r="J47" s="32">
        <v>15641282</v>
      </c>
      <c r="K47" s="32" t="s">
        <v>2910</v>
      </c>
      <c r="L47" s="38" t="s">
        <v>2911</v>
      </c>
      <c r="M47" s="34">
        <v>249900</v>
      </c>
      <c r="N47" s="35">
        <f t="shared" si="2"/>
        <v>0.75</v>
      </c>
      <c r="O47" s="34">
        <f t="shared" si="0"/>
        <v>62475</v>
      </c>
      <c r="P47" s="32" t="s">
        <v>16</v>
      </c>
    </row>
    <row r="48" spans="1:16" x14ac:dyDescent="0.35">
      <c r="A48" s="32" t="str">
        <f t="shared" si="4"/>
        <v>2024 JAN-DEC DISC 75%</v>
      </c>
      <c r="B48" s="33">
        <f t="shared" si="4"/>
        <v>46121</v>
      </c>
      <c r="C48" s="33">
        <f t="shared" si="4"/>
        <v>46127</v>
      </c>
      <c r="D48" s="32">
        <v>3281</v>
      </c>
      <c r="E48" s="32">
        <v>337</v>
      </c>
      <c r="F48" s="32">
        <v>4</v>
      </c>
      <c r="G48" s="32">
        <v>5</v>
      </c>
      <c r="H48" s="32">
        <v>81421</v>
      </c>
      <c r="I48" s="32" t="s">
        <v>17</v>
      </c>
      <c r="J48" s="32">
        <v>15641291</v>
      </c>
      <c r="K48" s="32" t="s">
        <v>2910</v>
      </c>
      <c r="L48" s="38" t="s">
        <v>2912</v>
      </c>
      <c r="M48" s="34">
        <v>249900</v>
      </c>
      <c r="N48" s="35">
        <f t="shared" si="2"/>
        <v>0.75</v>
      </c>
      <c r="O48" s="34">
        <f t="shared" si="0"/>
        <v>62475</v>
      </c>
      <c r="P48" s="32" t="s">
        <v>16</v>
      </c>
    </row>
    <row r="49" spans="1:16" x14ac:dyDescent="0.35">
      <c r="A49" s="32" t="str">
        <f t="shared" si="4"/>
        <v>2024 JAN-DEC DISC 75%</v>
      </c>
      <c r="B49" s="33">
        <f t="shared" si="4"/>
        <v>46121</v>
      </c>
      <c r="C49" s="33">
        <f t="shared" si="4"/>
        <v>46127</v>
      </c>
      <c r="D49" s="32">
        <v>3281</v>
      </c>
      <c r="E49" s="32">
        <v>337</v>
      </c>
      <c r="F49" s="32">
        <v>4</v>
      </c>
      <c r="G49" s="32">
        <v>5</v>
      </c>
      <c r="H49" s="32">
        <v>81421</v>
      </c>
      <c r="I49" s="32" t="s">
        <v>17</v>
      </c>
      <c r="J49" s="32">
        <v>15641308</v>
      </c>
      <c r="K49" s="32" t="s">
        <v>2910</v>
      </c>
      <c r="L49" s="38" t="s">
        <v>2913</v>
      </c>
      <c r="M49" s="34">
        <v>249900</v>
      </c>
      <c r="N49" s="35">
        <f t="shared" si="2"/>
        <v>0.75</v>
      </c>
      <c r="O49" s="34">
        <f t="shared" si="0"/>
        <v>62475</v>
      </c>
      <c r="P49" s="32" t="s">
        <v>16</v>
      </c>
    </row>
    <row r="50" spans="1:16" x14ac:dyDescent="0.35">
      <c r="A50" s="32" t="str">
        <f t="shared" si="4"/>
        <v>2024 JAN-DEC DISC 75%</v>
      </c>
      <c r="B50" s="33">
        <f t="shared" si="4"/>
        <v>46121</v>
      </c>
      <c r="C50" s="33">
        <f t="shared" si="4"/>
        <v>46127</v>
      </c>
      <c r="D50" s="32">
        <v>3281</v>
      </c>
      <c r="E50" s="32">
        <v>337</v>
      </c>
      <c r="F50" s="32">
        <v>4</v>
      </c>
      <c r="G50" s="32">
        <v>5</v>
      </c>
      <c r="H50" s="32">
        <v>81421</v>
      </c>
      <c r="I50" s="32" t="s">
        <v>17</v>
      </c>
      <c r="J50" s="32">
        <v>15641317</v>
      </c>
      <c r="K50" s="32" t="s">
        <v>2910</v>
      </c>
      <c r="L50" s="38" t="s">
        <v>2914</v>
      </c>
      <c r="M50" s="34">
        <v>249900</v>
      </c>
      <c r="N50" s="35">
        <f t="shared" si="2"/>
        <v>0.75</v>
      </c>
      <c r="O50" s="34">
        <f t="shared" si="0"/>
        <v>62475</v>
      </c>
      <c r="P50" s="32" t="s">
        <v>16</v>
      </c>
    </row>
    <row r="51" spans="1:16" x14ac:dyDescent="0.35">
      <c r="A51" s="32" t="str">
        <f t="shared" si="4"/>
        <v>2024 JAN-DEC DISC 75%</v>
      </c>
      <c r="B51" s="33">
        <f t="shared" si="4"/>
        <v>46121</v>
      </c>
      <c r="C51" s="33">
        <f t="shared" si="4"/>
        <v>46127</v>
      </c>
      <c r="D51" s="32">
        <v>3281</v>
      </c>
      <c r="E51" s="32">
        <v>337</v>
      </c>
      <c r="F51" s="32">
        <v>4</v>
      </c>
      <c r="G51" s="32">
        <v>5</v>
      </c>
      <c r="H51" s="32">
        <v>190</v>
      </c>
      <c r="I51" s="32" t="s">
        <v>17</v>
      </c>
      <c r="J51" s="32">
        <v>15372199</v>
      </c>
      <c r="K51" s="32" t="s">
        <v>2915</v>
      </c>
      <c r="L51" s="38" t="s">
        <v>2916</v>
      </c>
      <c r="M51" s="34">
        <v>259000</v>
      </c>
      <c r="N51" s="35">
        <f t="shared" si="2"/>
        <v>0.75</v>
      </c>
      <c r="O51" s="34">
        <f t="shared" si="0"/>
        <v>64750</v>
      </c>
      <c r="P51" s="32" t="s">
        <v>16</v>
      </c>
    </row>
    <row r="52" spans="1:16" x14ac:dyDescent="0.35">
      <c r="A52" s="32" t="str">
        <f t="shared" ref="A52:C67" si="5">A51</f>
        <v>2024 JAN-DEC DISC 75%</v>
      </c>
      <c r="B52" s="33">
        <f t="shared" si="5"/>
        <v>46121</v>
      </c>
      <c r="C52" s="33">
        <f t="shared" si="5"/>
        <v>46127</v>
      </c>
      <c r="D52" s="32">
        <v>3281</v>
      </c>
      <c r="E52" s="32">
        <v>337</v>
      </c>
      <c r="F52" s="32">
        <v>4</v>
      </c>
      <c r="G52" s="32">
        <v>5</v>
      </c>
      <c r="H52" s="32">
        <v>190</v>
      </c>
      <c r="I52" s="32" t="s">
        <v>17</v>
      </c>
      <c r="J52" s="32">
        <v>15372206</v>
      </c>
      <c r="K52" s="32" t="s">
        <v>2915</v>
      </c>
      <c r="L52" s="38" t="s">
        <v>2917</v>
      </c>
      <c r="M52" s="34">
        <v>259000</v>
      </c>
      <c r="N52" s="35">
        <f t="shared" si="2"/>
        <v>0.75</v>
      </c>
      <c r="O52" s="34">
        <f t="shared" si="0"/>
        <v>64750</v>
      </c>
      <c r="P52" s="32" t="s">
        <v>16</v>
      </c>
    </row>
    <row r="53" spans="1:16" x14ac:dyDescent="0.35">
      <c r="A53" s="32" t="str">
        <f t="shared" si="5"/>
        <v>2024 JAN-DEC DISC 75%</v>
      </c>
      <c r="B53" s="33">
        <f t="shared" si="5"/>
        <v>46121</v>
      </c>
      <c r="C53" s="33">
        <f t="shared" si="5"/>
        <v>46127</v>
      </c>
      <c r="D53" s="32">
        <v>3281</v>
      </c>
      <c r="E53" s="32">
        <v>337</v>
      </c>
      <c r="F53" s="32">
        <v>4</v>
      </c>
      <c r="G53" s="32">
        <v>5</v>
      </c>
      <c r="H53" s="32">
        <v>190</v>
      </c>
      <c r="I53" s="32" t="s">
        <v>17</v>
      </c>
      <c r="J53" s="32">
        <v>15372215</v>
      </c>
      <c r="K53" s="32" t="s">
        <v>2915</v>
      </c>
      <c r="L53" s="38" t="s">
        <v>2918</v>
      </c>
      <c r="M53" s="34">
        <v>259000</v>
      </c>
      <c r="N53" s="35">
        <f t="shared" si="2"/>
        <v>0.75</v>
      </c>
      <c r="O53" s="34">
        <f t="shared" si="0"/>
        <v>64750</v>
      </c>
      <c r="P53" s="32" t="s">
        <v>16</v>
      </c>
    </row>
    <row r="54" spans="1:16" x14ac:dyDescent="0.35">
      <c r="A54" s="32" t="str">
        <f t="shared" si="5"/>
        <v>2024 JAN-DEC DISC 75%</v>
      </c>
      <c r="B54" s="33">
        <f t="shared" si="5"/>
        <v>46121</v>
      </c>
      <c r="C54" s="33">
        <f t="shared" si="5"/>
        <v>46127</v>
      </c>
      <c r="D54" s="32">
        <v>3281</v>
      </c>
      <c r="E54" s="32">
        <v>337</v>
      </c>
      <c r="F54" s="32">
        <v>4</v>
      </c>
      <c r="G54" s="32">
        <v>5</v>
      </c>
      <c r="H54" s="32">
        <v>190</v>
      </c>
      <c r="I54" s="32" t="s">
        <v>17</v>
      </c>
      <c r="J54" s="32">
        <v>15372224</v>
      </c>
      <c r="K54" s="32" t="s">
        <v>2915</v>
      </c>
      <c r="L54" s="38" t="s">
        <v>2919</v>
      </c>
      <c r="M54" s="34">
        <v>259000</v>
      </c>
      <c r="N54" s="35">
        <f t="shared" si="2"/>
        <v>0.75</v>
      </c>
      <c r="O54" s="34">
        <f t="shared" si="0"/>
        <v>64750</v>
      </c>
      <c r="P54" s="32" t="s">
        <v>16</v>
      </c>
    </row>
    <row r="55" spans="1:16" x14ac:dyDescent="0.35">
      <c r="A55" s="32" t="str">
        <f t="shared" si="5"/>
        <v>2024 JAN-DEC DISC 75%</v>
      </c>
      <c r="B55" s="33">
        <f t="shared" si="5"/>
        <v>46121</v>
      </c>
      <c r="C55" s="33">
        <f t="shared" si="5"/>
        <v>46127</v>
      </c>
      <c r="D55" s="32">
        <v>3281</v>
      </c>
      <c r="E55" s="32">
        <v>337</v>
      </c>
      <c r="F55" s="32">
        <v>4</v>
      </c>
      <c r="G55" s="32">
        <v>4</v>
      </c>
      <c r="H55" s="32">
        <v>81574</v>
      </c>
      <c r="I55" s="32" t="s">
        <v>17</v>
      </c>
      <c r="J55" s="32">
        <v>15372037</v>
      </c>
      <c r="K55" s="32" t="s">
        <v>2575</v>
      </c>
      <c r="L55" s="38" t="s">
        <v>2576</v>
      </c>
      <c r="M55" s="34">
        <v>319900</v>
      </c>
      <c r="N55" s="35">
        <f t="shared" si="2"/>
        <v>0.75</v>
      </c>
      <c r="O55" s="34">
        <f t="shared" si="0"/>
        <v>79975</v>
      </c>
      <c r="P55" s="32" t="s">
        <v>16</v>
      </c>
    </row>
    <row r="56" spans="1:16" x14ac:dyDescent="0.35">
      <c r="A56" s="32" t="str">
        <f t="shared" si="5"/>
        <v>2024 JAN-DEC DISC 75%</v>
      </c>
      <c r="B56" s="33">
        <f t="shared" si="5"/>
        <v>46121</v>
      </c>
      <c r="C56" s="33">
        <f t="shared" si="5"/>
        <v>46127</v>
      </c>
      <c r="D56" s="32">
        <v>3281</v>
      </c>
      <c r="E56" s="32">
        <v>337</v>
      </c>
      <c r="F56" s="32">
        <v>4</v>
      </c>
      <c r="G56" s="32">
        <v>4</v>
      </c>
      <c r="H56" s="32">
        <v>81574</v>
      </c>
      <c r="I56" s="32" t="s">
        <v>17</v>
      </c>
      <c r="J56" s="32">
        <v>15372046</v>
      </c>
      <c r="K56" s="32" t="s">
        <v>2575</v>
      </c>
      <c r="L56" s="38" t="s">
        <v>2578</v>
      </c>
      <c r="M56" s="34">
        <v>319900</v>
      </c>
      <c r="N56" s="35">
        <f t="shared" si="2"/>
        <v>0.75</v>
      </c>
      <c r="O56" s="34">
        <f t="shared" si="0"/>
        <v>79975</v>
      </c>
      <c r="P56" s="32" t="s">
        <v>16</v>
      </c>
    </row>
    <row r="57" spans="1:16" x14ac:dyDescent="0.35">
      <c r="A57" s="32" t="str">
        <f t="shared" si="5"/>
        <v>2024 JAN-DEC DISC 75%</v>
      </c>
      <c r="B57" s="33">
        <f t="shared" si="5"/>
        <v>46121</v>
      </c>
      <c r="C57" s="33">
        <f t="shared" si="5"/>
        <v>46127</v>
      </c>
      <c r="D57" s="32">
        <v>3281</v>
      </c>
      <c r="E57" s="32">
        <v>337</v>
      </c>
      <c r="F57" s="32">
        <v>4</v>
      </c>
      <c r="G57" s="32">
        <v>4</v>
      </c>
      <c r="H57" s="32">
        <v>81574</v>
      </c>
      <c r="I57" s="32" t="s">
        <v>17</v>
      </c>
      <c r="J57" s="32">
        <v>15372055</v>
      </c>
      <c r="K57" s="32" t="s">
        <v>2575</v>
      </c>
      <c r="L57" s="38" t="s">
        <v>2579</v>
      </c>
      <c r="M57" s="34">
        <v>319900</v>
      </c>
      <c r="N57" s="35">
        <f t="shared" si="2"/>
        <v>0.75</v>
      </c>
      <c r="O57" s="34">
        <f t="shared" si="0"/>
        <v>79975</v>
      </c>
      <c r="P57" s="32" t="s">
        <v>16</v>
      </c>
    </row>
    <row r="58" spans="1:16" x14ac:dyDescent="0.35">
      <c r="A58" s="32" t="str">
        <f t="shared" si="5"/>
        <v>2024 JAN-DEC DISC 75%</v>
      </c>
      <c r="B58" s="33">
        <f t="shared" si="5"/>
        <v>46121</v>
      </c>
      <c r="C58" s="33">
        <f t="shared" si="5"/>
        <v>46127</v>
      </c>
      <c r="D58" s="32">
        <v>3281</v>
      </c>
      <c r="E58" s="32">
        <v>337</v>
      </c>
      <c r="F58" s="32">
        <v>4</v>
      </c>
      <c r="G58" s="32">
        <v>4</v>
      </c>
      <c r="H58" s="32">
        <v>81574</v>
      </c>
      <c r="I58" s="32" t="s">
        <v>17</v>
      </c>
      <c r="J58" s="32">
        <v>15372064</v>
      </c>
      <c r="K58" s="32" t="s">
        <v>2575</v>
      </c>
      <c r="L58" s="38" t="s">
        <v>2580</v>
      </c>
      <c r="M58" s="34">
        <v>319900</v>
      </c>
      <c r="N58" s="35">
        <f t="shared" si="2"/>
        <v>0.75</v>
      </c>
      <c r="O58" s="34">
        <f t="shared" si="0"/>
        <v>79975</v>
      </c>
      <c r="P58" s="32" t="s">
        <v>16</v>
      </c>
    </row>
    <row r="59" spans="1:16" x14ac:dyDescent="0.35">
      <c r="A59" s="32" t="str">
        <f t="shared" si="5"/>
        <v>2024 JAN-DEC DISC 75%</v>
      </c>
      <c r="B59" s="33">
        <f t="shared" si="5"/>
        <v>46121</v>
      </c>
      <c r="C59" s="33">
        <f t="shared" si="5"/>
        <v>46127</v>
      </c>
      <c r="D59" s="32">
        <v>3281</v>
      </c>
      <c r="E59" s="32">
        <v>337</v>
      </c>
      <c r="F59" s="32">
        <v>4</v>
      </c>
      <c r="G59" s="32">
        <v>4</v>
      </c>
      <c r="H59" s="32">
        <v>81574</v>
      </c>
      <c r="I59" s="32" t="s">
        <v>17</v>
      </c>
      <c r="J59" s="32">
        <v>15372073</v>
      </c>
      <c r="K59" s="32" t="s">
        <v>2581</v>
      </c>
      <c r="L59" s="38" t="s">
        <v>2582</v>
      </c>
      <c r="M59" s="34">
        <v>319900</v>
      </c>
      <c r="N59" s="35">
        <f t="shared" si="2"/>
        <v>0.75</v>
      </c>
      <c r="O59" s="34">
        <f t="shared" si="0"/>
        <v>79975</v>
      </c>
      <c r="P59" s="32" t="s">
        <v>16</v>
      </c>
    </row>
    <row r="60" spans="1:16" x14ac:dyDescent="0.35">
      <c r="A60" s="32" t="str">
        <f t="shared" si="5"/>
        <v>2024 JAN-DEC DISC 75%</v>
      </c>
      <c r="B60" s="33">
        <f t="shared" si="5"/>
        <v>46121</v>
      </c>
      <c r="C60" s="33">
        <f t="shared" si="5"/>
        <v>46127</v>
      </c>
      <c r="D60" s="32">
        <v>3281</v>
      </c>
      <c r="E60" s="32">
        <v>337</v>
      </c>
      <c r="F60" s="32">
        <v>4</v>
      </c>
      <c r="G60" s="32">
        <v>4</v>
      </c>
      <c r="H60" s="32">
        <v>81574</v>
      </c>
      <c r="I60" s="32" t="s">
        <v>17</v>
      </c>
      <c r="J60" s="32">
        <v>15372082</v>
      </c>
      <c r="K60" s="32" t="s">
        <v>2581</v>
      </c>
      <c r="L60" s="38" t="s">
        <v>2583</v>
      </c>
      <c r="M60" s="34">
        <v>319900</v>
      </c>
      <c r="N60" s="35">
        <f t="shared" si="2"/>
        <v>0.75</v>
      </c>
      <c r="O60" s="34">
        <f t="shared" si="0"/>
        <v>79975</v>
      </c>
      <c r="P60" s="32" t="s">
        <v>16</v>
      </c>
    </row>
    <row r="61" spans="1:16" x14ac:dyDescent="0.35">
      <c r="A61" s="32" t="str">
        <f t="shared" si="5"/>
        <v>2024 JAN-DEC DISC 75%</v>
      </c>
      <c r="B61" s="33">
        <f t="shared" si="5"/>
        <v>46121</v>
      </c>
      <c r="C61" s="33">
        <f t="shared" si="5"/>
        <v>46127</v>
      </c>
      <c r="D61" s="32">
        <v>3281</v>
      </c>
      <c r="E61" s="32">
        <v>337</v>
      </c>
      <c r="F61" s="32">
        <v>4</v>
      </c>
      <c r="G61" s="32">
        <v>4</v>
      </c>
      <c r="H61" s="32">
        <v>81574</v>
      </c>
      <c r="I61" s="32" t="s">
        <v>17</v>
      </c>
      <c r="J61" s="32">
        <v>15372091</v>
      </c>
      <c r="K61" s="32" t="s">
        <v>2581</v>
      </c>
      <c r="L61" s="38" t="s">
        <v>2584</v>
      </c>
      <c r="M61" s="34">
        <v>319900</v>
      </c>
      <c r="N61" s="35">
        <f t="shared" si="2"/>
        <v>0.75</v>
      </c>
      <c r="O61" s="34">
        <f t="shared" si="0"/>
        <v>79975</v>
      </c>
      <c r="P61" s="32" t="s">
        <v>16</v>
      </c>
    </row>
    <row r="62" spans="1:16" x14ac:dyDescent="0.35">
      <c r="A62" s="32" t="str">
        <f t="shared" si="5"/>
        <v>2024 JAN-DEC DISC 75%</v>
      </c>
      <c r="B62" s="33">
        <f t="shared" si="5"/>
        <v>46121</v>
      </c>
      <c r="C62" s="33">
        <f t="shared" si="5"/>
        <v>46127</v>
      </c>
      <c r="D62" s="32">
        <v>3281</v>
      </c>
      <c r="E62" s="32">
        <v>337</v>
      </c>
      <c r="F62" s="32">
        <v>4</v>
      </c>
      <c r="G62" s="32">
        <v>4</v>
      </c>
      <c r="H62" s="32">
        <v>81574</v>
      </c>
      <c r="I62" s="32" t="s">
        <v>17</v>
      </c>
      <c r="J62" s="32">
        <v>15372108</v>
      </c>
      <c r="K62" s="32" t="s">
        <v>2581</v>
      </c>
      <c r="L62" s="38" t="s">
        <v>2585</v>
      </c>
      <c r="M62" s="34">
        <v>319900</v>
      </c>
      <c r="N62" s="35">
        <f t="shared" si="2"/>
        <v>0.75</v>
      </c>
      <c r="O62" s="34">
        <f t="shared" si="0"/>
        <v>79975</v>
      </c>
      <c r="P62" s="32" t="s">
        <v>16</v>
      </c>
    </row>
    <row r="63" spans="1:16" x14ac:dyDescent="0.35">
      <c r="A63" s="32" t="str">
        <f t="shared" si="5"/>
        <v>2024 JAN-DEC DISC 75%</v>
      </c>
      <c r="B63" s="33">
        <f t="shared" si="5"/>
        <v>46121</v>
      </c>
      <c r="C63" s="33">
        <f t="shared" si="5"/>
        <v>46127</v>
      </c>
      <c r="D63" s="32">
        <v>3281</v>
      </c>
      <c r="E63" s="32">
        <v>337</v>
      </c>
      <c r="F63" s="32">
        <v>4</v>
      </c>
      <c r="G63" s="32">
        <v>5</v>
      </c>
      <c r="H63" s="32">
        <v>81506</v>
      </c>
      <c r="I63" s="32" t="s">
        <v>17</v>
      </c>
      <c r="J63" s="32">
        <v>15634601</v>
      </c>
      <c r="K63" s="32" t="s">
        <v>2736</v>
      </c>
      <c r="L63" s="38" t="s">
        <v>6521</v>
      </c>
      <c r="M63" s="34">
        <v>299900</v>
      </c>
      <c r="N63" s="35">
        <f t="shared" si="2"/>
        <v>0.75</v>
      </c>
      <c r="O63" s="34">
        <f t="shared" si="0"/>
        <v>74975</v>
      </c>
      <c r="P63" s="32" t="s">
        <v>16</v>
      </c>
    </row>
    <row r="64" spans="1:16" x14ac:dyDescent="0.35">
      <c r="A64" s="32" t="str">
        <f t="shared" si="5"/>
        <v>2024 JAN-DEC DISC 75%</v>
      </c>
      <c r="B64" s="33">
        <f t="shared" si="5"/>
        <v>46121</v>
      </c>
      <c r="C64" s="33">
        <f t="shared" si="5"/>
        <v>46127</v>
      </c>
      <c r="D64" s="32">
        <v>3281</v>
      </c>
      <c r="E64" s="32">
        <v>337</v>
      </c>
      <c r="F64" s="32">
        <v>4</v>
      </c>
      <c r="G64" s="32">
        <v>5</v>
      </c>
      <c r="H64" s="32">
        <v>81506</v>
      </c>
      <c r="I64" s="32" t="s">
        <v>17</v>
      </c>
      <c r="J64" s="32">
        <v>15634610</v>
      </c>
      <c r="K64" s="32" t="s">
        <v>2736</v>
      </c>
      <c r="L64" s="38" t="s">
        <v>6522</v>
      </c>
      <c r="M64" s="34">
        <v>299900</v>
      </c>
      <c r="N64" s="35">
        <f t="shared" si="2"/>
        <v>0.75</v>
      </c>
      <c r="O64" s="34">
        <f t="shared" si="0"/>
        <v>74975</v>
      </c>
      <c r="P64" s="32" t="s">
        <v>16</v>
      </c>
    </row>
    <row r="65" spans="1:16" x14ac:dyDescent="0.35">
      <c r="A65" s="32" t="str">
        <f t="shared" si="5"/>
        <v>2024 JAN-DEC DISC 75%</v>
      </c>
      <c r="B65" s="33">
        <f t="shared" si="5"/>
        <v>46121</v>
      </c>
      <c r="C65" s="33">
        <f t="shared" si="5"/>
        <v>46127</v>
      </c>
      <c r="D65" s="32">
        <v>3281</v>
      </c>
      <c r="E65" s="32">
        <v>337</v>
      </c>
      <c r="F65" s="32">
        <v>4</v>
      </c>
      <c r="G65" s="32">
        <v>5</v>
      </c>
      <c r="H65" s="32">
        <v>81506</v>
      </c>
      <c r="I65" s="32" t="s">
        <v>17</v>
      </c>
      <c r="J65" s="32">
        <v>15634629</v>
      </c>
      <c r="K65" s="32" t="s">
        <v>2736</v>
      </c>
      <c r="L65" s="38" t="s">
        <v>6523</v>
      </c>
      <c r="M65" s="34">
        <v>299900</v>
      </c>
      <c r="N65" s="35">
        <f t="shared" si="2"/>
        <v>0.75</v>
      </c>
      <c r="O65" s="34">
        <f t="shared" si="0"/>
        <v>74975</v>
      </c>
      <c r="P65" s="32" t="s">
        <v>16</v>
      </c>
    </row>
    <row r="66" spans="1:16" x14ac:dyDescent="0.35">
      <c r="A66" s="32" t="str">
        <f t="shared" si="5"/>
        <v>2024 JAN-DEC DISC 75%</v>
      </c>
      <c r="B66" s="33">
        <f t="shared" si="5"/>
        <v>46121</v>
      </c>
      <c r="C66" s="33">
        <f t="shared" si="5"/>
        <v>46127</v>
      </c>
      <c r="D66" s="32">
        <v>3281</v>
      </c>
      <c r="E66" s="32">
        <v>337</v>
      </c>
      <c r="F66" s="32">
        <v>4</v>
      </c>
      <c r="G66" s="32">
        <v>5</v>
      </c>
      <c r="H66" s="32">
        <v>81506</v>
      </c>
      <c r="I66" s="32" t="s">
        <v>17</v>
      </c>
      <c r="J66" s="32">
        <v>15634638</v>
      </c>
      <c r="K66" s="32" t="s">
        <v>2736</v>
      </c>
      <c r="L66" s="38" t="s">
        <v>6524</v>
      </c>
      <c r="M66" s="34">
        <v>299900</v>
      </c>
      <c r="N66" s="35">
        <f t="shared" si="2"/>
        <v>0.75</v>
      </c>
      <c r="O66" s="34">
        <f t="shared" si="0"/>
        <v>74975</v>
      </c>
      <c r="P66" s="32" t="s">
        <v>16</v>
      </c>
    </row>
    <row r="67" spans="1:16" x14ac:dyDescent="0.35">
      <c r="A67" s="32" t="str">
        <f t="shared" si="5"/>
        <v>2024 JAN-DEC DISC 75%</v>
      </c>
      <c r="B67" s="33">
        <f t="shared" si="5"/>
        <v>46121</v>
      </c>
      <c r="C67" s="33">
        <f t="shared" si="5"/>
        <v>46127</v>
      </c>
      <c r="D67" s="32">
        <v>3281</v>
      </c>
      <c r="E67" s="32">
        <v>337</v>
      </c>
      <c r="F67" s="32">
        <v>4</v>
      </c>
      <c r="G67" s="32">
        <v>5</v>
      </c>
      <c r="H67" s="32">
        <v>81506</v>
      </c>
      <c r="I67" s="32" t="s">
        <v>17</v>
      </c>
      <c r="J67" s="32">
        <v>16418496</v>
      </c>
      <c r="K67" s="32" t="s">
        <v>2737</v>
      </c>
      <c r="L67" s="38" t="s">
        <v>2738</v>
      </c>
      <c r="M67" s="34">
        <v>299900</v>
      </c>
      <c r="N67" s="35">
        <f t="shared" si="2"/>
        <v>0.75</v>
      </c>
      <c r="O67" s="34">
        <f t="shared" ref="O67:O130" si="6">M67-((75*M67))/100</f>
        <v>74975</v>
      </c>
      <c r="P67" s="32" t="s">
        <v>16</v>
      </c>
    </row>
    <row r="68" spans="1:16" x14ac:dyDescent="0.35">
      <c r="A68" s="32" t="str">
        <f t="shared" ref="A68:C83" si="7">A67</f>
        <v>2024 JAN-DEC DISC 75%</v>
      </c>
      <c r="B68" s="33">
        <f t="shared" si="7"/>
        <v>46121</v>
      </c>
      <c r="C68" s="33">
        <f t="shared" si="7"/>
        <v>46127</v>
      </c>
      <c r="D68" s="32">
        <v>3281</v>
      </c>
      <c r="E68" s="32">
        <v>337</v>
      </c>
      <c r="F68" s="32">
        <v>4</v>
      </c>
      <c r="G68" s="32">
        <v>5</v>
      </c>
      <c r="H68" s="32">
        <v>81506</v>
      </c>
      <c r="I68" s="32" t="s">
        <v>17</v>
      </c>
      <c r="J68" s="32">
        <v>16418503</v>
      </c>
      <c r="K68" s="32" t="s">
        <v>2737</v>
      </c>
      <c r="L68" s="38" t="s">
        <v>2739</v>
      </c>
      <c r="M68" s="34">
        <v>299900</v>
      </c>
      <c r="N68" s="35">
        <f t="shared" ref="N68:N131" si="8">N67</f>
        <v>0.75</v>
      </c>
      <c r="O68" s="34">
        <f t="shared" si="6"/>
        <v>74975</v>
      </c>
      <c r="P68" s="32" t="s">
        <v>16</v>
      </c>
    </row>
    <row r="69" spans="1:16" x14ac:dyDescent="0.35">
      <c r="A69" s="32" t="str">
        <f t="shared" si="7"/>
        <v>2024 JAN-DEC DISC 75%</v>
      </c>
      <c r="B69" s="33">
        <f t="shared" si="7"/>
        <v>46121</v>
      </c>
      <c r="C69" s="33">
        <f t="shared" si="7"/>
        <v>46127</v>
      </c>
      <c r="D69" s="32">
        <v>3281</v>
      </c>
      <c r="E69" s="32">
        <v>337</v>
      </c>
      <c r="F69" s="32">
        <v>4</v>
      </c>
      <c r="G69" s="32">
        <v>5</v>
      </c>
      <c r="H69" s="32">
        <v>81506</v>
      </c>
      <c r="I69" s="32" t="s">
        <v>17</v>
      </c>
      <c r="J69" s="32">
        <v>16418512</v>
      </c>
      <c r="K69" s="32" t="s">
        <v>2737</v>
      </c>
      <c r="L69" s="38" t="s">
        <v>4825</v>
      </c>
      <c r="M69" s="34">
        <v>299900</v>
      </c>
      <c r="N69" s="35">
        <f t="shared" si="8"/>
        <v>0.75</v>
      </c>
      <c r="O69" s="34">
        <f t="shared" si="6"/>
        <v>74975</v>
      </c>
      <c r="P69" s="32" t="s">
        <v>16</v>
      </c>
    </row>
    <row r="70" spans="1:16" x14ac:dyDescent="0.35">
      <c r="A70" s="32" t="str">
        <f t="shared" si="7"/>
        <v>2024 JAN-DEC DISC 75%</v>
      </c>
      <c r="B70" s="33">
        <f t="shared" si="7"/>
        <v>46121</v>
      </c>
      <c r="C70" s="33">
        <f t="shared" si="7"/>
        <v>46127</v>
      </c>
      <c r="D70" s="32">
        <v>3281</v>
      </c>
      <c r="E70" s="32">
        <v>337</v>
      </c>
      <c r="F70" s="32">
        <v>4</v>
      </c>
      <c r="G70" s="32">
        <v>5</v>
      </c>
      <c r="H70" s="32">
        <v>81506</v>
      </c>
      <c r="I70" s="32" t="s">
        <v>17</v>
      </c>
      <c r="J70" s="32">
        <v>16418521</v>
      </c>
      <c r="K70" s="32" t="s">
        <v>2737</v>
      </c>
      <c r="L70" s="38" t="s">
        <v>2740</v>
      </c>
      <c r="M70" s="34">
        <v>299900</v>
      </c>
      <c r="N70" s="35">
        <f t="shared" si="8"/>
        <v>0.75</v>
      </c>
      <c r="O70" s="34">
        <f t="shared" si="6"/>
        <v>74975</v>
      </c>
      <c r="P70" s="32" t="s">
        <v>16</v>
      </c>
    </row>
    <row r="71" spans="1:16" x14ac:dyDescent="0.35">
      <c r="A71" s="32" t="str">
        <f t="shared" si="7"/>
        <v>2024 JAN-DEC DISC 75%</v>
      </c>
      <c r="B71" s="33">
        <f t="shared" si="7"/>
        <v>46121</v>
      </c>
      <c r="C71" s="33">
        <f t="shared" si="7"/>
        <v>46127</v>
      </c>
      <c r="D71" s="32">
        <v>3281</v>
      </c>
      <c r="E71" s="32">
        <v>337</v>
      </c>
      <c r="F71" s="32">
        <v>4</v>
      </c>
      <c r="G71" s="32">
        <v>5</v>
      </c>
      <c r="H71" s="32">
        <v>81506</v>
      </c>
      <c r="I71" s="32" t="s">
        <v>17</v>
      </c>
      <c r="J71" s="32">
        <v>15372313</v>
      </c>
      <c r="K71" s="32" t="s">
        <v>2570</v>
      </c>
      <c r="L71" s="38" t="s">
        <v>6525</v>
      </c>
      <c r="M71" s="34">
        <v>299900</v>
      </c>
      <c r="N71" s="35">
        <f t="shared" si="8"/>
        <v>0.75</v>
      </c>
      <c r="O71" s="34">
        <f t="shared" si="6"/>
        <v>74975</v>
      </c>
      <c r="P71" s="32" t="s">
        <v>16</v>
      </c>
    </row>
    <row r="72" spans="1:16" x14ac:dyDescent="0.35">
      <c r="A72" s="32" t="str">
        <f t="shared" si="7"/>
        <v>2024 JAN-DEC DISC 75%</v>
      </c>
      <c r="B72" s="33">
        <f t="shared" si="7"/>
        <v>46121</v>
      </c>
      <c r="C72" s="33">
        <f t="shared" si="7"/>
        <v>46127</v>
      </c>
      <c r="D72" s="32">
        <v>3281</v>
      </c>
      <c r="E72" s="32">
        <v>337</v>
      </c>
      <c r="F72" s="32">
        <v>4</v>
      </c>
      <c r="G72" s="32">
        <v>5</v>
      </c>
      <c r="H72" s="32">
        <v>81506</v>
      </c>
      <c r="I72" s="32" t="s">
        <v>17</v>
      </c>
      <c r="J72" s="32">
        <v>15372322</v>
      </c>
      <c r="K72" s="32" t="s">
        <v>2570</v>
      </c>
      <c r="L72" s="38" t="s">
        <v>6526</v>
      </c>
      <c r="M72" s="34">
        <v>299900</v>
      </c>
      <c r="N72" s="35">
        <f t="shared" si="8"/>
        <v>0.75</v>
      </c>
      <c r="O72" s="34">
        <f t="shared" si="6"/>
        <v>74975</v>
      </c>
      <c r="P72" s="32" t="s">
        <v>16</v>
      </c>
    </row>
    <row r="73" spans="1:16" x14ac:dyDescent="0.35">
      <c r="A73" s="32" t="str">
        <f t="shared" si="7"/>
        <v>2024 JAN-DEC DISC 75%</v>
      </c>
      <c r="B73" s="33">
        <f t="shared" si="7"/>
        <v>46121</v>
      </c>
      <c r="C73" s="33">
        <f t="shared" si="7"/>
        <v>46127</v>
      </c>
      <c r="D73" s="32">
        <v>3281</v>
      </c>
      <c r="E73" s="32">
        <v>337</v>
      </c>
      <c r="F73" s="32">
        <v>4</v>
      </c>
      <c r="G73" s="32">
        <v>5</v>
      </c>
      <c r="H73" s="32">
        <v>81506</v>
      </c>
      <c r="I73" s="32" t="s">
        <v>17</v>
      </c>
      <c r="J73" s="32">
        <v>15372331</v>
      </c>
      <c r="K73" s="32" t="s">
        <v>2570</v>
      </c>
      <c r="L73" s="38" t="s">
        <v>6527</v>
      </c>
      <c r="M73" s="34">
        <v>299900</v>
      </c>
      <c r="N73" s="35">
        <f t="shared" si="8"/>
        <v>0.75</v>
      </c>
      <c r="O73" s="34">
        <f t="shared" si="6"/>
        <v>74975</v>
      </c>
      <c r="P73" s="32" t="s">
        <v>16</v>
      </c>
    </row>
    <row r="74" spans="1:16" x14ac:dyDescent="0.35">
      <c r="A74" s="32" t="str">
        <f t="shared" si="7"/>
        <v>2024 JAN-DEC DISC 75%</v>
      </c>
      <c r="B74" s="33">
        <f t="shared" si="7"/>
        <v>46121</v>
      </c>
      <c r="C74" s="33">
        <f t="shared" si="7"/>
        <v>46127</v>
      </c>
      <c r="D74" s="32">
        <v>3281</v>
      </c>
      <c r="E74" s="32">
        <v>337</v>
      </c>
      <c r="F74" s="32">
        <v>4</v>
      </c>
      <c r="G74" s="32">
        <v>5</v>
      </c>
      <c r="H74" s="32">
        <v>81506</v>
      </c>
      <c r="I74" s="32" t="s">
        <v>17</v>
      </c>
      <c r="J74" s="32">
        <v>15372340</v>
      </c>
      <c r="K74" s="32" t="s">
        <v>2570</v>
      </c>
      <c r="L74" s="38" t="s">
        <v>6528</v>
      </c>
      <c r="M74" s="34">
        <v>299900</v>
      </c>
      <c r="N74" s="35">
        <f t="shared" si="8"/>
        <v>0.75</v>
      </c>
      <c r="O74" s="34">
        <f t="shared" si="6"/>
        <v>74975</v>
      </c>
      <c r="P74" s="32" t="s">
        <v>16</v>
      </c>
    </row>
    <row r="75" spans="1:16" x14ac:dyDescent="0.35">
      <c r="A75" s="32" t="str">
        <f t="shared" si="7"/>
        <v>2024 JAN-DEC DISC 75%</v>
      </c>
      <c r="B75" s="33">
        <f t="shared" si="7"/>
        <v>46121</v>
      </c>
      <c r="C75" s="33">
        <f t="shared" si="7"/>
        <v>46127</v>
      </c>
      <c r="D75" s="32">
        <v>3281</v>
      </c>
      <c r="E75" s="32">
        <v>337</v>
      </c>
      <c r="F75" s="32">
        <v>4</v>
      </c>
      <c r="G75" s="32">
        <v>5</v>
      </c>
      <c r="H75" s="32">
        <v>81506</v>
      </c>
      <c r="I75" s="32" t="s">
        <v>17</v>
      </c>
      <c r="J75" s="32">
        <v>16017213</v>
      </c>
      <c r="K75" s="32" t="s">
        <v>2571</v>
      </c>
      <c r="L75" s="38" t="s">
        <v>6529</v>
      </c>
      <c r="M75" s="34">
        <v>299900</v>
      </c>
      <c r="N75" s="35">
        <f t="shared" si="8"/>
        <v>0.75</v>
      </c>
      <c r="O75" s="34">
        <f t="shared" si="6"/>
        <v>74975</v>
      </c>
      <c r="P75" s="32" t="s">
        <v>16</v>
      </c>
    </row>
    <row r="76" spans="1:16" x14ac:dyDescent="0.35">
      <c r="A76" s="32" t="str">
        <f t="shared" si="7"/>
        <v>2024 JAN-DEC DISC 75%</v>
      </c>
      <c r="B76" s="33">
        <f t="shared" si="7"/>
        <v>46121</v>
      </c>
      <c r="C76" s="33">
        <f t="shared" si="7"/>
        <v>46127</v>
      </c>
      <c r="D76" s="32">
        <v>3281</v>
      </c>
      <c r="E76" s="32">
        <v>337</v>
      </c>
      <c r="F76" s="32">
        <v>4</v>
      </c>
      <c r="G76" s="32">
        <v>5</v>
      </c>
      <c r="H76" s="32">
        <v>81506</v>
      </c>
      <c r="I76" s="32" t="s">
        <v>17</v>
      </c>
      <c r="J76" s="32">
        <v>16017222</v>
      </c>
      <c r="K76" s="32" t="s">
        <v>2571</v>
      </c>
      <c r="L76" s="38" t="s">
        <v>6530</v>
      </c>
      <c r="M76" s="34">
        <v>299900</v>
      </c>
      <c r="N76" s="35">
        <f t="shared" si="8"/>
        <v>0.75</v>
      </c>
      <c r="O76" s="34">
        <f t="shared" si="6"/>
        <v>74975</v>
      </c>
      <c r="P76" s="32" t="s">
        <v>16</v>
      </c>
    </row>
    <row r="77" spans="1:16" x14ac:dyDescent="0.35">
      <c r="A77" s="32" t="str">
        <f t="shared" si="7"/>
        <v>2024 JAN-DEC DISC 75%</v>
      </c>
      <c r="B77" s="33">
        <f t="shared" si="7"/>
        <v>46121</v>
      </c>
      <c r="C77" s="33">
        <f t="shared" si="7"/>
        <v>46127</v>
      </c>
      <c r="D77" s="32">
        <v>3281</v>
      </c>
      <c r="E77" s="32">
        <v>337</v>
      </c>
      <c r="F77" s="32">
        <v>4</v>
      </c>
      <c r="G77" s="32">
        <v>5</v>
      </c>
      <c r="H77" s="32">
        <v>81506</v>
      </c>
      <c r="I77" s="32" t="s">
        <v>17</v>
      </c>
      <c r="J77" s="32">
        <v>16017231</v>
      </c>
      <c r="K77" s="32" t="s">
        <v>2571</v>
      </c>
      <c r="L77" s="38" t="s">
        <v>6531</v>
      </c>
      <c r="M77" s="34">
        <v>299900</v>
      </c>
      <c r="N77" s="35">
        <f t="shared" si="8"/>
        <v>0.75</v>
      </c>
      <c r="O77" s="34">
        <f t="shared" si="6"/>
        <v>74975</v>
      </c>
      <c r="P77" s="32" t="s">
        <v>16</v>
      </c>
    </row>
    <row r="78" spans="1:16" x14ac:dyDescent="0.35">
      <c r="A78" s="32" t="str">
        <f t="shared" si="7"/>
        <v>2024 JAN-DEC DISC 75%</v>
      </c>
      <c r="B78" s="33">
        <f t="shared" si="7"/>
        <v>46121</v>
      </c>
      <c r="C78" s="33">
        <f t="shared" si="7"/>
        <v>46127</v>
      </c>
      <c r="D78" s="32">
        <v>3281</v>
      </c>
      <c r="E78" s="32">
        <v>337</v>
      </c>
      <c r="F78" s="32">
        <v>4</v>
      </c>
      <c r="G78" s="32">
        <v>5</v>
      </c>
      <c r="H78" s="32">
        <v>81506</v>
      </c>
      <c r="I78" s="32" t="s">
        <v>17</v>
      </c>
      <c r="J78" s="32">
        <v>16017240</v>
      </c>
      <c r="K78" s="32" t="s">
        <v>2571</v>
      </c>
      <c r="L78" s="38" t="s">
        <v>6532</v>
      </c>
      <c r="M78" s="34">
        <v>299900</v>
      </c>
      <c r="N78" s="35">
        <f t="shared" si="8"/>
        <v>0.75</v>
      </c>
      <c r="O78" s="34">
        <f t="shared" si="6"/>
        <v>74975</v>
      </c>
      <c r="P78" s="32" t="s">
        <v>16</v>
      </c>
    </row>
    <row r="79" spans="1:16" x14ac:dyDescent="0.35">
      <c r="A79" s="32" t="str">
        <f t="shared" si="7"/>
        <v>2024 JAN-DEC DISC 75%</v>
      </c>
      <c r="B79" s="33">
        <f t="shared" si="7"/>
        <v>46121</v>
      </c>
      <c r="C79" s="33">
        <f t="shared" si="7"/>
        <v>46127</v>
      </c>
      <c r="D79" s="32">
        <v>3281</v>
      </c>
      <c r="E79" s="32">
        <v>337</v>
      </c>
      <c r="F79" s="32">
        <v>4</v>
      </c>
      <c r="G79" s="32">
        <v>2</v>
      </c>
      <c r="H79" s="32">
        <v>81506</v>
      </c>
      <c r="I79" s="32" t="s">
        <v>17</v>
      </c>
      <c r="J79" s="32">
        <v>15372395</v>
      </c>
      <c r="K79" s="32" t="s">
        <v>2572</v>
      </c>
      <c r="L79" s="38" t="s">
        <v>6533</v>
      </c>
      <c r="M79" s="34">
        <v>279900</v>
      </c>
      <c r="N79" s="35">
        <f t="shared" si="8"/>
        <v>0.75</v>
      </c>
      <c r="O79" s="34">
        <f t="shared" si="6"/>
        <v>69975</v>
      </c>
      <c r="P79" s="32" t="s">
        <v>16</v>
      </c>
    </row>
    <row r="80" spans="1:16" x14ac:dyDescent="0.35">
      <c r="A80" s="32" t="str">
        <f t="shared" si="7"/>
        <v>2024 JAN-DEC DISC 75%</v>
      </c>
      <c r="B80" s="33">
        <f t="shared" si="7"/>
        <v>46121</v>
      </c>
      <c r="C80" s="33">
        <f t="shared" si="7"/>
        <v>46127</v>
      </c>
      <c r="D80" s="32">
        <v>3281</v>
      </c>
      <c r="E80" s="32">
        <v>337</v>
      </c>
      <c r="F80" s="32">
        <v>4</v>
      </c>
      <c r="G80" s="32">
        <v>2</v>
      </c>
      <c r="H80" s="32">
        <v>81506</v>
      </c>
      <c r="I80" s="32" t="s">
        <v>17</v>
      </c>
      <c r="J80" s="32">
        <v>15372402</v>
      </c>
      <c r="K80" s="32" t="s">
        <v>2572</v>
      </c>
      <c r="L80" s="38" t="s">
        <v>6534</v>
      </c>
      <c r="M80" s="34">
        <v>279900</v>
      </c>
      <c r="N80" s="35">
        <f t="shared" si="8"/>
        <v>0.75</v>
      </c>
      <c r="O80" s="34">
        <f t="shared" si="6"/>
        <v>69975</v>
      </c>
      <c r="P80" s="32" t="s">
        <v>16</v>
      </c>
    </row>
    <row r="81" spans="1:16" x14ac:dyDescent="0.35">
      <c r="A81" s="32" t="str">
        <f t="shared" si="7"/>
        <v>2024 JAN-DEC DISC 75%</v>
      </c>
      <c r="B81" s="33">
        <f t="shared" si="7"/>
        <v>46121</v>
      </c>
      <c r="C81" s="33">
        <f t="shared" si="7"/>
        <v>46127</v>
      </c>
      <c r="D81" s="32">
        <v>3281</v>
      </c>
      <c r="E81" s="32">
        <v>337</v>
      </c>
      <c r="F81" s="32">
        <v>4</v>
      </c>
      <c r="G81" s="32">
        <v>2</v>
      </c>
      <c r="H81" s="32">
        <v>81506</v>
      </c>
      <c r="I81" s="32" t="s">
        <v>17</v>
      </c>
      <c r="J81" s="32">
        <v>15372411</v>
      </c>
      <c r="K81" s="32" t="s">
        <v>2572</v>
      </c>
      <c r="L81" s="38" t="s">
        <v>6535</v>
      </c>
      <c r="M81" s="34">
        <v>279900</v>
      </c>
      <c r="N81" s="35">
        <f t="shared" si="8"/>
        <v>0.75</v>
      </c>
      <c r="O81" s="34">
        <f t="shared" si="6"/>
        <v>69975</v>
      </c>
      <c r="P81" s="32" t="s">
        <v>16</v>
      </c>
    </row>
    <row r="82" spans="1:16" x14ac:dyDescent="0.35">
      <c r="A82" s="32" t="str">
        <f t="shared" si="7"/>
        <v>2024 JAN-DEC DISC 75%</v>
      </c>
      <c r="B82" s="33">
        <f t="shared" si="7"/>
        <v>46121</v>
      </c>
      <c r="C82" s="33">
        <f t="shared" si="7"/>
        <v>46127</v>
      </c>
      <c r="D82" s="32">
        <v>3281</v>
      </c>
      <c r="E82" s="32">
        <v>337</v>
      </c>
      <c r="F82" s="32">
        <v>4</v>
      </c>
      <c r="G82" s="32">
        <v>2</v>
      </c>
      <c r="H82" s="32">
        <v>81506</v>
      </c>
      <c r="I82" s="32" t="s">
        <v>17</v>
      </c>
      <c r="J82" s="32">
        <v>15372420</v>
      </c>
      <c r="K82" s="32" t="s">
        <v>2572</v>
      </c>
      <c r="L82" s="38" t="s">
        <v>6536</v>
      </c>
      <c r="M82" s="34">
        <v>279900</v>
      </c>
      <c r="N82" s="35">
        <f t="shared" si="8"/>
        <v>0.75</v>
      </c>
      <c r="O82" s="34">
        <f t="shared" si="6"/>
        <v>69975</v>
      </c>
      <c r="P82" s="32" t="s">
        <v>16</v>
      </c>
    </row>
    <row r="83" spans="1:16" x14ac:dyDescent="0.35">
      <c r="A83" s="32" t="str">
        <f t="shared" si="7"/>
        <v>2024 JAN-DEC DISC 75%</v>
      </c>
      <c r="B83" s="33">
        <f t="shared" si="7"/>
        <v>46121</v>
      </c>
      <c r="C83" s="33">
        <f t="shared" si="7"/>
        <v>46127</v>
      </c>
      <c r="D83" s="32">
        <v>3281</v>
      </c>
      <c r="E83" s="32">
        <v>337</v>
      </c>
      <c r="F83" s="32">
        <v>4</v>
      </c>
      <c r="G83" s="32">
        <v>2</v>
      </c>
      <c r="H83" s="32">
        <v>81506</v>
      </c>
      <c r="I83" s="32" t="s">
        <v>17</v>
      </c>
      <c r="J83" s="32">
        <v>15634567</v>
      </c>
      <c r="K83" s="32" t="s">
        <v>2573</v>
      </c>
      <c r="L83" s="38" t="s">
        <v>6537</v>
      </c>
      <c r="M83" s="34">
        <v>279900</v>
      </c>
      <c r="N83" s="35">
        <f t="shared" si="8"/>
        <v>0.75</v>
      </c>
      <c r="O83" s="34">
        <f t="shared" si="6"/>
        <v>69975</v>
      </c>
      <c r="P83" s="32" t="s">
        <v>16</v>
      </c>
    </row>
    <row r="84" spans="1:16" x14ac:dyDescent="0.35">
      <c r="A84" s="32" t="str">
        <f t="shared" ref="A84:C99" si="9">A83</f>
        <v>2024 JAN-DEC DISC 75%</v>
      </c>
      <c r="B84" s="33">
        <f t="shared" si="9"/>
        <v>46121</v>
      </c>
      <c r="C84" s="33">
        <f t="shared" si="9"/>
        <v>46127</v>
      </c>
      <c r="D84" s="32">
        <v>3281</v>
      </c>
      <c r="E84" s="32">
        <v>337</v>
      </c>
      <c r="F84" s="32">
        <v>4</v>
      </c>
      <c r="G84" s="32">
        <v>2</v>
      </c>
      <c r="H84" s="32">
        <v>81506</v>
      </c>
      <c r="I84" s="32" t="s">
        <v>17</v>
      </c>
      <c r="J84" s="32">
        <v>15634576</v>
      </c>
      <c r="K84" s="32" t="s">
        <v>2573</v>
      </c>
      <c r="L84" s="38" t="s">
        <v>6538</v>
      </c>
      <c r="M84" s="34">
        <v>279900</v>
      </c>
      <c r="N84" s="35">
        <f t="shared" si="8"/>
        <v>0.75</v>
      </c>
      <c r="O84" s="34">
        <f t="shared" si="6"/>
        <v>69975</v>
      </c>
      <c r="P84" s="32" t="s">
        <v>16</v>
      </c>
    </row>
    <row r="85" spans="1:16" x14ac:dyDescent="0.35">
      <c r="A85" s="32" t="str">
        <f t="shared" si="9"/>
        <v>2024 JAN-DEC DISC 75%</v>
      </c>
      <c r="B85" s="33">
        <f t="shared" si="9"/>
        <v>46121</v>
      </c>
      <c r="C85" s="33">
        <f t="shared" si="9"/>
        <v>46127</v>
      </c>
      <c r="D85" s="32">
        <v>3281</v>
      </c>
      <c r="E85" s="32">
        <v>337</v>
      </c>
      <c r="F85" s="32">
        <v>4</v>
      </c>
      <c r="G85" s="32">
        <v>2</v>
      </c>
      <c r="H85" s="32">
        <v>81506</v>
      </c>
      <c r="I85" s="32" t="s">
        <v>17</v>
      </c>
      <c r="J85" s="32">
        <v>15634585</v>
      </c>
      <c r="K85" s="32" t="s">
        <v>2573</v>
      </c>
      <c r="L85" s="38" t="s">
        <v>6539</v>
      </c>
      <c r="M85" s="34">
        <v>279900</v>
      </c>
      <c r="N85" s="35">
        <f t="shared" si="8"/>
        <v>0.75</v>
      </c>
      <c r="O85" s="34">
        <f t="shared" si="6"/>
        <v>69975</v>
      </c>
      <c r="P85" s="32" t="s">
        <v>16</v>
      </c>
    </row>
    <row r="86" spans="1:16" x14ac:dyDescent="0.35">
      <c r="A86" s="32" t="str">
        <f t="shared" si="9"/>
        <v>2024 JAN-DEC DISC 75%</v>
      </c>
      <c r="B86" s="33">
        <f t="shared" si="9"/>
        <v>46121</v>
      </c>
      <c r="C86" s="33">
        <f t="shared" si="9"/>
        <v>46127</v>
      </c>
      <c r="D86" s="32">
        <v>3281</v>
      </c>
      <c r="E86" s="32">
        <v>337</v>
      </c>
      <c r="F86" s="32">
        <v>4</v>
      </c>
      <c r="G86" s="32">
        <v>2</v>
      </c>
      <c r="H86" s="32">
        <v>81506</v>
      </c>
      <c r="I86" s="32" t="s">
        <v>17</v>
      </c>
      <c r="J86" s="32">
        <v>15634594</v>
      </c>
      <c r="K86" s="32" t="s">
        <v>2573</v>
      </c>
      <c r="L86" s="38" t="s">
        <v>6540</v>
      </c>
      <c r="M86" s="34">
        <v>279900</v>
      </c>
      <c r="N86" s="35">
        <f t="shared" si="8"/>
        <v>0.75</v>
      </c>
      <c r="O86" s="34">
        <f t="shared" si="6"/>
        <v>69975</v>
      </c>
      <c r="P86" s="32" t="s">
        <v>16</v>
      </c>
    </row>
    <row r="87" spans="1:16" x14ac:dyDescent="0.35">
      <c r="A87" s="32" t="str">
        <f t="shared" si="9"/>
        <v>2024 JAN-DEC DISC 75%</v>
      </c>
      <c r="B87" s="33">
        <f t="shared" si="9"/>
        <v>46121</v>
      </c>
      <c r="C87" s="33">
        <f t="shared" si="9"/>
        <v>46127</v>
      </c>
      <c r="D87" s="32">
        <v>3281</v>
      </c>
      <c r="E87" s="32">
        <v>337</v>
      </c>
      <c r="F87" s="32">
        <v>4</v>
      </c>
      <c r="G87" s="32">
        <v>2</v>
      </c>
      <c r="H87" s="32">
        <v>81506</v>
      </c>
      <c r="I87" s="32" t="s">
        <v>17</v>
      </c>
      <c r="J87" s="32">
        <v>15371994</v>
      </c>
      <c r="K87" s="32" t="s">
        <v>2574</v>
      </c>
      <c r="L87" s="38" t="s">
        <v>6541</v>
      </c>
      <c r="M87" s="34">
        <v>279900</v>
      </c>
      <c r="N87" s="35">
        <f t="shared" si="8"/>
        <v>0.75</v>
      </c>
      <c r="O87" s="34">
        <f t="shared" si="6"/>
        <v>69975</v>
      </c>
      <c r="P87" s="32" t="s">
        <v>16</v>
      </c>
    </row>
    <row r="88" spans="1:16" x14ac:dyDescent="0.35">
      <c r="A88" s="32" t="str">
        <f t="shared" si="9"/>
        <v>2024 JAN-DEC DISC 75%</v>
      </c>
      <c r="B88" s="33">
        <f t="shared" si="9"/>
        <v>46121</v>
      </c>
      <c r="C88" s="33">
        <f t="shared" si="9"/>
        <v>46127</v>
      </c>
      <c r="D88" s="32">
        <v>3281</v>
      </c>
      <c r="E88" s="32">
        <v>337</v>
      </c>
      <c r="F88" s="32">
        <v>4</v>
      </c>
      <c r="G88" s="32">
        <v>2</v>
      </c>
      <c r="H88" s="32">
        <v>81506</v>
      </c>
      <c r="I88" s="32" t="s">
        <v>17</v>
      </c>
      <c r="J88" s="32">
        <v>15372000</v>
      </c>
      <c r="K88" s="32" t="s">
        <v>2574</v>
      </c>
      <c r="L88" s="38" t="s">
        <v>6542</v>
      </c>
      <c r="M88" s="34">
        <v>279900</v>
      </c>
      <c r="N88" s="35">
        <f t="shared" si="8"/>
        <v>0.75</v>
      </c>
      <c r="O88" s="34">
        <f t="shared" si="6"/>
        <v>69975</v>
      </c>
      <c r="P88" s="32" t="s">
        <v>16</v>
      </c>
    </row>
    <row r="89" spans="1:16" x14ac:dyDescent="0.35">
      <c r="A89" s="32" t="str">
        <f t="shared" si="9"/>
        <v>2024 JAN-DEC DISC 75%</v>
      </c>
      <c r="B89" s="33">
        <f t="shared" si="9"/>
        <v>46121</v>
      </c>
      <c r="C89" s="33">
        <f t="shared" si="9"/>
        <v>46127</v>
      </c>
      <c r="D89" s="32">
        <v>3281</v>
      </c>
      <c r="E89" s="32">
        <v>337</v>
      </c>
      <c r="F89" s="32">
        <v>4</v>
      </c>
      <c r="G89" s="32">
        <v>2</v>
      </c>
      <c r="H89" s="32">
        <v>81506</v>
      </c>
      <c r="I89" s="32" t="s">
        <v>17</v>
      </c>
      <c r="J89" s="32">
        <v>15372019</v>
      </c>
      <c r="K89" s="32" t="s">
        <v>2574</v>
      </c>
      <c r="L89" s="38" t="s">
        <v>6543</v>
      </c>
      <c r="M89" s="34">
        <v>279900</v>
      </c>
      <c r="N89" s="35">
        <f t="shared" si="8"/>
        <v>0.75</v>
      </c>
      <c r="O89" s="34">
        <f t="shared" si="6"/>
        <v>69975</v>
      </c>
      <c r="P89" s="32" t="s">
        <v>16</v>
      </c>
    </row>
    <row r="90" spans="1:16" x14ac:dyDescent="0.35">
      <c r="A90" s="32" t="str">
        <f t="shared" si="9"/>
        <v>2024 JAN-DEC DISC 75%</v>
      </c>
      <c r="B90" s="33">
        <f t="shared" si="9"/>
        <v>46121</v>
      </c>
      <c r="C90" s="33">
        <f t="shared" si="9"/>
        <v>46127</v>
      </c>
      <c r="D90" s="32">
        <v>3281</v>
      </c>
      <c r="E90" s="32">
        <v>337</v>
      </c>
      <c r="F90" s="32">
        <v>4</v>
      </c>
      <c r="G90" s="32">
        <v>2</v>
      </c>
      <c r="H90" s="32">
        <v>81506</v>
      </c>
      <c r="I90" s="32" t="s">
        <v>17</v>
      </c>
      <c r="J90" s="32">
        <v>15372028</v>
      </c>
      <c r="K90" s="32" t="s">
        <v>2574</v>
      </c>
      <c r="L90" s="38" t="s">
        <v>6544</v>
      </c>
      <c r="M90" s="34">
        <v>279900</v>
      </c>
      <c r="N90" s="35">
        <f t="shared" si="8"/>
        <v>0.75</v>
      </c>
      <c r="O90" s="34">
        <f t="shared" si="6"/>
        <v>69975</v>
      </c>
      <c r="P90" s="32" t="s">
        <v>16</v>
      </c>
    </row>
    <row r="91" spans="1:16" x14ac:dyDescent="0.35">
      <c r="A91" s="32" t="str">
        <f t="shared" si="9"/>
        <v>2024 JAN-DEC DISC 75%</v>
      </c>
      <c r="B91" s="33">
        <f t="shared" si="9"/>
        <v>46121</v>
      </c>
      <c r="C91" s="33">
        <f t="shared" si="9"/>
        <v>46127</v>
      </c>
      <c r="D91" s="32">
        <v>3281</v>
      </c>
      <c r="E91" s="32">
        <v>337</v>
      </c>
      <c r="F91" s="32">
        <v>4</v>
      </c>
      <c r="G91" s="32">
        <v>1</v>
      </c>
      <c r="H91" s="32">
        <v>81146</v>
      </c>
      <c r="I91" s="32" t="s">
        <v>17</v>
      </c>
      <c r="J91" s="32">
        <v>16418432</v>
      </c>
      <c r="K91" s="32" t="s">
        <v>2858</v>
      </c>
      <c r="L91" s="38" t="s">
        <v>3178</v>
      </c>
      <c r="M91" s="34">
        <v>149900</v>
      </c>
      <c r="N91" s="35">
        <f t="shared" si="8"/>
        <v>0.75</v>
      </c>
      <c r="O91" s="34">
        <f t="shared" si="6"/>
        <v>37475</v>
      </c>
      <c r="P91" s="32" t="s">
        <v>16</v>
      </c>
    </row>
    <row r="92" spans="1:16" x14ac:dyDescent="0.35">
      <c r="A92" s="32" t="str">
        <f t="shared" si="9"/>
        <v>2024 JAN-DEC DISC 75%</v>
      </c>
      <c r="B92" s="33">
        <f t="shared" si="9"/>
        <v>46121</v>
      </c>
      <c r="C92" s="33">
        <f t="shared" si="9"/>
        <v>46127</v>
      </c>
      <c r="D92" s="32">
        <v>3281</v>
      </c>
      <c r="E92" s="32">
        <v>337</v>
      </c>
      <c r="F92" s="32">
        <v>4</v>
      </c>
      <c r="G92" s="32">
        <v>1</v>
      </c>
      <c r="H92" s="32">
        <v>81421</v>
      </c>
      <c r="I92" s="32" t="s">
        <v>17</v>
      </c>
      <c r="J92" s="32">
        <v>15634727</v>
      </c>
      <c r="K92" s="32" t="s">
        <v>3179</v>
      </c>
      <c r="L92" s="38" t="s">
        <v>3180</v>
      </c>
      <c r="M92" s="34">
        <v>199900</v>
      </c>
      <c r="N92" s="35">
        <f t="shared" si="8"/>
        <v>0.75</v>
      </c>
      <c r="O92" s="34">
        <f t="shared" si="6"/>
        <v>49975</v>
      </c>
      <c r="P92" s="32" t="s">
        <v>16</v>
      </c>
    </row>
    <row r="93" spans="1:16" x14ac:dyDescent="0.35">
      <c r="A93" s="32" t="str">
        <f t="shared" si="9"/>
        <v>2024 JAN-DEC DISC 75%</v>
      </c>
      <c r="B93" s="33">
        <f t="shared" si="9"/>
        <v>46121</v>
      </c>
      <c r="C93" s="33">
        <f t="shared" si="9"/>
        <v>46127</v>
      </c>
      <c r="D93" s="32">
        <v>3281</v>
      </c>
      <c r="E93" s="32">
        <v>337</v>
      </c>
      <c r="F93" s="32">
        <v>4</v>
      </c>
      <c r="G93" s="32">
        <v>1</v>
      </c>
      <c r="H93" s="32">
        <v>81421</v>
      </c>
      <c r="I93" s="32" t="s">
        <v>17</v>
      </c>
      <c r="J93" s="32">
        <v>15634736</v>
      </c>
      <c r="K93" s="32" t="s">
        <v>3179</v>
      </c>
      <c r="L93" s="38" t="s">
        <v>3181</v>
      </c>
      <c r="M93" s="34">
        <v>199900</v>
      </c>
      <c r="N93" s="35">
        <f t="shared" si="8"/>
        <v>0.75</v>
      </c>
      <c r="O93" s="34">
        <f t="shared" si="6"/>
        <v>49975</v>
      </c>
      <c r="P93" s="32" t="s">
        <v>16</v>
      </c>
    </row>
    <row r="94" spans="1:16" x14ac:dyDescent="0.35">
      <c r="A94" s="32" t="str">
        <f t="shared" si="9"/>
        <v>2024 JAN-DEC DISC 75%</v>
      </c>
      <c r="B94" s="33">
        <f t="shared" si="9"/>
        <v>46121</v>
      </c>
      <c r="C94" s="33">
        <f t="shared" si="9"/>
        <v>46127</v>
      </c>
      <c r="D94" s="32">
        <v>3281</v>
      </c>
      <c r="E94" s="32">
        <v>337</v>
      </c>
      <c r="F94" s="32">
        <v>4</v>
      </c>
      <c r="G94" s="32">
        <v>1</v>
      </c>
      <c r="H94" s="32">
        <v>81421</v>
      </c>
      <c r="I94" s="32" t="s">
        <v>17</v>
      </c>
      <c r="J94" s="32">
        <v>15634754</v>
      </c>
      <c r="K94" s="32" t="s">
        <v>3179</v>
      </c>
      <c r="L94" s="38" t="s">
        <v>3182</v>
      </c>
      <c r="M94" s="34">
        <v>199900</v>
      </c>
      <c r="N94" s="35">
        <f t="shared" si="8"/>
        <v>0.75</v>
      </c>
      <c r="O94" s="34">
        <f t="shared" si="6"/>
        <v>49975</v>
      </c>
      <c r="P94" s="32" t="s">
        <v>16</v>
      </c>
    </row>
    <row r="95" spans="1:16" x14ac:dyDescent="0.35">
      <c r="A95" s="32" t="str">
        <f t="shared" si="9"/>
        <v>2024 JAN-DEC DISC 75%</v>
      </c>
      <c r="B95" s="33">
        <f t="shared" si="9"/>
        <v>46121</v>
      </c>
      <c r="C95" s="33">
        <f t="shared" si="9"/>
        <v>46127</v>
      </c>
      <c r="D95" s="32">
        <v>3281</v>
      </c>
      <c r="E95" s="32">
        <v>337</v>
      </c>
      <c r="F95" s="32">
        <v>4</v>
      </c>
      <c r="G95" s="32">
        <v>1</v>
      </c>
      <c r="H95" s="32">
        <v>81421</v>
      </c>
      <c r="I95" s="32" t="s">
        <v>17</v>
      </c>
      <c r="J95" s="32">
        <v>16418478</v>
      </c>
      <c r="K95" s="32" t="s">
        <v>2862</v>
      </c>
      <c r="L95" s="38" t="s">
        <v>3183</v>
      </c>
      <c r="M95" s="34">
        <v>189900</v>
      </c>
      <c r="N95" s="35">
        <f t="shared" si="8"/>
        <v>0.75</v>
      </c>
      <c r="O95" s="34">
        <f t="shared" si="6"/>
        <v>47475</v>
      </c>
      <c r="P95" s="32" t="s">
        <v>16</v>
      </c>
    </row>
    <row r="96" spans="1:16" x14ac:dyDescent="0.35">
      <c r="A96" s="32" t="str">
        <f t="shared" si="9"/>
        <v>2024 JAN-DEC DISC 75%</v>
      </c>
      <c r="B96" s="33">
        <f t="shared" si="9"/>
        <v>46121</v>
      </c>
      <c r="C96" s="33">
        <f t="shared" si="9"/>
        <v>46127</v>
      </c>
      <c r="D96" s="32">
        <v>3281</v>
      </c>
      <c r="E96" s="32">
        <v>337</v>
      </c>
      <c r="F96" s="32">
        <v>4</v>
      </c>
      <c r="G96" s="32">
        <v>1</v>
      </c>
      <c r="H96" s="32">
        <v>80920</v>
      </c>
      <c r="I96" s="32" t="s">
        <v>17</v>
      </c>
      <c r="J96" s="32">
        <v>15371912</v>
      </c>
      <c r="K96" s="32" t="s">
        <v>3184</v>
      </c>
      <c r="L96" s="38" t="s">
        <v>3185</v>
      </c>
      <c r="M96" s="34">
        <v>149900</v>
      </c>
      <c r="N96" s="35">
        <f t="shared" si="8"/>
        <v>0.75</v>
      </c>
      <c r="O96" s="34">
        <f t="shared" si="6"/>
        <v>37475</v>
      </c>
      <c r="P96" s="32" t="s">
        <v>16</v>
      </c>
    </row>
    <row r="97" spans="1:16" x14ac:dyDescent="0.35">
      <c r="A97" s="32" t="str">
        <f t="shared" si="9"/>
        <v>2024 JAN-DEC DISC 75%</v>
      </c>
      <c r="B97" s="33">
        <f t="shared" si="9"/>
        <v>46121</v>
      </c>
      <c r="C97" s="33">
        <f t="shared" si="9"/>
        <v>46127</v>
      </c>
      <c r="D97" s="32">
        <v>3281</v>
      </c>
      <c r="E97" s="32">
        <v>337</v>
      </c>
      <c r="F97" s="32">
        <v>4</v>
      </c>
      <c r="G97" s="32">
        <v>1</v>
      </c>
      <c r="H97" s="32">
        <v>80920</v>
      </c>
      <c r="I97" s="32" t="s">
        <v>17</v>
      </c>
      <c r="J97" s="32">
        <v>15371921</v>
      </c>
      <c r="K97" s="32" t="s">
        <v>3184</v>
      </c>
      <c r="L97" s="38" t="s">
        <v>3186</v>
      </c>
      <c r="M97" s="34">
        <v>149900</v>
      </c>
      <c r="N97" s="35">
        <f t="shared" si="8"/>
        <v>0.75</v>
      </c>
      <c r="O97" s="34">
        <f t="shared" si="6"/>
        <v>37475</v>
      </c>
      <c r="P97" s="32" t="s">
        <v>16</v>
      </c>
    </row>
    <row r="98" spans="1:16" x14ac:dyDescent="0.35">
      <c r="A98" s="32" t="str">
        <f t="shared" si="9"/>
        <v>2024 JAN-DEC DISC 75%</v>
      </c>
      <c r="B98" s="33">
        <f t="shared" si="9"/>
        <v>46121</v>
      </c>
      <c r="C98" s="33">
        <f t="shared" si="9"/>
        <v>46127</v>
      </c>
      <c r="D98" s="32">
        <v>3281</v>
      </c>
      <c r="E98" s="32">
        <v>337</v>
      </c>
      <c r="F98" s="32">
        <v>4</v>
      </c>
      <c r="G98" s="32">
        <v>1</v>
      </c>
      <c r="H98" s="32">
        <v>80920</v>
      </c>
      <c r="I98" s="32" t="s">
        <v>17</v>
      </c>
      <c r="J98" s="32">
        <v>15371930</v>
      </c>
      <c r="K98" s="32" t="s">
        <v>3184</v>
      </c>
      <c r="L98" s="38" t="s">
        <v>3187</v>
      </c>
      <c r="M98" s="34">
        <v>149900</v>
      </c>
      <c r="N98" s="35">
        <f t="shared" si="8"/>
        <v>0.75</v>
      </c>
      <c r="O98" s="34">
        <f t="shared" si="6"/>
        <v>37475</v>
      </c>
      <c r="P98" s="32" t="s">
        <v>16</v>
      </c>
    </row>
    <row r="99" spans="1:16" x14ac:dyDescent="0.35">
      <c r="A99" s="32" t="str">
        <f t="shared" si="9"/>
        <v>2024 JAN-DEC DISC 75%</v>
      </c>
      <c r="B99" s="33">
        <f t="shared" si="9"/>
        <v>46121</v>
      </c>
      <c r="C99" s="33">
        <f t="shared" si="9"/>
        <v>46127</v>
      </c>
      <c r="D99" s="32">
        <v>3281</v>
      </c>
      <c r="E99" s="32">
        <v>337</v>
      </c>
      <c r="F99" s="32">
        <v>4</v>
      </c>
      <c r="G99" s="32">
        <v>1</v>
      </c>
      <c r="H99" s="32">
        <v>80920</v>
      </c>
      <c r="I99" s="32" t="s">
        <v>17</v>
      </c>
      <c r="J99" s="32">
        <v>15371949</v>
      </c>
      <c r="K99" s="32" t="s">
        <v>3184</v>
      </c>
      <c r="L99" s="38" t="s">
        <v>3188</v>
      </c>
      <c r="M99" s="34">
        <v>149900</v>
      </c>
      <c r="N99" s="35">
        <f t="shared" si="8"/>
        <v>0.75</v>
      </c>
      <c r="O99" s="34">
        <f t="shared" si="6"/>
        <v>37475</v>
      </c>
      <c r="P99" s="32" t="s">
        <v>16</v>
      </c>
    </row>
    <row r="100" spans="1:16" x14ac:dyDescent="0.35">
      <c r="A100" s="32" t="str">
        <f t="shared" ref="A100:C115" si="10">A99</f>
        <v>2024 JAN-DEC DISC 75%</v>
      </c>
      <c r="B100" s="33">
        <f t="shared" si="10"/>
        <v>46121</v>
      </c>
      <c r="C100" s="33">
        <f t="shared" si="10"/>
        <v>46127</v>
      </c>
      <c r="D100" s="32">
        <v>3281</v>
      </c>
      <c r="E100" s="32">
        <v>337</v>
      </c>
      <c r="F100" s="32">
        <v>4</v>
      </c>
      <c r="G100" s="32">
        <v>1</v>
      </c>
      <c r="H100" s="32">
        <v>80920</v>
      </c>
      <c r="I100" s="32" t="s">
        <v>17</v>
      </c>
      <c r="J100" s="32">
        <v>15371958</v>
      </c>
      <c r="K100" s="32" t="s">
        <v>3189</v>
      </c>
      <c r="L100" s="38" t="s">
        <v>3190</v>
      </c>
      <c r="M100" s="34">
        <v>149900</v>
      </c>
      <c r="N100" s="35">
        <f t="shared" si="8"/>
        <v>0.75</v>
      </c>
      <c r="O100" s="34">
        <f t="shared" si="6"/>
        <v>37475</v>
      </c>
      <c r="P100" s="32" t="s">
        <v>16</v>
      </c>
    </row>
    <row r="101" spans="1:16" x14ac:dyDescent="0.35">
      <c r="A101" s="32" t="str">
        <f t="shared" si="10"/>
        <v>2024 JAN-DEC DISC 75%</v>
      </c>
      <c r="B101" s="33">
        <f t="shared" si="10"/>
        <v>46121</v>
      </c>
      <c r="C101" s="33">
        <f t="shared" si="10"/>
        <v>46127</v>
      </c>
      <c r="D101" s="32">
        <v>3281</v>
      </c>
      <c r="E101" s="32">
        <v>337</v>
      </c>
      <c r="F101" s="32">
        <v>4</v>
      </c>
      <c r="G101" s="32">
        <v>1</v>
      </c>
      <c r="H101" s="32">
        <v>80920</v>
      </c>
      <c r="I101" s="32" t="s">
        <v>17</v>
      </c>
      <c r="J101" s="32">
        <v>15371967</v>
      </c>
      <c r="K101" s="32" t="s">
        <v>3189</v>
      </c>
      <c r="L101" s="38" t="s">
        <v>3191</v>
      </c>
      <c r="M101" s="34">
        <v>149900</v>
      </c>
      <c r="N101" s="35">
        <f t="shared" si="8"/>
        <v>0.75</v>
      </c>
      <c r="O101" s="34">
        <f t="shared" si="6"/>
        <v>37475</v>
      </c>
      <c r="P101" s="32" t="s">
        <v>16</v>
      </c>
    </row>
    <row r="102" spans="1:16" x14ac:dyDescent="0.35">
      <c r="A102" s="32" t="str">
        <f t="shared" si="10"/>
        <v>2024 JAN-DEC DISC 75%</v>
      </c>
      <c r="B102" s="33">
        <f t="shared" si="10"/>
        <v>46121</v>
      </c>
      <c r="C102" s="33">
        <f t="shared" si="10"/>
        <v>46127</v>
      </c>
      <c r="D102" s="32">
        <v>3281</v>
      </c>
      <c r="E102" s="32">
        <v>337</v>
      </c>
      <c r="F102" s="32">
        <v>4</v>
      </c>
      <c r="G102" s="32">
        <v>1</v>
      </c>
      <c r="H102" s="32">
        <v>80920</v>
      </c>
      <c r="I102" s="32" t="s">
        <v>17</v>
      </c>
      <c r="J102" s="32">
        <v>15371985</v>
      </c>
      <c r="K102" s="32" t="s">
        <v>3189</v>
      </c>
      <c r="L102" s="38" t="s">
        <v>3192</v>
      </c>
      <c r="M102" s="34">
        <v>149900</v>
      </c>
      <c r="N102" s="35">
        <f t="shared" si="8"/>
        <v>0.75</v>
      </c>
      <c r="O102" s="34">
        <f t="shared" si="6"/>
        <v>37475</v>
      </c>
      <c r="P102" s="32" t="s">
        <v>16</v>
      </c>
    </row>
    <row r="103" spans="1:16" x14ac:dyDescent="0.35">
      <c r="A103" s="32" t="str">
        <f t="shared" si="10"/>
        <v>2024 JAN-DEC DISC 75%</v>
      </c>
      <c r="B103" s="33">
        <f t="shared" si="10"/>
        <v>46121</v>
      </c>
      <c r="C103" s="33">
        <f t="shared" si="10"/>
        <v>46127</v>
      </c>
      <c r="D103" s="32">
        <v>3281</v>
      </c>
      <c r="E103" s="32">
        <v>337</v>
      </c>
      <c r="F103" s="32">
        <v>4</v>
      </c>
      <c r="G103" s="32">
        <v>1</v>
      </c>
      <c r="H103" s="32">
        <v>81676</v>
      </c>
      <c r="I103" s="32" t="s">
        <v>17</v>
      </c>
      <c r="J103" s="32">
        <v>15372279</v>
      </c>
      <c r="K103" s="32" t="s">
        <v>3193</v>
      </c>
      <c r="L103" s="38" t="s">
        <v>3194</v>
      </c>
      <c r="M103" s="34">
        <v>149900</v>
      </c>
      <c r="N103" s="35">
        <f t="shared" si="8"/>
        <v>0.75</v>
      </c>
      <c r="O103" s="34">
        <f t="shared" si="6"/>
        <v>37475</v>
      </c>
      <c r="P103" s="32" t="s">
        <v>16</v>
      </c>
    </row>
    <row r="104" spans="1:16" x14ac:dyDescent="0.35">
      <c r="A104" s="32" t="str">
        <f t="shared" si="10"/>
        <v>2024 JAN-DEC DISC 75%</v>
      </c>
      <c r="B104" s="33">
        <f t="shared" si="10"/>
        <v>46121</v>
      </c>
      <c r="C104" s="33">
        <f t="shared" si="10"/>
        <v>46127</v>
      </c>
      <c r="D104" s="32">
        <v>3281</v>
      </c>
      <c r="E104" s="32">
        <v>337</v>
      </c>
      <c r="F104" s="32">
        <v>4</v>
      </c>
      <c r="G104" s="32">
        <v>1</v>
      </c>
      <c r="H104" s="32">
        <v>81676</v>
      </c>
      <c r="I104" s="32" t="s">
        <v>17</v>
      </c>
      <c r="J104" s="32">
        <v>15372288</v>
      </c>
      <c r="K104" s="32" t="s">
        <v>3193</v>
      </c>
      <c r="L104" s="38" t="s">
        <v>3195</v>
      </c>
      <c r="M104" s="34">
        <v>149900</v>
      </c>
      <c r="N104" s="35">
        <f t="shared" si="8"/>
        <v>0.75</v>
      </c>
      <c r="O104" s="34">
        <f t="shared" si="6"/>
        <v>37475</v>
      </c>
      <c r="P104" s="32" t="s">
        <v>16</v>
      </c>
    </row>
    <row r="105" spans="1:16" x14ac:dyDescent="0.35">
      <c r="A105" s="32" t="str">
        <f t="shared" si="10"/>
        <v>2024 JAN-DEC DISC 75%</v>
      </c>
      <c r="B105" s="33">
        <f t="shared" si="10"/>
        <v>46121</v>
      </c>
      <c r="C105" s="33">
        <f t="shared" si="10"/>
        <v>46127</v>
      </c>
      <c r="D105" s="32">
        <v>3281</v>
      </c>
      <c r="E105" s="32">
        <v>337</v>
      </c>
      <c r="F105" s="32">
        <v>4</v>
      </c>
      <c r="G105" s="32">
        <v>1</v>
      </c>
      <c r="H105" s="32">
        <v>81676</v>
      </c>
      <c r="I105" s="32" t="s">
        <v>17</v>
      </c>
      <c r="J105" s="32">
        <v>15372297</v>
      </c>
      <c r="K105" s="32" t="s">
        <v>3193</v>
      </c>
      <c r="L105" s="38" t="s">
        <v>3196</v>
      </c>
      <c r="M105" s="34">
        <v>149900</v>
      </c>
      <c r="N105" s="35">
        <f t="shared" si="8"/>
        <v>0.75</v>
      </c>
      <c r="O105" s="34">
        <f t="shared" si="6"/>
        <v>37475</v>
      </c>
      <c r="P105" s="32" t="s">
        <v>16</v>
      </c>
    </row>
    <row r="106" spans="1:16" x14ac:dyDescent="0.35">
      <c r="A106" s="32" t="str">
        <f t="shared" si="10"/>
        <v>2024 JAN-DEC DISC 75%</v>
      </c>
      <c r="B106" s="33">
        <f t="shared" si="10"/>
        <v>46121</v>
      </c>
      <c r="C106" s="33">
        <f t="shared" si="10"/>
        <v>46127</v>
      </c>
      <c r="D106" s="32">
        <v>3281</v>
      </c>
      <c r="E106" s="32">
        <v>337</v>
      </c>
      <c r="F106" s="32">
        <v>4</v>
      </c>
      <c r="G106" s="32">
        <v>1</v>
      </c>
      <c r="H106" s="32">
        <v>81676</v>
      </c>
      <c r="I106" s="32" t="s">
        <v>17</v>
      </c>
      <c r="J106" s="32">
        <v>15372304</v>
      </c>
      <c r="K106" s="32" t="s">
        <v>3193</v>
      </c>
      <c r="L106" s="38" t="s">
        <v>3197</v>
      </c>
      <c r="M106" s="34">
        <v>149900</v>
      </c>
      <c r="N106" s="35">
        <f t="shared" si="8"/>
        <v>0.75</v>
      </c>
      <c r="O106" s="34">
        <f t="shared" si="6"/>
        <v>37475</v>
      </c>
      <c r="P106" s="32" t="s">
        <v>16</v>
      </c>
    </row>
    <row r="107" spans="1:16" x14ac:dyDescent="0.35">
      <c r="A107" s="32" t="str">
        <f t="shared" si="10"/>
        <v>2024 JAN-DEC DISC 75%</v>
      </c>
      <c r="B107" s="33">
        <f t="shared" si="10"/>
        <v>46121</v>
      </c>
      <c r="C107" s="33">
        <f t="shared" si="10"/>
        <v>46127</v>
      </c>
      <c r="D107" s="32">
        <v>3281</v>
      </c>
      <c r="E107" s="32">
        <v>337</v>
      </c>
      <c r="F107" s="32">
        <v>4</v>
      </c>
      <c r="G107" s="32">
        <v>1</v>
      </c>
      <c r="H107" s="32">
        <v>81676</v>
      </c>
      <c r="I107" s="32" t="s">
        <v>17</v>
      </c>
      <c r="J107" s="32">
        <v>86446646</v>
      </c>
      <c r="K107" s="32" t="s">
        <v>3198</v>
      </c>
      <c r="L107" s="38" t="s">
        <v>3199</v>
      </c>
      <c r="M107" s="34">
        <v>149900</v>
      </c>
      <c r="N107" s="35">
        <f t="shared" si="8"/>
        <v>0.75</v>
      </c>
      <c r="O107" s="34">
        <f t="shared" si="6"/>
        <v>37475</v>
      </c>
      <c r="P107" s="32" t="s">
        <v>16</v>
      </c>
    </row>
    <row r="108" spans="1:16" x14ac:dyDescent="0.35">
      <c r="A108" s="32" t="str">
        <f t="shared" si="10"/>
        <v>2024 JAN-DEC DISC 75%</v>
      </c>
      <c r="B108" s="33">
        <f t="shared" si="10"/>
        <v>46121</v>
      </c>
      <c r="C108" s="33">
        <f t="shared" si="10"/>
        <v>46127</v>
      </c>
      <c r="D108" s="32">
        <v>3281</v>
      </c>
      <c r="E108" s="32">
        <v>337</v>
      </c>
      <c r="F108" s="32">
        <v>4</v>
      </c>
      <c r="G108" s="32">
        <v>1</v>
      </c>
      <c r="H108" s="32">
        <v>81676</v>
      </c>
      <c r="I108" s="32" t="s">
        <v>17</v>
      </c>
      <c r="J108" s="32">
        <v>86446655</v>
      </c>
      <c r="K108" s="32" t="s">
        <v>3198</v>
      </c>
      <c r="L108" s="38" t="s">
        <v>3200</v>
      </c>
      <c r="M108" s="34">
        <v>149900</v>
      </c>
      <c r="N108" s="35">
        <f t="shared" si="8"/>
        <v>0.75</v>
      </c>
      <c r="O108" s="34">
        <f t="shared" si="6"/>
        <v>37475</v>
      </c>
      <c r="P108" s="32" t="s">
        <v>16</v>
      </c>
    </row>
    <row r="109" spans="1:16" x14ac:dyDescent="0.35">
      <c r="A109" s="32" t="str">
        <f t="shared" si="10"/>
        <v>2024 JAN-DEC DISC 75%</v>
      </c>
      <c r="B109" s="33">
        <f t="shared" si="10"/>
        <v>46121</v>
      </c>
      <c r="C109" s="33">
        <f t="shared" si="10"/>
        <v>46127</v>
      </c>
      <c r="D109" s="32">
        <v>3281</v>
      </c>
      <c r="E109" s="32">
        <v>337</v>
      </c>
      <c r="F109" s="32">
        <v>4</v>
      </c>
      <c r="G109" s="32">
        <v>1</v>
      </c>
      <c r="H109" s="32">
        <v>81676</v>
      </c>
      <c r="I109" s="32" t="s">
        <v>17</v>
      </c>
      <c r="J109" s="32">
        <v>86446664</v>
      </c>
      <c r="K109" s="32" t="s">
        <v>3198</v>
      </c>
      <c r="L109" s="38" t="s">
        <v>3201</v>
      </c>
      <c r="M109" s="34">
        <v>149900</v>
      </c>
      <c r="N109" s="35">
        <f t="shared" si="8"/>
        <v>0.75</v>
      </c>
      <c r="O109" s="34">
        <f t="shared" si="6"/>
        <v>37475</v>
      </c>
      <c r="P109" s="32" t="s">
        <v>16</v>
      </c>
    </row>
    <row r="110" spans="1:16" x14ac:dyDescent="0.35">
      <c r="A110" s="32" t="str">
        <f t="shared" si="10"/>
        <v>2024 JAN-DEC DISC 75%</v>
      </c>
      <c r="B110" s="33">
        <f t="shared" si="10"/>
        <v>46121</v>
      </c>
      <c r="C110" s="33">
        <f t="shared" si="10"/>
        <v>46127</v>
      </c>
      <c r="D110" s="32">
        <v>3281</v>
      </c>
      <c r="E110" s="32">
        <v>337</v>
      </c>
      <c r="F110" s="32">
        <v>4</v>
      </c>
      <c r="G110" s="32">
        <v>1</v>
      </c>
      <c r="H110" s="32">
        <v>81676</v>
      </c>
      <c r="I110" s="32" t="s">
        <v>17</v>
      </c>
      <c r="J110" s="32">
        <v>86446673</v>
      </c>
      <c r="K110" s="32" t="s">
        <v>3198</v>
      </c>
      <c r="L110" s="38" t="s">
        <v>3202</v>
      </c>
      <c r="M110" s="34">
        <v>149900</v>
      </c>
      <c r="N110" s="35">
        <f t="shared" si="8"/>
        <v>0.75</v>
      </c>
      <c r="O110" s="34">
        <f t="shared" si="6"/>
        <v>37475</v>
      </c>
      <c r="P110" s="32" t="s">
        <v>16</v>
      </c>
    </row>
    <row r="111" spans="1:16" x14ac:dyDescent="0.35">
      <c r="A111" s="32" t="str">
        <f t="shared" si="10"/>
        <v>2024 JAN-DEC DISC 75%</v>
      </c>
      <c r="B111" s="33">
        <f t="shared" si="10"/>
        <v>46121</v>
      </c>
      <c r="C111" s="33">
        <f t="shared" si="10"/>
        <v>46127</v>
      </c>
      <c r="D111" s="32">
        <v>3281</v>
      </c>
      <c r="E111" s="32">
        <v>337</v>
      </c>
      <c r="F111" s="32">
        <v>4</v>
      </c>
      <c r="G111" s="32">
        <v>1</v>
      </c>
      <c r="H111" s="32">
        <v>81676</v>
      </c>
      <c r="I111" s="32" t="s">
        <v>17</v>
      </c>
      <c r="J111" s="32">
        <v>86446726</v>
      </c>
      <c r="K111" s="32" t="s">
        <v>3203</v>
      </c>
      <c r="L111" s="38" t="s">
        <v>3204</v>
      </c>
      <c r="M111" s="34">
        <v>149900</v>
      </c>
      <c r="N111" s="35">
        <f t="shared" si="8"/>
        <v>0.75</v>
      </c>
      <c r="O111" s="34">
        <f t="shared" si="6"/>
        <v>37475</v>
      </c>
      <c r="P111" s="32" t="s">
        <v>16</v>
      </c>
    </row>
    <row r="112" spans="1:16" x14ac:dyDescent="0.35">
      <c r="A112" s="32" t="str">
        <f t="shared" si="10"/>
        <v>2024 JAN-DEC DISC 75%</v>
      </c>
      <c r="B112" s="33">
        <f t="shared" si="10"/>
        <v>46121</v>
      </c>
      <c r="C112" s="33">
        <f t="shared" si="10"/>
        <v>46127</v>
      </c>
      <c r="D112" s="32">
        <v>3281</v>
      </c>
      <c r="E112" s="32">
        <v>337</v>
      </c>
      <c r="F112" s="32">
        <v>4</v>
      </c>
      <c r="G112" s="32">
        <v>1</v>
      </c>
      <c r="H112" s="32">
        <v>81676</v>
      </c>
      <c r="I112" s="32" t="s">
        <v>17</v>
      </c>
      <c r="J112" s="32">
        <v>86446735</v>
      </c>
      <c r="K112" s="32" t="s">
        <v>3203</v>
      </c>
      <c r="L112" s="38" t="s">
        <v>3205</v>
      </c>
      <c r="M112" s="34">
        <v>149900</v>
      </c>
      <c r="N112" s="35">
        <f t="shared" si="8"/>
        <v>0.75</v>
      </c>
      <c r="O112" s="34">
        <f t="shared" si="6"/>
        <v>37475</v>
      </c>
      <c r="P112" s="32" t="s">
        <v>16</v>
      </c>
    </row>
    <row r="113" spans="1:16" x14ac:dyDescent="0.35">
      <c r="A113" s="32" t="str">
        <f t="shared" si="10"/>
        <v>2024 JAN-DEC DISC 75%</v>
      </c>
      <c r="B113" s="33">
        <f t="shared" si="10"/>
        <v>46121</v>
      </c>
      <c r="C113" s="33">
        <f t="shared" si="10"/>
        <v>46127</v>
      </c>
      <c r="D113" s="32">
        <v>3281</v>
      </c>
      <c r="E113" s="32">
        <v>337</v>
      </c>
      <c r="F113" s="32">
        <v>4</v>
      </c>
      <c r="G113" s="32">
        <v>1</v>
      </c>
      <c r="H113" s="32">
        <v>81676</v>
      </c>
      <c r="I113" s="32" t="s">
        <v>17</v>
      </c>
      <c r="J113" s="32">
        <v>86446744</v>
      </c>
      <c r="K113" s="32" t="s">
        <v>3203</v>
      </c>
      <c r="L113" s="38" t="s">
        <v>3206</v>
      </c>
      <c r="M113" s="34">
        <v>149900</v>
      </c>
      <c r="N113" s="35">
        <f t="shared" si="8"/>
        <v>0.75</v>
      </c>
      <c r="O113" s="34">
        <f t="shared" si="6"/>
        <v>37475</v>
      </c>
      <c r="P113" s="32" t="s">
        <v>16</v>
      </c>
    </row>
    <row r="114" spans="1:16" x14ac:dyDescent="0.35">
      <c r="A114" s="32" t="str">
        <f t="shared" si="10"/>
        <v>2024 JAN-DEC DISC 75%</v>
      </c>
      <c r="B114" s="33">
        <f t="shared" si="10"/>
        <v>46121</v>
      </c>
      <c r="C114" s="33">
        <f t="shared" si="10"/>
        <v>46127</v>
      </c>
      <c r="D114" s="32">
        <v>3281</v>
      </c>
      <c r="E114" s="32">
        <v>337</v>
      </c>
      <c r="F114" s="32">
        <v>4</v>
      </c>
      <c r="G114" s="32">
        <v>1</v>
      </c>
      <c r="H114" s="32">
        <v>81676</v>
      </c>
      <c r="I114" s="32" t="s">
        <v>17</v>
      </c>
      <c r="J114" s="32">
        <v>86446753</v>
      </c>
      <c r="K114" s="32" t="s">
        <v>3203</v>
      </c>
      <c r="L114" s="38" t="s">
        <v>3207</v>
      </c>
      <c r="M114" s="34">
        <v>149900</v>
      </c>
      <c r="N114" s="35">
        <f t="shared" si="8"/>
        <v>0.75</v>
      </c>
      <c r="O114" s="34">
        <f t="shared" si="6"/>
        <v>37475</v>
      </c>
      <c r="P114" s="32" t="s">
        <v>16</v>
      </c>
    </row>
    <row r="115" spans="1:16" x14ac:dyDescent="0.35">
      <c r="A115" s="32" t="str">
        <f t="shared" si="10"/>
        <v>2024 JAN-DEC DISC 75%</v>
      </c>
      <c r="B115" s="33">
        <f t="shared" si="10"/>
        <v>46121</v>
      </c>
      <c r="C115" s="33">
        <f t="shared" si="10"/>
        <v>46127</v>
      </c>
      <c r="D115" s="32">
        <v>3281</v>
      </c>
      <c r="E115" s="32">
        <v>337</v>
      </c>
      <c r="F115" s="32">
        <v>4</v>
      </c>
      <c r="G115" s="32">
        <v>3</v>
      </c>
      <c r="H115" s="32">
        <v>81421</v>
      </c>
      <c r="I115" s="32" t="s">
        <v>17</v>
      </c>
      <c r="J115" s="32">
        <v>15371832</v>
      </c>
      <c r="K115" s="32" t="s">
        <v>3208</v>
      </c>
      <c r="L115" s="38" t="s">
        <v>3209</v>
      </c>
      <c r="M115" s="34">
        <v>279900</v>
      </c>
      <c r="N115" s="35">
        <f t="shared" si="8"/>
        <v>0.75</v>
      </c>
      <c r="O115" s="34">
        <f t="shared" si="6"/>
        <v>69975</v>
      </c>
      <c r="P115" s="32" t="s">
        <v>16</v>
      </c>
    </row>
    <row r="116" spans="1:16" x14ac:dyDescent="0.35">
      <c r="A116" s="32" t="str">
        <f t="shared" ref="A116:C131" si="11">A115</f>
        <v>2024 JAN-DEC DISC 75%</v>
      </c>
      <c r="B116" s="33">
        <f t="shared" si="11"/>
        <v>46121</v>
      </c>
      <c r="C116" s="33">
        <f t="shared" si="11"/>
        <v>46127</v>
      </c>
      <c r="D116" s="32">
        <v>3281</v>
      </c>
      <c r="E116" s="32">
        <v>337</v>
      </c>
      <c r="F116" s="32">
        <v>4</v>
      </c>
      <c r="G116" s="32">
        <v>3</v>
      </c>
      <c r="H116" s="32">
        <v>81421</v>
      </c>
      <c r="I116" s="32" t="s">
        <v>17</v>
      </c>
      <c r="J116" s="32">
        <v>15371841</v>
      </c>
      <c r="K116" s="32" t="s">
        <v>3208</v>
      </c>
      <c r="L116" s="38" t="s">
        <v>3210</v>
      </c>
      <c r="M116" s="34">
        <v>279900</v>
      </c>
      <c r="N116" s="35">
        <f t="shared" si="8"/>
        <v>0.75</v>
      </c>
      <c r="O116" s="34">
        <f t="shared" si="6"/>
        <v>69975</v>
      </c>
      <c r="P116" s="32" t="s">
        <v>16</v>
      </c>
    </row>
    <row r="117" spans="1:16" x14ac:dyDescent="0.35">
      <c r="A117" s="32" t="str">
        <f t="shared" si="11"/>
        <v>2024 JAN-DEC DISC 75%</v>
      </c>
      <c r="B117" s="33">
        <f t="shared" si="11"/>
        <v>46121</v>
      </c>
      <c r="C117" s="33">
        <f t="shared" si="11"/>
        <v>46127</v>
      </c>
      <c r="D117" s="32">
        <v>3281</v>
      </c>
      <c r="E117" s="32">
        <v>337</v>
      </c>
      <c r="F117" s="32">
        <v>4</v>
      </c>
      <c r="G117" s="32">
        <v>3</v>
      </c>
      <c r="H117" s="32">
        <v>81421</v>
      </c>
      <c r="I117" s="32" t="s">
        <v>17</v>
      </c>
      <c r="J117" s="32">
        <v>15371850</v>
      </c>
      <c r="K117" s="32" t="s">
        <v>3208</v>
      </c>
      <c r="L117" s="38" t="s">
        <v>3211</v>
      </c>
      <c r="M117" s="34">
        <v>279900</v>
      </c>
      <c r="N117" s="35">
        <f t="shared" si="8"/>
        <v>0.75</v>
      </c>
      <c r="O117" s="34">
        <f t="shared" si="6"/>
        <v>69975</v>
      </c>
      <c r="P117" s="32" t="s">
        <v>16</v>
      </c>
    </row>
    <row r="118" spans="1:16" x14ac:dyDescent="0.35">
      <c r="A118" s="32" t="str">
        <f t="shared" si="11"/>
        <v>2024 JAN-DEC DISC 75%</v>
      </c>
      <c r="B118" s="33">
        <f t="shared" si="11"/>
        <v>46121</v>
      </c>
      <c r="C118" s="33">
        <f t="shared" si="11"/>
        <v>46127</v>
      </c>
      <c r="D118" s="32">
        <v>3281</v>
      </c>
      <c r="E118" s="32">
        <v>337</v>
      </c>
      <c r="F118" s="32">
        <v>4</v>
      </c>
      <c r="G118" s="32">
        <v>3</v>
      </c>
      <c r="H118" s="32">
        <v>81421</v>
      </c>
      <c r="I118" s="32" t="s">
        <v>17</v>
      </c>
      <c r="J118" s="32">
        <v>15371869</v>
      </c>
      <c r="K118" s="32" t="s">
        <v>3208</v>
      </c>
      <c r="L118" s="38" t="s">
        <v>3212</v>
      </c>
      <c r="M118" s="34">
        <v>279900</v>
      </c>
      <c r="N118" s="35">
        <f t="shared" si="8"/>
        <v>0.75</v>
      </c>
      <c r="O118" s="34">
        <f t="shared" si="6"/>
        <v>69975</v>
      </c>
      <c r="P118" s="32" t="s">
        <v>16</v>
      </c>
    </row>
    <row r="119" spans="1:16" x14ac:dyDescent="0.35">
      <c r="A119" s="32" t="str">
        <f t="shared" si="11"/>
        <v>2024 JAN-DEC DISC 75%</v>
      </c>
      <c r="B119" s="33">
        <f t="shared" si="11"/>
        <v>46121</v>
      </c>
      <c r="C119" s="33">
        <f t="shared" si="11"/>
        <v>46127</v>
      </c>
      <c r="D119" s="32">
        <v>3281</v>
      </c>
      <c r="E119" s="32">
        <v>337</v>
      </c>
      <c r="F119" s="32">
        <v>4</v>
      </c>
      <c r="G119" s="32">
        <v>5</v>
      </c>
      <c r="H119" s="32">
        <v>190</v>
      </c>
      <c r="I119" s="32" t="s">
        <v>17</v>
      </c>
      <c r="J119" s="32">
        <v>16272723</v>
      </c>
      <c r="K119" s="32" t="s">
        <v>3213</v>
      </c>
      <c r="L119" s="38" t="s">
        <v>3214</v>
      </c>
      <c r="M119" s="34">
        <v>249900</v>
      </c>
      <c r="N119" s="35">
        <f t="shared" si="8"/>
        <v>0.75</v>
      </c>
      <c r="O119" s="34">
        <f t="shared" si="6"/>
        <v>62475</v>
      </c>
      <c r="P119" s="32" t="s">
        <v>16</v>
      </c>
    </row>
    <row r="120" spans="1:16" x14ac:dyDescent="0.35">
      <c r="A120" s="32" t="str">
        <f t="shared" si="11"/>
        <v>2024 JAN-DEC DISC 75%</v>
      </c>
      <c r="B120" s="33">
        <f t="shared" si="11"/>
        <v>46121</v>
      </c>
      <c r="C120" s="33">
        <f t="shared" si="11"/>
        <v>46127</v>
      </c>
      <c r="D120" s="32">
        <v>3281</v>
      </c>
      <c r="E120" s="32">
        <v>337</v>
      </c>
      <c r="F120" s="32">
        <v>4</v>
      </c>
      <c r="G120" s="32">
        <v>5</v>
      </c>
      <c r="H120" s="32">
        <v>190</v>
      </c>
      <c r="I120" s="32" t="s">
        <v>17</v>
      </c>
      <c r="J120" s="32">
        <v>16272732</v>
      </c>
      <c r="K120" s="32" t="s">
        <v>3213</v>
      </c>
      <c r="L120" s="38" t="s">
        <v>3215</v>
      </c>
      <c r="M120" s="34">
        <v>249900</v>
      </c>
      <c r="N120" s="35">
        <f t="shared" si="8"/>
        <v>0.75</v>
      </c>
      <c r="O120" s="34">
        <f t="shared" si="6"/>
        <v>62475</v>
      </c>
      <c r="P120" s="32" t="s">
        <v>16</v>
      </c>
    </row>
    <row r="121" spans="1:16" x14ac:dyDescent="0.35">
      <c r="A121" s="32" t="str">
        <f t="shared" si="11"/>
        <v>2024 JAN-DEC DISC 75%</v>
      </c>
      <c r="B121" s="33">
        <f t="shared" si="11"/>
        <v>46121</v>
      </c>
      <c r="C121" s="33">
        <f t="shared" si="11"/>
        <v>46127</v>
      </c>
      <c r="D121" s="32">
        <v>3281</v>
      </c>
      <c r="E121" s="32">
        <v>337</v>
      </c>
      <c r="F121" s="32">
        <v>4</v>
      </c>
      <c r="G121" s="32">
        <v>5</v>
      </c>
      <c r="H121" s="32">
        <v>190</v>
      </c>
      <c r="I121" s="32" t="s">
        <v>17</v>
      </c>
      <c r="J121" s="32">
        <v>16272741</v>
      </c>
      <c r="K121" s="32" t="s">
        <v>3213</v>
      </c>
      <c r="L121" s="38" t="s">
        <v>3216</v>
      </c>
      <c r="M121" s="34">
        <v>249900</v>
      </c>
      <c r="N121" s="35">
        <f t="shared" si="8"/>
        <v>0.75</v>
      </c>
      <c r="O121" s="34">
        <f t="shared" si="6"/>
        <v>62475</v>
      </c>
      <c r="P121" s="32" t="s">
        <v>16</v>
      </c>
    </row>
    <row r="122" spans="1:16" x14ac:dyDescent="0.35">
      <c r="A122" s="32" t="str">
        <f t="shared" si="11"/>
        <v>2024 JAN-DEC DISC 75%</v>
      </c>
      <c r="B122" s="33">
        <f t="shared" si="11"/>
        <v>46121</v>
      </c>
      <c r="C122" s="33">
        <f t="shared" si="11"/>
        <v>46127</v>
      </c>
      <c r="D122" s="32">
        <v>3281</v>
      </c>
      <c r="E122" s="32">
        <v>337</v>
      </c>
      <c r="F122" s="32">
        <v>4</v>
      </c>
      <c r="G122" s="32">
        <v>5</v>
      </c>
      <c r="H122" s="32">
        <v>81506</v>
      </c>
      <c r="I122" s="32" t="s">
        <v>17</v>
      </c>
      <c r="J122" s="32">
        <v>16418530</v>
      </c>
      <c r="K122" s="32" t="s">
        <v>3217</v>
      </c>
      <c r="L122" s="38" t="s">
        <v>3218</v>
      </c>
      <c r="M122" s="34">
        <v>249900</v>
      </c>
      <c r="N122" s="35">
        <f t="shared" si="8"/>
        <v>0.75</v>
      </c>
      <c r="O122" s="34">
        <f t="shared" si="6"/>
        <v>62475</v>
      </c>
      <c r="P122" s="32" t="s">
        <v>16</v>
      </c>
    </row>
    <row r="123" spans="1:16" x14ac:dyDescent="0.35">
      <c r="A123" s="32" t="str">
        <f t="shared" si="11"/>
        <v>2024 JAN-DEC DISC 75%</v>
      </c>
      <c r="B123" s="33">
        <f t="shared" si="11"/>
        <v>46121</v>
      </c>
      <c r="C123" s="33">
        <f t="shared" si="11"/>
        <v>46127</v>
      </c>
      <c r="D123" s="32">
        <v>3281</v>
      </c>
      <c r="E123" s="32">
        <v>337</v>
      </c>
      <c r="F123" s="32">
        <v>4</v>
      </c>
      <c r="G123" s="32">
        <v>5</v>
      </c>
      <c r="H123" s="32">
        <v>81506</v>
      </c>
      <c r="I123" s="32" t="s">
        <v>17</v>
      </c>
      <c r="J123" s="32">
        <v>16418549</v>
      </c>
      <c r="K123" s="32" t="s">
        <v>3217</v>
      </c>
      <c r="L123" s="38" t="s">
        <v>3219</v>
      </c>
      <c r="M123" s="34">
        <v>249900</v>
      </c>
      <c r="N123" s="35">
        <f t="shared" si="8"/>
        <v>0.75</v>
      </c>
      <c r="O123" s="34">
        <f t="shared" si="6"/>
        <v>62475</v>
      </c>
      <c r="P123" s="32" t="s">
        <v>16</v>
      </c>
    </row>
    <row r="124" spans="1:16" x14ac:dyDescent="0.35">
      <c r="A124" s="32" t="str">
        <f t="shared" si="11"/>
        <v>2024 JAN-DEC DISC 75%</v>
      </c>
      <c r="B124" s="33">
        <f t="shared" si="11"/>
        <v>46121</v>
      </c>
      <c r="C124" s="33">
        <f t="shared" si="11"/>
        <v>46127</v>
      </c>
      <c r="D124" s="32">
        <v>3281</v>
      </c>
      <c r="E124" s="32">
        <v>337</v>
      </c>
      <c r="F124" s="32">
        <v>4</v>
      </c>
      <c r="G124" s="32">
        <v>5</v>
      </c>
      <c r="H124" s="32">
        <v>81506</v>
      </c>
      <c r="I124" s="32" t="s">
        <v>17</v>
      </c>
      <c r="J124" s="32">
        <v>16418558</v>
      </c>
      <c r="K124" s="32" t="s">
        <v>3217</v>
      </c>
      <c r="L124" s="38" t="s">
        <v>3220</v>
      </c>
      <c r="M124" s="34">
        <v>249900</v>
      </c>
      <c r="N124" s="35">
        <f t="shared" si="8"/>
        <v>0.75</v>
      </c>
      <c r="O124" s="34">
        <f t="shared" si="6"/>
        <v>62475</v>
      </c>
      <c r="P124" s="32" t="s">
        <v>16</v>
      </c>
    </row>
    <row r="125" spans="1:16" x14ac:dyDescent="0.35">
      <c r="A125" s="32" t="str">
        <f t="shared" si="11"/>
        <v>2024 JAN-DEC DISC 75%</v>
      </c>
      <c r="B125" s="33">
        <f t="shared" si="11"/>
        <v>46121</v>
      </c>
      <c r="C125" s="33">
        <f t="shared" si="11"/>
        <v>46127</v>
      </c>
      <c r="D125" s="32">
        <v>3281</v>
      </c>
      <c r="E125" s="32">
        <v>337</v>
      </c>
      <c r="F125" s="32">
        <v>4</v>
      </c>
      <c r="G125" s="32">
        <v>5</v>
      </c>
      <c r="H125" s="32">
        <v>81506</v>
      </c>
      <c r="I125" s="32" t="s">
        <v>17</v>
      </c>
      <c r="J125" s="32">
        <v>16418576</v>
      </c>
      <c r="K125" s="32" t="s">
        <v>3221</v>
      </c>
      <c r="L125" s="38" t="s">
        <v>3222</v>
      </c>
      <c r="M125" s="34">
        <v>249900</v>
      </c>
      <c r="N125" s="35">
        <f t="shared" si="8"/>
        <v>0.75</v>
      </c>
      <c r="O125" s="34">
        <f t="shared" si="6"/>
        <v>62475</v>
      </c>
      <c r="P125" s="32" t="s">
        <v>16</v>
      </c>
    </row>
    <row r="126" spans="1:16" x14ac:dyDescent="0.35">
      <c r="A126" s="32" t="str">
        <f t="shared" si="11"/>
        <v>2024 JAN-DEC DISC 75%</v>
      </c>
      <c r="B126" s="33">
        <f t="shared" si="11"/>
        <v>46121</v>
      </c>
      <c r="C126" s="33">
        <f t="shared" si="11"/>
        <v>46127</v>
      </c>
      <c r="D126" s="32">
        <v>3281</v>
      </c>
      <c r="E126" s="32">
        <v>337</v>
      </c>
      <c r="F126" s="32">
        <v>4</v>
      </c>
      <c r="G126" s="32">
        <v>5</v>
      </c>
      <c r="H126" s="32">
        <v>81506</v>
      </c>
      <c r="I126" s="32" t="s">
        <v>17</v>
      </c>
      <c r="J126" s="32">
        <v>16418585</v>
      </c>
      <c r="K126" s="32" t="s">
        <v>3221</v>
      </c>
      <c r="L126" s="38" t="s">
        <v>3223</v>
      </c>
      <c r="M126" s="34">
        <v>249900</v>
      </c>
      <c r="N126" s="35">
        <f t="shared" si="8"/>
        <v>0.75</v>
      </c>
      <c r="O126" s="34">
        <f t="shared" si="6"/>
        <v>62475</v>
      </c>
      <c r="P126" s="32" t="s">
        <v>16</v>
      </c>
    </row>
    <row r="127" spans="1:16" x14ac:dyDescent="0.35">
      <c r="A127" s="32" t="str">
        <f t="shared" si="11"/>
        <v>2024 JAN-DEC DISC 75%</v>
      </c>
      <c r="B127" s="33">
        <f t="shared" si="11"/>
        <v>46121</v>
      </c>
      <c r="C127" s="33">
        <f t="shared" si="11"/>
        <v>46127</v>
      </c>
      <c r="D127" s="32">
        <v>3281</v>
      </c>
      <c r="E127" s="32">
        <v>337</v>
      </c>
      <c r="F127" s="32">
        <v>4</v>
      </c>
      <c r="G127" s="32">
        <v>5</v>
      </c>
      <c r="H127" s="32">
        <v>81506</v>
      </c>
      <c r="I127" s="32" t="s">
        <v>17</v>
      </c>
      <c r="J127" s="32">
        <v>16418594</v>
      </c>
      <c r="K127" s="32" t="s">
        <v>3221</v>
      </c>
      <c r="L127" s="38" t="s">
        <v>3224</v>
      </c>
      <c r="M127" s="34">
        <v>249900</v>
      </c>
      <c r="N127" s="35">
        <f t="shared" si="8"/>
        <v>0.75</v>
      </c>
      <c r="O127" s="34">
        <f t="shared" si="6"/>
        <v>62475</v>
      </c>
      <c r="P127" s="32" t="s">
        <v>16</v>
      </c>
    </row>
    <row r="128" spans="1:16" x14ac:dyDescent="0.35">
      <c r="A128" s="32" t="str">
        <f t="shared" si="11"/>
        <v>2024 JAN-DEC DISC 75%</v>
      </c>
      <c r="B128" s="33">
        <f t="shared" si="11"/>
        <v>46121</v>
      </c>
      <c r="C128" s="33">
        <f t="shared" si="11"/>
        <v>46127</v>
      </c>
      <c r="D128" s="32">
        <v>3281</v>
      </c>
      <c r="E128" s="32">
        <v>337</v>
      </c>
      <c r="F128" s="32">
        <v>4</v>
      </c>
      <c r="G128" s="32">
        <v>1</v>
      </c>
      <c r="H128" s="32">
        <v>81421</v>
      </c>
      <c r="I128" s="32" t="s">
        <v>17</v>
      </c>
      <c r="J128" s="32">
        <v>15634745</v>
      </c>
      <c r="K128" s="32" t="s">
        <v>3179</v>
      </c>
      <c r="L128" s="38" t="s">
        <v>3262</v>
      </c>
      <c r="M128" s="34">
        <v>199900</v>
      </c>
      <c r="N128" s="35">
        <f t="shared" si="8"/>
        <v>0.75</v>
      </c>
      <c r="O128" s="34">
        <f t="shared" si="6"/>
        <v>49975</v>
      </c>
      <c r="P128" s="32" t="s">
        <v>16</v>
      </c>
    </row>
    <row r="129" spans="1:16" x14ac:dyDescent="0.35">
      <c r="A129" s="32" t="str">
        <f t="shared" si="11"/>
        <v>2024 JAN-DEC DISC 75%</v>
      </c>
      <c r="B129" s="33">
        <f t="shared" si="11"/>
        <v>46121</v>
      </c>
      <c r="C129" s="33">
        <f t="shared" si="11"/>
        <v>46127</v>
      </c>
      <c r="D129" s="32">
        <v>3281</v>
      </c>
      <c r="E129" s="32">
        <v>337</v>
      </c>
      <c r="F129" s="32">
        <v>4</v>
      </c>
      <c r="G129" s="32">
        <v>1</v>
      </c>
      <c r="H129" s="32">
        <v>80920</v>
      </c>
      <c r="I129" s="32" t="s">
        <v>17</v>
      </c>
      <c r="J129" s="32">
        <v>15371976</v>
      </c>
      <c r="K129" s="32" t="s">
        <v>3189</v>
      </c>
      <c r="L129" s="38" t="s">
        <v>3263</v>
      </c>
      <c r="M129" s="34">
        <v>149900</v>
      </c>
      <c r="N129" s="35">
        <f t="shared" si="8"/>
        <v>0.75</v>
      </c>
      <c r="O129" s="34">
        <f t="shared" si="6"/>
        <v>37475</v>
      </c>
      <c r="P129" s="32" t="s">
        <v>16</v>
      </c>
    </row>
    <row r="130" spans="1:16" x14ac:dyDescent="0.35">
      <c r="A130" s="32" t="str">
        <f t="shared" si="11"/>
        <v>2024 JAN-DEC DISC 75%</v>
      </c>
      <c r="B130" s="33">
        <f t="shared" si="11"/>
        <v>46121</v>
      </c>
      <c r="C130" s="33">
        <f t="shared" si="11"/>
        <v>46127</v>
      </c>
      <c r="D130" s="32">
        <v>3281</v>
      </c>
      <c r="E130" s="32">
        <v>337</v>
      </c>
      <c r="F130" s="32">
        <v>4</v>
      </c>
      <c r="G130" s="32">
        <v>5</v>
      </c>
      <c r="H130" s="32">
        <v>190</v>
      </c>
      <c r="I130" s="32" t="s">
        <v>17</v>
      </c>
      <c r="J130" s="32">
        <v>16272750</v>
      </c>
      <c r="K130" s="32" t="s">
        <v>3213</v>
      </c>
      <c r="L130" s="38" t="s">
        <v>3269</v>
      </c>
      <c r="M130" s="34">
        <v>249900</v>
      </c>
      <c r="N130" s="35">
        <f t="shared" si="8"/>
        <v>0.75</v>
      </c>
      <c r="O130" s="34">
        <f t="shared" si="6"/>
        <v>62475</v>
      </c>
      <c r="P130" s="32" t="s">
        <v>16</v>
      </c>
    </row>
    <row r="131" spans="1:16" x14ac:dyDescent="0.35">
      <c r="A131" s="32" t="str">
        <f t="shared" si="11"/>
        <v>2024 JAN-DEC DISC 75%</v>
      </c>
      <c r="B131" s="33">
        <f t="shared" si="11"/>
        <v>46121</v>
      </c>
      <c r="C131" s="33">
        <f t="shared" si="11"/>
        <v>46127</v>
      </c>
      <c r="D131" s="32">
        <v>3281</v>
      </c>
      <c r="E131" s="32">
        <v>337</v>
      </c>
      <c r="F131" s="32">
        <v>4</v>
      </c>
      <c r="G131" s="32">
        <v>5</v>
      </c>
      <c r="H131" s="32">
        <v>81506</v>
      </c>
      <c r="I131" s="32" t="s">
        <v>17</v>
      </c>
      <c r="J131" s="32">
        <v>16418567</v>
      </c>
      <c r="K131" s="32" t="s">
        <v>3217</v>
      </c>
      <c r="L131" s="38" t="s">
        <v>3270</v>
      </c>
      <c r="M131" s="34">
        <v>249900</v>
      </c>
      <c r="N131" s="35">
        <f t="shared" si="8"/>
        <v>0.75</v>
      </c>
      <c r="O131" s="34">
        <f t="shared" ref="O131:O194" si="12">M131-((75*M131))/100</f>
        <v>62475</v>
      </c>
      <c r="P131" s="32" t="s">
        <v>16</v>
      </c>
    </row>
    <row r="132" spans="1:16" x14ac:dyDescent="0.35">
      <c r="A132" s="32" t="str">
        <f t="shared" ref="A132:C147" si="13">A131</f>
        <v>2024 JAN-DEC DISC 75%</v>
      </c>
      <c r="B132" s="33">
        <f t="shared" si="13"/>
        <v>46121</v>
      </c>
      <c r="C132" s="33">
        <f t="shared" si="13"/>
        <v>46127</v>
      </c>
      <c r="D132" s="32">
        <v>3281</v>
      </c>
      <c r="E132" s="32">
        <v>337</v>
      </c>
      <c r="F132" s="32">
        <v>4</v>
      </c>
      <c r="G132" s="32">
        <v>5</v>
      </c>
      <c r="H132" s="32">
        <v>81506</v>
      </c>
      <c r="I132" s="32" t="s">
        <v>17</v>
      </c>
      <c r="J132" s="32">
        <v>16418601</v>
      </c>
      <c r="K132" s="32" t="s">
        <v>3221</v>
      </c>
      <c r="L132" s="38" t="s">
        <v>3271</v>
      </c>
      <c r="M132" s="34">
        <v>249900</v>
      </c>
      <c r="N132" s="35">
        <f t="shared" ref="N132:N195" si="14">N131</f>
        <v>0.75</v>
      </c>
      <c r="O132" s="34">
        <f t="shared" si="12"/>
        <v>62475</v>
      </c>
      <c r="P132" s="32" t="s">
        <v>16</v>
      </c>
    </row>
    <row r="133" spans="1:16" x14ac:dyDescent="0.35">
      <c r="A133" s="32" t="str">
        <f t="shared" si="13"/>
        <v>2024 JAN-DEC DISC 75%</v>
      </c>
      <c r="B133" s="33">
        <f t="shared" si="13"/>
        <v>46121</v>
      </c>
      <c r="C133" s="33">
        <f t="shared" si="13"/>
        <v>46127</v>
      </c>
      <c r="D133" s="32">
        <v>3281</v>
      </c>
      <c r="E133" s="32">
        <v>337</v>
      </c>
      <c r="F133" s="32">
        <v>4</v>
      </c>
      <c r="G133" s="32">
        <v>1</v>
      </c>
      <c r="H133" s="32">
        <v>81676</v>
      </c>
      <c r="I133" s="32" t="s">
        <v>17</v>
      </c>
      <c r="J133" s="32">
        <v>86446682</v>
      </c>
      <c r="K133" s="32" t="s">
        <v>3264</v>
      </c>
      <c r="L133" s="38" t="s">
        <v>3265</v>
      </c>
      <c r="M133" s="34">
        <v>149900</v>
      </c>
      <c r="N133" s="35">
        <f t="shared" si="14"/>
        <v>0.75</v>
      </c>
      <c r="O133" s="34">
        <f t="shared" si="12"/>
        <v>37475</v>
      </c>
      <c r="P133" s="32" t="s">
        <v>16</v>
      </c>
    </row>
    <row r="134" spans="1:16" x14ac:dyDescent="0.35">
      <c r="A134" s="32" t="str">
        <f t="shared" si="13"/>
        <v>2024 JAN-DEC DISC 75%</v>
      </c>
      <c r="B134" s="33">
        <f t="shared" si="13"/>
        <v>46121</v>
      </c>
      <c r="C134" s="33">
        <f t="shared" si="13"/>
        <v>46127</v>
      </c>
      <c r="D134" s="32">
        <v>3281</v>
      </c>
      <c r="E134" s="32">
        <v>337</v>
      </c>
      <c r="F134" s="32">
        <v>4</v>
      </c>
      <c r="G134" s="32">
        <v>1</v>
      </c>
      <c r="H134" s="32">
        <v>81676</v>
      </c>
      <c r="I134" s="32" t="s">
        <v>17</v>
      </c>
      <c r="J134" s="32">
        <v>86446691</v>
      </c>
      <c r="K134" s="32" t="s">
        <v>3264</v>
      </c>
      <c r="L134" s="38" t="s">
        <v>3266</v>
      </c>
      <c r="M134" s="34">
        <v>149900</v>
      </c>
      <c r="N134" s="35">
        <f t="shared" si="14"/>
        <v>0.75</v>
      </c>
      <c r="O134" s="34">
        <f t="shared" si="12"/>
        <v>37475</v>
      </c>
      <c r="P134" s="32" t="s">
        <v>16</v>
      </c>
    </row>
    <row r="135" spans="1:16" x14ac:dyDescent="0.35">
      <c r="A135" s="32" t="str">
        <f t="shared" si="13"/>
        <v>2024 JAN-DEC DISC 75%</v>
      </c>
      <c r="B135" s="33">
        <f t="shared" si="13"/>
        <v>46121</v>
      </c>
      <c r="C135" s="33">
        <f t="shared" si="13"/>
        <v>46127</v>
      </c>
      <c r="D135" s="32">
        <v>3281</v>
      </c>
      <c r="E135" s="32">
        <v>337</v>
      </c>
      <c r="F135" s="32">
        <v>4</v>
      </c>
      <c r="G135" s="32">
        <v>1</v>
      </c>
      <c r="H135" s="32">
        <v>81676</v>
      </c>
      <c r="I135" s="32" t="s">
        <v>17</v>
      </c>
      <c r="J135" s="32">
        <v>86446708</v>
      </c>
      <c r="K135" s="32" t="s">
        <v>3264</v>
      </c>
      <c r="L135" s="38" t="s">
        <v>3267</v>
      </c>
      <c r="M135" s="34">
        <v>149900</v>
      </c>
      <c r="N135" s="35">
        <f t="shared" si="14"/>
        <v>0.75</v>
      </c>
      <c r="O135" s="34">
        <f t="shared" si="12"/>
        <v>37475</v>
      </c>
      <c r="P135" s="32" t="s">
        <v>16</v>
      </c>
    </row>
    <row r="136" spans="1:16" x14ac:dyDescent="0.35">
      <c r="A136" s="32" t="str">
        <f t="shared" si="13"/>
        <v>2024 JAN-DEC DISC 75%</v>
      </c>
      <c r="B136" s="33">
        <f t="shared" si="13"/>
        <v>46121</v>
      </c>
      <c r="C136" s="33">
        <f t="shared" si="13"/>
        <v>46127</v>
      </c>
      <c r="D136" s="32">
        <v>3281</v>
      </c>
      <c r="E136" s="32">
        <v>337</v>
      </c>
      <c r="F136" s="32">
        <v>4</v>
      </c>
      <c r="G136" s="32">
        <v>1</v>
      </c>
      <c r="H136" s="32">
        <v>81676</v>
      </c>
      <c r="I136" s="32" t="s">
        <v>17</v>
      </c>
      <c r="J136" s="32">
        <v>86446717</v>
      </c>
      <c r="K136" s="32" t="s">
        <v>3264</v>
      </c>
      <c r="L136" s="38" t="s">
        <v>3268</v>
      </c>
      <c r="M136" s="34">
        <v>149900</v>
      </c>
      <c r="N136" s="35">
        <f t="shared" si="14"/>
        <v>0.75</v>
      </c>
      <c r="O136" s="34">
        <f t="shared" si="12"/>
        <v>37475</v>
      </c>
      <c r="P136" s="32" t="s">
        <v>16</v>
      </c>
    </row>
    <row r="137" spans="1:16" x14ac:dyDescent="0.35">
      <c r="A137" s="32" t="str">
        <f t="shared" si="13"/>
        <v>2024 JAN-DEC DISC 75%</v>
      </c>
      <c r="B137" s="33">
        <f t="shared" si="13"/>
        <v>46121</v>
      </c>
      <c r="C137" s="33">
        <f t="shared" si="13"/>
        <v>46127</v>
      </c>
      <c r="D137" s="32">
        <v>3281</v>
      </c>
      <c r="E137" s="32">
        <v>337</v>
      </c>
      <c r="F137" s="32">
        <v>4</v>
      </c>
      <c r="G137" s="32">
        <v>5</v>
      </c>
      <c r="H137" s="32">
        <v>81506</v>
      </c>
      <c r="I137" s="32" t="s">
        <v>17</v>
      </c>
      <c r="J137" s="32">
        <v>17075971</v>
      </c>
      <c r="K137" s="32" t="s">
        <v>3272</v>
      </c>
      <c r="L137" s="38" t="s">
        <v>3273</v>
      </c>
      <c r="M137" s="34">
        <v>259900</v>
      </c>
      <c r="N137" s="35">
        <f t="shared" si="14"/>
        <v>0.75</v>
      </c>
      <c r="O137" s="34">
        <f t="shared" si="12"/>
        <v>64975</v>
      </c>
      <c r="P137" s="32" t="s">
        <v>16</v>
      </c>
    </row>
    <row r="138" spans="1:16" x14ac:dyDescent="0.35">
      <c r="A138" s="32" t="str">
        <f t="shared" si="13"/>
        <v>2024 JAN-DEC DISC 75%</v>
      </c>
      <c r="B138" s="33">
        <f t="shared" si="13"/>
        <v>46121</v>
      </c>
      <c r="C138" s="33">
        <f t="shared" si="13"/>
        <v>46127</v>
      </c>
      <c r="D138" s="32">
        <v>3281</v>
      </c>
      <c r="E138" s="32">
        <v>337</v>
      </c>
      <c r="F138" s="32">
        <v>4</v>
      </c>
      <c r="G138" s="32">
        <v>5</v>
      </c>
      <c r="H138" s="32">
        <v>81506</v>
      </c>
      <c r="I138" s="32" t="s">
        <v>17</v>
      </c>
      <c r="J138" s="32">
        <v>17075980</v>
      </c>
      <c r="K138" s="32" t="s">
        <v>3272</v>
      </c>
      <c r="L138" s="38" t="s">
        <v>3274</v>
      </c>
      <c r="M138" s="34">
        <v>259900</v>
      </c>
      <c r="N138" s="35">
        <f t="shared" si="14"/>
        <v>0.75</v>
      </c>
      <c r="O138" s="34">
        <f t="shared" si="12"/>
        <v>64975</v>
      </c>
      <c r="P138" s="32" t="s">
        <v>16</v>
      </c>
    </row>
    <row r="139" spans="1:16" x14ac:dyDescent="0.35">
      <c r="A139" s="32" t="str">
        <f t="shared" si="13"/>
        <v>2024 JAN-DEC DISC 75%</v>
      </c>
      <c r="B139" s="33">
        <f t="shared" si="13"/>
        <v>46121</v>
      </c>
      <c r="C139" s="33">
        <f t="shared" si="13"/>
        <v>46127</v>
      </c>
      <c r="D139" s="32">
        <v>3281</v>
      </c>
      <c r="E139" s="32">
        <v>337</v>
      </c>
      <c r="F139" s="32">
        <v>4</v>
      </c>
      <c r="G139" s="32">
        <v>5</v>
      </c>
      <c r="H139" s="32">
        <v>81506</v>
      </c>
      <c r="I139" s="32" t="s">
        <v>17</v>
      </c>
      <c r="J139" s="32">
        <v>17075999</v>
      </c>
      <c r="K139" s="32" t="s">
        <v>3272</v>
      </c>
      <c r="L139" s="38" t="s">
        <v>3275</v>
      </c>
      <c r="M139" s="34">
        <v>259900</v>
      </c>
      <c r="N139" s="35">
        <f t="shared" si="14"/>
        <v>0.75</v>
      </c>
      <c r="O139" s="34">
        <f t="shared" si="12"/>
        <v>64975</v>
      </c>
      <c r="P139" s="32" t="s">
        <v>16</v>
      </c>
    </row>
    <row r="140" spans="1:16" x14ac:dyDescent="0.35">
      <c r="A140" s="32" t="str">
        <f t="shared" si="13"/>
        <v>2024 JAN-DEC DISC 75%</v>
      </c>
      <c r="B140" s="33">
        <f t="shared" si="13"/>
        <v>46121</v>
      </c>
      <c r="C140" s="33">
        <f t="shared" si="13"/>
        <v>46127</v>
      </c>
      <c r="D140" s="32">
        <v>3281</v>
      </c>
      <c r="E140" s="32">
        <v>337</v>
      </c>
      <c r="F140" s="32">
        <v>4</v>
      </c>
      <c r="G140" s="32">
        <v>5</v>
      </c>
      <c r="H140" s="32">
        <v>81506</v>
      </c>
      <c r="I140" s="32" t="s">
        <v>17</v>
      </c>
      <c r="J140" s="32">
        <v>17076050</v>
      </c>
      <c r="K140" s="32" t="s">
        <v>3276</v>
      </c>
      <c r="L140" s="38" t="s">
        <v>3277</v>
      </c>
      <c r="M140" s="34">
        <v>259900</v>
      </c>
      <c r="N140" s="35">
        <f t="shared" si="14"/>
        <v>0.75</v>
      </c>
      <c r="O140" s="34">
        <f t="shared" si="12"/>
        <v>64975</v>
      </c>
      <c r="P140" s="32" t="s">
        <v>16</v>
      </c>
    </row>
    <row r="141" spans="1:16" x14ac:dyDescent="0.35">
      <c r="A141" s="32" t="str">
        <f t="shared" si="13"/>
        <v>2024 JAN-DEC DISC 75%</v>
      </c>
      <c r="B141" s="33">
        <f t="shared" si="13"/>
        <v>46121</v>
      </c>
      <c r="C141" s="33">
        <f t="shared" si="13"/>
        <v>46127</v>
      </c>
      <c r="D141" s="32">
        <v>3281</v>
      </c>
      <c r="E141" s="32">
        <v>337</v>
      </c>
      <c r="F141" s="32">
        <v>4</v>
      </c>
      <c r="G141" s="32">
        <v>5</v>
      </c>
      <c r="H141" s="32">
        <v>81506</v>
      </c>
      <c r="I141" s="32" t="s">
        <v>17</v>
      </c>
      <c r="J141" s="32">
        <v>17076069</v>
      </c>
      <c r="K141" s="32" t="s">
        <v>3276</v>
      </c>
      <c r="L141" s="38" t="s">
        <v>3278</v>
      </c>
      <c r="M141" s="34">
        <v>259900</v>
      </c>
      <c r="N141" s="35">
        <f t="shared" si="14"/>
        <v>0.75</v>
      </c>
      <c r="O141" s="34">
        <f t="shared" si="12"/>
        <v>64975</v>
      </c>
      <c r="P141" s="32" t="s">
        <v>16</v>
      </c>
    </row>
    <row r="142" spans="1:16" x14ac:dyDescent="0.35">
      <c r="A142" s="32" t="str">
        <f t="shared" si="13"/>
        <v>2024 JAN-DEC DISC 75%</v>
      </c>
      <c r="B142" s="33">
        <f t="shared" si="13"/>
        <v>46121</v>
      </c>
      <c r="C142" s="33">
        <f t="shared" si="13"/>
        <v>46127</v>
      </c>
      <c r="D142" s="32">
        <v>3281</v>
      </c>
      <c r="E142" s="32">
        <v>337</v>
      </c>
      <c r="F142" s="32">
        <v>4</v>
      </c>
      <c r="G142" s="32">
        <v>5</v>
      </c>
      <c r="H142" s="32">
        <v>81506</v>
      </c>
      <c r="I142" s="32" t="s">
        <v>17</v>
      </c>
      <c r="J142" s="32">
        <v>17076078</v>
      </c>
      <c r="K142" s="32" t="s">
        <v>3276</v>
      </c>
      <c r="L142" s="38" t="s">
        <v>3279</v>
      </c>
      <c r="M142" s="34">
        <v>259900</v>
      </c>
      <c r="N142" s="35">
        <f t="shared" si="14"/>
        <v>0.75</v>
      </c>
      <c r="O142" s="34">
        <f t="shared" si="12"/>
        <v>64975</v>
      </c>
      <c r="P142" s="32" t="s">
        <v>16</v>
      </c>
    </row>
    <row r="143" spans="1:16" x14ac:dyDescent="0.35">
      <c r="A143" s="32" t="str">
        <f t="shared" si="13"/>
        <v>2024 JAN-DEC DISC 75%</v>
      </c>
      <c r="B143" s="33">
        <f t="shared" si="13"/>
        <v>46121</v>
      </c>
      <c r="C143" s="33">
        <f t="shared" si="13"/>
        <v>46127</v>
      </c>
      <c r="D143" s="32">
        <v>3281</v>
      </c>
      <c r="E143" s="32">
        <v>337</v>
      </c>
      <c r="F143" s="32">
        <v>4</v>
      </c>
      <c r="G143" s="32">
        <v>5</v>
      </c>
      <c r="H143" s="32">
        <v>81506</v>
      </c>
      <c r="I143" s="32" t="s">
        <v>17</v>
      </c>
      <c r="J143" s="32">
        <v>17076087</v>
      </c>
      <c r="K143" s="32" t="s">
        <v>3276</v>
      </c>
      <c r="L143" s="38" t="s">
        <v>3280</v>
      </c>
      <c r="M143" s="34">
        <v>259900</v>
      </c>
      <c r="N143" s="35">
        <f t="shared" si="14"/>
        <v>0.75</v>
      </c>
      <c r="O143" s="34">
        <f t="shared" si="12"/>
        <v>64975</v>
      </c>
      <c r="P143" s="32" t="s">
        <v>16</v>
      </c>
    </row>
    <row r="144" spans="1:16" x14ac:dyDescent="0.35">
      <c r="A144" s="32" t="str">
        <f t="shared" si="13"/>
        <v>2024 JAN-DEC DISC 75%</v>
      </c>
      <c r="B144" s="33">
        <f t="shared" si="13"/>
        <v>46121</v>
      </c>
      <c r="C144" s="33">
        <f t="shared" si="13"/>
        <v>46127</v>
      </c>
      <c r="D144" s="32">
        <v>3281</v>
      </c>
      <c r="E144" s="32">
        <v>337</v>
      </c>
      <c r="F144" s="32">
        <v>4</v>
      </c>
      <c r="G144" s="32">
        <v>5</v>
      </c>
      <c r="H144" s="32">
        <v>81506</v>
      </c>
      <c r="I144" s="32" t="s">
        <v>17</v>
      </c>
      <c r="J144" s="32">
        <v>17375183</v>
      </c>
      <c r="K144" s="32" t="s">
        <v>3281</v>
      </c>
      <c r="L144" s="38" t="s">
        <v>3282</v>
      </c>
      <c r="M144" s="34">
        <v>289900</v>
      </c>
      <c r="N144" s="35">
        <f t="shared" si="14"/>
        <v>0.75</v>
      </c>
      <c r="O144" s="34">
        <f t="shared" si="12"/>
        <v>72475</v>
      </c>
      <c r="P144" s="32" t="s">
        <v>16</v>
      </c>
    </row>
    <row r="145" spans="1:16" x14ac:dyDescent="0.35">
      <c r="A145" s="32" t="str">
        <f t="shared" si="13"/>
        <v>2024 JAN-DEC DISC 75%</v>
      </c>
      <c r="B145" s="33">
        <f t="shared" si="13"/>
        <v>46121</v>
      </c>
      <c r="C145" s="33">
        <f t="shared" si="13"/>
        <v>46127</v>
      </c>
      <c r="D145" s="32">
        <v>3281</v>
      </c>
      <c r="E145" s="32">
        <v>337</v>
      </c>
      <c r="F145" s="32">
        <v>4</v>
      </c>
      <c r="G145" s="32">
        <v>5</v>
      </c>
      <c r="H145" s="32">
        <v>81506</v>
      </c>
      <c r="I145" s="32" t="s">
        <v>17</v>
      </c>
      <c r="J145" s="32">
        <v>17375227</v>
      </c>
      <c r="K145" s="32" t="s">
        <v>3281</v>
      </c>
      <c r="L145" s="38" t="s">
        <v>3283</v>
      </c>
      <c r="M145" s="34">
        <v>289900</v>
      </c>
      <c r="N145" s="35">
        <f t="shared" si="14"/>
        <v>0.75</v>
      </c>
      <c r="O145" s="34">
        <f t="shared" si="12"/>
        <v>72475</v>
      </c>
      <c r="P145" s="32" t="s">
        <v>16</v>
      </c>
    </row>
    <row r="146" spans="1:16" x14ac:dyDescent="0.35">
      <c r="A146" s="32" t="str">
        <f t="shared" si="13"/>
        <v>2024 JAN-DEC DISC 75%</v>
      </c>
      <c r="B146" s="33">
        <f t="shared" si="13"/>
        <v>46121</v>
      </c>
      <c r="C146" s="33">
        <f t="shared" si="13"/>
        <v>46127</v>
      </c>
      <c r="D146" s="32">
        <v>3281</v>
      </c>
      <c r="E146" s="32">
        <v>337</v>
      </c>
      <c r="F146" s="32">
        <v>4</v>
      </c>
      <c r="G146" s="32">
        <v>5</v>
      </c>
      <c r="H146" s="32">
        <v>81506</v>
      </c>
      <c r="I146" s="32" t="s">
        <v>17</v>
      </c>
      <c r="J146" s="32">
        <v>17375236</v>
      </c>
      <c r="K146" s="32" t="s">
        <v>3281</v>
      </c>
      <c r="L146" s="38" t="s">
        <v>3284</v>
      </c>
      <c r="M146" s="34">
        <v>289900</v>
      </c>
      <c r="N146" s="35">
        <f t="shared" si="14"/>
        <v>0.75</v>
      </c>
      <c r="O146" s="34">
        <f t="shared" si="12"/>
        <v>72475</v>
      </c>
      <c r="P146" s="32" t="s">
        <v>16</v>
      </c>
    </row>
    <row r="147" spans="1:16" x14ac:dyDescent="0.35">
      <c r="A147" s="32" t="str">
        <f t="shared" si="13"/>
        <v>2024 JAN-DEC DISC 75%</v>
      </c>
      <c r="B147" s="33">
        <f t="shared" si="13"/>
        <v>46121</v>
      </c>
      <c r="C147" s="33">
        <f t="shared" si="13"/>
        <v>46127</v>
      </c>
      <c r="D147" s="32">
        <v>3281</v>
      </c>
      <c r="E147" s="32">
        <v>337</v>
      </c>
      <c r="F147" s="32">
        <v>4</v>
      </c>
      <c r="G147" s="32">
        <v>5</v>
      </c>
      <c r="H147" s="32">
        <v>81506</v>
      </c>
      <c r="I147" s="32" t="s">
        <v>17</v>
      </c>
      <c r="J147" s="32">
        <v>17375245</v>
      </c>
      <c r="K147" s="32" t="s">
        <v>3281</v>
      </c>
      <c r="L147" s="38" t="s">
        <v>3285</v>
      </c>
      <c r="M147" s="34">
        <v>289900</v>
      </c>
      <c r="N147" s="35">
        <f t="shared" si="14"/>
        <v>0.75</v>
      </c>
      <c r="O147" s="34">
        <f t="shared" si="12"/>
        <v>72475</v>
      </c>
      <c r="P147" s="32" t="s">
        <v>16</v>
      </c>
    </row>
    <row r="148" spans="1:16" x14ac:dyDescent="0.35">
      <c r="A148" s="32" t="str">
        <f t="shared" ref="A148:C163" si="15">A147</f>
        <v>2024 JAN-DEC DISC 75%</v>
      </c>
      <c r="B148" s="33">
        <f t="shared" si="15"/>
        <v>46121</v>
      </c>
      <c r="C148" s="33">
        <f t="shared" si="15"/>
        <v>46127</v>
      </c>
      <c r="D148" s="32">
        <v>3281</v>
      </c>
      <c r="E148" s="32">
        <v>337</v>
      </c>
      <c r="F148" s="32">
        <v>4</v>
      </c>
      <c r="G148" s="32">
        <v>1</v>
      </c>
      <c r="H148" s="32">
        <v>190</v>
      </c>
      <c r="I148" s="32" t="s">
        <v>17</v>
      </c>
      <c r="J148" s="32">
        <v>17457317</v>
      </c>
      <c r="K148" s="32" t="s">
        <v>3558</v>
      </c>
      <c r="L148" s="38" t="s">
        <v>3559</v>
      </c>
      <c r="M148" s="34">
        <v>159900</v>
      </c>
      <c r="N148" s="35">
        <f t="shared" si="14"/>
        <v>0.75</v>
      </c>
      <c r="O148" s="34">
        <f t="shared" si="12"/>
        <v>39975</v>
      </c>
      <c r="P148" s="32" t="s">
        <v>16</v>
      </c>
    </row>
    <row r="149" spans="1:16" x14ac:dyDescent="0.35">
      <c r="A149" s="32" t="str">
        <f t="shared" si="15"/>
        <v>2024 JAN-DEC DISC 75%</v>
      </c>
      <c r="B149" s="33">
        <f t="shared" si="15"/>
        <v>46121</v>
      </c>
      <c r="C149" s="33">
        <f t="shared" si="15"/>
        <v>46127</v>
      </c>
      <c r="D149" s="32">
        <v>3281</v>
      </c>
      <c r="E149" s="32">
        <v>337</v>
      </c>
      <c r="F149" s="32">
        <v>4</v>
      </c>
      <c r="G149" s="32">
        <v>1</v>
      </c>
      <c r="H149" s="32">
        <v>190</v>
      </c>
      <c r="I149" s="32" t="s">
        <v>17</v>
      </c>
      <c r="J149" s="32">
        <v>17457326</v>
      </c>
      <c r="K149" s="32" t="s">
        <v>3558</v>
      </c>
      <c r="L149" s="38" t="s">
        <v>3560</v>
      </c>
      <c r="M149" s="34">
        <v>159900</v>
      </c>
      <c r="N149" s="35">
        <f t="shared" si="14"/>
        <v>0.75</v>
      </c>
      <c r="O149" s="34">
        <f t="shared" si="12"/>
        <v>39975</v>
      </c>
      <c r="P149" s="32" t="s">
        <v>16</v>
      </c>
    </row>
    <row r="150" spans="1:16" x14ac:dyDescent="0.35">
      <c r="A150" s="32" t="str">
        <f t="shared" si="15"/>
        <v>2024 JAN-DEC DISC 75%</v>
      </c>
      <c r="B150" s="33">
        <f t="shared" si="15"/>
        <v>46121</v>
      </c>
      <c r="C150" s="33">
        <f t="shared" si="15"/>
        <v>46127</v>
      </c>
      <c r="D150" s="32">
        <v>3281</v>
      </c>
      <c r="E150" s="32">
        <v>337</v>
      </c>
      <c r="F150" s="32">
        <v>4</v>
      </c>
      <c r="G150" s="32">
        <v>1</v>
      </c>
      <c r="H150" s="32">
        <v>190</v>
      </c>
      <c r="I150" s="32" t="s">
        <v>17</v>
      </c>
      <c r="J150" s="32">
        <v>17457335</v>
      </c>
      <c r="K150" s="32" t="s">
        <v>3558</v>
      </c>
      <c r="L150" s="38" t="s">
        <v>3561</v>
      </c>
      <c r="M150" s="34">
        <v>159900</v>
      </c>
      <c r="N150" s="35">
        <f t="shared" si="14"/>
        <v>0.75</v>
      </c>
      <c r="O150" s="34">
        <f t="shared" si="12"/>
        <v>39975</v>
      </c>
      <c r="P150" s="32" t="s">
        <v>16</v>
      </c>
    </row>
    <row r="151" spans="1:16" x14ac:dyDescent="0.35">
      <c r="A151" s="32" t="str">
        <f t="shared" si="15"/>
        <v>2024 JAN-DEC DISC 75%</v>
      </c>
      <c r="B151" s="33">
        <f t="shared" si="15"/>
        <v>46121</v>
      </c>
      <c r="C151" s="33">
        <f t="shared" si="15"/>
        <v>46127</v>
      </c>
      <c r="D151" s="32">
        <v>3281</v>
      </c>
      <c r="E151" s="32">
        <v>337</v>
      </c>
      <c r="F151" s="32">
        <v>4</v>
      </c>
      <c r="G151" s="32">
        <v>1</v>
      </c>
      <c r="H151" s="32">
        <v>190</v>
      </c>
      <c r="I151" s="32" t="s">
        <v>17</v>
      </c>
      <c r="J151" s="32">
        <v>17457362</v>
      </c>
      <c r="K151" s="32" t="s">
        <v>3558</v>
      </c>
      <c r="L151" s="38" t="s">
        <v>3562</v>
      </c>
      <c r="M151" s="34">
        <v>159900</v>
      </c>
      <c r="N151" s="35">
        <f t="shared" si="14"/>
        <v>0.75</v>
      </c>
      <c r="O151" s="34">
        <f t="shared" si="12"/>
        <v>39975</v>
      </c>
      <c r="P151" s="32" t="s">
        <v>16</v>
      </c>
    </row>
    <row r="152" spans="1:16" x14ac:dyDescent="0.35">
      <c r="A152" s="32" t="str">
        <f t="shared" si="15"/>
        <v>2024 JAN-DEC DISC 75%</v>
      </c>
      <c r="B152" s="33">
        <f t="shared" si="15"/>
        <v>46121</v>
      </c>
      <c r="C152" s="33">
        <f t="shared" si="15"/>
        <v>46127</v>
      </c>
      <c r="D152" s="32">
        <v>3281</v>
      </c>
      <c r="E152" s="32">
        <v>337</v>
      </c>
      <c r="F152" s="32">
        <v>4</v>
      </c>
      <c r="G152" s="32">
        <v>4</v>
      </c>
      <c r="H152" s="32">
        <v>190</v>
      </c>
      <c r="I152" s="32" t="s">
        <v>17</v>
      </c>
      <c r="J152" s="32">
        <v>17457371</v>
      </c>
      <c r="K152" s="32" t="s">
        <v>3599</v>
      </c>
      <c r="L152" s="38" t="s">
        <v>3600</v>
      </c>
      <c r="M152" s="34">
        <v>199900</v>
      </c>
      <c r="N152" s="35">
        <f t="shared" si="14"/>
        <v>0.75</v>
      </c>
      <c r="O152" s="34">
        <f t="shared" si="12"/>
        <v>49975</v>
      </c>
      <c r="P152" s="32" t="s">
        <v>16</v>
      </c>
    </row>
    <row r="153" spans="1:16" x14ac:dyDescent="0.35">
      <c r="A153" s="32" t="str">
        <f t="shared" si="15"/>
        <v>2024 JAN-DEC DISC 75%</v>
      </c>
      <c r="B153" s="33">
        <f t="shared" si="15"/>
        <v>46121</v>
      </c>
      <c r="C153" s="33">
        <f t="shared" si="15"/>
        <v>46127</v>
      </c>
      <c r="D153" s="32">
        <v>3281</v>
      </c>
      <c r="E153" s="32">
        <v>337</v>
      </c>
      <c r="F153" s="32">
        <v>4</v>
      </c>
      <c r="G153" s="32">
        <v>4</v>
      </c>
      <c r="H153" s="32">
        <v>190</v>
      </c>
      <c r="I153" s="32" t="s">
        <v>17</v>
      </c>
      <c r="J153" s="32">
        <v>17457380</v>
      </c>
      <c r="K153" s="32" t="s">
        <v>3599</v>
      </c>
      <c r="L153" s="38" t="s">
        <v>3601</v>
      </c>
      <c r="M153" s="34">
        <v>199900</v>
      </c>
      <c r="N153" s="35">
        <f t="shared" si="14"/>
        <v>0.75</v>
      </c>
      <c r="O153" s="34">
        <f t="shared" si="12"/>
        <v>49975</v>
      </c>
      <c r="P153" s="32" t="s">
        <v>16</v>
      </c>
    </row>
    <row r="154" spans="1:16" x14ac:dyDescent="0.35">
      <c r="A154" s="32" t="str">
        <f t="shared" si="15"/>
        <v>2024 JAN-DEC DISC 75%</v>
      </c>
      <c r="B154" s="33">
        <f t="shared" si="15"/>
        <v>46121</v>
      </c>
      <c r="C154" s="33">
        <f t="shared" si="15"/>
        <v>46127</v>
      </c>
      <c r="D154" s="32">
        <v>3281</v>
      </c>
      <c r="E154" s="32">
        <v>337</v>
      </c>
      <c r="F154" s="32">
        <v>4</v>
      </c>
      <c r="G154" s="32">
        <v>4</v>
      </c>
      <c r="H154" s="32">
        <v>190</v>
      </c>
      <c r="I154" s="32" t="s">
        <v>17</v>
      </c>
      <c r="J154" s="32">
        <v>17457424</v>
      </c>
      <c r="K154" s="32" t="s">
        <v>3599</v>
      </c>
      <c r="L154" s="38" t="s">
        <v>3602</v>
      </c>
      <c r="M154" s="34">
        <v>199900</v>
      </c>
      <c r="N154" s="35">
        <f t="shared" si="14"/>
        <v>0.75</v>
      </c>
      <c r="O154" s="34">
        <f t="shared" si="12"/>
        <v>49975</v>
      </c>
      <c r="P154" s="32" t="s">
        <v>16</v>
      </c>
    </row>
    <row r="155" spans="1:16" x14ac:dyDescent="0.35">
      <c r="A155" s="32" t="str">
        <f t="shared" si="15"/>
        <v>2024 JAN-DEC DISC 75%</v>
      </c>
      <c r="B155" s="33">
        <f t="shared" si="15"/>
        <v>46121</v>
      </c>
      <c r="C155" s="33">
        <f t="shared" si="15"/>
        <v>46127</v>
      </c>
      <c r="D155" s="32">
        <v>3281</v>
      </c>
      <c r="E155" s="32">
        <v>337</v>
      </c>
      <c r="F155" s="32">
        <v>4</v>
      </c>
      <c r="G155" s="32">
        <v>4</v>
      </c>
      <c r="H155" s="32">
        <v>190</v>
      </c>
      <c r="I155" s="32" t="s">
        <v>17</v>
      </c>
      <c r="J155" s="32">
        <v>17457433</v>
      </c>
      <c r="K155" s="32" t="s">
        <v>3599</v>
      </c>
      <c r="L155" s="38" t="s">
        <v>3603</v>
      </c>
      <c r="M155" s="34">
        <v>199900</v>
      </c>
      <c r="N155" s="35">
        <f t="shared" si="14"/>
        <v>0.75</v>
      </c>
      <c r="O155" s="34">
        <f t="shared" si="12"/>
        <v>49975</v>
      </c>
      <c r="P155" s="32" t="s">
        <v>16</v>
      </c>
    </row>
    <row r="156" spans="1:16" x14ac:dyDescent="0.35">
      <c r="A156" s="32" t="str">
        <f t="shared" si="15"/>
        <v>2024 JAN-DEC DISC 75%</v>
      </c>
      <c r="B156" s="33">
        <f t="shared" si="15"/>
        <v>46121</v>
      </c>
      <c r="C156" s="33">
        <f t="shared" si="15"/>
        <v>46127</v>
      </c>
      <c r="D156" s="32">
        <v>3281</v>
      </c>
      <c r="E156" s="32">
        <v>337</v>
      </c>
      <c r="F156" s="32">
        <v>4</v>
      </c>
      <c r="G156" s="32">
        <v>5</v>
      </c>
      <c r="H156" s="32">
        <v>81506</v>
      </c>
      <c r="I156" s="32" t="s">
        <v>17</v>
      </c>
      <c r="J156" s="32">
        <v>17075935</v>
      </c>
      <c r="K156" s="32" t="s">
        <v>3629</v>
      </c>
      <c r="L156" s="38" t="s">
        <v>3630</v>
      </c>
      <c r="M156" s="34">
        <v>239900</v>
      </c>
      <c r="N156" s="35">
        <f t="shared" si="14"/>
        <v>0.75</v>
      </c>
      <c r="O156" s="34">
        <f t="shared" si="12"/>
        <v>59975</v>
      </c>
      <c r="P156" s="32" t="s">
        <v>16</v>
      </c>
    </row>
    <row r="157" spans="1:16" x14ac:dyDescent="0.35">
      <c r="A157" s="32" t="str">
        <f t="shared" si="15"/>
        <v>2024 JAN-DEC DISC 75%</v>
      </c>
      <c r="B157" s="33">
        <f t="shared" si="15"/>
        <v>46121</v>
      </c>
      <c r="C157" s="33">
        <f t="shared" si="15"/>
        <v>46127</v>
      </c>
      <c r="D157" s="32">
        <v>3281</v>
      </c>
      <c r="E157" s="32">
        <v>337</v>
      </c>
      <c r="F157" s="32">
        <v>4</v>
      </c>
      <c r="G157" s="32">
        <v>5</v>
      </c>
      <c r="H157" s="32">
        <v>81506</v>
      </c>
      <c r="I157" s="32" t="s">
        <v>17</v>
      </c>
      <c r="J157" s="32">
        <v>17075944</v>
      </c>
      <c r="K157" s="32" t="s">
        <v>3629</v>
      </c>
      <c r="L157" s="38" t="s">
        <v>3631</v>
      </c>
      <c r="M157" s="34">
        <v>239900</v>
      </c>
      <c r="N157" s="35">
        <f t="shared" si="14"/>
        <v>0.75</v>
      </c>
      <c r="O157" s="34">
        <f t="shared" si="12"/>
        <v>59975</v>
      </c>
      <c r="P157" s="32" t="s">
        <v>16</v>
      </c>
    </row>
    <row r="158" spans="1:16" x14ac:dyDescent="0.35">
      <c r="A158" s="32" t="str">
        <f t="shared" si="15"/>
        <v>2024 JAN-DEC DISC 75%</v>
      </c>
      <c r="B158" s="33">
        <f t="shared" si="15"/>
        <v>46121</v>
      </c>
      <c r="C158" s="33">
        <f t="shared" si="15"/>
        <v>46127</v>
      </c>
      <c r="D158" s="32">
        <v>3281</v>
      </c>
      <c r="E158" s="32">
        <v>337</v>
      </c>
      <c r="F158" s="32">
        <v>4</v>
      </c>
      <c r="G158" s="32">
        <v>5</v>
      </c>
      <c r="H158" s="32">
        <v>81506</v>
      </c>
      <c r="I158" s="32" t="s">
        <v>17</v>
      </c>
      <c r="J158" s="32">
        <v>17075953</v>
      </c>
      <c r="K158" s="32" t="s">
        <v>3629</v>
      </c>
      <c r="L158" s="38" t="s">
        <v>3632</v>
      </c>
      <c r="M158" s="34">
        <v>239900</v>
      </c>
      <c r="N158" s="35">
        <f t="shared" si="14"/>
        <v>0.75</v>
      </c>
      <c r="O158" s="34">
        <f t="shared" si="12"/>
        <v>59975</v>
      </c>
      <c r="P158" s="32" t="s">
        <v>16</v>
      </c>
    </row>
    <row r="159" spans="1:16" x14ac:dyDescent="0.35">
      <c r="A159" s="32" t="str">
        <f t="shared" si="15"/>
        <v>2024 JAN-DEC DISC 75%</v>
      </c>
      <c r="B159" s="33">
        <f t="shared" si="15"/>
        <v>46121</v>
      </c>
      <c r="C159" s="33">
        <f t="shared" si="15"/>
        <v>46127</v>
      </c>
      <c r="D159" s="32">
        <v>3281</v>
      </c>
      <c r="E159" s="32">
        <v>337</v>
      </c>
      <c r="F159" s="32">
        <v>4</v>
      </c>
      <c r="G159" s="32">
        <v>5</v>
      </c>
      <c r="H159" s="32">
        <v>81506</v>
      </c>
      <c r="I159" s="32" t="s">
        <v>17</v>
      </c>
      <c r="J159" s="32">
        <v>17075962</v>
      </c>
      <c r="K159" s="32" t="s">
        <v>3629</v>
      </c>
      <c r="L159" s="38" t="s">
        <v>3633</v>
      </c>
      <c r="M159" s="34">
        <v>239900</v>
      </c>
      <c r="N159" s="35">
        <f t="shared" si="14"/>
        <v>0.75</v>
      </c>
      <c r="O159" s="34">
        <f t="shared" si="12"/>
        <v>59975</v>
      </c>
      <c r="P159" s="32" t="s">
        <v>16</v>
      </c>
    </row>
    <row r="160" spans="1:16" x14ac:dyDescent="0.35">
      <c r="A160" s="32" t="str">
        <f t="shared" si="15"/>
        <v>2024 JAN-DEC DISC 75%</v>
      </c>
      <c r="B160" s="33">
        <f t="shared" si="15"/>
        <v>46121</v>
      </c>
      <c r="C160" s="33">
        <f t="shared" si="15"/>
        <v>46127</v>
      </c>
      <c r="D160" s="32">
        <v>3281</v>
      </c>
      <c r="E160" s="32">
        <v>337</v>
      </c>
      <c r="F160" s="32">
        <v>4</v>
      </c>
      <c r="G160" s="32">
        <v>1</v>
      </c>
      <c r="H160" s="32">
        <v>81419</v>
      </c>
      <c r="I160" s="32" t="s">
        <v>17</v>
      </c>
      <c r="J160" s="32">
        <v>18353525</v>
      </c>
      <c r="K160" s="32" t="s">
        <v>3553</v>
      </c>
      <c r="L160" s="38" t="s">
        <v>3554</v>
      </c>
      <c r="M160" s="34">
        <v>189900</v>
      </c>
      <c r="N160" s="35">
        <f t="shared" si="14"/>
        <v>0.75</v>
      </c>
      <c r="O160" s="34">
        <f t="shared" si="12"/>
        <v>47475</v>
      </c>
      <c r="P160" s="32" t="s">
        <v>16</v>
      </c>
    </row>
    <row r="161" spans="1:16" x14ac:dyDescent="0.35">
      <c r="A161" s="32" t="str">
        <f t="shared" si="15"/>
        <v>2024 JAN-DEC DISC 75%</v>
      </c>
      <c r="B161" s="33">
        <f t="shared" si="15"/>
        <v>46121</v>
      </c>
      <c r="C161" s="33">
        <f t="shared" si="15"/>
        <v>46127</v>
      </c>
      <c r="D161" s="32">
        <v>3281</v>
      </c>
      <c r="E161" s="32">
        <v>337</v>
      </c>
      <c r="F161" s="32">
        <v>4</v>
      </c>
      <c r="G161" s="32">
        <v>1</v>
      </c>
      <c r="H161" s="32">
        <v>81419</v>
      </c>
      <c r="I161" s="32" t="s">
        <v>17</v>
      </c>
      <c r="J161" s="32">
        <v>18353614</v>
      </c>
      <c r="K161" s="32" t="s">
        <v>3553</v>
      </c>
      <c r="L161" s="38" t="s">
        <v>3555</v>
      </c>
      <c r="M161" s="34">
        <v>189900</v>
      </c>
      <c r="N161" s="35">
        <f t="shared" si="14"/>
        <v>0.75</v>
      </c>
      <c r="O161" s="34">
        <f t="shared" si="12"/>
        <v>47475</v>
      </c>
      <c r="P161" s="32" t="s">
        <v>16</v>
      </c>
    </row>
    <row r="162" spans="1:16" x14ac:dyDescent="0.35">
      <c r="A162" s="32" t="str">
        <f t="shared" si="15"/>
        <v>2024 JAN-DEC DISC 75%</v>
      </c>
      <c r="B162" s="33">
        <f t="shared" si="15"/>
        <v>46121</v>
      </c>
      <c r="C162" s="33">
        <f t="shared" si="15"/>
        <v>46127</v>
      </c>
      <c r="D162" s="32">
        <v>3281</v>
      </c>
      <c r="E162" s="32">
        <v>337</v>
      </c>
      <c r="F162" s="32">
        <v>4</v>
      </c>
      <c r="G162" s="32">
        <v>1</v>
      </c>
      <c r="H162" s="32">
        <v>81419</v>
      </c>
      <c r="I162" s="32" t="s">
        <v>17</v>
      </c>
      <c r="J162" s="32">
        <v>18353623</v>
      </c>
      <c r="K162" s="32" t="s">
        <v>3553</v>
      </c>
      <c r="L162" s="38" t="s">
        <v>3556</v>
      </c>
      <c r="M162" s="34">
        <v>189900</v>
      </c>
      <c r="N162" s="35">
        <f t="shared" si="14"/>
        <v>0.75</v>
      </c>
      <c r="O162" s="34">
        <f t="shared" si="12"/>
        <v>47475</v>
      </c>
      <c r="P162" s="32" t="s">
        <v>16</v>
      </c>
    </row>
    <row r="163" spans="1:16" x14ac:dyDescent="0.35">
      <c r="A163" s="32" t="str">
        <f t="shared" si="15"/>
        <v>2024 JAN-DEC DISC 75%</v>
      </c>
      <c r="B163" s="33">
        <f t="shared" si="15"/>
        <v>46121</v>
      </c>
      <c r="C163" s="33">
        <f t="shared" si="15"/>
        <v>46127</v>
      </c>
      <c r="D163" s="32">
        <v>3281</v>
      </c>
      <c r="E163" s="32">
        <v>337</v>
      </c>
      <c r="F163" s="32">
        <v>4</v>
      </c>
      <c r="G163" s="32">
        <v>1</v>
      </c>
      <c r="H163" s="32">
        <v>81419</v>
      </c>
      <c r="I163" s="32" t="s">
        <v>17</v>
      </c>
      <c r="J163" s="32">
        <v>18353632</v>
      </c>
      <c r="K163" s="32" t="s">
        <v>3553</v>
      </c>
      <c r="L163" s="38" t="s">
        <v>3557</v>
      </c>
      <c r="M163" s="34">
        <v>189900</v>
      </c>
      <c r="N163" s="35">
        <f t="shared" si="14"/>
        <v>0.75</v>
      </c>
      <c r="O163" s="34">
        <f t="shared" si="12"/>
        <v>47475</v>
      </c>
      <c r="P163" s="32" t="s">
        <v>16</v>
      </c>
    </row>
    <row r="164" spans="1:16" x14ac:dyDescent="0.35">
      <c r="A164" s="32" t="str">
        <f t="shared" ref="A164:C179" si="16">A163</f>
        <v>2024 JAN-DEC DISC 75%</v>
      </c>
      <c r="B164" s="33">
        <f t="shared" si="16"/>
        <v>46121</v>
      </c>
      <c r="C164" s="33">
        <f t="shared" si="16"/>
        <v>46127</v>
      </c>
      <c r="D164" s="32">
        <v>3281</v>
      </c>
      <c r="E164" s="32">
        <v>337</v>
      </c>
      <c r="F164" s="32">
        <v>4</v>
      </c>
      <c r="G164" s="32">
        <v>1</v>
      </c>
      <c r="H164" s="32">
        <v>190</v>
      </c>
      <c r="I164" s="32" t="s">
        <v>17</v>
      </c>
      <c r="J164" s="32">
        <v>18353749</v>
      </c>
      <c r="K164" s="32" t="s">
        <v>3563</v>
      </c>
      <c r="L164" s="38" t="s">
        <v>3564</v>
      </c>
      <c r="M164" s="34">
        <v>149900</v>
      </c>
      <c r="N164" s="35">
        <f t="shared" si="14"/>
        <v>0.75</v>
      </c>
      <c r="O164" s="34">
        <f t="shared" si="12"/>
        <v>37475</v>
      </c>
      <c r="P164" s="32" t="s">
        <v>16</v>
      </c>
    </row>
    <row r="165" spans="1:16" x14ac:dyDescent="0.35">
      <c r="A165" s="32" t="str">
        <f t="shared" si="16"/>
        <v>2024 JAN-DEC DISC 75%</v>
      </c>
      <c r="B165" s="33">
        <f t="shared" si="16"/>
        <v>46121</v>
      </c>
      <c r="C165" s="33">
        <f t="shared" si="16"/>
        <v>46127</v>
      </c>
      <c r="D165" s="32">
        <v>3281</v>
      </c>
      <c r="E165" s="32">
        <v>337</v>
      </c>
      <c r="F165" s="32">
        <v>4</v>
      </c>
      <c r="G165" s="32">
        <v>1</v>
      </c>
      <c r="H165" s="32">
        <v>190</v>
      </c>
      <c r="I165" s="32" t="s">
        <v>17</v>
      </c>
      <c r="J165" s="32">
        <v>18353758</v>
      </c>
      <c r="K165" s="32" t="s">
        <v>3563</v>
      </c>
      <c r="L165" s="38" t="s">
        <v>3565</v>
      </c>
      <c r="M165" s="34">
        <v>149900</v>
      </c>
      <c r="N165" s="35">
        <f t="shared" si="14"/>
        <v>0.75</v>
      </c>
      <c r="O165" s="34">
        <f t="shared" si="12"/>
        <v>37475</v>
      </c>
      <c r="P165" s="32" t="s">
        <v>16</v>
      </c>
    </row>
    <row r="166" spans="1:16" x14ac:dyDescent="0.35">
      <c r="A166" s="32" t="str">
        <f t="shared" si="16"/>
        <v>2024 JAN-DEC DISC 75%</v>
      </c>
      <c r="B166" s="33">
        <f t="shared" si="16"/>
        <v>46121</v>
      </c>
      <c r="C166" s="33">
        <f t="shared" si="16"/>
        <v>46127</v>
      </c>
      <c r="D166" s="32">
        <v>3281</v>
      </c>
      <c r="E166" s="32">
        <v>337</v>
      </c>
      <c r="F166" s="32">
        <v>4</v>
      </c>
      <c r="G166" s="32">
        <v>1</v>
      </c>
      <c r="H166" s="32">
        <v>190</v>
      </c>
      <c r="I166" s="32" t="s">
        <v>17</v>
      </c>
      <c r="J166" s="32">
        <v>18353767</v>
      </c>
      <c r="K166" s="32" t="s">
        <v>3563</v>
      </c>
      <c r="L166" s="38" t="s">
        <v>3566</v>
      </c>
      <c r="M166" s="34">
        <v>149900</v>
      </c>
      <c r="N166" s="35">
        <f t="shared" si="14"/>
        <v>0.75</v>
      </c>
      <c r="O166" s="34">
        <f t="shared" si="12"/>
        <v>37475</v>
      </c>
      <c r="P166" s="32" t="s">
        <v>16</v>
      </c>
    </row>
    <row r="167" spans="1:16" x14ac:dyDescent="0.35">
      <c r="A167" s="32" t="str">
        <f t="shared" si="16"/>
        <v>2024 JAN-DEC DISC 75%</v>
      </c>
      <c r="B167" s="33">
        <f t="shared" si="16"/>
        <v>46121</v>
      </c>
      <c r="C167" s="33">
        <f t="shared" si="16"/>
        <v>46127</v>
      </c>
      <c r="D167" s="32">
        <v>3281</v>
      </c>
      <c r="E167" s="32">
        <v>337</v>
      </c>
      <c r="F167" s="32">
        <v>4</v>
      </c>
      <c r="G167" s="32">
        <v>1</v>
      </c>
      <c r="H167" s="32">
        <v>190</v>
      </c>
      <c r="I167" s="32" t="s">
        <v>17</v>
      </c>
      <c r="J167" s="32">
        <v>18353776</v>
      </c>
      <c r="K167" s="32" t="s">
        <v>3563</v>
      </c>
      <c r="L167" s="38" t="s">
        <v>3567</v>
      </c>
      <c r="M167" s="34">
        <v>149900</v>
      </c>
      <c r="N167" s="35">
        <f t="shared" si="14"/>
        <v>0.75</v>
      </c>
      <c r="O167" s="34">
        <f t="shared" si="12"/>
        <v>37475</v>
      </c>
      <c r="P167" s="32" t="s">
        <v>16</v>
      </c>
    </row>
    <row r="168" spans="1:16" x14ac:dyDescent="0.35">
      <c r="A168" s="32" t="str">
        <f t="shared" si="16"/>
        <v>2024 JAN-DEC DISC 75%</v>
      </c>
      <c r="B168" s="33">
        <f t="shared" si="16"/>
        <v>46121</v>
      </c>
      <c r="C168" s="33">
        <f t="shared" si="16"/>
        <v>46127</v>
      </c>
      <c r="D168" s="32">
        <v>3281</v>
      </c>
      <c r="E168" s="32">
        <v>337</v>
      </c>
      <c r="F168" s="32">
        <v>4</v>
      </c>
      <c r="G168" s="32">
        <v>1</v>
      </c>
      <c r="H168" s="32">
        <v>81676</v>
      </c>
      <c r="I168" s="32" t="s">
        <v>17</v>
      </c>
      <c r="J168" s="32">
        <v>15372251</v>
      </c>
      <c r="K168" s="32" t="s">
        <v>2881</v>
      </c>
      <c r="L168" s="38" t="s">
        <v>3568</v>
      </c>
      <c r="M168" s="34">
        <v>149900</v>
      </c>
      <c r="N168" s="35">
        <f t="shared" si="14"/>
        <v>0.75</v>
      </c>
      <c r="O168" s="34">
        <f t="shared" si="12"/>
        <v>37475</v>
      </c>
      <c r="P168" s="32" t="s">
        <v>16</v>
      </c>
    </row>
    <row r="169" spans="1:16" x14ac:dyDescent="0.35">
      <c r="A169" s="32" t="str">
        <f t="shared" si="16"/>
        <v>2024 JAN-DEC DISC 75%</v>
      </c>
      <c r="B169" s="33">
        <f t="shared" si="16"/>
        <v>46121</v>
      </c>
      <c r="C169" s="33">
        <f t="shared" si="16"/>
        <v>46127</v>
      </c>
      <c r="D169" s="32">
        <v>3281</v>
      </c>
      <c r="E169" s="32">
        <v>337</v>
      </c>
      <c r="F169" s="32">
        <v>4</v>
      </c>
      <c r="G169" s="32">
        <v>1</v>
      </c>
      <c r="H169" s="32">
        <v>81676</v>
      </c>
      <c r="I169" s="32" t="s">
        <v>17</v>
      </c>
      <c r="J169" s="32">
        <v>18767445</v>
      </c>
      <c r="K169" s="32" t="s">
        <v>3569</v>
      </c>
      <c r="L169" s="38" t="s">
        <v>3570</v>
      </c>
      <c r="M169" s="34">
        <v>149900</v>
      </c>
      <c r="N169" s="35">
        <f t="shared" si="14"/>
        <v>0.75</v>
      </c>
      <c r="O169" s="34">
        <f t="shared" si="12"/>
        <v>37475</v>
      </c>
      <c r="P169" s="32" t="s">
        <v>16</v>
      </c>
    </row>
    <row r="170" spans="1:16" x14ac:dyDescent="0.35">
      <c r="A170" s="32" t="str">
        <f t="shared" si="16"/>
        <v>2024 JAN-DEC DISC 75%</v>
      </c>
      <c r="B170" s="33">
        <f t="shared" si="16"/>
        <v>46121</v>
      </c>
      <c r="C170" s="33">
        <f t="shared" si="16"/>
        <v>46127</v>
      </c>
      <c r="D170" s="32">
        <v>3281</v>
      </c>
      <c r="E170" s="32">
        <v>337</v>
      </c>
      <c r="F170" s="32">
        <v>4</v>
      </c>
      <c r="G170" s="32">
        <v>1</v>
      </c>
      <c r="H170" s="32">
        <v>81676</v>
      </c>
      <c r="I170" s="32" t="s">
        <v>17</v>
      </c>
      <c r="J170" s="32">
        <v>18767454</v>
      </c>
      <c r="K170" s="32" t="s">
        <v>3569</v>
      </c>
      <c r="L170" s="38" t="s">
        <v>3571</v>
      </c>
      <c r="M170" s="34">
        <v>149900</v>
      </c>
      <c r="N170" s="35">
        <f t="shared" si="14"/>
        <v>0.75</v>
      </c>
      <c r="O170" s="34">
        <f t="shared" si="12"/>
        <v>37475</v>
      </c>
      <c r="P170" s="32" t="s">
        <v>16</v>
      </c>
    </row>
    <row r="171" spans="1:16" x14ac:dyDescent="0.35">
      <c r="A171" s="32" t="str">
        <f t="shared" si="16"/>
        <v>2024 JAN-DEC DISC 75%</v>
      </c>
      <c r="B171" s="33">
        <f t="shared" si="16"/>
        <v>46121</v>
      </c>
      <c r="C171" s="33">
        <f t="shared" si="16"/>
        <v>46127</v>
      </c>
      <c r="D171" s="32">
        <v>3281</v>
      </c>
      <c r="E171" s="32">
        <v>337</v>
      </c>
      <c r="F171" s="32">
        <v>4</v>
      </c>
      <c r="G171" s="32">
        <v>1</v>
      </c>
      <c r="H171" s="32">
        <v>81676</v>
      </c>
      <c r="I171" s="32" t="s">
        <v>17</v>
      </c>
      <c r="J171" s="32">
        <v>18767463</v>
      </c>
      <c r="K171" s="32" t="s">
        <v>3569</v>
      </c>
      <c r="L171" s="38" t="s">
        <v>3572</v>
      </c>
      <c r="M171" s="34">
        <v>149900</v>
      </c>
      <c r="N171" s="35">
        <f t="shared" si="14"/>
        <v>0.75</v>
      </c>
      <c r="O171" s="34">
        <f t="shared" si="12"/>
        <v>37475</v>
      </c>
      <c r="P171" s="32" t="s">
        <v>16</v>
      </c>
    </row>
    <row r="172" spans="1:16" x14ac:dyDescent="0.35">
      <c r="A172" s="32" t="str">
        <f t="shared" si="16"/>
        <v>2024 JAN-DEC DISC 75%</v>
      </c>
      <c r="B172" s="33">
        <f t="shared" si="16"/>
        <v>46121</v>
      </c>
      <c r="C172" s="33">
        <f t="shared" si="16"/>
        <v>46127</v>
      </c>
      <c r="D172" s="32">
        <v>3281</v>
      </c>
      <c r="E172" s="32">
        <v>337</v>
      </c>
      <c r="F172" s="32">
        <v>4</v>
      </c>
      <c r="G172" s="32">
        <v>1</v>
      </c>
      <c r="H172" s="32">
        <v>81676</v>
      </c>
      <c r="I172" s="32" t="s">
        <v>17</v>
      </c>
      <c r="J172" s="32">
        <v>18767472</v>
      </c>
      <c r="K172" s="32" t="s">
        <v>3569</v>
      </c>
      <c r="L172" s="38" t="s">
        <v>3573</v>
      </c>
      <c r="M172" s="34">
        <v>149900</v>
      </c>
      <c r="N172" s="35">
        <f t="shared" si="14"/>
        <v>0.75</v>
      </c>
      <c r="O172" s="34">
        <f t="shared" si="12"/>
        <v>37475</v>
      </c>
      <c r="P172" s="32" t="s">
        <v>16</v>
      </c>
    </row>
    <row r="173" spans="1:16" x14ac:dyDescent="0.35">
      <c r="A173" s="32" t="str">
        <f t="shared" si="16"/>
        <v>2024 JAN-DEC DISC 75%</v>
      </c>
      <c r="B173" s="33">
        <f t="shared" si="16"/>
        <v>46121</v>
      </c>
      <c r="C173" s="33">
        <f t="shared" si="16"/>
        <v>46127</v>
      </c>
      <c r="D173" s="32">
        <v>3281</v>
      </c>
      <c r="E173" s="32">
        <v>337</v>
      </c>
      <c r="F173" s="32">
        <v>4</v>
      </c>
      <c r="G173" s="32">
        <v>1</v>
      </c>
      <c r="H173" s="32">
        <v>81676</v>
      </c>
      <c r="I173" s="32" t="s">
        <v>17</v>
      </c>
      <c r="J173" s="32">
        <v>18767481</v>
      </c>
      <c r="K173" s="32" t="s">
        <v>3574</v>
      </c>
      <c r="L173" s="38" t="s">
        <v>3575</v>
      </c>
      <c r="M173" s="34">
        <v>149900</v>
      </c>
      <c r="N173" s="35">
        <f t="shared" si="14"/>
        <v>0.75</v>
      </c>
      <c r="O173" s="34">
        <f t="shared" si="12"/>
        <v>37475</v>
      </c>
      <c r="P173" s="32" t="s">
        <v>16</v>
      </c>
    </row>
    <row r="174" spans="1:16" x14ac:dyDescent="0.35">
      <c r="A174" s="32" t="str">
        <f t="shared" si="16"/>
        <v>2024 JAN-DEC DISC 75%</v>
      </c>
      <c r="B174" s="33">
        <f t="shared" si="16"/>
        <v>46121</v>
      </c>
      <c r="C174" s="33">
        <f t="shared" si="16"/>
        <v>46127</v>
      </c>
      <c r="D174" s="32">
        <v>3281</v>
      </c>
      <c r="E174" s="32">
        <v>337</v>
      </c>
      <c r="F174" s="32">
        <v>4</v>
      </c>
      <c r="G174" s="32">
        <v>1</v>
      </c>
      <c r="H174" s="32">
        <v>81676</v>
      </c>
      <c r="I174" s="32" t="s">
        <v>17</v>
      </c>
      <c r="J174" s="32">
        <v>18767490</v>
      </c>
      <c r="K174" s="32" t="s">
        <v>3574</v>
      </c>
      <c r="L174" s="38" t="s">
        <v>3576</v>
      </c>
      <c r="M174" s="34">
        <v>149900</v>
      </c>
      <c r="N174" s="35">
        <f t="shared" si="14"/>
        <v>0.75</v>
      </c>
      <c r="O174" s="34">
        <f t="shared" si="12"/>
        <v>37475</v>
      </c>
      <c r="P174" s="32" t="s">
        <v>16</v>
      </c>
    </row>
    <row r="175" spans="1:16" x14ac:dyDescent="0.35">
      <c r="A175" s="32" t="str">
        <f t="shared" si="16"/>
        <v>2024 JAN-DEC DISC 75%</v>
      </c>
      <c r="B175" s="33">
        <f t="shared" si="16"/>
        <v>46121</v>
      </c>
      <c r="C175" s="33">
        <f t="shared" si="16"/>
        <v>46127</v>
      </c>
      <c r="D175" s="32">
        <v>3281</v>
      </c>
      <c r="E175" s="32">
        <v>337</v>
      </c>
      <c r="F175" s="32">
        <v>4</v>
      </c>
      <c r="G175" s="32">
        <v>1</v>
      </c>
      <c r="H175" s="32">
        <v>81676</v>
      </c>
      <c r="I175" s="32" t="s">
        <v>17</v>
      </c>
      <c r="J175" s="32">
        <v>18767507</v>
      </c>
      <c r="K175" s="32" t="s">
        <v>3574</v>
      </c>
      <c r="L175" s="38" t="s">
        <v>3577</v>
      </c>
      <c r="M175" s="34">
        <v>149900</v>
      </c>
      <c r="N175" s="35">
        <f t="shared" si="14"/>
        <v>0.75</v>
      </c>
      <c r="O175" s="34">
        <f t="shared" si="12"/>
        <v>37475</v>
      </c>
      <c r="P175" s="32" t="s">
        <v>16</v>
      </c>
    </row>
    <row r="176" spans="1:16" x14ac:dyDescent="0.35">
      <c r="A176" s="32" t="str">
        <f t="shared" si="16"/>
        <v>2024 JAN-DEC DISC 75%</v>
      </c>
      <c r="B176" s="33">
        <f t="shared" si="16"/>
        <v>46121</v>
      </c>
      <c r="C176" s="33">
        <f t="shared" si="16"/>
        <v>46127</v>
      </c>
      <c r="D176" s="32">
        <v>3281</v>
      </c>
      <c r="E176" s="32">
        <v>337</v>
      </c>
      <c r="F176" s="32">
        <v>4</v>
      </c>
      <c r="G176" s="32">
        <v>1</v>
      </c>
      <c r="H176" s="32">
        <v>81676</v>
      </c>
      <c r="I176" s="32" t="s">
        <v>17</v>
      </c>
      <c r="J176" s="32">
        <v>18767516</v>
      </c>
      <c r="K176" s="32" t="s">
        <v>3574</v>
      </c>
      <c r="L176" s="38" t="s">
        <v>3578</v>
      </c>
      <c r="M176" s="34">
        <v>149900</v>
      </c>
      <c r="N176" s="35">
        <f t="shared" si="14"/>
        <v>0.75</v>
      </c>
      <c r="O176" s="34">
        <f t="shared" si="12"/>
        <v>37475</v>
      </c>
      <c r="P176" s="32" t="s">
        <v>16</v>
      </c>
    </row>
    <row r="177" spans="1:16" x14ac:dyDescent="0.35">
      <c r="A177" s="32" t="str">
        <f t="shared" si="16"/>
        <v>2024 JAN-DEC DISC 75%</v>
      </c>
      <c r="B177" s="33">
        <f t="shared" si="16"/>
        <v>46121</v>
      </c>
      <c r="C177" s="33">
        <f t="shared" si="16"/>
        <v>46127</v>
      </c>
      <c r="D177" s="32">
        <v>3281</v>
      </c>
      <c r="E177" s="32">
        <v>337</v>
      </c>
      <c r="F177" s="32">
        <v>4</v>
      </c>
      <c r="G177" s="32">
        <v>3</v>
      </c>
      <c r="H177" s="32">
        <v>81419</v>
      </c>
      <c r="I177" s="32" t="s">
        <v>17</v>
      </c>
      <c r="J177" s="32">
        <v>18353641</v>
      </c>
      <c r="K177" s="32" t="s">
        <v>3589</v>
      </c>
      <c r="L177" s="38" t="s">
        <v>3590</v>
      </c>
      <c r="M177" s="34">
        <v>299900</v>
      </c>
      <c r="N177" s="35">
        <f t="shared" si="14"/>
        <v>0.75</v>
      </c>
      <c r="O177" s="34">
        <f t="shared" si="12"/>
        <v>74975</v>
      </c>
      <c r="P177" s="32" t="s">
        <v>16</v>
      </c>
    </row>
    <row r="178" spans="1:16" x14ac:dyDescent="0.35">
      <c r="A178" s="32" t="str">
        <f t="shared" si="16"/>
        <v>2024 JAN-DEC DISC 75%</v>
      </c>
      <c r="B178" s="33">
        <f t="shared" si="16"/>
        <v>46121</v>
      </c>
      <c r="C178" s="33">
        <f t="shared" si="16"/>
        <v>46127</v>
      </c>
      <c r="D178" s="32">
        <v>3281</v>
      </c>
      <c r="E178" s="32">
        <v>337</v>
      </c>
      <c r="F178" s="32">
        <v>4</v>
      </c>
      <c r="G178" s="32">
        <v>3</v>
      </c>
      <c r="H178" s="32">
        <v>81419</v>
      </c>
      <c r="I178" s="32" t="s">
        <v>17</v>
      </c>
      <c r="J178" s="32">
        <v>18353669</v>
      </c>
      <c r="K178" s="32" t="s">
        <v>3589</v>
      </c>
      <c r="L178" s="38" t="s">
        <v>3591</v>
      </c>
      <c r="M178" s="34">
        <v>299900</v>
      </c>
      <c r="N178" s="35">
        <f t="shared" si="14"/>
        <v>0.75</v>
      </c>
      <c r="O178" s="34">
        <f t="shared" si="12"/>
        <v>74975</v>
      </c>
      <c r="P178" s="32" t="s">
        <v>16</v>
      </c>
    </row>
    <row r="179" spans="1:16" x14ac:dyDescent="0.35">
      <c r="A179" s="32" t="str">
        <f t="shared" si="16"/>
        <v>2024 JAN-DEC DISC 75%</v>
      </c>
      <c r="B179" s="33">
        <f t="shared" si="16"/>
        <v>46121</v>
      </c>
      <c r="C179" s="33">
        <f t="shared" si="16"/>
        <v>46127</v>
      </c>
      <c r="D179" s="32">
        <v>3281</v>
      </c>
      <c r="E179" s="32">
        <v>337</v>
      </c>
      <c r="F179" s="32">
        <v>4</v>
      </c>
      <c r="G179" s="32">
        <v>3</v>
      </c>
      <c r="H179" s="32">
        <v>81419</v>
      </c>
      <c r="I179" s="32" t="s">
        <v>17</v>
      </c>
      <c r="J179" s="32">
        <v>18353678</v>
      </c>
      <c r="K179" s="32" t="s">
        <v>3589</v>
      </c>
      <c r="L179" s="38" t="s">
        <v>3592</v>
      </c>
      <c r="M179" s="34">
        <v>299900</v>
      </c>
      <c r="N179" s="35">
        <f t="shared" si="14"/>
        <v>0.75</v>
      </c>
      <c r="O179" s="34">
        <f t="shared" si="12"/>
        <v>74975</v>
      </c>
      <c r="P179" s="32" t="s">
        <v>16</v>
      </c>
    </row>
    <row r="180" spans="1:16" x14ac:dyDescent="0.35">
      <c r="A180" s="32" t="str">
        <f t="shared" ref="A180:C195" si="17">A179</f>
        <v>2024 JAN-DEC DISC 75%</v>
      </c>
      <c r="B180" s="33">
        <f t="shared" si="17"/>
        <v>46121</v>
      </c>
      <c r="C180" s="33">
        <f t="shared" si="17"/>
        <v>46127</v>
      </c>
      <c r="D180" s="32">
        <v>3281</v>
      </c>
      <c r="E180" s="32">
        <v>337</v>
      </c>
      <c r="F180" s="32">
        <v>4</v>
      </c>
      <c r="G180" s="32">
        <v>3</v>
      </c>
      <c r="H180" s="32">
        <v>81419</v>
      </c>
      <c r="I180" s="32" t="s">
        <v>17</v>
      </c>
      <c r="J180" s="32">
        <v>18353687</v>
      </c>
      <c r="K180" s="32" t="s">
        <v>3589</v>
      </c>
      <c r="L180" s="38" t="s">
        <v>3593</v>
      </c>
      <c r="M180" s="34">
        <v>299900</v>
      </c>
      <c r="N180" s="35">
        <f t="shared" si="14"/>
        <v>0.75</v>
      </c>
      <c r="O180" s="34">
        <f t="shared" si="12"/>
        <v>74975</v>
      </c>
      <c r="P180" s="32" t="s">
        <v>16</v>
      </c>
    </row>
    <row r="181" spans="1:16" x14ac:dyDescent="0.35">
      <c r="A181" s="32" t="str">
        <f t="shared" si="17"/>
        <v>2024 JAN-DEC DISC 75%</v>
      </c>
      <c r="B181" s="33">
        <f t="shared" si="17"/>
        <v>46121</v>
      </c>
      <c r="C181" s="33">
        <f t="shared" si="17"/>
        <v>46127</v>
      </c>
      <c r="D181" s="32">
        <v>3281</v>
      </c>
      <c r="E181" s="32">
        <v>337</v>
      </c>
      <c r="F181" s="32">
        <v>4</v>
      </c>
      <c r="G181" s="32">
        <v>5</v>
      </c>
      <c r="H181" s="32">
        <v>81419</v>
      </c>
      <c r="I181" s="32" t="s">
        <v>17</v>
      </c>
      <c r="J181" s="32">
        <v>18353696</v>
      </c>
      <c r="K181" s="32" t="s">
        <v>3604</v>
      </c>
      <c r="L181" s="38" t="s">
        <v>3605</v>
      </c>
      <c r="M181" s="34">
        <v>269900</v>
      </c>
      <c r="N181" s="35">
        <f t="shared" si="14"/>
        <v>0.75</v>
      </c>
      <c r="O181" s="34">
        <f t="shared" si="12"/>
        <v>67475</v>
      </c>
      <c r="P181" s="32" t="s">
        <v>16</v>
      </c>
    </row>
    <row r="182" spans="1:16" x14ac:dyDescent="0.35">
      <c r="A182" s="32" t="str">
        <f t="shared" si="17"/>
        <v>2024 JAN-DEC DISC 75%</v>
      </c>
      <c r="B182" s="33">
        <f t="shared" si="17"/>
        <v>46121</v>
      </c>
      <c r="C182" s="33">
        <f t="shared" si="17"/>
        <v>46127</v>
      </c>
      <c r="D182" s="32">
        <v>3281</v>
      </c>
      <c r="E182" s="32">
        <v>337</v>
      </c>
      <c r="F182" s="32">
        <v>4</v>
      </c>
      <c r="G182" s="32">
        <v>5</v>
      </c>
      <c r="H182" s="32">
        <v>81419</v>
      </c>
      <c r="I182" s="32" t="s">
        <v>17</v>
      </c>
      <c r="J182" s="32">
        <v>18353703</v>
      </c>
      <c r="K182" s="32" t="s">
        <v>3604</v>
      </c>
      <c r="L182" s="38" t="s">
        <v>3606</v>
      </c>
      <c r="M182" s="34">
        <v>269900</v>
      </c>
      <c r="N182" s="35">
        <f t="shared" si="14"/>
        <v>0.75</v>
      </c>
      <c r="O182" s="34">
        <f t="shared" si="12"/>
        <v>67475</v>
      </c>
      <c r="P182" s="32" t="s">
        <v>16</v>
      </c>
    </row>
    <row r="183" spans="1:16" x14ac:dyDescent="0.35">
      <c r="A183" s="32" t="str">
        <f t="shared" si="17"/>
        <v>2024 JAN-DEC DISC 75%</v>
      </c>
      <c r="B183" s="33">
        <f t="shared" si="17"/>
        <v>46121</v>
      </c>
      <c r="C183" s="33">
        <f t="shared" si="17"/>
        <v>46127</v>
      </c>
      <c r="D183" s="32">
        <v>3281</v>
      </c>
      <c r="E183" s="32">
        <v>337</v>
      </c>
      <c r="F183" s="32">
        <v>4</v>
      </c>
      <c r="G183" s="32">
        <v>5</v>
      </c>
      <c r="H183" s="32">
        <v>81419</v>
      </c>
      <c r="I183" s="32" t="s">
        <v>17</v>
      </c>
      <c r="J183" s="32">
        <v>18353712</v>
      </c>
      <c r="K183" s="32" t="s">
        <v>3604</v>
      </c>
      <c r="L183" s="38" t="s">
        <v>3607</v>
      </c>
      <c r="M183" s="34">
        <v>269900</v>
      </c>
      <c r="N183" s="35">
        <f t="shared" si="14"/>
        <v>0.75</v>
      </c>
      <c r="O183" s="34">
        <f t="shared" si="12"/>
        <v>67475</v>
      </c>
      <c r="P183" s="32" t="s">
        <v>16</v>
      </c>
    </row>
    <row r="184" spans="1:16" x14ac:dyDescent="0.35">
      <c r="A184" s="32" t="str">
        <f t="shared" si="17"/>
        <v>2024 JAN-DEC DISC 75%</v>
      </c>
      <c r="B184" s="33">
        <f t="shared" si="17"/>
        <v>46121</v>
      </c>
      <c r="C184" s="33">
        <f t="shared" si="17"/>
        <v>46127</v>
      </c>
      <c r="D184" s="32">
        <v>3281</v>
      </c>
      <c r="E184" s="32">
        <v>337</v>
      </c>
      <c r="F184" s="32">
        <v>4</v>
      </c>
      <c r="G184" s="32">
        <v>5</v>
      </c>
      <c r="H184" s="32">
        <v>81419</v>
      </c>
      <c r="I184" s="32" t="s">
        <v>17</v>
      </c>
      <c r="J184" s="32">
        <v>18353721</v>
      </c>
      <c r="K184" s="32" t="s">
        <v>3604</v>
      </c>
      <c r="L184" s="38" t="s">
        <v>3608</v>
      </c>
      <c r="M184" s="34">
        <v>269900</v>
      </c>
      <c r="N184" s="35">
        <f t="shared" si="14"/>
        <v>0.75</v>
      </c>
      <c r="O184" s="34">
        <f t="shared" si="12"/>
        <v>67475</v>
      </c>
      <c r="P184" s="32" t="s">
        <v>16</v>
      </c>
    </row>
    <row r="185" spans="1:16" x14ac:dyDescent="0.35">
      <c r="A185" s="32" t="str">
        <f t="shared" si="17"/>
        <v>2024 JAN-DEC DISC 75%</v>
      </c>
      <c r="B185" s="33">
        <f t="shared" si="17"/>
        <v>46121</v>
      </c>
      <c r="C185" s="33">
        <f t="shared" si="17"/>
        <v>46127</v>
      </c>
      <c r="D185" s="32">
        <v>3281</v>
      </c>
      <c r="E185" s="32">
        <v>337</v>
      </c>
      <c r="F185" s="32">
        <v>4</v>
      </c>
      <c r="G185" s="32">
        <v>5</v>
      </c>
      <c r="H185" s="32">
        <v>81419</v>
      </c>
      <c r="I185" s="32" t="s">
        <v>17</v>
      </c>
      <c r="J185" s="32">
        <v>18767605</v>
      </c>
      <c r="K185" s="32" t="s">
        <v>3609</v>
      </c>
      <c r="L185" s="38" t="s">
        <v>3610</v>
      </c>
      <c r="M185" s="34">
        <v>259900</v>
      </c>
      <c r="N185" s="35">
        <f t="shared" si="14"/>
        <v>0.75</v>
      </c>
      <c r="O185" s="34">
        <f t="shared" si="12"/>
        <v>64975</v>
      </c>
      <c r="P185" s="32" t="s">
        <v>16</v>
      </c>
    </row>
    <row r="186" spans="1:16" x14ac:dyDescent="0.35">
      <c r="A186" s="32" t="str">
        <f t="shared" si="17"/>
        <v>2024 JAN-DEC DISC 75%</v>
      </c>
      <c r="B186" s="33">
        <f t="shared" si="17"/>
        <v>46121</v>
      </c>
      <c r="C186" s="33">
        <f t="shared" si="17"/>
        <v>46127</v>
      </c>
      <c r="D186" s="32">
        <v>3281</v>
      </c>
      <c r="E186" s="32">
        <v>337</v>
      </c>
      <c r="F186" s="32">
        <v>4</v>
      </c>
      <c r="G186" s="32">
        <v>5</v>
      </c>
      <c r="H186" s="32">
        <v>81419</v>
      </c>
      <c r="I186" s="32" t="s">
        <v>17</v>
      </c>
      <c r="J186" s="32">
        <v>18767614</v>
      </c>
      <c r="K186" s="32" t="s">
        <v>3609</v>
      </c>
      <c r="L186" s="38" t="s">
        <v>3611</v>
      </c>
      <c r="M186" s="34">
        <v>259900</v>
      </c>
      <c r="N186" s="35">
        <f t="shared" si="14"/>
        <v>0.75</v>
      </c>
      <c r="O186" s="34">
        <f t="shared" si="12"/>
        <v>64975</v>
      </c>
      <c r="P186" s="32" t="s">
        <v>16</v>
      </c>
    </row>
    <row r="187" spans="1:16" x14ac:dyDescent="0.35">
      <c r="A187" s="32" t="str">
        <f t="shared" si="17"/>
        <v>2024 JAN-DEC DISC 75%</v>
      </c>
      <c r="B187" s="33">
        <f t="shared" si="17"/>
        <v>46121</v>
      </c>
      <c r="C187" s="33">
        <f t="shared" si="17"/>
        <v>46127</v>
      </c>
      <c r="D187" s="32">
        <v>3281</v>
      </c>
      <c r="E187" s="32">
        <v>337</v>
      </c>
      <c r="F187" s="32">
        <v>4</v>
      </c>
      <c r="G187" s="32">
        <v>5</v>
      </c>
      <c r="H187" s="32">
        <v>81419</v>
      </c>
      <c r="I187" s="32" t="s">
        <v>17</v>
      </c>
      <c r="J187" s="32">
        <v>18767641</v>
      </c>
      <c r="K187" s="32" t="s">
        <v>3609</v>
      </c>
      <c r="L187" s="38" t="s">
        <v>3612</v>
      </c>
      <c r="M187" s="34">
        <v>259900</v>
      </c>
      <c r="N187" s="35">
        <f t="shared" si="14"/>
        <v>0.75</v>
      </c>
      <c r="O187" s="34">
        <f t="shared" si="12"/>
        <v>64975</v>
      </c>
      <c r="P187" s="32" t="s">
        <v>16</v>
      </c>
    </row>
    <row r="188" spans="1:16" x14ac:dyDescent="0.35">
      <c r="A188" s="32" t="str">
        <f t="shared" si="17"/>
        <v>2024 JAN-DEC DISC 75%</v>
      </c>
      <c r="B188" s="33">
        <f t="shared" si="17"/>
        <v>46121</v>
      </c>
      <c r="C188" s="33">
        <f t="shared" si="17"/>
        <v>46127</v>
      </c>
      <c r="D188" s="32">
        <v>3281</v>
      </c>
      <c r="E188" s="32">
        <v>337</v>
      </c>
      <c r="F188" s="32">
        <v>4</v>
      </c>
      <c r="G188" s="32">
        <v>5</v>
      </c>
      <c r="H188" s="32">
        <v>81419</v>
      </c>
      <c r="I188" s="32" t="s">
        <v>17</v>
      </c>
      <c r="J188" s="32">
        <v>18767650</v>
      </c>
      <c r="K188" s="32" t="s">
        <v>3609</v>
      </c>
      <c r="L188" s="38" t="s">
        <v>3613</v>
      </c>
      <c r="M188" s="34">
        <v>259900</v>
      </c>
      <c r="N188" s="35">
        <f t="shared" si="14"/>
        <v>0.75</v>
      </c>
      <c r="O188" s="34">
        <f t="shared" si="12"/>
        <v>64975</v>
      </c>
      <c r="P188" s="32" t="s">
        <v>16</v>
      </c>
    </row>
    <row r="189" spans="1:16" x14ac:dyDescent="0.35">
      <c r="A189" s="32" t="str">
        <f t="shared" si="17"/>
        <v>2024 JAN-DEC DISC 75%</v>
      </c>
      <c r="B189" s="33">
        <f t="shared" si="17"/>
        <v>46121</v>
      </c>
      <c r="C189" s="33">
        <f t="shared" si="17"/>
        <v>46127</v>
      </c>
      <c r="D189" s="32">
        <v>3281</v>
      </c>
      <c r="E189" s="32">
        <v>337</v>
      </c>
      <c r="F189" s="32">
        <v>4</v>
      </c>
      <c r="G189" s="32">
        <v>5</v>
      </c>
      <c r="H189" s="32">
        <v>190</v>
      </c>
      <c r="I189" s="32" t="s">
        <v>17</v>
      </c>
      <c r="J189" s="32">
        <v>17457488</v>
      </c>
      <c r="K189" s="32" t="s">
        <v>3619</v>
      </c>
      <c r="L189" s="38" t="s">
        <v>3620</v>
      </c>
      <c r="M189" s="34">
        <v>249900</v>
      </c>
      <c r="N189" s="35">
        <f t="shared" si="14"/>
        <v>0.75</v>
      </c>
      <c r="O189" s="34">
        <f t="shared" si="12"/>
        <v>62475</v>
      </c>
      <c r="P189" s="32" t="s">
        <v>16</v>
      </c>
    </row>
    <row r="190" spans="1:16" x14ac:dyDescent="0.35">
      <c r="A190" s="32" t="str">
        <f t="shared" si="17"/>
        <v>2024 JAN-DEC DISC 75%</v>
      </c>
      <c r="B190" s="33">
        <f t="shared" si="17"/>
        <v>46121</v>
      </c>
      <c r="C190" s="33">
        <f t="shared" si="17"/>
        <v>46127</v>
      </c>
      <c r="D190" s="32">
        <v>3281</v>
      </c>
      <c r="E190" s="32">
        <v>337</v>
      </c>
      <c r="F190" s="32">
        <v>4</v>
      </c>
      <c r="G190" s="32">
        <v>5</v>
      </c>
      <c r="H190" s="32">
        <v>190</v>
      </c>
      <c r="I190" s="32" t="s">
        <v>17</v>
      </c>
      <c r="J190" s="32">
        <v>17457497</v>
      </c>
      <c r="K190" s="32" t="s">
        <v>3619</v>
      </c>
      <c r="L190" s="38" t="s">
        <v>3621</v>
      </c>
      <c r="M190" s="34">
        <v>249900</v>
      </c>
      <c r="N190" s="35">
        <f t="shared" si="14"/>
        <v>0.75</v>
      </c>
      <c r="O190" s="34">
        <f t="shared" si="12"/>
        <v>62475</v>
      </c>
      <c r="P190" s="32" t="s">
        <v>16</v>
      </c>
    </row>
    <row r="191" spans="1:16" x14ac:dyDescent="0.35">
      <c r="A191" s="32" t="str">
        <f t="shared" si="17"/>
        <v>2024 JAN-DEC DISC 75%</v>
      </c>
      <c r="B191" s="33">
        <f t="shared" si="17"/>
        <v>46121</v>
      </c>
      <c r="C191" s="33">
        <f t="shared" si="17"/>
        <v>46127</v>
      </c>
      <c r="D191" s="32">
        <v>3281</v>
      </c>
      <c r="E191" s="32">
        <v>337</v>
      </c>
      <c r="F191" s="32">
        <v>4</v>
      </c>
      <c r="G191" s="32">
        <v>5</v>
      </c>
      <c r="H191" s="32">
        <v>190</v>
      </c>
      <c r="I191" s="32" t="s">
        <v>17</v>
      </c>
      <c r="J191" s="32">
        <v>17457504</v>
      </c>
      <c r="K191" s="32" t="s">
        <v>3619</v>
      </c>
      <c r="L191" s="38" t="s">
        <v>3622</v>
      </c>
      <c r="M191" s="34">
        <v>249900</v>
      </c>
      <c r="N191" s="35">
        <f t="shared" si="14"/>
        <v>0.75</v>
      </c>
      <c r="O191" s="34">
        <f t="shared" si="12"/>
        <v>62475</v>
      </c>
      <c r="P191" s="32" t="s">
        <v>16</v>
      </c>
    </row>
    <row r="192" spans="1:16" x14ac:dyDescent="0.35">
      <c r="A192" s="32" t="str">
        <f t="shared" si="17"/>
        <v>2024 JAN-DEC DISC 75%</v>
      </c>
      <c r="B192" s="33">
        <f t="shared" si="17"/>
        <v>46121</v>
      </c>
      <c r="C192" s="33">
        <f t="shared" si="17"/>
        <v>46127</v>
      </c>
      <c r="D192" s="32">
        <v>3281</v>
      </c>
      <c r="E192" s="32">
        <v>337</v>
      </c>
      <c r="F192" s="32">
        <v>4</v>
      </c>
      <c r="G192" s="32">
        <v>5</v>
      </c>
      <c r="H192" s="32">
        <v>190</v>
      </c>
      <c r="I192" s="32" t="s">
        <v>17</v>
      </c>
      <c r="J192" s="32">
        <v>17457513</v>
      </c>
      <c r="K192" s="32" t="s">
        <v>3619</v>
      </c>
      <c r="L192" s="38" t="s">
        <v>3623</v>
      </c>
      <c r="M192" s="34">
        <v>249900</v>
      </c>
      <c r="N192" s="35">
        <f t="shared" si="14"/>
        <v>0.75</v>
      </c>
      <c r="O192" s="34">
        <f t="shared" si="12"/>
        <v>62475</v>
      </c>
      <c r="P192" s="32" t="s">
        <v>16</v>
      </c>
    </row>
    <row r="193" spans="1:16" x14ac:dyDescent="0.35">
      <c r="A193" s="32" t="str">
        <f t="shared" si="17"/>
        <v>2024 JAN-DEC DISC 75%</v>
      </c>
      <c r="B193" s="33">
        <f t="shared" si="17"/>
        <v>46121</v>
      </c>
      <c r="C193" s="33">
        <f t="shared" si="17"/>
        <v>46127</v>
      </c>
      <c r="D193" s="32">
        <v>3281</v>
      </c>
      <c r="E193" s="32">
        <v>337</v>
      </c>
      <c r="F193" s="32">
        <v>4</v>
      </c>
      <c r="G193" s="32">
        <v>5</v>
      </c>
      <c r="H193" s="32">
        <v>190</v>
      </c>
      <c r="I193" s="32" t="s">
        <v>17</v>
      </c>
      <c r="J193" s="32">
        <v>17457522</v>
      </c>
      <c r="K193" s="32" t="s">
        <v>3624</v>
      </c>
      <c r="L193" s="38" t="s">
        <v>3625</v>
      </c>
      <c r="M193" s="34">
        <v>259900</v>
      </c>
      <c r="N193" s="35">
        <f t="shared" si="14"/>
        <v>0.75</v>
      </c>
      <c r="O193" s="34">
        <f t="shared" si="12"/>
        <v>64975</v>
      </c>
      <c r="P193" s="32" t="s">
        <v>16</v>
      </c>
    </row>
    <row r="194" spans="1:16" x14ac:dyDescent="0.35">
      <c r="A194" s="32" t="str">
        <f t="shared" si="17"/>
        <v>2024 JAN-DEC DISC 75%</v>
      </c>
      <c r="B194" s="33">
        <f t="shared" si="17"/>
        <v>46121</v>
      </c>
      <c r="C194" s="33">
        <f t="shared" si="17"/>
        <v>46127</v>
      </c>
      <c r="D194" s="32">
        <v>3281</v>
      </c>
      <c r="E194" s="32">
        <v>337</v>
      </c>
      <c r="F194" s="32">
        <v>4</v>
      </c>
      <c r="G194" s="32">
        <v>5</v>
      </c>
      <c r="H194" s="32">
        <v>190</v>
      </c>
      <c r="I194" s="32" t="s">
        <v>17</v>
      </c>
      <c r="J194" s="32">
        <v>17457531</v>
      </c>
      <c r="K194" s="32" t="s">
        <v>3624</v>
      </c>
      <c r="L194" s="38" t="s">
        <v>3626</v>
      </c>
      <c r="M194" s="34">
        <v>259900</v>
      </c>
      <c r="N194" s="35">
        <f t="shared" si="14"/>
        <v>0.75</v>
      </c>
      <c r="O194" s="34">
        <f t="shared" si="12"/>
        <v>64975</v>
      </c>
      <c r="P194" s="32" t="s">
        <v>16</v>
      </c>
    </row>
    <row r="195" spans="1:16" x14ac:dyDescent="0.35">
      <c r="A195" s="32" t="str">
        <f t="shared" si="17"/>
        <v>2024 JAN-DEC DISC 75%</v>
      </c>
      <c r="B195" s="33">
        <f t="shared" si="17"/>
        <v>46121</v>
      </c>
      <c r="C195" s="33">
        <f t="shared" si="17"/>
        <v>46127</v>
      </c>
      <c r="D195" s="32">
        <v>3281</v>
      </c>
      <c r="E195" s="32">
        <v>337</v>
      </c>
      <c r="F195" s="32">
        <v>4</v>
      </c>
      <c r="G195" s="32">
        <v>5</v>
      </c>
      <c r="H195" s="32">
        <v>190</v>
      </c>
      <c r="I195" s="32" t="s">
        <v>17</v>
      </c>
      <c r="J195" s="32">
        <v>17457540</v>
      </c>
      <c r="K195" s="32" t="s">
        <v>3624</v>
      </c>
      <c r="L195" s="38" t="s">
        <v>3627</v>
      </c>
      <c r="M195" s="34">
        <v>259900</v>
      </c>
      <c r="N195" s="35">
        <f t="shared" si="14"/>
        <v>0.75</v>
      </c>
      <c r="O195" s="34">
        <f t="shared" ref="O195:O258" si="18">M195-((75*M195))/100</f>
        <v>64975</v>
      </c>
      <c r="P195" s="32" t="s">
        <v>16</v>
      </c>
    </row>
    <row r="196" spans="1:16" x14ac:dyDescent="0.35">
      <c r="A196" s="32" t="str">
        <f t="shared" ref="A196:C211" si="19">A195</f>
        <v>2024 JAN-DEC DISC 75%</v>
      </c>
      <c r="B196" s="33">
        <f t="shared" si="19"/>
        <v>46121</v>
      </c>
      <c r="C196" s="33">
        <f t="shared" si="19"/>
        <v>46127</v>
      </c>
      <c r="D196" s="32">
        <v>3281</v>
      </c>
      <c r="E196" s="32">
        <v>337</v>
      </c>
      <c r="F196" s="32">
        <v>4</v>
      </c>
      <c r="G196" s="32">
        <v>5</v>
      </c>
      <c r="H196" s="32">
        <v>190</v>
      </c>
      <c r="I196" s="32" t="s">
        <v>17</v>
      </c>
      <c r="J196" s="32">
        <v>17457559</v>
      </c>
      <c r="K196" s="32" t="s">
        <v>3624</v>
      </c>
      <c r="L196" s="38" t="s">
        <v>3628</v>
      </c>
      <c r="M196" s="34">
        <v>259900</v>
      </c>
      <c r="N196" s="35">
        <f t="shared" ref="N196:N259" si="20">N195</f>
        <v>0.75</v>
      </c>
      <c r="O196" s="34">
        <f t="shared" si="18"/>
        <v>64975</v>
      </c>
      <c r="P196" s="32" t="s">
        <v>16</v>
      </c>
    </row>
    <row r="197" spans="1:16" x14ac:dyDescent="0.35">
      <c r="A197" s="32" t="str">
        <f t="shared" si="19"/>
        <v>2024 JAN-DEC DISC 75%</v>
      </c>
      <c r="B197" s="33">
        <f t="shared" si="19"/>
        <v>46121</v>
      </c>
      <c r="C197" s="33">
        <f t="shared" si="19"/>
        <v>46127</v>
      </c>
      <c r="D197" s="32">
        <v>3281</v>
      </c>
      <c r="E197" s="32">
        <v>337</v>
      </c>
      <c r="F197" s="32">
        <v>4</v>
      </c>
      <c r="G197" s="32">
        <v>5</v>
      </c>
      <c r="H197" s="32">
        <v>81506</v>
      </c>
      <c r="I197" s="32" t="s">
        <v>17</v>
      </c>
      <c r="J197" s="32">
        <v>17076005</v>
      </c>
      <c r="K197" s="32" t="s">
        <v>3272</v>
      </c>
      <c r="L197" s="38" t="s">
        <v>3634</v>
      </c>
      <c r="M197" s="34">
        <v>259900</v>
      </c>
      <c r="N197" s="35">
        <f t="shared" si="20"/>
        <v>0.75</v>
      </c>
      <c r="O197" s="34">
        <f t="shared" si="18"/>
        <v>64975</v>
      </c>
      <c r="P197" s="32" t="s">
        <v>16</v>
      </c>
    </row>
    <row r="198" spans="1:16" x14ac:dyDescent="0.35">
      <c r="A198" s="32" t="str">
        <f t="shared" si="19"/>
        <v>2024 JAN-DEC DISC 75%</v>
      </c>
      <c r="B198" s="33">
        <f t="shared" si="19"/>
        <v>46121</v>
      </c>
      <c r="C198" s="33">
        <f t="shared" si="19"/>
        <v>46127</v>
      </c>
      <c r="D198" s="32">
        <v>3281</v>
      </c>
      <c r="E198" s="32">
        <v>337</v>
      </c>
      <c r="F198" s="32">
        <v>4</v>
      </c>
      <c r="G198" s="32">
        <v>5</v>
      </c>
      <c r="H198" s="32">
        <v>81506</v>
      </c>
      <c r="I198" s="32" t="s">
        <v>17</v>
      </c>
      <c r="J198" s="32">
        <v>17076014</v>
      </c>
      <c r="K198" s="32" t="s">
        <v>3635</v>
      </c>
      <c r="L198" s="38" t="s">
        <v>3636</v>
      </c>
      <c r="M198" s="34">
        <v>259900</v>
      </c>
      <c r="N198" s="35">
        <f t="shared" si="20"/>
        <v>0.75</v>
      </c>
      <c r="O198" s="34">
        <f t="shared" si="18"/>
        <v>64975</v>
      </c>
      <c r="P198" s="32" t="s">
        <v>16</v>
      </c>
    </row>
    <row r="199" spans="1:16" x14ac:dyDescent="0.35">
      <c r="A199" s="32" t="str">
        <f t="shared" si="19"/>
        <v>2024 JAN-DEC DISC 75%</v>
      </c>
      <c r="B199" s="33">
        <f t="shared" si="19"/>
        <v>46121</v>
      </c>
      <c r="C199" s="33">
        <f t="shared" si="19"/>
        <v>46127</v>
      </c>
      <c r="D199" s="32">
        <v>3281</v>
      </c>
      <c r="E199" s="32">
        <v>337</v>
      </c>
      <c r="F199" s="32">
        <v>4</v>
      </c>
      <c r="G199" s="32">
        <v>5</v>
      </c>
      <c r="H199" s="32">
        <v>81506</v>
      </c>
      <c r="I199" s="32" t="s">
        <v>17</v>
      </c>
      <c r="J199" s="32">
        <v>17076023</v>
      </c>
      <c r="K199" s="32" t="s">
        <v>3635</v>
      </c>
      <c r="L199" s="38" t="s">
        <v>3637</v>
      </c>
      <c r="M199" s="34">
        <v>259900</v>
      </c>
      <c r="N199" s="35">
        <f t="shared" si="20"/>
        <v>0.75</v>
      </c>
      <c r="O199" s="34">
        <f t="shared" si="18"/>
        <v>64975</v>
      </c>
      <c r="P199" s="32" t="s">
        <v>16</v>
      </c>
    </row>
    <row r="200" spans="1:16" x14ac:dyDescent="0.35">
      <c r="A200" s="32" t="str">
        <f t="shared" si="19"/>
        <v>2024 JAN-DEC DISC 75%</v>
      </c>
      <c r="B200" s="33">
        <f t="shared" si="19"/>
        <v>46121</v>
      </c>
      <c r="C200" s="33">
        <f t="shared" si="19"/>
        <v>46127</v>
      </c>
      <c r="D200" s="32">
        <v>3281</v>
      </c>
      <c r="E200" s="32">
        <v>337</v>
      </c>
      <c r="F200" s="32">
        <v>4</v>
      </c>
      <c r="G200" s="32">
        <v>5</v>
      </c>
      <c r="H200" s="32">
        <v>81506</v>
      </c>
      <c r="I200" s="32" t="s">
        <v>17</v>
      </c>
      <c r="J200" s="32">
        <v>17076032</v>
      </c>
      <c r="K200" s="32" t="s">
        <v>3635</v>
      </c>
      <c r="L200" s="38" t="s">
        <v>3638</v>
      </c>
      <c r="M200" s="34">
        <v>259900</v>
      </c>
      <c r="N200" s="35">
        <f t="shared" si="20"/>
        <v>0.75</v>
      </c>
      <c r="O200" s="34">
        <f t="shared" si="18"/>
        <v>64975</v>
      </c>
      <c r="P200" s="32" t="s">
        <v>16</v>
      </c>
    </row>
    <row r="201" spans="1:16" x14ac:dyDescent="0.35">
      <c r="A201" s="32" t="str">
        <f t="shared" si="19"/>
        <v>2024 JAN-DEC DISC 75%</v>
      </c>
      <c r="B201" s="33">
        <f t="shared" si="19"/>
        <v>46121</v>
      </c>
      <c r="C201" s="33">
        <f t="shared" si="19"/>
        <v>46127</v>
      </c>
      <c r="D201" s="32">
        <v>3281</v>
      </c>
      <c r="E201" s="32">
        <v>337</v>
      </c>
      <c r="F201" s="32">
        <v>4</v>
      </c>
      <c r="G201" s="32">
        <v>5</v>
      </c>
      <c r="H201" s="32">
        <v>81506</v>
      </c>
      <c r="I201" s="32" t="s">
        <v>17</v>
      </c>
      <c r="J201" s="32">
        <v>17076041</v>
      </c>
      <c r="K201" s="32" t="s">
        <v>3635</v>
      </c>
      <c r="L201" s="38" t="s">
        <v>3639</v>
      </c>
      <c r="M201" s="34">
        <v>259900</v>
      </c>
      <c r="N201" s="35">
        <f t="shared" si="20"/>
        <v>0.75</v>
      </c>
      <c r="O201" s="34">
        <f t="shared" si="18"/>
        <v>64975</v>
      </c>
      <c r="P201" s="32" t="s">
        <v>16</v>
      </c>
    </row>
    <row r="202" spans="1:16" x14ac:dyDescent="0.35">
      <c r="A202" s="32" t="str">
        <f t="shared" si="19"/>
        <v>2024 JAN-DEC DISC 75%</v>
      </c>
      <c r="B202" s="33">
        <f t="shared" si="19"/>
        <v>46121</v>
      </c>
      <c r="C202" s="33">
        <f t="shared" si="19"/>
        <v>46127</v>
      </c>
      <c r="D202" s="32">
        <v>3281</v>
      </c>
      <c r="E202" s="32">
        <v>337</v>
      </c>
      <c r="F202" s="32">
        <v>4</v>
      </c>
      <c r="G202" s="32">
        <v>3</v>
      </c>
      <c r="H202" s="32">
        <v>81146</v>
      </c>
      <c r="I202" s="32" t="s">
        <v>17</v>
      </c>
      <c r="J202" s="32">
        <v>18767525</v>
      </c>
      <c r="K202" s="32" t="s">
        <v>3594</v>
      </c>
      <c r="L202" s="38" t="s">
        <v>3595</v>
      </c>
      <c r="M202" s="34">
        <v>239900</v>
      </c>
      <c r="N202" s="35">
        <f t="shared" si="20"/>
        <v>0.75</v>
      </c>
      <c r="O202" s="34">
        <f t="shared" si="18"/>
        <v>59975</v>
      </c>
      <c r="P202" s="32" t="s">
        <v>16</v>
      </c>
    </row>
    <row r="203" spans="1:16" x14ac:dyDescent="0.35">
      <c r="A203" s="32" t="str">
        <f t="shared" si="19"/>
        <v>2024 JAN-DEC DISC 75%</v>
      </c>
      <c r="B203" s="33">
        <f t="shared" si="19"/>
        <v>46121</v>
      </c>
      <c r="C203" s="33">
        <f t="shared" si="19"/>
        <v>46127</v>
      </c>
      <c r="D203" s="32">
        <v>3281</v>
      </c>
      <c r="E203" s="32">
        <v>337</v>
      </c>
      <c r="F203" s="32">
        <v>4</v>
      </c>
      <c r="G203" s="32">
        <v>3</v>
      </c>
      <c r="H203" s="32">
        <v>81146</v>
      </c>
      <c r="I203" s="32" t="s">
        <v>17</v>
      </c>
      <c r="J203" s="32">
        <v>18767534</v>
      </c>
      <c r="K203" s="32" t="s">
        <v>3594</v>
      </c>
      <c r="L203" s="38" t="s">
        <v>3596</v>
      </c>
      <c r="M203" s="34">
        <v>239900</v>
      </c>
      <c r="N203" s="35">
        <f t="shared" si="20"/>
        <v>0.75</v>
      </c>
      <c r="O203" s="34">
        <f t="shared" si="18"/>
        <v>59975</v>
      </c>
      <c r="P203" s="32" t="s">
        <v>16</v>
      </c>
    </row>
    <row r="204" spans="1:16" x14ac:dyDescent="0.35">
      <c r="A204" s="32" t="str">
        <f t="shared" si="19"/>
        <v>2024 JAN-DEC DISC 75%</v>
      </c>
      <c r="B204" s="33">
        <f t="shared" si="19"/>
        <v>46121</v>
      </c>
      <c r="C204" s="33">
        <f t="shared" si="19"/>
        <v>46127</v>
      </c>
      <c r="D204" s="32">
        <v>3281</v>
      </c>
      <c r="E204" s="32">
        <v>337</v>
      </c>
      <c r="F204" s="32">
        <v>4</v>
      </c>
      <c r="G204" s="32">
        <v>3</v>
      </c>
      <c r="H204" s="32">
        <v>81146</v>
      </c>
      <c r="I204" s="32" t="s">
        <v>17</v>
      </c>
      <c r="J204" s="32">
        <v>18767552</v>
      </c>
      <c r="K204" s="32" t="s">
        <v>3594</v>
      </c>
      <c r="L204" s="38" t="s">
        <v>3597</v>
      </c>
      <c r="M204" s="34">
        <v>239900</v>
      </c>
      <c r="N204" s="35">
        <f t="shared" si="20"/>
        <v>0.75</v>
      </c>
      <c r="O204" s="34">
        <f t="shared" si="18"/>
        <v>59975</v>
      </c>
      <c r="P204" s="32" t="s">
        <v>16</v>
      </c>
    </row>
    <row r="205" spans="1:16" x14ac:dyDescent="0.35">
      <c r="A205" s="32" t="str">
        <f t="shared" si="19"/>
        <v>2024 JAN-DEC DISC 75%</v>
      </c>
      <c r="B205" s="33">
        <f t="shared" si="19"/>
        <v>46121</v>
      </c>
      <c r="C205" s="33">
        <f t="shared" si="19"/>
        <v>46127</v>
      </c>
      <c r="D205" s="32">
        <v>3281</v>
      </c>
      <c r="E205" s="32">
        <v>337</v>
      </c>
      <c r="F205" s="32">
        <v>4</v>
      </c>
      <c r="G205" s="32">
        <v>3</v>
      </c>
      <c r="H205" s="32">
        <v>81146</v>
      </c>
      <c r="I205" s="32" t="s">
        <v>17</v>
      </c>
      <c r="J205" s="32">
        <v>18767598</v>
      </c>
      <c r="K205" s="32" t="s">
        <v>3594</v>
      </c>
      <c r="L205" s="38" t="s">
        <v>3598</v>
      </c>
      <c r="M205" s="34">
        <v>239900</v>
      </c>
      <c r="N205" s="35">
        <f t="shared" si="20"/>
        <v>0.75</v>
      </c>
      <c r="O205" s="34">
        <f t="shared" si="18"/>
        <v>59975</v>
      </c>
      <c r="P205" s="32" t="s">
        <v>16</v>
      </c>
    </row>
    <row r="206" spans="1:16" x14ac:dyDescent="0.35">
      <c r="A206" s="32" t="str">
        <f t="shared" si="19"/>
        <v>2024 JAN-DEC DISC 75%</v>
      </c>
      <c r="B206" s="33">
        <f t="shared" si="19"/>
        <v>46121</v>
      </c>
      <c r="C206" s="33">
        <f t="shared" si="19"/>
        <v>46127</v>
      </c>
      <c r="D206" s="32">
        <v>3281</v>
      </c>
      <c r="E206" s="32">
        <v>337</v>
      </c>
      <c r="F206" s="32">
        <v>4</v>
      </c>
      <c r="G206" s="32">
        <v>5</v>
      </c>
      <c r="H206" s="32">
        <v>81146</v>
      </c>
      <c r="I206" s="32" t="s">
        <v>17</v>
      </c>
      <c r="J206" s="32">
        <v>18767669</v>
      </c>
      <c r="K206" s="32" t="s">
        <v>3614</v>
      </c>
      <c r="L206" s="38" t="s">
        <v>3615</v>
      </c>
      <c r="M206" s="34">
        <v>259900</v>
      </c>
      <c r="N206" s="35">
        <f t="shared" si="20"/>
        <v>0.75</v>
      </c>
      <c r="O206" s="34">
        <f t="shared" si="18"/>
        <v>64975</v>
      </c>
      <c r="P206" s="32" t="s">
        <v>16</v>
      </c>
    </row>
    <row r="207" spans="1:16" x14ac:dyDescent="0.35">
      <c r="A207" s="32" t="str">
        <f t="shared" si="19"/>
        <v>2024 JAN-DEC DISC 75%</v>
      </c>
      <c r="B207" s="33">
        <f t="shared" si="19"/>
        <v>46121</v>
      </c>
      <c r="C207" s="33">
        <f t="shared" si="19"/>
        <v>46127</v>
      </c>
      <c r="D207" s="32">
        <v>3281</v>
      </c>
      <c r="E207" s="32">
        <v>337</v>
      </c>
      <c r="F207" s="32">
        <v>4</v>
      </c>
      <c r="G207" s="32">
        <v>5</v>
      </c>
      <c r="H207" s="32">
        <v>81146</v>
      </c>
      <c r="I207" s="32" t="s">
        <v>17</v>
      </c>
      <c r="J207" s="32">
        <v>18767678</v>
      </c>
      <c r="K207" s="32" t="s">
        <v>3614</v>
      </c>
      <c r="L207" s="38" t="s">
        <v>3616</v>
      </c>
      <c r="M207" s="34">
        <v>259900</v>
      </c>
      <c r="N207" s="35">
        <f t="shared" si="20"/>
        <v>0.75</v>
      </c>
      <c r="O207" s="34">
        <f t="shared" si="18"/>
        <v>64975</v>
      </c>
      <c r="P207" s="32" t="s">
        <v>16</v>
      </c>
    </row>
    <row r="208" spans="1:16" x14ac:dyDescent="0.35">
      <c r="A208" s="32" t="str">
        <f t="shared" si="19"/>
        <v>2024 JAN-DEC DISC 75%</v>
      </c>
      <c r="B208" s="33">
        <f t="shared" si="19"/>
        <v>46121</v>
      </c>
      <c r="C208" s="33">
        <f t="shared" si="19"/>
        <v>46127</v>
      </c>
      <c r="D208" s="32">
        <v>3281</v>
      </c>
      <c r="E208" s="32">
        <v>337</v>
      </c>
      <c r="F208" s="32">
        <v>4</v>
      </c>
      <c r="G208" s="32">
        <v>5</v>
      </c>
      <c r="H208" s="32">
        <v>81146</v>
      </c>
      <c r="I208" s="32" t="s">
        <v>17</v>
      </c>
      <c r="J208" s="32">
        <v>18767687</v>
      </c>
      <c r="K208" s="32" t="s">
        <v>3614</v>
      </c>
      <c r="L208" s="38" t="s">
        <v>3617</v>
      </c>
      <c r="M208" s="34">
        <v>259900</v>
      </c>
      <c r="N208" s="35">
        <f t="shared" si="20"/>
        <v>0.75</v>
      </c>
      <c r="O208" s="34">
        <f t="shared" si="18"/>
        <v>64975</v>
      </c>
      <c r="P208" s="32" t="s">
        <v>16</v>
      </c>
    </row>
    <row r="209" spans="1:16" x14ac:dyDescent="0.35">
      <c r="A209" s="32" t="str">
        <f t="shared" si="19"/>
        <v>2024 JAN-DEC DISC 75%</v>
      </c>
      <c r="B209" s="33">
        <f t="shared" si="19"/>
        <v>46121</v>
      </c>
      <c r="C209" s="33">
        <f t="shared" si="19"/>
        <v>46127</v>
      </c>
      <c r="D209" s="32">
        <v>3281</v>
      </c>
      <c r="E209" s="32">
        <v>337</v>
      </c>
      <c r="F209" s="32">
        <v>4</v>
      </c>
      <c r="G209" s="32">
        <v>5</v>
      </c>
      <c r="H209" s="32">
        <v>81146</v>
      </c>
      <c r="I209" s="32" t="s">
        <v>17</v>
      </c>
      <c r="J209" s="32">
        <v>18767696</v>
      </c>
      <c r="K209" s="32" t="s">
        <v>3614</v>
      </c>
      <c r="L209" s="38" t="s">
        <v>3618</v>
      </c>
      <c r="M209" s="34">
        <v>259900</v>
      </c>
      <c r="N209" s="35">
        <f t="shared" si="20"/>
        <v>0.75</v>
      </c>
      <c r="O209" s="34">
        <f t="shared" si="18"/>
        <v>64975</v>
      </c>
      <c r="P209" s="32" t="s">
        <v>16</v>
      </c>
    </row>
    <row r="210" spans="1:16" x14ac:dyDescent="0.35">
      <c r="A210" s="32" t="str">
        <f t="shared" si="19"/>
        <v>2024 JAN-DEC DISC 75%</v>
      </c>
      <c r="B210" s="33">
        <f t="shared" si="19"/>
        <v>46121</v>
      </c>
      <c r="C210" s="33">
        <f t="shared" si="19"/>
        <v>46127</v>
      </c>
      <c r="D210" s="32">
        <v>3281</v>
      </c>
      <c r="E210" s="32">
        <v>337</v>
      </c>
      <c r="F210" s="32">
        <v>4</v>
      </c>
      <c r="G210" s="32">
        <v>1</v>
      </c>
      <c r="H210" s="32">
        <v>81676</v>
      </c>
      <c r="I210" s="32" t="s">
        <v>17</v>
      </c>
      <c r="J210" s="32">
        <v>19754877</v>
      </c>
      <c r="K210" s="32" t="s">
        <v>3579</v>
      </c>
      <c r="L210" s="38" t="s">
        <v>3580</v>
      </c>
      <c r="M210" s="34">
        <v>139900</v>
      </c>
      <c r="N210" s="35">
        <f t="shared" si="20"/>
        <v>0.75</v>
      </c>
      <c r="O210" s="34">
        <f t="shared" si="18"/>
        <v>34975</v>
      </c>
      <c r="P210" s="32" t="s">
        <v>16</v>
      </c>
    </row>
    <row r="211" spans="1:16" x14ac:dyDescent="0.35">
      <c r="A211" s="32" t="str">
        <f t="shared" si="19"/>
        <v>2024 JAN-DEC DISC 75%</v>
      </c>
      <c r="B211" s="33">
        <f t="shared" si="19"/>
        <v>46121</v>
      </c>
      <c r="C211" s="33">
        <f t="shared" si="19"/>
        <v>46127</v>
      </c>
      <c r="D211" s="32">
        <v>3281</v>
      </c>
      <c r="E211" s="32">
        <v>337</v>
      </c>
      <c r="F211" s="32">
        <v>4</v>
      </c>
      <c r="G211" s="32">
        <v>1</v>
      </c>
      <c r="H211" s="32">
        <v>81676</v>
      </c>
      <c r="I211" s="32" t="s">
        <v>17</v>
      </c>
      <c r="J211" s="32">
        <v>19754886</v>
      </c>
      <c r="K211" s="32" t="s">
        <v>3579</v>
      </c>
      <c r="L211" s="38" t="s">
        <v>3581</v>
      </c>
      <c r="M211" s="34">
        <v>139900</v>
      </c>
      <c r="N211" s="35">
        <f t="shared" si="20"/>
        <v>0.75</v>
      </c>
      <c r="O211" s="34">
        <f t="shared" si="18"/>
        <v>34975</v>
      </c>
      <c r="P211" s="32" t="s">
        <v>16</v>
      </c>
    </row>
    <row r="212" spans="1:16" x14ac:dyDescent="0.35">
      <c r="A212" s="32" t="str">
        <f t="shared" ref="A212:C227" si="21">A211</f>
        <v>2024 JAN-DEC DISC 75%</v>
      </c>
      <c r="B212" s="33">
        <f t="shared" si="21"/>
        <v>46121</v>
      </c>
      <c r="C212" s="33">
        <f t="shared" si="21"/>
        <v>46127</v>
      </c>
      <c r="D212" s="32">
        <v>3281</v>
      </c>
      <c r="E212" s="32">
        <v>337</v>
      </c>
      <c r="F212" s="32">
        <v>4</v>
      </c>
      <c r="G212" s="32">
        <v>1</v>
      </c>
      <c r="H212" s="32">
        <v>81676</v>
      </c>
      <c r="I212" s="32" t="s">
        <v>17</v>
      </c>
      <c r="J212" s="32">
        <v>19754895</v>
      </c>
      <c r="K212" s="32" t="s">
        <v>3579</v>
      </c>
      <c r="L212" s="38" t="s">
        <v>3582</v>
      </c>
      <c r="M212" s="34">
        <v>139900</v>
      </c>
      <c r="N212" s="35">
        <f t="shared" si="20"/>
        <v>0.75</v>
      </c>
      <c r="O212" s="34">
        <f t="shared" si="18"/>
        <v>34975</v>
      </c>
      <c r="P212" s="32" t="s">
        <v>16</v>
      </c>
    </row>
    <row r="213" spans="1:16" x14ac:dyDescent="0.35">
      <c r="A213" s="32" t="str">
        <f t="shared" si="21"/>
        <v>2024 JAN-DEC DISC 75%</v>
      </c>
      <c r="B213" s="33">
        <f t="shared" si="21"/>
        <v>46121</v>
      </c>
      <c r="C213" s="33">
        <f t="shared" si="21"/>
        <v>46127</v>
      </c>
      <c r="D213" s="32">
        <v>3281</v>
      </c>
      <c r="E213" s="32">
        <v>337</v>
      </c>
      <c r="F213" s="32">
        <v>4</v>
      </c>
      <c r="G213" s="32">
        <v>1</v>
      </c>
      <c r="H213" s="32">
        <v>81676</v>
      </c>
      <c r="I213" s="32" t="s">
        <v>17</v>
      </c>
      <c r="J213" s="32">
        <v>19754911</v>
      </c>
      <c r="K213" s="32" t="s">
        <v>3579</v>
      </c>
      <c r="L213" s="38" t="s">
        <v>3583</v>
      </c>
      <c r="M213" s="34">
        <v>139900</v>
      </c>
      <c r="N213" s="35">
        <f t="shared" si="20"/>
        <v>0.75</v>
      </c>
      <c r="O213" s="34">
        <f t="shared" si="18"/>
        <v>34975</v>
      </c>
      <c r="P213" s="32" t="s">
        <v>16</v>
      </c>
    </row>
    <row r="214" spans="1:16" x14ac:dyDescent="0.35">
      <c r="A214" s="32" t="str">
        <f t="shared" si="21"/>
        <v>2024 JAN-DEC DISC 75%</v>
      </c>
      <c r="B214" s="33">
        <f t="shared" si="21"/>
        <v>46121</v>
      </c>
      <c r="C214" s="33">
        <f t="shared" si="21"/>
        <v>46127</v>
      </c>
      <c r="D214" s="32">
        <v>3281</v>
      </c>
      <c r="E214" s="32">
        <v>337</v>
      </c>
      <c r="F214" s="32">
        <v>4</v>
      </c>
      <c r="G214" s="32">
        <v>1</v>
      </c>
      <c r="H214" s="32">
        <v>81676</v>
      </c>
      <c r="I214" s="32" t="s">
        <v>17</v>
      </c>
      <c r="J214" s="32">
        <v>20562223</v>
      </c>
      <c r="K214" s="32" t="s">
        <v>3584</v>
      </c>
      <c r="L214" s="38" t="s">
        <v>3585</v>
      </c>
      <c r="M214" s="34">
        <v>129900</v>
      </c>
      <c r="N214" s="35">
        <f t="shared" si="20"/>
        <v>0.75</v>
      </c>
      <c r="O214" s="34">
        <f t="shared" si="18"/>
        <v>32475</v>
      </c>
      <c r="P214" s="32" t="s">
        <v>16</v>
      </c>
    </row>
    <row r="215" spans="1:16" x14ac:dyDescent="0.35">
      <c r="A215" s="32" t="str">
        <f t="shared" si="21"/>
        <v>2024 JAN-DEC DISC 75%</v>
      </c>
      <c r="B215" s="33">
        <f t="shared" si="21"/>
        <v>46121</v>
      </c>
      <c r="C215" s="33">
        <f t="shared" si="21"/>
        <v>46127</v>
      </c>
      <c r="D215" s="32">
        <v>3281</v>
      </c>
      <c r="E215" s="32">
        <v>337</v>
      </c>
      <c r="F215" s="32">
        <v>4</v>
      </c>
      <c r="G215" s="32">
        <v>1</v>
      </c>
      <c r="H215" s="32">
        <v>81676</v>
      </c>
      <c r="I215" s="32" t="s">
        <v>17</v>
      </c>
      <c r="J215" s="32">
        <v>20562232</v>
      </c>
      <c r="K215" s="32" t="s">
        <v>3584</v>
      </c>
      <c r="L215" s="38" t="s">
        <v>3586</v>
      </c>
      <c r="M215" s="34">
        <v>129900</v>
      </c>
      <c r="N215" s="35">
        <f t="shared" si="20"/>
        <v>0.75</v>
      </c>
      <c r="O215" s="34">
        <f t="shared" si="18"/>
        <v>32475</v>
      </c>
      <c r="P215" s="32" t="s">
        <v>16</v>
      </c>
    </row>
    <row r="216" spans="1:16" x14ac:dyDescent="0.35">
      <c r="A216" s="32" t="str">
        <f t="shared" si="21"/>
        <v>2024 JAN-DEC DISC 75%</v>
      </c>
      <c r="B216" s="33">
        <f t="shared" si="21"/>
        <v>46121</v>
      </c>
      <c r="C216" s="33">
        <f t="shared" si="21"/>
        <v>46127</v>
      </c>
      <c r="D216" s="32">
        <v>3281</v>
      </c>
      <c r="E216" s="32">
        <v>337</v>
      </c>
      <c r="F216" s="32">
        <v>4</v>
      </c>
      <c r="G216" s="32">
        <v>1</v>
      </c>
      <c r="H216" s="32">
        <v>81676</v>
      </c>
      <c r="I216" s="32" t="s">
        <v>17</v>
      </c>
      <c r="J216" s="32">
        <v>20562269</v>
      </c>
      <c r="K216" s="32" t="s">
        <v>3584</v>
      </c>
      <c r="L216" s="38" t="s">
        <v>3587</v>
      </c>
      <c r="M216" s="34">
        <v>129900</v>
      </c>
      <c r="N216" s="35">
        <f t="shared" si="20"/>
        <v>0.75</v>
      </c>
      <c r="O216" s="34">
        <f t="shared" si="18"/>
        <v>32475</v>
      </c>
      <c r="P216" s="32" t="s">
        <v>16</v>
      </c>
    </row>
    <row r="217" spans="1:16" x14ac:dyDescent="0.35">
      <c r="A217" s="32" t="str">
        <f t="shared" si="21"/>
        <v>2024 JAN-DEC DISC 75%</v>
      </c>
      <c r="B217" s="33">
        <f t="shared" si="21"/>
        <v>46121</v>
      </c>
      <c r="C217" s="33">
        <f t="shared" si="21"/>
        <v>46127</v>
      </c>
      <c r="D217" s="32">
        <v>3281</v>
      </c>
      <c r="E217" s="32">
        <v>337</v>
      </c>
      <c r="F217" s="32">
        <v>4</v>
      </c>
      <c r="G217" s="32">
        <v>1</v>
      </c>
      <c r="H217" s="32">
        <v>81676</v>
      </c>
      <c r="I217" s="32" t="s">
        <v>17</v>
      </c>
      <c r="J217" s="32">
        <v>20562321</v>
      </c>
      <c r="K217" s="32" t="s">
        <v>3584</v>
      </c>
      <c r="L217" s="38" t="s">
        <v>3588</v>
      </c>
      <c r="M217" s="34">
        <v>129900</v>
      </c>
      <c r="N217" s="35">
        <f t="shared" si="20"/>
        <v>0.75</v>
      </c>
      <c r="O217" s="34">
        <f t="shared" si="18"/>
        <v>32475</v>
      </c>
      <c r="P217" s="32" t="s">
        <v>16</v>
      </c>
    </row>
    <row r="218" spans="1:16" x14ac:dyDescent="0.35">
      <c r="A218" s="32" t="str">
        <f t="shared" si="21"/>
        <v>2024 JAN-DEC DISC 75%</v>
      </c>
      <c r="B218" s="33">
        <f t="shared" si="21"/>
        <v>46121</v>
      </c>
      <c r="C218" s="33">
        <f t="shared" si="21"/>
        <v>46127</v>
      </c>
      <c r="D218" s="32">
        <v>3281</v>
      </c>
      <c r="E218" s="32">
        <v>337</v>
      </c>
      <c r="F218" s="32">
        <v>4</v>
      </c>
      <c r="G218" s="32">
        <v>5</v>
      </c>
      <c r="H218" s="32">
        <v>81421</v>
      </c>
      <c r="I218" s="32" t="s">
        <v>17</v>
      </c>
      <c r="J218" s="32">
        <v>19755072</v>
      </c>
      <c r="K218" s="32" t="s">
        <v>3841</v>
      </c>
      <c r="L218" s="38" t="s">
        <v>3842</v>
      </c>
      <c r="M218" s="34">
        <v>259900</v>
      </c>
      <c r="N218" s="35">
        <f t="shared" si="20"/>
        <v>0.75</v>
      </c>
      <c r="O218" s="34">
        <f t="shared" si="18"/>
        <v>64975</v>
      </c>
      <c r="P218" s="32" t="s">
        <v>16</v>
      </c>
    </row>
    <row r="219" spans="1:16" x14ac:dyDescent="0.35">
      <c r="A219" s="32" t="str">
        <f t="shared" si="21"/>
        <v>2024 JAN-DEC DISC 75%</v>
      </c>
      <c r="B219" s="33">
        <f t="shared" si="21"/>
        <v>46121</v>
      </c>
      <c r="C219" s="33">
        <f t="shared" si="21"/>
        <v>46127</v>
      </c>
      <c r="D219" s="32">
        <v>3281</v>
      </c>
      <c r="E219" s="32">
        <v>337</v>
      </c>
      <c r="F219" s="32">
        <v>4</v>
      </c>
      <c r="G219" s="32">
        <v>5</v>
      </c>
      <c r="H219" s="32">
        <v>81421</v>
      </c>
      <c r="I219" s="32" t="s">
        <v>17</v>
      </c>
      <c r="J219" s="32">
        <v>19755081</v>
      </c>
      <c r="K219" s="32" t="s">
        <v>3841</v>
      </c>
      <c r="L219" s="38" t="s">
        <v>3843</v>
      </c>
      <c r="M219" s="34">
        <v>259900</v>
      </c>
      <c r="N219" s="35">
        <f t="shared" si="20"/>
        <v>0.75</v>
      </c>
      <c r="O219" s="34">
        <f t="shared" si="18"/>
        <v>64975</v>
      </c>
      <c r="P219" s="32" t="s">
        <v>16</v>
      </c>
    </row>
    <row r="220" spans="1:16" x14ac:dyDescent="0.35">
      <c r="A220" s="32" t="str">
        <f t="shared" si="21"/>
        <v>2024 JAN-DEC DISC 75%</v>
      </c>
      <c r="B220" s="33">
        <f t="shared" si="21"/>
        <v>46121</v>
      </c>
      <c r="C220" s="33">
        <f t="shared" si="21"/>
        <v>46127</v>
      </c>
      <c r="D220" s="32">
        <v>3281</v>
      </c>
      <c r="E220" s="32">
        <v>337</v>
      </c>
      <c r="F220" s="32">
        <v>4</v>
      </c>
      <c r="G220" s="32">
        <v>5</v>
      </c>
      <c r="H220" s="32">
        <v>81421</v>
      </c>
      <c r="I220" s="32" t="s">
        <v>17</v>
      </c>
      <c r="J220" s="32">
        <v>19755090</v>
      </c>
      <c r="K220" s="32" t="s">
        <v>3841</v>
      </c>
      <c r="L220" s="38" t="s">
        <v>3844</v>
      </c>
      <c r="M220" s="34">
        <v>259900</v>
      </c>
      <c r="N220" s="35">
        <f t="shared" si="20"/>
        <v>0.75</v>
      </c>
      <c r="O220" s="34">
        <f t="shared" si="18"/>
        <v>64975</v>
      </c>
      <c r="P220" s="32" t="s">
        <v>16</v>
      </c>
    </row>
    <row r="221" spans="1:16" x14ac:dyDescent="0.35">
      <c r="A221" s="32" t="str">
        <f t="shared" si="21"/>
        <v>2024 JAN-DEC DISC 75%</v>
      </c>
      <c r="B221" s="33">
        <f t="shared" si="21"/>
        <v>46121</v>
      </c>
      <c r="C221" s="33">
        <f t="shared" si="21"/>
        <v>46127</v>
      </c>
      <c r="D221" s="32">
        <v>3281</v>
      </c>
      <c r="E221" s="32">
        <v>337</v>
      </c>
      <c r="F221" s="32">
        <v>4</v>
      </c>
      <c r="G221" s="32">
        <v>5</v>
      </c>
      <c r="H221" s="32">
        <v>81421</v>
      </c>
      <c r="I221" s="32" t="s">
        <v>17</v>
      </c>
      <c r="J221" s="32">
        <v>19755107</v>
      </c>
      <c r="K221" s="32" t="s">
        <v>3841</v>
      </c>
      <c r="L221" s="38" t="s">
        <v>3845</v>
      </c>
      <c r="M221" s="34">
        <v>259900</v>
      </c>
      <c r="N221" s="35">
        <f t="shared" si="20"/>
        <v>0.75</v>
      </c>
      <c r="O221" s="34">
        <f t="shared" si="18"/>
        <v>64975</v>
      </c>
      <c r="P221" s="32" t="s">
        <v>16</v>
      </c>
    </row>
    <row r="222" spans="1:16" x14ac:dyDescent="0.35">
      <c r="A222" s="32" t="str">
        <f t="shared" si="21"/>
        <v>2024 JAN-DEC DISC 75%</v>
      </c>
      <c r="B222" s="33">
        <f t="shared" si="21"/>
        <v>46121</v>
      </c>
      <c r="C222" s="33">
        <f t="shared" si="21"/>
        <v>46127</v>
      </c>
      <c r="D222" s="32">
        <v>3281</v>
      </c>
      <c r="E222" s="32">
        <v>337</v>
      </c>
      <c r="F222" s="32">
        <v>4</v>
      </c>
      <c r="G222" s="32">
        <v>5</v>
      </c>
      <c r="H222" s="32">
        <v>81421</v>
      </c>
      <c r="I222" s="32" t="s">
        <v>17</v>
      </c>
      <c r="J222" s="32">
        <v>19755036</v>
      </c>
      <c r="K222" s="32" t="s">
        <v>3846</v>
      </c>
      <c r="L222" s="38" t="s">
        <v>3847</v>
      </c>
      <c r="M222" s="34">
        <v>259900</v>
      </c>
      <c r="N222" s="35">
        <f t="shared" si="20"/>
        <v>0.75</v>
      </c>
      <c r="O222" s="34">
        <f t="shared" si="18"/>
        <v>64975</v>
      </c>
      <c r="P222" s="32" t="s">
        <v>16</v>
      </c>
    </row>
    <row r="223" spans="1:16" x14ac:dyDescent="0.35">
      <c r="A223" s="32" t="str">
        <f t="shared" si="21"/>
        <v>2024 JAN-DEC DISC 75%</v>
      </c>
      <c r="B223" s="33">
        <f t="shared" si="21"/>
        <v>46121</v>
      </c>
      <c r="C223" s="33">
        <f t="shared" si="21"/>
        <v>46127</v>
      </c>
      <c r="D223" s="32">
        <v>3281</v>
      </c>
      <c r="E223" s="32">
        <v>337</v>
      </c>
      <c r="F223" s="32">
        <v>4</v>
      </c>
      <c r="G223" s="32">
        <v>5</v>
      </c>
      <c r="H223" s="32">
        <v>81421</v>
      </c>
      <c r="I223" s="32" t="s">
        <v>17</v>
      </c>
      <c r="J223" s="32">
        <v>19755045</v>
      </c>
      <c r="K223" s="32" t="s">
        <v>3846</v>
      </c>
      <c r="L223" s="38" t="s">
        <v>3848</v>
      </c>
      <c r="M223" s="34">
        <v>259900</v>
      </c>
      <c r="N223" s="35">
        <f t="shared" si="20"/>
        <v>0.75</v>
      </c>
      <c r="O223" s="34">
        <f t="shared" si="18"/>
        <v>64975</v>
      </c>
      <c r="P223" s="32" t="s">
        <v>16</v>
      </c>
    </row>
    <row r="224" spans="1:16" x14ac:dyDescent="0.35">
      <c r="A224" s="32" t="str">
        <f t="shared" si="21"/>
        <v>2024 JAN-DEC DISC 75%</v>
      </c>
      <c r="B224" s="33">
        <f t="shared" si="21"/>
        <v>46121</v>
      </c>
      <c r="C224" s="33">
        <f t="shared" si="21"/>
        <v>46127</v>
      </c>
      <c r="D224" s="32">
        <v>3281</v>
      </c>
      <c r="E224" s="32">
        <v>337</v>
      </c>
      <c r="F224" s="32">
        <v>4</v>
      </c>
      <c r="G224" s="32">
        <v>5</v>
      </c>
      <c r="H224" s="32">
        <v>81421</v>
      </c>
      <c r="I224" s="32" t="s">
        <v>17</v>
      </c>
      <c r="J224" s="32">
        <v>19755054</v>
      </c>
      <c r="K224" s="32" t="s">
        <v>3846</v>
      </c>
      <c r="L224" s="38" t="s">
        <v>3849</v>
      </c>
      <c r="M224" s="34">
        <v>259900</v>
      </c>
      <c r="N224" s="35">
        <f t="shared" si="20"/>
        <v>0.75</v>
      </c>
      <c r="O224" s="34">
        <f t="shared" si="18"/>
        <v>64975</v>
      </c>
      <c r="P224" s="32" t="s">
        <v>16</v>
      </c>
    </row>
    <row r="225" spans="1:16" x14ac:dyDescent="0.35">
      <c r="A225" s="32" t="str">
        <f t="shared" si="21"/>
        <v>2024 JAN-DEC DISC 75%</v>
      </c>
      <c r="B225" s="33">
        <f t="shared" si="21"/>
        <v>46121</v>
      </c>
      <c r="C225" s="33">
        <f t="shared" si="21"/>
        <v>46127</v>
      </c>
      <c r="D225" s="32">
        <v>3281</v>
      </c>
      <c r="E225" s="32">
        <v>337</v>
      </c>
      <c r="F225" s="32">
        <v>4</v>
      </c>
      <c r="G225" s="32">
        <v>5</v>
      </c>
      <c r="H225" s="32">
        <v>81421</v>
      </c>
      <c r="I225" s="32" t="s">
        <v>17</v>
      </c>
      <c r="J225" s="32">
        <v>19755063</v>
      </c>
      <c r="K225" s="32" t="s">
        <v>3846</v>
      </c>
      <c r="L225" s="38" t="s">
        <v>3850</v>
      </c>
      <c r="M225" s="34">
        <v>259900</v>
      </c>
      <c r="N225" s="35">
        <f t="shared" si="20"/>
        <v>0.75</v>
      </c>
      <c r="O225" s="34">
        <f t="shared" si="18"/>
        <v>64975</v>
      </c>
      <c r="P225" s="32" t="s">
        <v>16</v>
      </c>
    </row>
    <row r="226" spans="1:16" x14ac:dyDescent="0.35">
      <c r="A226" s="32" t="str">
        <f t="shared" si="21"/>
        <v>2024 JAN-DEC DISC 75%</v>
      </c>
      <c r="B226" s="33">
        <f t="shared" si="21"/>
        <v>46121</v>
      </c>
      <c r="C226" s="33">
        <f t="shared" si="21"/>
        <v>46127</v>
      </c>
      <c r="D226" s="32">
        <v>3281</v>
      </c>
      <c r="E226" s="32">
        <v>337</v>
      </c>
      <c r="F226" s="32">
        <v>4</v>
      </c>
      <c r="G226" s="32">
        <v>5</v>
      </c>
      <c r="H226" s="32">
        <v>81506</v>
      </c>
      <c r="I226" s="32" t="s">
        <v>17</v>
      </c>
      <c r="J226" s="32">
        <v>26742723</v>
      </c>
      <c r="K226" s="32" t="s">
        <v>3901</v>
      </c>
      <c r="L226" s="38" t="s">
        <v>3902</v>
      </c>
      <c r="M226" s="34">
        <v>279900</v>
      </c>
      <c r="N226" s="35">
        <f t="shared" si="20"/>
        <v>0.75</v>
      </c>
      <c r="O226" s="34">
        <f t="shared" si="18"/>
        <v>69975</v>
      </c>
      <c r="P226" s="32" t="s">
        <v>16</v>
      </c>
    </row>
    <row r="227" spans="1:16" x14ac:dyDescent="0.35">
      <c r="A227" s="32" t="str">
        <f t="shared" si="21"/>
        <v>2024 JAN-DEC DISC 75%</v>
      </c>
      <c r="B227" s="33">
        <f t="shared" si="21"/>
        <v>46121</v>
      </c>
      <c r="C227" s="33">
        <f t="shared" si="21"/>
        <v>46127</v>
      </c>
      <c r="D227" s="32">
        <v>3281</v>
      </c>
      <c r="E227" s="32">
        <v>337</v>
      </c>
      <c r="F227" s="32">
        <v>4</v>
      </c>
      <c r="G227" s="32">
        <v>5</v>
      </c>
      <c r="H227" s="32">
        <v>81506</v>
      </c>
      <c r="I227" s="32" t="s">
        <v>17</v>
      </c>
      <c r="J227" s="32">
        <v>26742732</v>
      </c>
      <c r="K227" s="32" t="s">
        <v>3901</v>
      </c>
      <c r="L227" s="38" t="s">
        <v>3903</v>
      </c>
      <c r="M227" s="34">
        <v>279900</v>
      </c>
      <c r="N227" s="35">
        <f t="shared" si="20"/>
        <v>0.75</v>
      </c>
      <c r="O227" s="34">
        <f t="shared" si="18"/>
        <v>69975</v>
      </c>
      <c r="P227" s="32" t="s">
        <v>16</v>
      </c>
    </row>
    <row r="228" spans="1:16" x14ac:dyDescent="0.35">
      <c r="A228" s="32" t="str">
        <f t="shared" ref="A228:C243" si="22">A227</f>
        <v>2024 JAN-DEC DISC 75%</v>
      </c>
      <c r="B228" s="33">
        <f t="shared" si="22"/>
        <v>46121</v>
      </c>
      <c r="C228" s="33">
        <f t="shared" si="22"/>
        <v>46127</v>
      </c>
      <c r="D228" s="32">
        <v>3281</v>
      </c>
      <c r="E228" s="32">
        <v>337</v>
      </c>
      <c r="F228" s="32">
        <v>4</v>
      </c>
      <c r="G228" s="32">
        <v>5</v>
      </c>
      <c r="H228" s="32">
        <v>81506</v>
      </c>
      <c r="I228" s="32" t="s">
        <v>17</v>
      </c>
      <c r="J228" s="32">
        <v>26742741</v>
      </c>
      <c r="K228" s="32" t="s">
        <v>3901</v>
      </c>
      <c r="L228" s="38" t="s">
        <v>3904</v>
      </c>
      <c r="M228" s="34">
        <v>279900</v>
      </c>
      <c r="N228" s="35">
        <f t="shared" si="20"/>
        <v>0.75</v>
      </c>
      <c r="O228" s="34">
        <f t="shared" si="18"/>
        <v>69975</v>
      </c>
      <c r="P228" s="32" t="s">
        <v>16</v>
      </c>
    </row>
    <row r="229" spans="1:16" x14ac:dyDescent="0.35">
      <c r="A229" s="32" t="str">
        <f t="shared" si="22"/>
        <v>2024 JAN-DEC DISC 75%</v>
      </c>
      <c r="B229" s="33">
        <f t="shared" si="22"/>
        <v>46121</v>
      </c>
      <c r="C229" s="33">
        <f t="shared" si="22"/>
        <v>46127</v>
      </c>
      <c r="D229" s="32">
        <v>3281</v>
      </c>
      <c r="E229" s="32">
        <v>337</v>
      </c>
      <c r="F229" s="32">
        <v>4</v>
      </c>
      <c r="G229" s="32">
        <v>5</v>
      </c>
      <c r="H229" s="32">
        <v>81506</v>
      </c>
      <c r="I229" s="32" t="s">
        <v>17</v>
      </c>
      <c r="J229" s="32">
        <v>26742750</v>
      </c>
      <c r="K229" s="32" t="s">
        <v>3901</v>
      </c>
      <c r="L229" s="38" t="s">
        <v>3905</v>
      </c>
      <c r="M229" s="34">
        <v>279900</v>
      </c>
      <c r="N229" s="35">
        <f t="shared" si="20"/>
        <v>0.75</v>
      </c>
      <c r="O229" s="34">
        <f t="shared" si="18"/>
        <v>69975</v>
      </c>
      <c r="P229" s="32" t="s">
        <v>16</v>
      </c>
    </row>
    <row r="230" spans="1:16" x14ac:dyDescent="0.35">
      <c r="A230" s="32" t="str">
        <f t="shared" si="22"/>
        <v>2024 JAN-DEC DISC 75%</v>
      </c>
      <c r="B230" s="33">
        <f t="shared" si="22"/>
        <v>46121</v>
      </c>
      <c r="C230" s="33">
        <f t="shared" si="22"/>
        <v>46127</v>
      </c>
      <c r="D230" s="32">
        <v>3281</v>
      </c>
      <c r="E230" s="32">
        <v>337</v>
      </c>
      <c r="F230" s="32">
        <v>4</v>
      </c>
      <c r="G230" s="32">
        <v>1</v>
      </c>
      <c r="H230" s="32">
        <v>81146</v>
      </c>
      <c r="I230" s="32" t="s">
        <v>17</v>
      </c>
      <c r="J230" s="32">
        <v>45511777</v>
      </c>
      <c r="K230" s="32" t="s">
        <v>4047</v>
      </c>
      <c r="L230" s="38" t="s">
        <v>4048</v>
      </c>
      <c r="M230" s="34">
        <v>159900</v>
      </c>
      <c r="N230" s="35">
        <f t="shared" si="20"/>
        <v>0.75</v>
      </c>
      <c r="O230" s="34">
        <f t="shared" si="18"/>
        <v>39975</v>
      </c>
      <c r="P230" s="32" t="s">
        <v>16</v>
      </c>
    </row>
    <row r="231" spans="1:16" x14ac:dyDescent="0.35">
      <c r="A231" s="32" t="str">
        <f t="shared" si="22"/>
        <v>2024 JAN-DEC DISC 75%</v>
      </c>
      <c r="B231" s="33">
        <f t="shared" si="22"/>
        <v>46121</v>
      </c>
      <c r="C231" s="33">
        <f t="shared" si="22"/>
        <v>46127</v>
      </c>
      <c r="D231" s="32">
        <v>3281</v>
      </c>
      <c r="E231" s="32">
        <v>337</v>
      </c>
      <c r="F231" s="32">
        <v>4</v>
      </c>
      <c r="G231" s="32">
        <v>1</v>
      </c>
      <c r="H231" s="32">
        <v>81146</v>
      </c>
      <c r="I231" s="32" t="s">
        <v>17</v>
      </c>
      <c r="J231" s="32">
        <v>45511786</v>
      </c>
      <c r="K231" s="32" t="s">
        <v>4047</v>
      </c>
      <c r="L231" s="38" t="s">
        <v>4049</v>
      </c>
      <c r="M231" s="34">
        <v>159900</v>
      </c>
      <c r="N231" s="35">
        <f t="shared" si="20"/>
        <v>0.75</v>
      </c>
      <c r="O231" s="34">
        <f t="shared" si="18"/>
        <v>39975</v>
      </c>
      <c r="P231" s="32" t="s">
        <v>16</v>
      </c>
    </row>
    <row r="232" spans="1:16" x14ac:dyDescent="0.35">
      <c r="A232" s="32" t="str">
        <f t="shared" si="22"/>
        <v>2024 JAN-DEC DISC 75%</v>
      </c>
      <c r="B232" s="33">
        <f t="shared" si="22"/>
        <v>46121</v>
      </c>
      <c r="C232" s="33">
        <f t="shared" si="22"/>
        <v>46127</v>
      </c>
      <c r="D232" s="32">
        <v>3281</v>
      </c>
      <c r="E232" s="32">
        <v>337</v>
      </c>
      <c r="F232" s="32">
        <v>4</v>
      </c>
      <c r="G232" s="32">
        <v>1</v>
      </c>
      <c r="H232" s="32">
        <v>81146</v>
      </c>
      <c r="I232" s="32" t="s">
        <v>17</v>
      </c>
      <c r="J232" s="32">
        <v>45511795</v>
      </c>
      <c r="K232" s="32" t="s">
        <v>4047</v>
      </c>
      <c r="L232" s="38" t="s">
        <v>4050</v>
      </c>
      <c r="M232" s="34">
        <v>159900</v>
      </c>
      <c r="N232" s="35">
        <f t="shared" si="20"/>
        <v>0.75</v>
      </c>
      <c r="O232" s="34">
        <f t="shared" si="18"/>
        <v>39975</v>
      </c>
      <c r="P232" s="32" t="s">
        <v>16</v>
      </c>
    </row>
    <row r="233" spans="1:16" x14ac:dyDescent="0.35">
      <c r="A233" s="32" t="str">
        <f t="shared" si="22"/>
        <v>2024 JAN-DEC DISC 75%</v>
      </c>
      <c r="B233" s="33">
        <f t="shared" si="22"/>
        <v>46121</v>
      </c>
      <c r="C233" s="33">
        <f t="shared" si="22"/>
        <v>46127</v>
      </c>
      <c r="D233" s="32">
        <v>3281</v>
      </c>
      <c r="E233" s="32">
        <v>337</v>
      </c>
      <c r="F233" s="32">
        <v>4</v>
      </c>
      <c r="G233" s="32">
        <v>1</v>
      </c>
      <c r="H233" s="32">
        <v>81146</v>
      </c>
      <c r="I233" s="32" t="s">
        <v>17</v>
      </c>
      <c r="J233" s="32">
        <v>45511802</v>
      </c>
      <c r="K233" s="32" t="s">
        <v>4047</v>
      </c>
      <c r="L233" s="38" t="s">
        <v>4051</v>
      </c>
      <c r="M233" s="34">
        <v>159900</v>
      </c>
      <c r="N233" s="35">
        <f t="shared" si="20"/>
        <v>0.75</v>
      </c>
      <c r="O233" s="34">
        <f t="shared" si="18"/>
        <v>39975</v>
      </c>
      <c r="P233" s="32" t="s">
        <v>16</v>
      </c>
    </row>
    <row r="234" spans="1:16" x14ac:dyDescent="0.35">
      <c r="A234" s="32" t="str">
        <f t="shared" si="22"/>
        <v>2024 JAN-DEC DISC 75%</v>
      </c>
      <c r="B234" s="33">
        <f t="shared" si="22"/>
        <v>46121</v>
      </c>
      <c r="C234" s="33">
        <f t="shared" si="22"/>
        <v>46127</v>
      </c>
      <c r="D234" s="32">
        <v>3281</v>
      </c>
      <c r="E234" s="32">
        <v>337</v>
      </c>
      <c r="F234" s="32">
        <v>4</v>
      </c>
      <c r="G234" s="32">
        <v>3</v>
      </c>
      <c r="H234" s="32">
        <v>81506</v>
      </c>
      <c r="I234" s="32" t="s">
        <v>17</v>
      </c>
      <c r="J234" s="32">
        <v>45223132</v>
      </c>
      <c r="K234" s="32" t="s">
        <v>4052</v>
      </c>
      <c r="L234" s="38" t="s">
        <v>4053</v>
      </c>
      <c r="M234" s="34">
        <v>229900</v>
      </c>
      <c r="N234" s="35">
        <f t="shared" si="20"/>
        <v>0.75</v>
      </c>
      <c r="O234" s="34">
        <f t="shared" si="18"/>
        <v>57475</v>
      </c>
      <c r="P234" s="32" t="s">
        <v>16</v>
      </c>
    </row>
    <row r="235" spans="1:16" x14ac:dyDescent="0.35">
      <c r="A235" s="32" t="str">
        <f t="shared" si="22"/>
        <v>2024 JAN-DEC DISC 75%</v>
      </c>
      <c r="B235" s="33">
        <f t="shared" si="22"/>
        <v>46121</v>
      </c>
      <c r="C235" s="33">
        <f t="shared" si="22"/>
        <v>46127</v>
      </c>
      <c r="D235" s="32">
        <v>3281</v>
      </c>
      <c r="E235" s="32">
        <v>337</v>
      </c>
      <c r="F235" s="32">
        <v>4</v>
      </c>
      <c r="G235" s="32">
        <v>3</v>
      </c>
      <c r="H235" s="32">
        <v>81506</v>
      </c>
      <c r="I235" s="32" t="s">
        <v>17</v>
      </c>
      <c r="J235" s="32">
        <v>45223141</v>
      </c>
      <c r="K235" s="32" t="s">
        <v>4052</v>
      </c>
      <c r="L235" s="38" t="s">
        <v>4054</v>
      </c>
      <c r="M235" s="34">
        <v>229900</v>
      </c>
      <c r="N235" s="35">
        <f t="shared" si="20"/>
        <v>0.75</v>
      </c>
      <c r="O235" s="34">
        <f t="shared" si="18"/>
        <v>57475</v>
      </c>
      <c r="P235" s="32" t="s">
        <v>16</v>
      </c>
    </row>
    <row r="236" spans="1:16" x14ac:dyDescent="0.35">
      <c r="A236" s="32" t="str">
        <f t="shared" si="22"/>
        <v>2024 JAN-DEC DISC 75%</v>
      </c>
      <c r="B236" s="33">
        <f t="shared" si="22"/>
        <v>46121</v>
      </c>
      <c r="C236" s="33">
        <f t="shared" si="22"/>
        <v>46127</v>
      </c>
      <c r="D236" s="32">
        <v>3281</v>
      </c>
      <c r="E236" s="32">
        <v>337</v>
      </c>
      <c r="F236" s="32">
        <v>4</v>
      </c>
      <c r="G236" s="32">
        <v>3</v>
      </c>
      <c r="H236" s="32">
        <v>81506</v>
      </c>
      <c r="I236" s="32" t="s">
        <v>17</v>
      </c>
      <c r="J236" s="32">
        <v>45223150</v>
      </c>
      <c r="K236" s="32" t="s">
        <v>4052</v>
      </c>
      <c r="L236" s="38" t="s">
        <v>4055</v>
      </c>
      <c r="M236" s="34">
        <v>229900</v>
      </c>
      <c r="N236" s="35">
        <f t="shared" si="20"/>
        <v>0.75</v>
      </c>
      <c r="O236" s="34">
        <f t="shared" si="18"/>
        <v>57475</v>
      </c>
      <c r="P236" s="32" t="s">
        <v>16</v>
      </c>
    </row>
    <row r="237" spans="1:16" x14ac:dyDescent="0.35">
      <c r="A237" s="32" t="str">
        <f t="shared" si="22"/>
        <v>2024 JAN-DEC DISC 75%</v>
      </c>
      <c r="B237" s="33">
        <f t="shared" si="22"/>
        <v>46121</v>
      </c>
      <c r="C237" s="33">
        <f t="shared" si="22"/>
        <v>46127</v>
      </c>
      <c r="D237" s="32">
        <v>3281</v>
      </c>
      <c r="E237" s="32">
        <v>337</v>
      </c>
      <c r="F237" s="32">
        <v>4</v>
      </c>
      <c r="G237" s="32">
        <v>3</v>
      </c>
      <c r="H237" s="32">
        <v>81506</v>
      </c>
      <c r="I237" s="32" t="s">
        <v>17</v>
      </c>
      <c r="J237" s="32">
        <v>45223169</v>
      </c>
      <c r="K237" s="32" t="s">
        <v>4052</v>
      </c>
      <c r="L237" s="38" t="s">
        <v>4056</v>
      </c>
      <c r="M237" s="34">
        <v>229900</v>
      </c>
      <c r="N237" s="35">
        <f t="shared" si="20"/>
        <v>0.75</v>
      </c>
      <c r="O237" s="34">
        <f t="shared" si="18"/>
        <v>57475</v>
      </c>
      <c r="P237" s="32" t="s">
        <v>16</v>
      </c>
    </row>
    <row r="238" spans="1:16" x14ac:dyDescent="0.35">
      <c r="A238" s="32" t="str">
        <f t="shared" si="22"/>
        <v>2024 JAN-DEC DISC 75%</v>
      </c>
      <c r="B238" s="33">
        <f t="shared" si="22"/>
        <v>46121</v>
      </c>
      <c r="C238" s="33">
        <f t="shared" si="22"/>
        <v>46127</v>
      </c>
      <c r="D238" s="32">
        <v>3281</v>
      </c>
      <c r="E238" s="32">
        <v>337</v>
      </c>
      <c r="F238" s="32">
        <v>4</v>
      </c>
      <c r="G238" s="32">
        <v>5</v>
      </c>
      <c r="H238" s="32">
        <v>81506</v>
      </c>
      <c r="I238" s="32" t="s">
        <v>17</v>
      </c>
      <c r="J238" s="32">
        <v>45223212</v>
      </c>
      <c r="K238" s="32" t="s">
        <v>4057</v>
      </c>
      <c r="L238" s="38" t="s">
        <v>4058</v>
      </c>
      <c r="M238" s="34">
        <v>299900</v>
      </c>
      <c r="N238" s="35">
        <f t="shared" si="20"/>
        <v>0.75</v>
      </c>
      <c r="O238" s="34">
        <f t="shared" si="18"/>
        <v>74975</v>
      </c>
      <c r="P238" s="32" t="s">
        <v>16</v>
      </c>
    </row>
    <row r="239" spans="1:16" x14ac:dyDescent="0.35">
      <c r="A239" s="32" t="str">
        <f t="shared" si="22"/>
        <v>2024 JAN-DEC DISC 75%</v>
      </c>
      <c r="B239" s="33">
        <f t="shared" si="22"/>
        <v>46121</v>
      </c>
      <c r="C239" s="33">
        <f t="shared" si="22"/>
        <v>46127</v>
      </c>
      <c r="D239" s="32">
        <v>3281</v>
      </c>
      <c r="E239" s="32">
        <v>337</v>
      </c>
      <c r="F239" s="32">
        <v>4</v>
      </c>
      <c r="G239" s="32">
        <v>5</v>
      </c>
      <c r="H239" s="32">
        <v>81506</v>
      </c>
      <c r="I239" s="32" t="s">
        <v>17</v>
      </c>
      <c r="J239" s="32">
        <v>45223221</v>
      </c>
      <c r="K239" s="32" t="s">
        <v>4057</v>
      </c>
      <c r="L239" s="38" t="s">
        <v>4059</v>
      </c>
      <c r="M239" s="34">
        <v>299900</v>
      </c>
      <c r="N239" s="35">
        <f t="shared" si="20"/>
        <v>0.75</v>
      </c>
      <c r="O239" s="34">
        <f t="shared" si="18"/>
        <v>74975</v>
      </c>
      <c r="P239" s="32" t="s">
        <v>16</v>
      </c>
    </row>
    <row r="240" spans="1:16" x14ac:dyDescent="0.35">
      <c r="A240" s="32" t="str">
        <f t="shared" si="22"/>
        <v>2024 JAN-DEC DISC 75%</v>
      </c>
      <c r="B240" s="33">
        <f t="shared" si="22"/>
        <v>46121</v>
      </c>
      <c r="C240" s="33">
        <f t="shared" si="22"/>
        <v>46127</v>
      </c>
      <c r="D240" s="32">
        <v>3281</v>
      </c>
      <c r="E240" s="32">
        <v>337</v>
      </c>
      <c r="F240" s="32">
        <v>4</v>
      </c>
      <c r="G240" s="32">
        <v>5</v>
      </c>
      <c r="H240" s="32">
        <v>81506</v>
      </c>
      <c r="I240" s="32" t="s">
        <v>17</v>
      </c>
      <c r="J240" s="32">
        <v>45223230</v>
      </c>
      <c r="K240" s="32" t="s">
        <v>4057</v>
      </c>
      <c r="L240" s="38" t="s">
        <v>4060</v>
      </c>
      <c r="M240" s="34">
        <v>299900</v>
      </c>
      <c r="N240" s="35">
        <f t="shared" si="20"/>
        <v>0.75</v>
      </c>
      <c r="O240" s="34">
        <f t="shared" si="18"/>
        <v>74975</v>
      </c>
      <c r="P240" s="32" t="s">
        <v>16</v>
      </c>
    </row>
    <row r="241" spans="1:16" x14ac:dyDescent="0.35">
      <c r="A241" s="32" t="str">
        <f t="shared" si="22"/>
        <v>2024 JAN-DEC DISC 75%</v>
      </c>
      <c r="B241" s="33">
        <f t="shared" si="22"/>
        <v>46121</v>
      </c>
      <c r="C241" s="33">
        <f t="shared" si="22"/>
        <v>46127</v>
      </c>
      <c r="D241" s="32">
        <v>3281</v>
      </c>
      <c r="E241" s="32">
        <v>337</v>
      </c>
      <c r="F241" s="32">
        <v>4</v>
      </c>
      <c r="G241" s="32">
        <v>5</v>
      </c>
      <c r="H241" s="32">
        <v>81506</v>
      </c>
      <c r="I241" s="32" t="s">
        <v>17</v>
      </c>
      <c r="J241" s="32">
        <v>45223249</v>
      </c>
      <c r="K241" s="32" t="s">
        <v>4057</v>
      </c>
      <c r="L241" s="38" t="s">
        <v>4061</v>
      </c>
      <c r="M241" s="34">
        <v>299900</v>
      </c>
      <c r="N241" s="35">
        <f t="shared" si="20"/>
        <v>0.75</v>
      </c>
      <c r="O241" s="34">
        <f t="shared" si="18"/>
        <v>74975</v>
      </c>
      <c r="P241" s="32" t="s">
        <v>16</v>
      </c>
    </row>
    <row r="242" spans="1:16" x14ac:dyDescent="0.35">
      <c r="A242" s="32" t="str">
        <f t="shared" si="22"/>
        <v>2024 JAN-DEC DISC 75%</v>
      </c>
      <c r="B242" s="33">
        <f t="shared" si="22"/>
        <v>46121</v>
      </c>
      <c r="C242" s="33">
        <f t="shared" si="22"/>
        <v>46127</v>
      </c>
      <c r="D242" s="32">
        <v>3281</v>
      </c>
      <c r="E242" s="32">
        <v>337</v>
      </c>
      <c r="F242" s="32">
        <v>4</v>
      </c>
      <c r="G242" s="32">
        <v>4</v>
      </c>
      <c r="H242" s="32">
        <v>81574</v>
      </c>
      <c r="I242" s="32" t="s">
        <v>17</v>
      </c>
      <c r="J242" s="32">
        <v>45223258</v>
      </c>
      <c r="K242" s="32" t="s">
        <v>4062</v>
      </c>
      <c r="L242" s="38" t="s">
        <v>4063</v>
      </c>
      <c r="M242" s="34">
        <v>319900</v>
      </c>
      <c r="N242" s="35">
        <f t="shared" si="20"/>
        <v>0.75</v>
      </c>
      <c r="O242" s="34">
        <f t="shared" si="18"/>
        <v>79975</v>
      </c>
      <c r="P242" s="32" t="s">
        <v>16</v>
      </c>
    </row>
    <row r="243" spans="1:16" x14ac:dyDescent="0.35">
      <c r="A243" s="32" t="str">
        <f t="shared" si="22"/>
        <v>2024 JAN-DEC DISC 75%</v>
      </c>
      <c r="B243" s="33">
        <f t="shared" si="22"/>
        <v>46121</v>
      </c>
      <c r="C243" s="33">
        <f t="shared" si="22"/>
        <v>46127</v>
      </c>
      <c r="D243" s="32">
        <v>3281</v>
      </c>
      <c r="E243" s="32">
        <v>337</v>
      </c>
      <c r="F243" s="32">
        <v>4</v>
      </c>
      <c r="G243" s="32">
        <v>4</v>
      </c>
      <c r="H243" s="32">
        <v>81574</v>
      </c>
      <c r="I243" s="32" t="s">
        <v>17</v>
      </c>
      <c r="J243" s="32">
        <v>45223267</v>
      </c>
      <c r="K243" s="32" t="s">
        <v>4062</v>
      </c>
      <c r="L243" s="38" t="s">
        <v>4064</v>
      </c>
      <c r="M243" s="34">
        <v>319900</v>
      </c>
      <c r="N243" s="35">
        <f t="shared" si="20"/>
        <v>0.75</v>
      </c>
      <c r="O243" s="34">
        <f t="shared" si="18"/>
        <v>79975</v>
      </c>
      <c r="P243" s="32" t="s">
        <v>16</v>
      </c>
    </row>
    <row r="244" spans="1:16" x14ac:dyDescent="0.35">
      <c r="A244" s="32" t="str">
        <f t="shared" ref="A244:C259" si="23">A243</f>
        <v>2024 JAN-DEC DISC 75%</v>
      </c>
      <c r="B244" s="33">
        <f t="shared" si="23"/>
        <v>46121</v>
      </c>
      <c r="C244" s="33">
        <f t="shared" si="23"/>
        <v>46127</v>
      </c>
      <c r="D244" s="32">
        <v>3281</v>
      </c>
      <c r="E244" s="32">
        <v>337</v>
      </c>
      <c r="F244" s="32">
        <v>4</v>
      </c>
      <c r="G244" s="32">
        <v>4</v>
      </c>
      <c r="H244" s="32">
        <v>81574</v>
      </c>
      <c r="I244" s="32" t="s">
        <v>17</v>
      </c>
      <c r="J244" s="32">
        <v>45223276</v>
      </c>
      <c r="K244" s="32" t="s">
        <v>4062</v>
      </c>
      <c r="L244" s="38" t="s">
        <v>4065</v>
      </c>
      <c r="M244" s="34">
        <v>319900</v>
      </c>
      <c r="N244" s="35">
        <f t="shared" si="20"/>
        <v>0.75</v>
      </c>
      <c r="O244" s="34">
        <f t="shared" si="18"/>
        <v>79975</v>
      </c>
      <c r="P244" s="32" t="s">
        <v>16</v>
      </c>
    </row>
    <row r="245" spans="1:16" x14ac:dyDescent="0.35">
      <c r="A245" s="32" t="str">
        <f t="shared" si="23"/>
        <v>2024 JAN-DEC DISC 75%</v>
      </c>
      <c r="B245" s="33">
        <f t="shared" si="23"/>
        <v>46121</v>
      </c>
      <c r="C245" s="33">
        <f t="shared" si="23"/>
        <v>46127</v>
      </c>
      <c r="D245" s="32">
        <v>3281</v>
      </c>
      <c r="E245" s="32">
        <v>337</v>
      </c>
      <c r="F245" s="32">
        <v>4</v>
      </c>
      <c r="G245" s="32">
        <v>4</v>
      </c>
      <c r="H245" s="32">
        <v>81574</v>
      </c>
      <c r="I245" s="32" t="s">
        <v>17</v>
      </c>
      <c r="J245" s="32">
        <v>45223285</v>
      </c>
      <c r="K245" s="32" t="s">
        <v>4062</v>
      </c>
      <c r="L245" s="38" t="s">
        <v>4066</v>
      </c>
      <c r="M245" s="34">
        <v>319900</v>
      </c>
      <c r="N245" s="35">
        <f t="shared" si="20"/>
        <v>0.75</v>
      </c>
      <c r="O245" s="34">
        <f t="shared" si="18"/>
        <v>79975</v>
      </c>
      <c r="P245" s="32" t="s">
        <v>16</v>
      </c>
    </row>
    <row r="246" spans="1:16" x14ac:dyDescent="0.35">
      <c r="A246" s="32" t="str">
        <f t="shared" si="23"/>
        <v>2024 JAN-DEC DISC 75%</v>
      </c>
      <c r="B246" s="33">
        <f t="shared" si="23"/>
        <v>46121</v>
      </c>
      <c r="C246" s="33">
        <f t="shared" si="23"/>
        <v>46127</v>
      </c>
      <c r="D246" s="32">
        <v>3281</v>
      </c>
      <c r="E246" s="32">
        <v>337</v>
      </c>
      <c r="F246" s="32">
        <v>4</v>
      </c>
      <c r="G246" s="32">
        <v>5</v>
      </c>
      <c r="H246" s="32">
        <v>81506</v>
      </c>
      <c r="I246" s="32" t="s">
        <v>17</v>
      </c>
      <c r="J246" s="32">
        <v>45223294</v>
      </c>
      <c r="K246" s="32" t="s">
        <v>4067</v>
      </c>
      <c r="L246" s="38" t="s">
        <v>4068</v>
      </c>
      <c r="M246" s="34">
        <v>279900</v>
      </c>
      <c r="N246" s="35">
        <f t="shared" si="20"/>
        <v>0.75</v>
      </c>
      <c r="O246" s="34">
        <f t="shared" si="18"/>
        <v>69975</v>
      </c>
      <c r="P246" s="32" t="s">
        <v>16</v>
      </c>
    </row>
    <row r="247" spans="1:16" x14ac:dyDescent="0.35">
      <c r="A247" s="32" t="str">
        <f t="shared" si="23"/>
        <v>2024 JAN-DEC DISC 75%</v>
      </c>
      <c r="B247" s="33">
        <f t="shared" si="23"/>
        <v>46121</v>
      </c>
      <c r="C247" s="33">
        <f t="shared" si="23"/>
        <v>46127</v>
      </c>
      <c r="D247" s="32">
        <v>3281</v>
      </c>
      <c r="E247" s="32">
        <v>337</v>
      </c>
      <c r="F247" s="32">
        <v>4</v>
      </c>
      <c r="G247" s="32">
        <v>5</v>
      </c>
      <c r="H247" s="32">
        <v>81506</v>
      </c>
      <c r="I247" s="32" t="s">
        <v>17</v>
      </c>
      <c r="J247" s="32">
        <v>45223301</v>
      </c>
      <c r="K247" s="32" t="s">
        <v>4067</v>
      </c>
      <c r="L247" s="38" t="s">
        <v>4069</v>
      </c>
      <c r="M247" s="34">
        <v>279900</v>
      </c>
      <c r="N247" s="35">
        <f t="shared" si="20"/>
        <v>0.75</v>
      </c>
      <c r="O247" s="34">
        <f t="shared" si="18"/>
        <v>69975</v>
      </c>
      <c r="P247" s="32" t="s">
        <v>16</v>
      </c>
    </row>
    <row r="248" spans="1:16" x14ac:dyDescent="0.35">
      <c r="A248" s="32" t="str">
        <f t="shared" si="23"/>
        <v>2024 JAN-DEC DISC 75%</v>
      </c>
      <c r="B248" s="33">
        <f t="shared" si="23"/>
        <v>46121</v>
      </c>
      <c r="C248" s="33">
        <f t="shared" si="23"/>
        <v>46127</v>
      </c>
      <c r="D248" s="32">
        <v>3281</v>
      </c>
      <c r="E248" s="32">
        <v>337</v>
      </c>
      <c r="F248" s="32">
        <v>4</v>
      </c>
      <c r="G248" s="32">
        <v>5</v>
      </c>
      <c r="H248" s="32">
        <v>81506</v>
      </c>
      <c r="I248" s="32" t="s">
        <v>17</v>
      </c>
      <c r="J248" s="32">
        <v>45223310</v>
      </c>
      <c r="K248" s="32" t="s">
        <v>4067</v>
      </c>
      <c r="L248" s="38" t="s">
        <v>4070</v>
      </c>
      <c r="M248" s="34">
        <v>279900</v>
      </c>
      <c r="N248" s="35">
        <f t="shared" si="20"/>
        <v>0.75</v>
      </c>
      <c r="O248" s="34">
        <f t="shared" si="18"/>
        <v>69975</v>
      </c>
      <c r="P248" s="32" t="s">
        <v>16</v>
      </c>
    </row>
    <row r="249" spans="1:16" x14ac:dyDescent="0.35">
      <c r="A249" s="32" t="str">
        <f t="shared" si="23"/>
        <v>2024 JAN-DEC DISC 75%</v>
      </c>
      <c r="B249" s="33">
        <f t="shared" si="23"/>
        <v>46121</v>
      </c>
      <c r="C249" s="33">
        <f t="shared" si="23"/>
        <v>46127</v>
      </c>
      <c r="D249" s="32">
        <v>3281</v>
      </c>
      <c r="E249" s="32">
        <v>337</v>
      </c>
      <c r="F249" s="32">
        <v>4</v>
      </c>
      <c r="G249" s="32">
        <v>5</v>
      </c>
      <c r="H249" s="32">
        <v>81506</v>
      </c>
      <c r="I249" s="32" t="s">
        <v>17</v>
      </c>
      <c r="J249" s="32">
        <v>45223329</v>
      </c>
      <c r="K249" s="32" t="s">
        <v>4067</v>
      </c>
      <c r="L249" s="38" t="s">
        <v>4071</v>
      </c>
      <c r="M249" s="34">
        <v>279900</v>
      </c>
      <c r="N249" s="35">
        <f t="shared" si="20"/>
        <v>0.75</v>
      </c>
      <c r="O249" s="34">
        <f t="shared" si="18"/>
        <v>69975</v>
      </c>
      <c r="P249" s="32" t="s">
        <v>16</v>
      </c>
    </row>
    <row r="250" spans="1:16" x14ac:dyDescent="0.35">
      <c r="A250" s="32" t="str">
        <f t="shared" si="23"/>
        <v>2024 JAN-DEC DISC 75%</v>
      </c>
      <c r="B250" s="33">
        <f t="shared" si="23"/>
        <v>46121</v>
      </c>
      <c r="C250" s="33">
        <f t="shared" si="23"/>
        <v>46127</v>
      </c>
      <c r="D250" s="32">
        <v>3281</v>
      </c>
      <c r="E250" s="32">
        <v>337</v>
      </c>
      <c r="F250" s="32">
        <v>4</v>
      </c>
      <c r="G250" s="32">
        <v>5</v>
      </c>
      <c r="H250" s="32">
        <v>81506</v>
      </c>
      <c r="I250" s="32" t="s">
        <v>17</v>
      </c>
      <c r="J250" s="32">
        <v>45223178</v>
      </c>
      <c r="K250" s="32" t="s">
        <v>4072</v>
      </c>
      <c r="L250" s="38" t="s">
        <v>4073</v>
      </c>
      <c r="M250" s="34">
        <v>299900</v>
      </c>
      <c r="N250" s="35">
        <f t="shared" si="20"/>
        <v>0.75</v>
      </c>
      <c r="O250" s="34">
        <f t="shared" si="18"/>
        <v>74975</v>
      </c>
      <c r="P250" s="32" t="s">
        <v>16</v>
      </c>
    </row>
    <row r="251" spans="1:16" x14ac:dyDescent="0.35">
      <c r="A251" s="32" t="str">
        <f t="shared" si="23"/>
        <v>2024 JAN-DEC DISC 75%</v>
      </c>
      <c r="B251" s="33">
        <f t="shared" si="23"/>
        <v>46121</v>
      </c>
      <c r="C251" s="33">
        <f t="shared" si="23"/>
        <v>46127</v>
      </c>
      <c r="D251" s="32">
        <v>3281</v>
      </c>
      <c r="E251" s="32">
        <v>337</v>
      </c>
      <c r="F251" s="32">
        <v>4</v>
      </c>
      <c r="G251" s="32">
        <v>5</v>
      </c>
      <c r="H251" s="32">
        <v>81506</v>
      </c>
      <c r="I251" s="32" t="s">
        <v>17</v>
      </c>
      <c r="J251" s="32">
        <v>45223187</v>
      </c>
      <c r="K251" s="32" t="s">
        <v>4072</v>
      </c>
      <c r="L251" s="38" t="s">
        <v>4074</v>
      </c>
      <c r="M251" s="34">
        <v>299900</v>
      </c>
      <c r="N251" s="35">
        <f t="shared" si="20"/>
        <v>0.75</v>
      </c>
      <c r="O251" s="34">
        <f t="shared" si="18"/>
        <v>74975</v>
      </c>
      <c r="P251" s="32" t="s">
        <v>16</v>
      </c>
    </row>
    <row r="252" spans="1:16" x14ac:dyDescent="0.35">
      <c r="A252" s="32" t="str">
        <f t="shared" si="23"/>
        <v>2024 JAN-DEC DISC 75%</v>
      </c>
      <c r="B252" s="33">
        <f t="shared" si="23"/>
        <v>46121</v>
      </c>
      <c r="C252" s="33">
        <f t="shared" si="23"/>
        <v>46127</v>
      </c>
      <c r="D252" s="32">
        <v>3281</v>
      </c>
      <c r="E252" s="32">
        <v>337</v>
      </c>
      <c r="F252" s="32">
        <v>4</v>
      </c>
      <c r="G252" s="32">
        <v>5</v>
      </c>
      <c r="H252" s="32">
        <v>81506</v>
      </c>
      <c r="I252" s="32" t="s">
        <v>17</v>
      </c>
      <c r="J252" s="32">
        <v>45223196</v>
      </c>
      <c r="K252" s="32" t="s">
        <v>4072</v>
      </c>
      <c r="L252" s="38" t="s">
        <v>4075</v>
      </c>
      <c r="M252" s="34">
        <v>299900</v>
      </c>
      <c r="N252" s="35">
        <f t="shared" si="20"/>
        <v>0.75</v>
      </c>
      <c r="O252" s="34">
        <f t="shared" si="18"/>
        <v>74975</v>
      </c>
      <c r="P252" s="32" t="s">
        <v>16</v>
      </c>
    </row>
    <row r="253" spans="1:16" x14ac:dyDescent="0.35">
      <c r="A253" s="32" t="str">
        <f t="shared" si="23"/>
        <v>2024 JAN-DEC DISC 75%</v>
      </c>
      <c r="B253" s="33">
        <f t="shared" si="23"/>
        <v>46121</v>
      </c>
      <c r="C253" s="33">
        <f t="shared" si="23"/>
        <v>46127</v>
      </c>
      <c r="D253" s="32">
        <v>3281</v>
      </c>
      <c r="E253" s="32">
        <v>337</v>
      </c>
      <c r="F253" s="32">
        <v>4</v>
      </c>
      <c r="G253" s="32">
        <v>5</v>
      </c>
      <c r="H253" s="32">
        <v>81506</v>
      </c>
      <c r="I253" s="32" t="s">
        <v>17</v>
      </c>
      <c r="J253" s="32">
        <v>45223203</v>
      </c>
      <c r="K253" s="32" t="s">
        <v>4072</v>
      </c>
      <c r="L253" s="38" t="s">
        <v>4076</v>
      </c>
      <c r="M253" s="34">
        <v>299900</v>
      </c>
      <c r="N253" s="35">
        <f t="shared" si="20"/>
        <v>0.75</v>
      </c>
      <c r="O253" s="34">
        <f t="shared" si="18"/>
        <v>74975</v>
      </c>
      <c r="P253" s="32" t="s">
        <v>16</v>
      </c>
    </row>
    <row r="254" spans="1:16" x14ac:dyDescent="0.35">
      <c r="A254" s="32" t="str">
        <f t="shared" si="23"/>
        <v>2024 JAN-DEC DISC 75%</v>
      </c>
      <c r="B254" s="33">
        <f t="shared" si="23"/>
        <v>46121</v>
      </c>
      <c r="C254" s="33">
        <f t="shared" si="23"/>
        <v>46127</v>
      </c>
      <c r="D254" s="32">
        <v>3281</v>
      </c>
      <c r="E254" s="32">
        <v>337</v>
      </c>
      <c r="F254" s="32">
        <v>4</v>
      </c>
      <c r="G254" s="32">
        <v>5</v>
      </c>
      <c r="H254" s="32">
        <v>81506</v>
      </c>
      <c r="I254" s="32" t="s">
        <v>17</v>
      </c>
      <c r="J254" s="32">
        <v>45223338</v>
      </c>
      <c r="K254" s="32" t="s">
        <v>4077</v>
      </c>
      <c r="L254" s="38" t="s">
        <v>4078</v>
      </c>
      <c r="M254" s="34">
        <v>299900</v>
      </c>
      <c r="N254" s="35">
        <f t="shared" si="20"/>
        <v>0.75</v>
      </c>
      <c r="O254" s="34">
        <f t="shared" si="18"/>
        <v>74975</v>
      </c>
      <c r="P254" s="32" t="s">
        <v>16</v>
      </c>
    </row>
    <row r="255" spans="1:16" x14ac:dyDescent="0.35">
      <c r="A255" s="32" t="str">
        <f t="shared" si="23"/>
        <v>2024 JAN-DEC DISC 75%</v>
      </c>
      <c r="B255" s="33">
        <f t="shared" si="23"/>
        <v>46121</v>
      </c>
      <c r="C255" s="33">
        <f t="shared" si="23"/>
        <v>46127</v>
      </c>
      <c r="D255" s="32">
        <v>3281</v>
      </c>
      <c r="E255" s="32">
        <v>337</v>
      </c>
      <c r="F255" s="32">
        <v>4</v>
      </c>
      <c r="G255" s="32">
        <v>5</v>
      </c>
      <c r="H255" s="32">
        <v>81506</v>
      </c>
      <c r="I255" s="32" t="s">
        <v>17</v>
      </c>
      <c r="J255" s="32">
        <v>45223347</v>
      </c>
      <c r="K255" s="32" t="s">
        <v>4077</v>
      </c>
      <c r="L255" s="38" t="s">
        <v>4079</v>
      </c>
      <c r="M255" s="34">
        <v>299900</v>
      </c>
      <c r="N255" s="35">
        <f t="shared" si="20"/>
        <v>0.75</v>
      </c>
      <c r="O255" s="34">
        <f t="shared" si="18"/>
        <v>74975</v>
      </c>
      <c r="P255" s="32" t="s">
        <v>16</v>
      </c>
    </row>
    <row r="256" spans="1:16" x14ac:dyDescent="0.35">
      <c r="A256" s="32" t="str">
        <f t="shared" si="23"/>
        <v>2024 JAN-DEC DISC 75%</v>
      </c>
      <c r="B256" s="33">
        <f t="shared" si="23"/>
        <v>46121</v>
      </c>
      <c r="C256" s="33">
        <f t="shared" si="23"/>
        <v>46127</v>
      </c>
      <c r="D256" s="32">
        <v>3281</v>
      </c>
      <c r="E256" s="32">
        <v>337</v>
      </c>
      <c r="F256" s="32">
        <v>4</v>
      </c>
      <c r="G256" s="32">
        <v>5</v>
      </c>
      <c r="H256" s="32">
        <v>81506</v>
      </c>
      <c r="I256" s="32" t="s">
        <v>17</v>
      </c>
      <c r="J256" s="32">
        <v>45223356</v>
      </c>
      <c r="K256" s="32" t="s">
        <v>4077</v>
      </c>
      <c r="L256" s="38" t="s">
        <v>4080</v>
      </c>
      <c r="M256" s="34">
        <v>299900</v>
      </c>
      <c r="N256" s="35">
        <f t="shared" si="20"/>
        <v>0.75</v>
      </c>
      <c r="O256" s="34">
        <f t="shared" si="18"/>
        <v>74975</v>
      </c>
      <c r="P256" s="32" t="s">
        <v>16</v>
      </c>
    </row>
    <row r="257" spans="1:16" x14ac:dyDescent="0.35">
      <c r="A257" s="32" t="str">
        <f t="shared" si="23"/>
        <v>2024 JAN-DEC DISC 75%</v>
      </c>
      <c r="B257" s="33">
        <f t="shared" si="23"/>
        <v>46121</v>
      </c>
      <c r="C257" s="33">
        <f t="shared" si="23"/>
        <v>46127</v>
      </c>
      <c r="D257" s="32">
        <v>3281</v>
      </c>
      <c r="E257" s="32">
        <v>337</v>
      </c>
      <c r="F257" s="32">
        <v>4</v>
      </c>
      <c r="G257" s="32">
        <v>5</v>
      </c>
      <c r="H257" s="32">
        <v>81506</v>
      </c>
      <c r="I257" s="32" t="s">
        <v>17</v>
      </c>
      <c r="J257" s="32">
        <v>45223365</v>
      </c>
      <c r="K257" s="32" t="s">
        <v>4077</v>
      </c>
      <c r="L257" s="38" t="s">
        <v>4081</v>
      </c>
      <c r="M257" s="34">
        <v>299900</v>
      </c>
      <c r="N257" s="35">
        <f t="shared" si="20"/>
        <v>0.75</v>
      </c>
      <c r="O257" s="34">
        <f t="shared" si="18"/>
        <v>74975</v>
      </c>
      <c r="P257" s="32" t="s">
        <v>16</v>
      </c>
    </row>
    <row r="258" spans="1:16" x14ac:dyDescent="0.35">
      <c r="A258" s="32" t="str">
        <f t="shared" si="23"/>
        <v>2024 JAN-DEC DISC 75%</v>
      </c>
      <c r="B258" s="33">
        <f t="shared" si="23"/>
        <v>46121</v>
      </c>
      <c r="C258" s="33">
        <f t="shared" si="23"/>
        <v>46127</v>
      </c>
      <c r="D258" s="32">
        <v>3281</v>
      </c>
      <c r="E258" s="32">
        <v>337</v>
      </c>
      <c r="F258" s="32">
        <v>4</v>
      </c>
      <c r="G258" s="32">
        <v>5</v>
      </c>
      <c r="H258" s="32">
        <v>81506</v>
      </c>
      <c r="I258" s="32" t="s">
        <v>17</v>
      </c>
      <c r="J258" s="32">
        <v>45228557</v>
      </c>
      <c r="K258" s="32" t="s">
        <v>4082</v>
      </c>
      <c r="L258" s="38" t="s">
        <v>4083</v>
      </c>
      <c r="M258" s="34">
        <v>259900</v>
      </c>
      <c r="N258" s="35">
        <f t="shared" si="20"/>
        <v>0.75</v>
      </c>
      <c r="O258" s="34">
        <f t="shared" si="18"/>
        <v>64975</v>
      </c>
      <c r="P258" s="32" t="s">
        <v>16</v>
      </c>
    </row>
    <row r="259" spans="1:16" x14ac:dyDescent="0.35">
      <c r="A259" s="32" t="str">
        <f t="shared" si="23"/>
        <v>2024 JAN-DEC DISC 75%</v>
      </c>
      <c r="B259" s="33">
        <f t="shared" si="23"/>
        <v>46121</v>
      </c>
      <c r="C259" s="33">
        <f t="shared" si="23"/>
        <v>46127</v>
      </c>
      <c r="D259" s="32">
        <v>3281</v>
      </c>
      <c r="E259" s="32">
        <v>337</v>
      </c>
      <c r="F259" s="32">
        <v>4</v>
      </c>
      <c r="G259" s="32">
        <v>5</v>
      </c>
      <c r="H259" s="32">
        <v>81506</v>
      </c>
      <c r="I259" s="32" t="s">
        <v>17</v>
      </c>
      <c r="J259" s="32">
        <v>45228566</v>
      </c>
      <c r="K259" s="32" t="s">
        <v>4082</v>
      </c>
      <c r="L259" s="38" t="s">
        <v>4084</v>
      </c>
      <c r="M259" s="34">
        <v>259900</v>
      </c>
      <c r="N259" s="35">
        <f t="shared" si="20"/>
        <v>0.75</v>
      </c>
      <c r="O259" s="34">
        <f t="shared" ref="O259:O322" si="24">M259-((75*M259))/100</f>
        <v>64975</v>
      </c>
      <c r="P259" s="32" t="s">
        <v>16</v>
      </c>
    </row>
    <row r="260" spans="1:16" x14ac:dyDescent="0.35">
      <c r="A260" s="32" t="str">
        <f t="shared" ref="A260:C275" si="25">A259</f>
        <v>2024 JAN-DEC DISC 75%</v>
      </c>
      <c r="B260" s="33">
        <f t="shared" si="25"/>
        <v>46121</v>
      </c>
      <c r="C260" s="33">
        <f t="shared" si="25"/>
        <v>46127</v>
      </c>
      <c r="D260" s="32">
        <v>3281</v>
      </c>
      <c r="E260" s="32">
        <v>337</v>
      </c>
      <c r="F260" s="32">
        <v>4</v>
      </c>
      <c r="G260" s="32">
        <v>5</v>
      </c>
      <c r="H260" s="32">
        <v>81506</v>
      </c>
      <c r="I260" s="32" t="s">
        <v>17</v>
      </c>
      <c r="J260" s="32">
        <v>45228575</v>
      </c>
      <c r="K260" s="32" t="s">
        <v>4082</v>
      </c>
      <c r="L260" s="38" t="s">
        <v>4085</v>
      </c>
      <c r="M260" s="34">
        <v>259900</v>
      </c>
      <c r="N260" s="35">
        <f t="shared" ref="N260:N323" si="26">N259</f>
        <v>0.75</v>
      </c>
      <c r="O260" s="34">
        <f t="shared" si="24"/>
        <v>64975</v>
      </c>
      <c r="P260" s="32" t="s">
        <v>16</v>
      </c>
    </row>
    <row r="261" spans="1:16" x14ac:dyDescent="0.35">
      <c r="A261" s="32" t="str">
        <f t="shared" si="25"/>
        <v>2024 JAN-DEC DISC 75%</v>
      </c>
      <c r="B261" s="33">
        <f t="shared" si="25"/>
        <v>46121</v>
      </c>
      <c r="C261" s="33">
        <f t="shared" si="25"/>
        <v>46127</v>
      </c>
      <c r="D261" s="32">
        <v>3281</v>
      </c>
      <c r="E261" s="32">
        <v>337</v>
      </c>
      <c r="F261" s="32">
        <v>4</v>
      </c>
      <c r="G261" s="32">
        <v>5</v>
      </c>
      <c r="H261" s="32">
        <v>81506</v>
      </c>
      <c r="I261" s="32" t="s">
        <v>17</v>
      </c>
      <c r="J261" s="32">
        <v>45228584</v>
      </c>
      <c r="K261" s="32" t="s">
        <v>4082</v>
      </c>
      <c r="L261" s="38" t="s">
        <v>4086</v>
      </c>
      <c r="M261" s="34">
        <v>259900</v>
      </c>
      <c r="N261" s="35">
        <f t="shared" si="26"/>
        <v>0.75</v>
      </c>
      <c r="O261" s="34">
        <f t="shared" si="24"/>
        <v>64975</v>
      </c>
      <c r="P261" s="32" t="s">
        <v>16</v>
      </c>
    </row>
    <row r="262" spans="1:16" x14ac:dyDescent="0.35">
      <c r="A262" s="32" t="str">
        <f t="shared" si="25"/>
        <v>2024 JAN-DEC DISC 75%</v>
      </c>
      <c r="B262" s="33">
        <f t="shared" si="25"/>
        <v>46121</v>
      </c>
      <c r="C262" s="33">
        <f t="shared" si="25"/>
        <v>46127</v>
      </c>
      <c r="D262" s="32">
        <v>3281</v>
      </c>
      <c r="E262" s="32">
        <v>337</v>
      </c>
      <c r="F262" s="32">
        <v>4</v>
      </c>
      <c r="G262" s="32">
        <v>5</v>
      </c>
      <c r="H262" s="32">
        <v>81146</v>
      </c>
      <c r="I262" s="32" t="s">
        <v>17</v>
      </c>
      <c r="J262" s="32">
        <v>45223374</v>
      </c>
      <c r="K262" s="32" t="s">
        <v>4220</v>
      </c>
      <c r="L262" s="38" t="s">
        <v>4221</v>
      </c>
      <c r="M262" s="34">
        <v>299900</v>
      </c>
      <c r="N262" s="35">
        <f t="shared" si="26"/>
        <v>0.75</v>
      </c>
      <c r="O262" s="34">
        <f t="shared" si="24"/>
        <v>74975</v>
      </c>
      <c r="P262" s="32" t="s">
        <v>16</v>
      </c>
    </row>
    <row r="263" spans="1:16" x14ac:dyDescent="0.35">
      <c r="A263" s="32" t="str">
        <f t="shared" si="25"/>
        <v>2024 JAN-DEC DISC 75%</v>
      </c>
      <c r="B263" s="33">
        <f t="shared" si="25"/>
        <v>46121</v>
      </c>
      <c r="C263" s="33">
        <f t="shared" si="25"/>
        <v>46127</v>
      </c>
      <c r="D263" s="32">
        <v>3281</v>
      </c>
      <c r="E263" s="32">
        <v>337</v>
      </c>
      <c r="F263" s="32">
        <v>4</v>
      </c>
      <c r="G263" s="32">
        <v>5</v>
      </c>
      <c r="H263" s="32">
        <v>81146</v>
      </c>
      <c r="I263" s="32" t="s">
        <v>17</v>
      </c>
      <c r="J263" s="32">
        <v>45223383</v>
      </c>
      <c r="K263" s="32" t="s">
        <v>4220</v>
      </c>
      <c r="L263" s="38" t="s">
        <v>4222</v>
      </c>
      <c r="M263" s="34">
        <v>299900</v>
      </c>
      <c r="N263" s="35">
        <f t="shared" si="26"/>
        <v>0.75</v>
      </c>
      <c r="O263" s="34">
        <f t="shared" si="24"/>
        <v>74975</v>
      </c>
      <c r="P263" s="32" t="s">
        <v>16</v>
      </c>
    </row>
    <row r="264" spans="1:16" x14ac:dyDescent="0.35">
      <c r="A264" s="32" t="str">
        <f t="shared" si="25"/>
        <v>2024 JAN-DEC DISC 75%</v>
      </c>
      <c r="B264" s="33">
        <f t="shared" si="25"/>
        <v>46121</v>
      </c>
      <c r="C264" s="33">
        <f t="shared" si="25"/>
        <v>46127</v>
      </c>
      <c r="D264" s="32">
        <v>3281</v>
      </c>
      <c r="E264" s="32">
        <v>337</v>
      </c>
      <c r="F264" s="32">
        <v>4</v>
      </c>
      <c r="G264" s="32">
        <v>5</v>
      </c>
      <c r="H264" s="32">
        <v>81146</v>
      </c>
      <c r="I264" s="32" t="s">
        <v>17</v>
      </c>
      <c r="J264" s="32">
        <v>45223392</v>
      </c>
      <c r="K264" s="32" t="s">
        <v>4220</v>
      </c>
      <c r="L264" s="38" t="s">
        <v>4223</v>
      </c>
      <c r="M264" s="34">
        <v>299900</v>
      </c>
      <c r="N264" s="35">
        <f t="shared" si="26"/>
        <v>0.75</v>
      </c>
      <c r="O264" s="34">
        <f t="shared" si="24"/>
        <v>74975</v>
      </c>
      <c r="P264" s="32" t="s">
        <v>16</v>
      </c>
    </row>
    <row r="265" spans="1:16" x14ac:dyDescent="0.35">
      <c r="A265" s="32" t="str">
        <f t="shared" si="25"/>
        <v>2024 JAN-DEC DISC 75%</v>
      </c>
      <c r="B265" s="33">
        <f t="shared" si="25"/>
        <v>46121</v>
      </c>
      <c r="C265" s="33">
        <f t="shared" si="25"/>
        <v>46127</v>
      </c>
      <c r="D265" s="32">
        <v>3281</v>
      </c>
      <c r="E265" s="32">
        <v>337</v>
      </c>
      <c r="F265" s="32">
        <v>4</v>
      </c>
      <c r="G265" s="32">
        <v>5</v>
      </c>
      <c r="H265" s="32">
        <v>81146</v>
      </c>
      <c r="I265" s="32" t="s">
        <v>17</v>
      </c>
      <c r="J265" s="32">
        <v>45223409</v>
      </c>
      <c r="K265" s="32" t="s">
        <v>4220</v>
      </c>
      <c r="L265" s="38" t="s">
        <v>4224</v>
      </c>
      <c r="M265" s="34">
        <v>299900</v>
      </c>
      <c r="N265" s="35">
        <f t="shared" si="26"/>
        <v>0.75</v>
      </c>
      <c r="O265" s="34">
        <f t="shared" si="24"/>
        <v>74975</v>
      </c>
      <c r="P265" s="32" t="s">
        <v>16</v>
      </c>
    </row>
    <row r="266" spans="1:16" x14ac:dyDescent="0.35">
      <c r="A266" s="32" t="str">
        <f t="shared" si="25"/>
        <v>2024 JAN-DEC DISC 75%</v>
      </c>
      <c r="B266" s="33">
        <f t="shared" si="25"/>
        <v>46121</v>
      </c>
      <c r="C266" s="33">
        <f t="shared" si="25"/>
        <v>46127</v>
      </c>
      <c r="D266" s="32">
        <v>3281</v>
      </c>
      <c r="E266" s="32">
        <v>337</v>
      </c>
      <c r="F266" s="32">
        <v>4</v>
      </c>
      <c r="G266" s="32">
        <v>1</v>
      </c>
      <c r="H266" s="32">
        <v>81421</v>
      </c>
      <c r="I266" s="32" t="s">
        <v>17</v>
      </c>
      <c r="J266" s="32">
        <v>45223043</v>
      </c>
      <c r="K266" s="32" t="s">
        <v>4225</v>
      </c>
      <c r="L266" s="38" t="s">
        <v>4227</v>
      </c>
      <c r="M266" s="34">
        <v>169900</v>
      </c>
      <c r="N266" s="35">
        <f t="shared" si="26"/>
        <v>0.75</v>
      </c>
      <c r="O266" s="34">
        <f t="shared" si="24"/>
        <v>42475</v>
      </c>
      <c r="P266" s="32" t="s">
        <v>16</v>
      </c>
    </row>
    <row r="267" spans="1:16" x14ac:dyDescent="0.35">
      <c r="A267" s="32" t="str">
        <f t="shared" si="25"/>
        <v>2024 JAN-DEC DISC 75%</v>
      </c>
      <c r="B267" s="33">
        <f t="shared" si="25"/>
        <v>46121</v>
      </c>
      <c r="C267" s="33">
        <f t="shared" si="25"/>
        <v>46127</v>
      </c>
      <c r="D267" s="32">
        <v>3281</v>
      </c>
      <c r="E267" s="32">
        <v>337</v>
      </c>
      <c r="F267" s="32">
        <v>4</v>
      </c>
      <c r="G267" s="32">
        <v>1</v>
      </c>
      <c r="H267" s="32">
        <v>81421</v>
      </c>
      <c r="I267" s="32" t="s">
        <v>17</v>
      </c>
      <c r="J267" s="32">
        <v>45223016</v>
      </c>
      <c r="K267" s="32" t="s">
        <v>4225</v>
      </c>
      <c r="L267" s="38" t="s">
        <v>4228</v>
      </c>
      <c r="M267" s="34">
        <v>169900</v>
      </c>
      <c r="N267" s="35">
        <f t="shared" si="26"/>
        <v>0.75</v>
      </c>
      <c r="O267" s="34">
        <f t="shared" si="24"/>
        <v>42475</v>
      </c>
      <c r="P267" s="32" t="s">
        <v>16</v>
      </c>
    </row>
    <row r="268" spans="1:16" x14ac:dyDescent="0.35">
      <c r="A268" s="32" t="str">
        <f t="shared" si="25"/>
        <v>2024 JAN-DEC DISC 75%</v>
      </c>
      <c r="B268" s="33">
        <f t="shared" si="25"/>
        <v>46121</v>
      </c>
      <c r="C268" s="33">
        <f t="shared" si="25"/>
        <v>46127</v>
      </c>
      <c r="D268" s="32">
        <v>3281</v>
      </c>
      <c r="E268" s="32">
        <v>337</v>
      </c>
      <c r="F268" s="32">
        <v>4</v>
      </c>
      <c r="G268" s="32">
        <v>1</v>
      </c>
      <c r="H268" s="32">
        <v>81421</v>
      </c>
      <c r="I268" s="32" t="s">
        <v>17</v>
      </c>
      <c r="J268" s="32">
        <v>45223025</v>
      </c>
      <c r="K268" s="32" t="s">
        <v>4225</v>
      </c>
      <c r="L268" s="38" t="s">
        <v>4229</v>
      </c>
      <c r="M268" s="34">
        <v>169900</v>
      </c>
      <c r="N268" s="35">
        <f t="shared" si="26"/>
        <v>0.75</v>
      </c>
      <c r="O268" s="34">
        <f t="shared" si="24"/>
        <v>42475</v>
      </c>
      <c r="P268" s="32" t="s">
        <v>16</v>
      </c>
    </row>
    <row r="269" spans="1:16" x14ac:dyDescent="0.35">
      <c r="A269" s="32" t="str">
        <f t="shared" si="25"/>
        <v>2024 JAN-DEC DISC 75%</v>
      </c>
      <c r="B269" s="33">
        <f t="shared" si="25"/>
        <v>46121</v>
      </c>
      <c r="C269" s="33">
        <f t="shared" si="25"/>
        <v>46127</v>
      </c>
      <c r="D269" s="32">
        <v>3281</v>
      </c>
      <c r="E269" s="32">
        <v>337</v>
      </c>
      <c r="F269" s="32">
        <v>4</v>
      </c>
      <c r="G269" s="32">
        <v>1</v>
      </c>
      <c r="H269" s="32">
        <v>81421</v>
      </c>
      <c r="I269" s="32" t="s">
        <v>17</v>
      </c>
      <c r="J269" s="32">
        <v>45223052</v>
      </c>
      <c r="K269" s="32" t="s">
        <v>4230</v>
      </c>
      <c r="L269" s="38" t="s">
        <v>4231</v>
      </c>
      <c r="M269" s="34">
        <v>169900</v>
      </c>
      <c r="N269" s="35">
        <f t="shared" si="26"/>
        <v>0.75</v>
      </c>
      <c r="O269" s="34">
        <f t="shared" si="24"/>
        <v>42475</v>
      </c>
      <c r="P269" s="32" t="s">
        <v>16</v>
      </c>
    </row>
    <row r="270" spans="1:16" x14ac:dyDescent="0.35">
      <c r="A270" s="32" t="str">
        <f t="shared" si="25"/>
        <v>2024 JAN-DEC DISC 75%</v>
      </c>
      <c r="B270" s="33">
        <f t="shared" si="25"/>
        <v>46121</v>
      </c>
      <c r="C270" s="33">
        <f t="shared" si="25"/>
        <v>46127</v>
      </c>
      <c r="D270" s="32">
        <v>3281</v>
      </c>
      <c r="E270" s="32">
        <v>337</v>
      </c>
      <c r="F270" s="32">
        <v>4</v>
      </c>
      <c r="G270" s="32">
        <v>1</v>
      </c>
      <c r="H270" s="32">
        <v>81421</v>
      </c>
      <c r="I270" s="32" t="s">
        <v>17</v>
      </c>
      <c r="J270" s="32">
        <v>45223061</v>
      </c>
      <c r="K270" s="32" t="s">
        <v>4230</v>
      </c>
      <c r="L270" s="38" t="s">
        <v>4232</v>
      </c>
      <c r="M270" s="34">
        <v>169900</v>
      </c>
      <c r="N270" s="35">
        <f t="shared" si="26"/>
        <v>0.75</v>
      </c>
      <c r="O270" s="34">
        <f t="shared" si="24"/>
        <v>42475</v>
      </c>
      <c r="P270" s="32" t="s">
        <v>16</v>
      </c>
    </row>
    <row r="271" spans="1:16" x14ac:dyDescent="0.35">
      <c r="A271" s="32" t="str">
        <f t="shared" si="25"/>
        <v>2024 JAN-DEC DISC 75%</v>
      </c>
      <c r="B271" s="33">
        <f t="shared" si="25"/>
        <v>46121</v>
      </c>
      <c r="C271" s="33">
        <f t="shared" si="25"/>
        <v>46127</v>
      </c>
      <c r="D271" s="32">
        <v>3281</v>
      </c>
      <c r="E271" s="32">
        <v>337</v>
      </c>
      <c r="F271" s="32">
        <v>4</v>
      </c>
      <c r="G271" s="32">
        <v>1</v>
      </c>
      <c r="H271" s="32">
        <v>81421</v>
      </c>
      <c r="I271" s="32" t="s">
        <v>17</v>
      </c>
      <c r="J271" s="32">
        <v>45223070</v>
      </c>
      <c r="K271" s="32" t="s">
        <v>4230</v>
      </c>
      <c r="L271" s="38" t="s">
        <v>4233</v>
      </c>
      <c r="M271" s="34">
        <v>169900</v>
      </c>
      <c r="N271" s="35">
        <f t="shared" si="26"/>
        <v>0.75</v>
      </c>
      <c r="O271" s="34">
        <f t="shared" si="24"/>
        <v>42475</v>
      </c>
      <c r="P271" s="32" t="s">
        <v>16</v>
      </c>
    </row>
    <row r="272" spans="1:16" x14ac:dyDescent="0.35">
      <c r="A272" s="32" t="str">
        <f t="shared" si="25"/>
        <v>2024 JAN-DEC DISC 75%</v>
      </c>
      <c r="B272" s="33">
        <f t="shared" si="25"/>
        <v>46121</v>
      </c>
      <c r="C272" s="33">
        <f t="shared" si="25"/>
        <v>46127</v>
      </c>
      <c r="D272" s="32">
        <v>3281</v>
      </c>
      <c r="E272" s="32">
        <v>337</v>
      </c>
      <c r="F272" s="32">
        <v>4</v>
      </c>
      <c r="G272" s="32">
        <v>5</v>
      </c>
      <c r="H272" s="32">
        <v>81506</v>
      </c>
      <c r="I272" s="32" t="s">
        <v>17</v>
      </c>
      <c r="J272" s="32">
        <v>45223418</v>
      </c>
      <c r="K272" s="32" t="s">
        <v>4235</v>
      </c>
      <c r="L272" s="38" t="s">
        <v>4236</v>
      </c>
      <c r="M272" s="34">
        <v>299900</v>
      </c>
      <c r="N272" s="35">
        <f t="shared" si="26"/>
        <v>0.75</v>
      </c>
      <c r="O272" s="34">
        <f t="shared" si="24"/>
        <v>74975</v>
      </c>
      <c r="P272" s="32" t="s">
        <v>16</v>
      </c>
    </row>
    <row r="273" spans="1:16" x14ac:dyDescent="0.35">
      <c r="A273" s="32" t="str">
        <f t="shared" si="25"/>
        <v>2024 JAN-DEC DISC 75%</v>
      </c>
      <c r="B273" s="33">
        <f t="shared" si="25"/>
        <v>46121</v>
      </c>
      <c r="C273" s="33">
        <f t="shared" si="25"/>
        <v>46127</v>
      </c>
      <c r="D273" s="32">
        <v>3281</v>
      </c>
      <c r="E273" s="32">
        <v>337</v>
      </c>
      <c r="F273" s="32">
        <v>4</v>
      </c>
      <c r="G273" s="32">
        <v>5</v>
      </c>
      <c r="H273" s="32">
        <v>81506</v>
      </c>
      <c r="I273" s="32" t="s">
        <v>17</v>
      </c>
      <c r="J273" s="32">
        <v>45223427</v>
      </c>
      <c r="K273" s="32" t="s">
        <v>4235</v>
      </c>
      <c r="L273" s="38" t="s">
        <v>4237</v>
      </c>
      <c r="M273" s="34">
        <v>299900</v>
      </c>
      <c r="N273" s="35">
        <f t="shared" si="26"/>
        <v>0.75</v>
      </c>
      <c r="O273" s="34">
        <f t="shared" si="24"/>
        <v>74975</v>
      </c>
      <c r="P273" s="32" t="s">
        <v>16</v>
      </c>
    </row>
    <row r="274" spans="1:16" x14ac:dyDescent="0.35">
      <c r="A274" s="32" t="str">
        <f t="shared" si="25"/>
        <v>2024 JAN-DEC DISC 75%</v>
      </c>
      <c r="B274" s="33">
        <f t="shared" si="25"/>
        <v>46121</v>
      </c>
      <c r="C274" s="33">
        <f t="shared" si="25"/>
        <v>46127</v>
      </c>
      <c r="D274" s="32">
        <v>3281</v>
      </c>
      <c r="E274" s="32">
        <v>337</v>
      </c>
      <c r="F274" s="32">
        <v>4</v>
      </c>
      <c r="G274" s="32">
        <v>5</v>
      </c>
      <c r="H274" s="32">
        <v>81506</v>
      </c>
      <c r="I274" s="32" t="s">
        <v>17</v>
      </c>
      <c r="J274" s="32">
        <v>45223436</v>
      </c>
      <c r="K274" s="32" t="s">
        <v>4235</v>
      </c>
      <c r="L274" s="38" t="s">
        <v>4238</v>
      </c>
      <c r="M274" s="34">
        <v>299900</v>
      </c>
      <c r="N274" s="35">
        <f t="shared" si="26"/>
        <v>0.75</v>
      </c>
      <c r="O274" s="34">
        <f t="shared" si="24"/>
        <v>74975</v>
      </c>
      <c r="P274" s="32" t="s">
        <v>16</v>
      </c>
    </row>
    <row r="275" spans="1:16" x14ac:dyDescent="0.35">
      <c r="A275" s="32" t="str">
        <f t="shared" si="25"/>
        <v>2024 JAN-DEC DISC 75%</v>
      </c>
      <c r="B275" s="33">
        <f t="shared" si="25"/>
        <v>46121</v>
      </c>
      <c r="C275" s="33">
        <f t="shared" si="25"/>
        <v>46127</v>
      </c>
      <c r="D275" s="32">
        <v>3281</v>
      </c>
      <c r="E275" s="32">
        <v>337</v>
      </c>
      <c r="F275" s="32">
        <v>4</v>
      </c>
      <c r="G275" s="32">
        <v>5</v>
      </c>
      <c r="H275" s="32">
        <v>81506</v>
      </c>
      <c r="I275" s="32" t="s">
        <v>17</v>
      </c>
      <c r="J275" s="32">
        <v>45223445</v>
      </c>
      <c r="K275" s="32" t="s">
        <v>4235</v>
      </c>
      <c r="L275" s="38" t="s">
        <v>4239</v>
      </c>
      <c r="M275" s="34">
        <v>299900</v>
      </c>
      <c r="N275" s="35">
        <f t="shared" si="26"/>
        <v>0.75</v>
      </c>
      <c r="O275" s="34">
        <f t="shared" si="24"/>
        <v>74975</v>
      </c>
      <c r="P275" s="32" t="s">
        <v>16</v>
      </c>
    </row>
    <row r="276" spans="1:16" x14ac:dyDescent="0.35">
      <c r="A276" s="32" t="str">
        <f t="shared" ref="A276:C291" si="27">A275</f>
        <v>2024 JAN-DEC DISC 75%</v>
      </c>
      <c r="B276" s="33">
        <f t="shared" si="27"/>
        <v>46121</v>
      </c>
      <c r="C276" s="33">
        <f t="shared" si="27"/>
        <v>46127</v>
      </c>
      <c r="D276" s="32">
        <v>3281</v>
      </c>
      <c r="E276" s="32">
        <v>337</v>
      </c>
      <c r="F276" s="32">
        <v>4</v>
      </c>
      <c r="G276" s="32">
        <v>5</v>
      </c>
      <c r="H276" s="32">
        <v>81146</v>
      </c>
      <c r="I276" s="32" t="s">
        <v>17</v>
      </c>
      <c r="J276" s="32">
        <v>22774705</v>
      </c>
      <c r="K276" s="32" t="s">
        <v>3851</v>
      </c>
      <c r="L276" s="38" t="s">
        <v>3852</v>
      </c>
      <c r="M276" s="34">
        <v>249900</v>
      </c>
      <c r="N276" s="35">
        <f t="shared" si="26"/>
        <v>0.75</v>
      </c>
      <c r="O276" s="34">
        <f t="shared" si="24"/>
        <v>62475</v>
      </c>
      <c r="P276" s="32" t="s">
        <v>16</v>
      </c>
    </row>
    <row r="277" spans="1:16" x14ac:dyDescent="0.35">
      <c r="A277" s="32" t="str">
        <f t="shared" si="27"/>
        <v>2024 JAN-DEC DISC 75%</v>
      </c>
      <c r="B277" s="33">
        <f t="shared" si="27"/>
        <v>46121</v>
      </c>
      <c r="C277" s="33">
        <f t="shared" si="27"/>
        <v>46127</v>
      </c>
      <c r="D277" s="32">
        <v>3281</v>
      </c>
      <c r="E277" s="32">
        <v>337</v>
      </c>
      <c r="F277" s="32">
        <v>4</v>
      </c>
      <c r="G277" s="32">
        <v>5</v>
      </c>
      <c r="H277" s="32">
        <v>81146</v>
      </c>
      <c r="I277" s="32" t="s">
        <v>17</v>
      </c>
      <c r="J277" s="32">
        <v>22774714</v>
      </c>
      <c r="K277" s="32" t="s">
        <v>3851</v>
      </c>
      <c r="L277" s="38" t="s">
        <v>3853</v>
      </c>
      <c r="M277" s="34">
        <v>249900</v>
      </c>
      <c r="N277" s="35">
        <f t="shared" si="26"/>
        <v>0.75</v>
      </c>
      <c r="O277" s="34">
        <f t="shared" si="24"/>
        <v>62475</v>
      </c>
      <c r="P277" s="32" t="s">
        <v>16</v>
      </c>
    </row>
    <row r="278" spans="1:16" x14ac:dyDescent="0.35">
      <c r="A278" s="32" t="str">
        <f t="shared" si="27"/>
        <v>2024 JAN-DEC DISC 75%</v>
      </c>
      <c r="B278" s="33">
        <f t="shared" si="27"/>
        <v>46121</v>
      </c>
      <c r="C278" s="33">
        <f t="shared" si="27"/>
        <v>46127</v>
      </c>
      <c r="D278" s="32">
        <v>3281</v>
      </c>
      <c r="E278" s="32">
        <v>337</v>
      </c>
      <c r="F278" s="32">
        <v>4</v>
      </c>
      <c r="G278" s="32">
        <v>5</v>
      </c>
      <c r="H278" s="32">
        <v>81146</v>
      </c>
      <c r="I278" s="32" t="s">
        <v>17</v>
      </c>
      <c r="J278" s="32">
        <v>22774723</v>
      </c>
      <c r="K278" s="32" t="s">
        <v>3851</v>
      </c>
      <c r="L278" s="38" t="s">
        <v>3854</v>
      </c>
      <c r="M278" s="34">
        <v>249900</v>
      </c>
      <c r="N278" s="35">
        <f t="shared" si="26"/>
        <v>0.75</v>
      </c>
      <c r="O278" s="34">
        <f t="shared" si="24"/>
        <v>62475</v>
      </c>
      <c r="P278" s="32" t="s">
        <v>16</v>
      </c>
    </row>
    <row r="279" spans="1:16" x14ac:dyDescent="0.35">
      <c r="A279" s="32" t="str">
        <f t="shared" si="27"/>
        <v>2024 JAN-DEC DISC 75%</v>
      </c>
      <c r="B279" s="33">
        <f t="shared" si="27"/>
        <v>46121</v>
      </c>
      <c r="C279" s="33">
        <f t="shared" si="27"/>
        <v>46127</v>
      </c>
      <c r="D279" s="32">
        <v>3281</v>
      </c>
      <c r="E279" s="32">
        <v>337</v>
      </c>
      <c r="F279" s="32">
        <v>4</v>
      </c>
      <c r="G279" s="32">
        <v>5</v>
      </c>
      <c r="H279" s="32">
        <v>81146</v>
      </c>
      <c r="I279" s="32" t="s">
        <v>17</v>
      </c>
      <c r="J279" s="32">
        <v>22774732</v>
      </c>
      <c r="K279" s="32" t="s">
        <v>3851</v>
      </c>
      <c r="L279" s="38" t="s">
        <v>3855</v>
      </c>
      <c r="M279" s="34">
        <v>249900</v>
      </c>
      <c r="N279" s="35">
        <f t="shared" si="26"/>
        <v>0.75</v>
      </c>
      <c r="O279" s="34">
        <f t="shared" si="24"/>
        <v>62475</v>
      </c>
      <c r="P279" s="32" t="s">
        <v>16</v>
      </c>
    </row>
    <row r="280" spans="1:16" x14ac:dyDescent="0.35">
      <c r="A280" s="32" t="str">
        <f t="shared" si="27"/>
        <v>2024 JAN-DEC DISC 75%</v>
      </c>
      <c r="B280" s="33">
        <f t="shared" si="27"/>
        <v>46121</v>
      </c>
      <c r="C280" s="33">
        <f t="shared" si="27"/>
        <v>46127</v>
      </c>
      <c r="D280" s="32">
        <v>3281</v>
      </c>
      <c r="E280" s="32">
        <v>337</v>
      </c>
      <c r="F280" s="32">
        <v>4</v>
      </c>
      <c r="G280" s="32">
        <v>1</v>
      </c>
      <c r="H280" s="32">
        <v>81421</v>
      </c>
      <c r="I280" s="32" t="s">
        <v>17</v>
      </c>
      <c r="J280" s="32">
        <v>45223034</v>
      </c>
      <c r="K280" s="32" t="s">
        <v>4225</v>
      </c>
      <c r="L280" s="38" t="s">
        <v>4226</v>
      </c>
      <c r="M280" s="34">
        <v>169900</v>
      </c>
      <c r="N280" s="35">
        <f t="shared" si="26"/>
        <v>0.75</v>
      </c>
      <c r="O280" s="34">
        <f t="shared" si="24"/>
        <v>42475</v>
      </c>
      <c r="P280" s="32" t="s">
        <v>16</v>
      </c>
    </row>
    <row r="281" spans="1:16" x14ac:dyDescent="0.35">
      <c r="A281" s="32" t="str">
        <f t="shared" si="27"/>
        <v>2024 JAN-DEC DISC 75%</v>
      </c>
      <c r="B281" s="33">
        <f t="shared" si="27"/>
        <v>46121</v>
      </c>
      <c r="C281" s="33">
        <f t="shared" si="27"/>
        <v>46127</v>
      </c>
      <c r="D281" s="32">
        <v>3281</v>
      </c>
      <c r="E281" s="32">
        <v>337</v>
      </c>
      <c r="F281" s="32">
        <v>4</v>
      </c>
      <c r="G281" s="32">
        <v>1</v>
      </c>
      <c r="H281" s="32">
        <v>81421</v>
      </c>
      <c r="I281" s="32" t="s">
        <v>17</v>
      </c>
      <c r="J281" s="32">
        <v>45223089</v>
      </c>
      <c r="K281" s="32" t="s">
        <v>4230</v>
      </c>
      <c r="L281" s="38" t="s">
        <v>4234</v>
      </c>
      <c r="M281" s="34">
        <v>169900</v>
      </c>
      <c r="N281" s="35">
        <f t="shared" si="26"/>
        <v>0.75</v>
      </c>
      <c r="O281" s="34">
        <f t="shared" si="24"/>
        <v>42475</v>
      </c>
      <c r="P281" s="32" t="s">
        <v>16</v>
      </c>
    </row>
    <row r="282" spans="1:16" x14ac:dyDescent="0.35">
      <c r="A282" s="32" t="str">
        <f t="shared" si="27"/>
        <v>2024 JAN-DEC DISC 75%</v>
      </c>
      <c r="B282" s="33">
        <f t="shared" si="27"/>
        <v>46121</v>
      </c>
      <c r="C282" s="33">
        <f t="shared" si="27"/>
        <v>46127</v>
      </c>
      <c r="D282" s="32">
        <v>3281</v>
      </c>
      <c r="E282" s="32">
        <v>337</v>
      </c>
      <c r="F282" s="32">
        <v>4</v>
      </c>
      <c r="G282" s="32">
        <v>5</v>
      </c>
      <c r="H282" s="32">
        <v>81506</v>
      </c>
      <c r="I282" s="32" t="s">
        <v>17</v>
      </c>
      <c r="J282" s="32">
        <v>50037566</v>
      </c>
      <c r="K282" s="32" t="s">
        <v>4240</v>
      </c>
      <c r="L282" s="38" t="s">
        <v>4241</v>
      </c>
      <c r="M282" s="34">
        <v>299900</v>
      </c>
      <c r="N282" s="35">
        <f t="shared" si="26"/>
        <v>0.75</v>
      </c>
      <c r="O282" s="34">
        <f t="shared" si="24"/>
        <v>74975</v>
      </c>
      <c r="P282" s="32" t="s">
        <v>16</v>
      </c>
    </row>
    <row r="283" spans="1:16" x14ac:dyDescent="0.35">
      <c r="A283" s="32" t="str">
        <f t="shared" si="27"/>
        <v>2024 JAN-DEC DISC 75%</v>
      </c>
      <c r="B283" s="33">
        <f t="shared" si="27"/>
        <v>46121</v>
      </c>
      <c r="C283" s="33">
        <f t="shared" si="27"/>
        <v>46127</v>
      </c>
      <c r="D283" s="32">
        <v>3281</v>
      </c>
      <c r="E283" s="32">
        <v>337</v>
      </c>
      <c r="F283" s="32">
        <v>4</v>
      </c>
      <c r="G283" s="32">
        <v>5</v>
      </c>
      <c r="H283" s="32">
        <v>81506</v>
      </c>
      <c r="I283" s="32" t="s">
        <v>17</v>
      </c>
      <c r="J283" s="32">
        <v>50037539</v>
      </c>
      <c r="K283" s="32" t="s">
        <v>4240</v>
      </c>
      <c r="L283" s="38" t="s">
        <v>4242</v>
      </c>
      <c r="M283" s="34">
        <v>299900</v>
      </c>
      <c r="N283" s="35">
        <f t="shared" si="26"/>
        <v>0.75</v>
      </c>
      <c r="O283" s="34">
        <f t="shared" si="24"/>
        <v>74975</v>
      </c>
      <c r="P283" s="32" t="s">
        <v>16</v>
      </c>
    </row>
    <row r="284" spans="1:16" x14ac:dyDescent="0.35">
      <c r="A284" s="32" t="str">
        <f t="shared" si="27"/>
        <v>2024 JAN-DEC DISC 75%</v>
      </c>
      <c r="B284" s="33">
        <f t="shared" si="27"/>
        <v>46121</v>
      </c>
      <c r="C284" s="33">
        <f t="shared" si="27"/>
        <v>46127</v>
      </c>
      <c r="D284" s="32">
        <v>3281</v>
      </c>
      <c r="E284" s="32">
        <v>337</v>
      </c>
      <c r="F284" s="32">
        <v>4</v>
      </c>
      <c r="G284" s="32">
        <v>5</v>
      </c>
      <c r="H284" s="32">
        <v>81506</v>
      </c>
      <c r="I284" s="32" t="s">
        <v>17</v>
      </c>
      <c r="J284" s="32">
        <v>50037548</v>
      </c>
      <c r="K284" s="32" t="s">
        <v>4240</v>
      </c>
      <c r="L284" s="38" t="s">
        <v>4243</v>
      </c>
      <c r="M284" s="34">
        <v>299900</v>
      </c>
      <c r="N284" s="35">
        <f t="shared" si="26"/>
        <v>0.75</v>
      </c>
      <c r="O284" s="34">
        <f t="shared" si="24"/>
        <v>74975</v>
      </c>
      <c r="P284" s="32" t="s">
        <v>16</v>
      </c>
    </row>
    <row r="285" spans="1:16" x14ac:dyDescent="0.35">
      <c r="A285" s="32" t="str">
        <f t="shared" si="27"/>
        <v>2024 JAN-DEC DISC 75%</v>
      </c>
      <c r="B285" s="33">
        <f t="shared" si="27"/>
        <v>46121</v>
      </c>
      <c r="C285" s="33">
        <f t="shared" si="27"/>
        <v>46127</v>
      </c>
      <c r="D285" s="32">
        <v>3281</v>
      </c>
      <c r="E285" s="32">
        <v>337</v>
      </c>
      <c r="F285" s="32">
        <v>4</v>
      </c>
      <c r="G285" s="32">
        <v>5</v>
      </c>
      <c r="H285" s="32">
        <v>81506</v>
      </c>
      <c r="I285" s="32" t="s">
        <v>17</v>
      </c>
      <c r="J285" s="32">
        <v>50037557</v>
      </c>
      <c r="K285" s="32" t="s">
        <v>4240</v>
      </c>
      <c r="L285" s="38" t="s">
        <v>4244</v>
      </c>
      <c r="M285" s="34">
        <v>299900</v>
      </c>
      <c r="N285" s="35">
        <f t="shared" si="26"/>
        <v>0.75</v>
      </c>
      <c r="O285" s="34">
        <f t="shared" si="24"/>
        <v>74975</v>
      </c>
      <c r="P285" s="32" t="s">
        <v>16</v>
      </c>
    </row>
    <row r="286" spans="1:16" x14ac:dyDescent="0.35">
      <c r="A286" s="32" t="str">
        <f t="shared" si="27"/>
        <v>2024 JAN-DEC DISC 75%</v>
      </c>
      <c r="B286" s="33">
        <f t="shared" si="27"/>
        <v>46121</v>
      </c>
      <c r="C286" s="33">
        <f t="shared" si="27"/>
        <v>46127</v>
      </c>
      <c r="D286" s="32">
        <v>3281</v>
      </c>
      <c r="E286" s="32">
        <v>337</v>
      </c>
      <c r="F286" s="32">
        <v>4</v>
      </c>
      <c r="G286" s="32">
        <v>5</v>
      </c>
      <c r="H286" s="32">
        <v>81421</v>
      </c>
      <c r="I286" s="32" t="s">
        <v>17</v>
      </c>
      <c r="J286" s="32">
        <v>50130508</v>
      </c>
      <c r="K286" s="32" t="s">
        <v>4245</v>
      </c>
      <c r="L286" s="38" t="s">
        <v>4246</v>
      </c>
      <c r="M286" s="34">
        <v>259900</v>
      </c>
      <c r="N286" s="35">
        <f t="shared" si="26"/>
        <v>0.75</v>
      </c>
      <c r="O286" s="34">
        <f t="shared" si="24"/>
        <v>64975</v>
      </c>
      <c r="P286" s="32" t="s">
        <v>16</v>
      </c>
    </row>
    <row r="287" spans="1:16" x14ac:dyDescent="0.35">
      <c r="A287" s="32" t="str">
        <f t="shared" si="27"/>
        <v>2024 JAN-DEC DISC 75%</v>
      </c>
      <c r="B287" s="33">
        <f t="shared" si="27"/>
        <v>46121</v>
      </c>
      <c r="C287" s="33">
        <f t="shared" si="27"/>
        <v>46127</v>
      </c>
      <c r="D287" s="32">
        <v>3281</v>
      </c>
      <c r="E287" s="32">
        <v>337</v>
      </c>
      <c r="F287" s="32">
        <v>4</v>
      </c>
      <c r="G287" s="32">
        <v>5</v>
      </c>
      <c r="H287" s="32">
        <v>81421</v>
      </c>
      <c r="I287" s="32" t="s">
        <v>17</v>
      </c>
      <c r="J287" s="32">
        <v>45223098</v>
      </c>
      <c r="K287" s="32" t="s">
        <v>4247</v>
      </c>
      <c r="L287" s="38" t="s">
        <v>4248</v>
      </c>
      <c r="M287" s="34">
        <v>259900</v>
      </c>
      <c r="N287" s="35">
        <f t="shared" si="26"/>
        <v>0.75</v>
      </c>
      <c r="O287" s="34">
        <f t="shared" si="24"/>
        <v>64975</v>
      </c>
      <c r="P287" s="32" t="s">
        <v>16</v>
      </c>
    </row>
    <row r="288" spans="1:16" x14ac:dyDescent="0.35">
      <c r="A288" s="32" t="str">
        <f t="shared" si="27"/>
        <v>2024 JAN-DEC DISC 75%</v>
      </c>
      <c r="B288" s="33">
        <f t="shared" si="27"/>
        <v>46121</v>
      </c>
      <c r="C288" s="33">
        <f t="shared" si="27"/>
        <v>46127</v>
      </c>
      <c r="D288" s="32">
        <v>3281</v>
      </c>
      <c r="E288" s="32">
        <v>337</v>
      </c>
      <c r="F288" s="32">
        <v>4</v>
      </c>
      <c r="G288" s="32">
        <v>5</v>
      </c>
      <c r="H288" s="32">
        <v>81421</v>
      </c>
      <c r="I288" s="32" t="s">
        <v>17</v>
      </c>
      <c r="J288" s="32">
        <v>45223105</v>
      </c>
      <c r="K288" s="32" t="s">
        <v>4247</v>
      </c>
      <c r="L288" s="38" t="s">
        <v>4249</v>
      </c>
      <c r="M288" s="34">
        <v>259900</v>
      </c>
      <c r="N288" s="35">
        <f t="shared" si="26"/>
        <v>0.75</v>
      </c>
      <c r="O288" s="34">
        <f t="shared" si="24"/>
        <v>64975</v>
      </c>
      <c r="P288" s="32" t="s">
        <v>16</v>
      </c>
    </row>
    <row r="289" spans="1:16" x14ac:dyDescent="0.35">
      <c r="A289" s="32" t="str">
        <f t="shared" si="27"/>
        <v>2024 JAN-DEC DISC 75%</v>
      </c>
      <c r="B289" s="33">
        <f t="shared" si="27"/>
        <v>46121</v>
      </c>
      <c r="C289" s="33">
        <f t="shared" si="27"/>
        <v>46127</v>
      </c>
      <c r="D289" s="32">
        <v>3281</v>
      </c>
      <c r="E289" s="32">
        <v>337</v>
      </c>
      <c r="F289" s="32">
        <v>4</v>
      </c>
      <c r="G289" s="32">
        <v>5</v>
      </c>
      <c r="H289" s="32">
        <v>81421</v>
      </c>
      <c r="I289" s="32" t="s">
        <v>17</v>
      </c>
      <c r="J289" s="32">
        <v>45223114</v>
      </c>
      <c r="K289" s="32" t="s">
        <v>4247</v>
      </c>
      <c r="L289" s="38" t="s">
        <v>4250</v>
      </c>
      <c r="M289" s="34">
        <v>259900</v>
      </c>
      <c r="N289" s="35">
        <f t="shared" si="26"/>
        <v>0.75</v>
      </c>
      <c r="O289" s="34">
        <f t="shared" si="24"/>
        <v>64975</v>
      </c>
      <c r="P289" s="32" t="s">
        <v>16</v>
      </c>
    </row>
    <row r="290" spans="1:16" x14ac:dyDescent="0.35">
      <c r="A290" s="32" t="str">
        <f t="shared" si="27"/>
        <v>2024 JAN-DEC DISC 75%</v>
      </c>
      <c r="B290" s="33">
        <f t="shared" si="27"/>
        <v>46121</v>
      </c>
      <c r="C290" s="33">
        <f t="shared" si="27"/>
        <v>46127</v>
      </c>
      <c r="D290" s="32">
        <v>3281</v>
      </c>
      <c r="E290" s="32">
        <v>337</v>
      </c>
      <c r="F290" s="32">
        <v>4</v>
      </c>
      <c r="G290" s="32">
        <v>5</v>
      </c>
      <c r="H290" s="32">
        <v>81421</v>
      </c>
      <c r="I290" s="32" t="s">
        <v>17</v>
      </c>
      <c r="J290" s="32">
        <v>45223123</v>
      </c>
      <c r="K290" s="32" t="s">
        <v>4247</v>
      </c>
      <c r="L290" s="38" t="s">
        <v>4251</v>
      </c>
      <c r="M290" s="34">
        <v>259900</v>
      </c>
      <c r="N290" s="35">
        <f t="shared" si="26"/>
        <v>0.75</v>
      </c>
      <c r="O290" s="34">
        <f t="shared" si="24"/>
        <v>64975</v>
      </c>
      <c r="P290" s="32" t="s">
        <v>16</v>
      </c>
    </row>
    <row r="291" spans="1:16" x14ac:dyDescent="0.35">
      <c r="A291" s="32" t="str">
        <f t="shared" si="27"/>
        <v>2024 JAN-DEC DISC 75%</v>
      </c>
      <c r="B291" s="33">
        <f t="shared" si="27"/>
        <v>46121</v>
      </c>
      <c r="C291" s="33">
        <f t="shared" si="27"/>
        <v>46127</v>
      </c>
      <c r="D291" s="32">
        <v>3281</v>
      </c>
      <c r="E291" s="32">
        <v>337</v>
      </c>
      <c r="F291" s="32">
        <v>4</v>
      </c>
      <c r="G291" s="32">
        <v>5</v>
      </c>
      <c r="H291" s="32">
        <v>81421</v>
      </c>
      <c r="I291" s="32" t="s">
        <v>17</v>
      </c>
      <c r="J291" s="32">
        <v>50130473</v>
      </c>
      <c r="K291" s="32" t="s">
        <v>4245</v>
      </c>
      <c r="L291" s="38" t="s">
        <v>4252</v>
      </c>
      <c r="M291" s="34">
        <v>259900</v>
      </c>
      <c r="N291" s="35">
        <f t="shared" si="26"/>
        <v>0.75</v>
      </c>
      <c r="O291" s="34">
        <f t="shared" si="24"/>
        <v>64975</v>
      </c>
      <c r="P291" s="32" t="s">
        <v>16</v>
      </c>
    </row>
    <row r="292" spans="1:16" x14ac:dyDescent="0.35">
      <c r="A292" s="32" t="str">
        <f t="shared" ref="A292:C307" si="28">A291</f>
        <v>2024 JAN-DEC DISC 75%</v>
      </c>
      <c r="B292" s="33">
        <f t="shared" si="28"/>
        <v>46121</v>
      </c>
      <c r="C292" s="33">
        <f t="shared" si="28"/>
        <v>46127</v>
      </c>
      <c r="D292" s="32">
        <v>3281</v>
      </c>
      <c r="E292" s="32">
        <v>337</v>
      </c>
      <c r="F292" s="32">
        <v>4</v>
      </c>
      <c r="G292" s="32">
        <v>5</v>
      </c>
      <c r="H292" s="32">
        <v>81421</v>
      </c>
      <c r="I292" s="32" t="s">
        <v>17</v>
      </c>
      <c r="J292" s="32">
        <v>50130482</v>
      </c>
      <c r="K292" s="32" t="s">
        <v>4245</v>
      </c>
      <c r="L292" s="38" t="s">
        <v>4253</v>
      </c>
      <c r="M292" s="34">
        <v>259900</v>
      </c>
      <c r="N292" s="35">
        <f t="shared" si="26"/>
        <v>0.75</v>
      </c>
      <c r="O292" s="34">
        <f t="shared" si="24"/>
        <v>64975</v>
      </c>
      <c r="P292" s="32" t="s">
        <v>16</v>
      </c>
    </row>
    <row r="293" spans="1:16" x14ac:dyDescent="0.35">
      <c r="A293" s="32" t="str">
        <f t="shared" si="28"/>
        <v>2024 JAN-DEC DISC 75%</v>
      </c>
      <c r="B293" s="33">
        <f t="shared" si="28"/>
        <v>46121</v>
      </c>
      <c r="C293" s="33">
        <f t="shared" si="28"/>
        <v>46127</v>
      </c>
      <c r="D293" s="32">
        <v>3281</v>
      </c>
      <c r="E293" s="32">
        <v>337</v>
      </c>
      <c r="F293" s="32">
        <v>4</v>
      </c>
      <c r="G293" s="32">
        <v>5</v>
      </c>
      <c r="H293" s="32">
        <v>81421</v>
      </c>
      <c r="I293" s="32" t="s">
        <v>17</v>
      </c>
      <c r="J293" s="32">
        <v>50130491</v>
      </c>
      <c r="K293" s="32" t="s">
        <v>4245</v>
      </c>
      <c r="L293" s="38" t="s">
        <v>4254</v>
      </c>
      <c r="M293" s="34">
        <v>259900</v>
      </c>
      <c r="N293" s="35">
        <f t="shared" si="26"/>
        <v>0.75</v>
      </c>
      <c r="O293" s="34">
        <f t="shared" si="24"/>
        <v>64975</v>
      </c>
      <c r="P293" s="32" t="s">
        <v>16</v>
      </c>
    </row>
    <row r="294" spans="1:16" x14ac:dyDescent="0.35">
      <c r="A294" s="32" t="str">
        <f t="shared" si="28"/>
        <v>2024 JAN-DEC DISC 75%</v>
      </c>
      <c r="B294" s="33">
        <f t="shared" si="28"/>
        <v>46121</v>
      </c>
      <c r="C294" s="33">
        <f t="shared" si="28"/>
        <v>46127</v>
      </c>
      <c r="D294" s="32">
        <v>3281</v>
      </c>
      <c r="E294" s="32">
        <v>337</v>
      </c>
      <c r="F294" s="32">
        <v>4</v>
      </c>
      <c r="G294" s="32">
        <v>3</v>
      </c>
      <c r="H294" s="32">
        <v>81146</v>
      </c>
      <c r="I294" s="32" t="s">
        <v>17</v>
      </c>
      <c r="J294" s="32">
        <v>50037440</v>
      </c>
      <c r="K294" s="32" t="s">
        <v>4255</v>
      </c>
      <c r="L294" s="38" t="s">
        <v>4256</v>
      </c>
      <c r="M294" s="34">
        <v>239900</v>
      </c>
      <c r="N294" s="35">
        <f t="shared" si="26"/>
        <v>0.75</v>
      </c>
      <c r="O294" s="34">
        <f t="shared" si="24"/>
        <v>59975</v>
      </c>
      <c r="P294" s="32" t="s">
        <v>16</v>
      </c>
    </row>
    <row r="295" spans="1:16" x14ac:dyDescent="0.35">
      <c r="A295" s="32" t="str">
        <f t="shared" si="28"/>
        <v>2024 JAN-DEC DISC 75%</v>
      </c>
      <c r="B295" s="33">
        <f t="shared" si="28"/>
        <v>46121</v>
      </c>
      <c r="C295" s="33">
        <f t="shared" si="28"/>
        <v>46127</v>
      </c>
      <c r="D295" s="32">
        <v>3281</v>
      </c>
      <c r="E295" s="32">
        <v>337</v>
      </c>
      <c r="F295" s="32">
        <v>4</v>
      </c>
      <c r="G295" s="32">
        <v>3</v>
      </c>
      <c r="H295" s="32">
        <v>81146</v>
      </c>
      <c r="I295" s="32" t="s">
        <v>17</v>
      </c>
      <c r="J295" s="32">
        <v>50037431</v>
      </c>
      <c r="K295" s="32" t="s">
        <v>4255</v>
      </c>
      <c r="L295" s="38" t="s">
        <v>4257</v>
      </c>
      <c r="M295" s="34">
        <v>239900</v>
      </c>
      <c r="N295" s="35">
        <f t="shared" si="26"/>
        <v>0.75</v>
      </c>
      <c r="O295" s="34">
        <f t="shared" si="24"/>
        <v>59975</v>
      </c>
      <c r="P295" s="32" t="s">
        <v>16</v>
      </c>
    </row>
    <row r="296" spans="1:16" x14ac:dyDescent="0.35">
      <c r="A296" s="32" t="str">
        <f t="shared" si="28"/>
        <v>2024 JAN-DEC DISC 75%</v>
      </c>
      <c r="B296" s="33">
        <f t="shared" si="28"/>
        <v>46121</v>
      </c>
      <c r="C296" s="33">
        <f t="shared" si="28"/>
        <v>46127</v>
      </c>
      <c r="D296" s="32">
        <v>3281</v>
      </c>
      <c r="E296" s="32">
        <v>337</v>
      </c>
      <c r="F296" s="32">
        <v>4</v>
      </c>
      <c r="G296" s="32">
        <v>3</v>
      </c>
      <c r="H296" s="32">
        <v>81146</v>
      </c>
      <c r="I296" s="32" t="s">
        <v>17</v>
      </c>
      <c r="J296" s="32">
        <v>50037413</v>
      </c>
      <c r="K296" s="32" t="s">
        <v>4255</v>
      </c>
      <c r="L296" s="38" t="s">
        <v>4258</v>
      </c>
      <c r="M296" s="34">
        <v>239900</v>
      </c>
      <c r="N296" s="35">
        <f t="shared" si="26"/>
        <v>0.75</v>
      </c>
      <c r="O296" s="34">
        <f t="shared" si="24"/>
        <v>59975</v>
      </c>
      <c r="P296" s="32" t="s">
        <v>16</v>
      </c>
    </row>
    <row r="297" spans="1:16" x14ac:dyDescent="0.35">
      <c r="A297" s="32" t="str">
        <f t="shared" si="28"/>
        <v>2024 JAN-DEC DISC 75%</v>
      </c>
      <c r="B297" s="33">
        <f t="shared" si="28"/>
        <v>46121</v>
      </c>
      <c r="C297" s="33">
        <f t="shared" si="28"/>
        <v>46127</v>
      </c>
      <c r="D297" s="32">
        <v>3281</v>
      </c>
      <c r="E297" s="32">
        <v>337</v>
      </c>
      <c r="F297" s="32">
        <v>4</v>
      </c>
      <c r="G297" s="32">
        <v>3</v>
      </c>
      <c r="H297" s="32">
        <v>81146</v>
      </c>
      <c r="I297" s="32" t="s">
        <v>17</v>
      </c>
      <c r="J297" s="32">
        <v>50037422</v>
      </c>
      <c r="K297" s="32" t="s">
        <v>4255</v>
      </c>
      <c r="L297" s="38" t="s">
        <v>4259</v>
      </c>
      <c r="M297" s="34">
        <v>239900</v>
      </c>
      <c r="N297" s="35">
        <f t="shared" si="26"/>
        <v>0.75</v>
      </c>
      <c r="O297" s="34">
        <f t="shared" si="24"/>
        <v>59975</v>
      </c>
      <c r="P297" s="32" t="s">
        <v>16</v>
      </c>
    </row>
    <row r="298" spans="1:16" x14ac:dyDescent="0.35">
      <c r="A298" s="32" t="str">
        <f t="shared" si="28"/>
        <v>2024 JAN-DEC DISC 75%</v>
      </c>
      <c r="B298" s="33">
        <f t="shared" si="28"/>
        <v>46121</v>
      </c>
      <c r="C298" s="33">
        <f t="shared" si="28"/>
        <v>46127</v>
      </c>
      <c r="D298" s="32">
        <v>3281</v>
      </c>
      <c r="E298" s="32">
        <v>337</v>
      </c>
      <c r="F298" s="32">
        <v>4</v>
      </c>
      <c r="G298" s="32">
        <v>4</v>
      </c>
      <c r="H298" s="32">
        <v>81146</v>
      </c>
      <c r="I298" s="32" t="s">
        <v>17</v>
      </c>
      <c r="J298" s="32">
        <v>50037486</v>
      </c>
      <c r="K298" s="32" t="s">
        <v>4260</v>
      </c>
      <c r="L298" s="38" t="s">
        <v>4261</v>
      </c>
      <c r="M298" s="34">
        <v>249900</v>
      </c>
      <c r="N298" s="35">
        <f t="shared" si="26"/>
        <v>0.75</v>
      </c>
      <c r="O298" s="34">
        <f t="shared" si="24"/>
        <v>62475</v>
      </c>
      <c r="P298" s="32" t="s">
        <v>16</v>
      </c>
    </row>
    <row r="299" spans="1:16" x14ac:dyDescent="0.35">
      <c r="A299" s="32" t="str">
        <f t="shared" si="28"/>
        <v>2024 JAN-DEC DISC 75%</v>
      </c>
      <c r="B299" s="33">
        <f t="shared" si="28"/>
        <v>46121</v>
      </c>
      <c r="C299" s="33">
        <f t="shared" si="28"/>
        <v>46127</v>
      </c>
      <c r="D299" s="32">
        <v>3281</v>
      </c>
      <c r="E299" s="32">
        <v>337</v>
      </c>
      <c r="F299" s="32">
        <v>4</v>
      </c>
      <c r="G299" s="32">
        <v>4</v>
      </c>
      <c r="H299" s="32">
        <v>81146</v>
      </c>
      <c r="I299" s="32" t="s">
        <v>17</v>
      </c>
      <c r="J299" s="32">
        <v>50037468</v>
      </c>
      <c r="K299" s="32" t="s">
        <v>4260</v>
      </c>
      <c r="L299" s="38" t="s">
        <v>4262</v>
      </c>
      <c r="M299" s="34">
        <v>249900</v>
      </c>
      <c r="N299" s="35">
        <f t="shared" si="26"/>
        <v>0.75</v>
      </c>
      <c r="O299" s="34">
        <f t="shared" si="24"/>
        <v>62475</v>
      </c>
      <c r="P299" s="32" t="s">
        <v>16</v>
      </c>
    </row>
    <row r="300" spans="1:16" x14ac:dyDescent="0.35">
      <c r="A300" s="32" t="str">
        <f t="shared" si="28"/>
        <v>2024 JAN-DEC DISC 75%</v>
      </c>
      <c r="B300" s="33">
        <f t="shared" si="28"/>
        <v>46121</v>
      </c>
      <c r="C300" s="33">
        <f t="shared" si="28"/>
        <v>46127</v>
      </c>
      <c r="D300" s="32">
        <v>3281</v>
      </c>
      <c r="E300" s="32">
        <v>337</v>
      </c>
      <c r="F300" s="32">
        <v>4</v>
      </c>
      <c r="G300" s="32">
        <v>4</v>
      </c>
      <c r="H300" s="32">
        <v>81146</v>
      </c>
      <c r="I300" s="32" t="s">
        <v>17</v>
      </c>
      <c r="J300" s="32">
        <v>50037477</v>
      </c>
      <c r="K300" s="32" t="s">
        <v>4260</v>
      </c>
      <c r="L300" s="38" t="s">
        <v>4263</v>
      </c>
      <c r="M300" s="34">
        <v>249900</v>
      </c>
      <c r="N300" s="35">
        <f t="shared" si="26"/>
        <v>0.75</v>
      </c>
      <c r="O300" s="34">
        <f t="shared" si="24"/>
        <v>62475</v>
      </c>
      <c r="P300" s="32" t="s">
        <v>16</v>
      </c>
    </row>
    <row r="301" spans="1:16" x14ac:dyDescent="0.35">
      <c r="A301" s="32" t="str">
        <f t="shared" si="28"/>
        <v>2024 JAN-DEC DISC 75%</v>
      </c>
      <c r="B301" s="33">
        <f t="shared" si="28"/>
        <v>46121</v>
      </c>
      <c r="C301" s="33">
        <f t="shared" si="28"/>
        <v>46127</v>
      </c>
      <c r="D301" s="32">
        <v>3281</v>
      </c>
      <c r="E301" s="32">
        <v>337</v>
      </c>
      <c r="F301" s="32">
        <v>4</v>
      </c>
      <c r="G301" s="32">
        <v>4</v>
      </c>
      <c r="H301" s="32">
        <v>81146</v>
      </c>
      <c r="I301" s="32" t="s">
        <v>17</v>
      </c>
      <c r="J301" s="32">
        <v>50037459</v>
      </c>
      <c r="K301" s="32" t="s">
        <v>4260</v>
      </c>
      <c r="L301" s="38" t="s">
        <v>4264</v>
      </c>
      <c r="M301" s="34">
        <v>249900</v>
      </c>
      <c r="N301" s="35">
        <f t="shared" si="26"/>
        <v>0.75</v>
      </c>
      <c r="O301" s="34">
        <f t="shared" si="24"/>
        <v>62475</v>
      </c>
      <c r="P301" s="32" t="s">
        <v>16</v>
      </c>
    </row>
    <row r="302" spans="1:16" x14ac:dyDescent="0.35">
      <c r="A302" s="32" t="str">
        <f t="shared" si="28"/>
        <v>2024 JAN-DEC DISC 75%</v>
      </c>
      <c r="B302" s="33">
        <f t="shared" si="28"/>
        <v>46121</v>
      </c>
      <c r="C302" s="33">
        <f t="shared" si="28"/>
        <v>46127</v>
      </c>
      <c r="D302" s="32">
        <v>3281</v>
      </c>
      <c r="E302" s="32">
        <v>337</v>
      </c>
      <c r="F302" s="32">
        <v>4</v>
      </c>
      <c r="G302" s="32">
        <v>5</v>
      </c>
      <c r="H302" s="32">
        <v>81421</v>
      </c>
      <c r="I302" s="32" t="s">
        <v>17</v>
      </c>
      <c r="J302" s="32">
        <v>45511811</v>
      </c>
      <c r="K302" s="32" t="s">
        <v>4265</v>
      </c>
      <c r="L302" s="38" t="s">
        <v>4266</v>
      </c>
      <c r="M302" s="34">
        <v>279900</v>
      </c>
      <c r="N302" s="35">
        <f t="shared" si="26"/>
        <v>0.75</v>
      </c>
      <c r="O302" s="34">
        <f t="shared" si="24"/>
        <v>69975</v>
      </c>
      <c r="P302" s="32" t="s">
        <v>16</v>
      </c>
    </row>
    <row r="303" spans="1:16" x14ac:dyDescent="0.35">
      <c r="A303" s="32" t="str">
        <f t="shared" si="28"/>
        <v>2024 JAN-DEC DISC 75%</v>
      </c>
      <c r="B303" s="33">
        <f t="shared" si="28"/>
        <v>46121</v>
      </c>
      <c r="C303" s="33">
        <f t="shared" si="28"/>
        <v>46127</v>
      </c>
      <c r="D303" s="32">
        <v>3281</v>
      </c>
      <c r="E303" s="32">
        <v>337</v>
      </c>
      <c r="F303" s="32">
        <v>4</v>
      </c>
      <c r="G303" s="32">
        <v>5</v>
      </c>
      <c r="H303" s="32">
        <v>81421</v>
      </c>
      <c r="I303" s="32" t="s">
        <v>17</v>
      </c>
      <c r="J303" s="32">
        <v>45511820</v>
      </c>
      <c r="K303" s="32" t="s">
        <v>4265</v>
      </c>
      <c r="L303" s="38" t="s">
        <v>4267</v>
      </c>
      <c r="M303" s="34">
        <v>279900</v>
      </c>
      <c r="N303" s="35">
        <f t="shared" si="26"/>
        <v>0.75</v>
      </c>
      <c r="O303" s="34">
        <f t="shared" si="24"/>
        <v>69975</v>
      </c>
      <c r="P303" s="32" t="s">
        <v>16</v>
      </c>
    </row>
    <row r="304" spans="1:16" x14ac:dyDescent="0.35">
      <c r="A304" s="32" t="str">
        <f t="shared" si="28"/>
        <v>2024 JAN-DEC DISC 75%</v>
      </c>
      <c r="B304" s="33">
        <f t="shared" si="28"/>
        <v>46121</v>
      </c>
      <c r="C304" s="33">
        <f t="shared" si="28"/>
        <v>46127</v>
      </c>
      <c r="D304" s="32">
        <v>3281</v>
      </c>
      <c r="E304" s="32">
        <v>337</v>
      </c>
      <c r="F304" s="32">
        <v>4</v>
      </c>
      <c r="G304" s="32">
        <v>5</v>
      </c>
      <c r="H304" s="32">
        <v>81421</v>
      </c>
      <c r="I304" s="32" t="s">
        <v>17</v>
      </c>
      <c r="J304" s="32">
        <v>45511839</v>
      </c>
      <c r="K304" s="32" t="s">
        <v>4265</v>
      </c>
      <c r="L304" s="38" t="s">
        <v>4268</v>
      </c>
      <c r="M304" s="34">
        <v>279900</v>
      </c>
      <c r="N304" s="35">
        <f t="shared" si="26"/>
        <v>0.75</v>
      </c>
      <c r="O304" s="34">
        <f t="shared" si="24"/>
        <v>69975</v>
      </c>
      <c r="P304" s="32" t="s">
        <v>16</v>
      </c>
    </row>
    <row r="305" spans="1:16" x14ac:dyDescent="0.35">
      <c r="A305" s="32" t="str">
        <f t="shared" si="28"/>
        <v>2024 JAN-DEC DISC 75%</v>
      </c>
      <c r="B305" s="33">
        <f t="shared" si="28"/>
        <v>46121</v>
      </c>
      <c r="C305" s="33">
        <f t="shared" si="28"/>
        <v>46127</v>
      </c>
      <c r="D305" s="32">
        <v>3281</v>
      </c>
      <c r="E305" s="32">
        <v>337</v>
      </c>
      <c r="F305" s="32">
        <v>4</v>
      </c>
      <c r="G305" s="32">
        <v>5</v>
      </c>
      <c r="H305" s="32">
        <v>81421</v>
      </c>
      <c r="I305" s="32" t="s">
        <v>17</v>
      </c>
      <c r="J305" s="32">
        <v>45511848</v>
      </c>
      <c r="K305" s="32" t="s">
        <v>4265</v>
      </c>
      <c r="L305" s="38" t="s">
        <v>4269</v>
      </c>
      <c r="M305" s="34">
        <v>279900</v>
      </c>
      <c r="N305" s="35">
        <f t="shared" si="26"/>
        <v>0.75</v>
      </c>
      <c r="O305" s="34">
        <f t="shared" si="24"/>
        <v>69975</v>
      </c>
      <c r="P305" s="32" t="s">
        <v>16</v>
      </c>
    </row>
    <row r="306" spans="1:16" x14ac:dyDescent="0.35">
      <c r="A306" s="32" t="str">
        <f t="shared" si="28"/>
        <v>2024 JAN-DEC DISC 75%</v>
      </c>
      <c r="B306" s="33">
        <f t="shared" si="28"/>
        <v>46121</v>
      </c>
      <c r="C306" s="33">
        <f t="shared" si="28"/>
        <v>46127</v>
      </c>
      <c r="D306" s="32">
        <v>3281</v>
      </c>
      <c r="E306" s="32">
        <v>337</v>
      </c>
      <c r="F306" s="32">
        <v>4</v>
      </c>
      <c r="G306" s="32">
        <v>5</v>
      </c>
      <c r="H306" s="32">
        <v>81421</v>
      </c>
      <c r="I306" s="32" t="s">
        <v>17</v>
      </c>
      <c r="J306" s="32">
        <v>45511857</v>
      </c>
      <c r="K306" s="32" t="s">
        <v>4270</v>
      </c>
      <c r="L306" s="38" t="s">
        <v>4271</v>
      </c>
      <c r="M306" s="34">
        <v>279900</v>
      </c>
      <c r="N306" s="35">
        <f t="shared" si="26"/>
        <v>0.75</v>
      </c>
      <c r="O306" s="34">
        <f t="shared" si="24"/>
        <v>69975</v>
      </c>
      <c r="P306" s="32" t="s">
        <v>16</v>
      </c>
    </row>
    <row r="307" spans="1:16" x14ac:dyDescent="0.35">
      <c r="A307" s="32" t="str">
        <f t="shared" si="28"/>
        <v>2024 JAN-DEC DISC 75%</v>
      </c>
      <c r="B307" s="33">
        <f t="shared" si="28"/>
        <v>46121</v>
      </c>
      <c r="C307" s="33">
        <f t="shared" si="28"/>
        <v>46127</v>
      </c>
      <c r="D307" s="32">
        <v>3281</v>
      </c>
      <c r="E307" s="32">
        <v>337</v>
      </c>
      <c r="F307" s="32">
        <v>4</v>
      </c>
      <c r="G307" s="32">
        <v>5</v>
      </c>
      <c r="H307" s="32">
        <v>81421</v>
      </c>
      <c r="I307" s="32" t="s">
        <v>17</v>
      </c>
      <c r="J307" s="32">
        <v>45511866</v>
      </c>
      <c r="K307" s="32" t="s">
        <v>4270</v>
      </c>
      <c r="L307" s="38" t="s">
        <v>4272</v>
      </c>
      <c r="M307" s="34">
        <v>279900</v>
      </c>
      <c r="N307" s="35">
        <f t="shared" si="26"/>
        <v>0.75</v>
      </c>
      <c r="O307" s="34">
        <f t="shared" si="24"/>
        <v>69975</v>
      </c>
      <c r="P307" s="32" t="s">
        <v>16</v>
      </c>
    </row>
    <row r="308" spans="1:16" x14ac:dyDescent="0.35">
      <c r="A308" s="32" t="str">
        <f t="shared" ref="A308:C323" si="29">A307</f>
        <v>2024 JAN-DEC DISC 75%</v>
      </c>
      <c r="B308" s="33">
        <f t="shared" si="29"/>
        <v>46121</v>
      </c>
      <c r="C308" s="33">
        <f t="shared" si="29"/>
        <v>46127</v>
      </c>
      <c r="D308" s="32">
        <v>3281</v>
      </c>
      <c r="E308" s="32">
        <v>337</v>
      </c>
      <c r="F308" s="32">
        <v>4</v>
      </c>
      <c r="G308" s="32">
        <v>5</v>
      </c>
      <c r="H308" s="32">
        <v>81421</v>
      </c>
      <c r="I308" s="32" t="s">
        <v>17</v>
      </c>
      <c r="J308" s="32">
        <v>45511875</v>
      </c>
      <c r="K308" s="32" t="s">
        <v>4270</v>
      </c>
      <c r="L308" s="38" t="s">
        <v>4273</v>
      </c>
      <c r="M308" s="34">
        <v>279900</v>
      </c>
      <c r="N308" s="35">
        <f t="shared" si="26"/>
        <v>0.75</v>
      </c>
      <c r="O308" s="34">
        <f t="shared" si="24"/>
        <v>69975</v>
      </c>
      <c r="P308" s="32" t="s">
        <v>16</v>
      </c>
    </row>
    <row r="309" spans="1:16" x14ac:dyDescent="0.35">
      <c r="A309" s="32" t="str">
        <f t="shared" si="29"/>
        <v>2024 JAN-DEC DISC 75%</v>
      </c>
      <c r="B309" s="33">
        <f t="shared" si="29"/>
        <v>46121</v>
      </c>
      <c r="C309" s="33">
        <f t="shared" si="29"/>
        <v>46127</v>
      </c>
      <c r="D309" s="32">
        <v>3281</v>
      </c>
      <c r="E309" s="32">
        <v>337</v>
      </c>
      <c r="F309" s="32">
        <v>4</v>
      </c>
      <c r="G309" s="32">
        <v>5</v>
      </c>
      <c r="H309" s="32">
        <v>81421</v>
      </c>
      <c r="I309" s="32" t="s">
        <v>17</v>
      </c>
      <c r="J309" s="32">
        <v>45511884</v>
      </c>
      <c r="K309" s="32" t="s">
        <v>4270</v>
      </c>
      <c r="L309" s="38" t="s">
        <v>4274</v>
      </c>
      <c r="M309" s="34">
        <v>279900</v>
      </c>
      <c r="N309" s="35">
        <f t="shared" si="26"/>
        <v>0.75</v>
      </c>
      <c r="O309" s="34">
        <f t="shared" si="24"/>
        <v>69975</v>
      </c>
      <c r="P309" s="32" t="s">
        <v>16</v>
      </c>
    </row>
    <row r="310" spans="1:16" x14ac:dyDescent="0.35">
      <c r="A310" s="32" t="str">
        <f t="shared" si="29"/>
        <v>2024 JAN-DEC DISC 75%</v>
      </c>
      <c r="B310" s="33">
        <f t="shared" si="29"/>
        <v>46121</v>
      </c>
      <c r="C310" s="33">
        <f t="shared" si="29"/>
        <v>46127</v>
      </c>
      <c r="D310" s="32">
        <v>3281</v>
      </c>
      <c r="E310" s="32">
        <v>337</v>
      </c>
      <c r="F310" s="32">
        <v>4</v>
      </c>
      <c r="G310" s="32">
        <v>1</v>
      </c>
      <c r="H310" s="32">
        <v>81146</v>
      </c>
      <c r="I310" s="32" t="s">
        <v>17</v>
      </c>
      <c r="J310" s="32">
        <v>50037333</v>
      </c>
      <c r="K310" s="32" t="s">
        <v>4346</v>
      </c>
      <c r="L310" s="38" t="s">
        <v>4347</v>
      </c>
      <c r="M310" s="34">
        <v>189900</v>
      </c>
      <c r="N310" s="35">
        <f t="shared" si="26"/>
        <v>0.75</v>
      </c>
      <c r="O310" s="34">
        <f t="shared" si="24"/>
        <v>47475</v>
      </c>
      <c r="P310" s="32" t="s">
        <v>16</v>
      </c>
    </row>
    <row r="311" spans="1:16" x14ac:dyDescent="0.35">
      <c r="A311" s="32" t="str">
        <f t="shared" si="29"/>
        <v>2024 JAN-DEC DISC 75%</v>
      </c>
      <c r="B311" s="33">
        <f t="shared" si="29"/>
        <v>46121</v>
      </c>
      <c r="C311" s="33">
        <f t="shared" si="29"/>
        <v>46127</v>
      </c>
      <c r="D311" s="32">
        <v>3281</v>
      </c>
      <c r="E311" s="32">
        <v>337</v>
      </c>
      <c r="F311" s="32">
        <v>4</v>
      </c>
      <c r="G311" s="32">
        <v>1</v>
      </c>
      <c r="H311" s="32">
        <v>81146</v>
      </c>
      <c r="I311" s="32" t="s">
        <v>17</v>
      </c>
      <c r="J311" s="32">
        <v>50037342</v>
      </c>
      <c r="K311" s="32" t="s">
        <v>4346</v>
      </c>
      <c r="L311" s="38" t="s">
        <v>4348</v>
      </c>
      <c r="M311" s="34">
        <v>189900</v>
      </c>
      <c r="N311" s="35">
        <f t="shared" si="26"/>
        <v>0.75</v>
      </c>
      <c r="O311" s="34">
        <f t="shared" si="24"/>
        <v>47475</v>
      </c>
      <c r="P311" s="32" t="s">
        <v>16</v>
      </c>
    </row>
    <row r="312" spans="1:16" x14ac:dyDescent="0.35">
      <c r="A312" s="32" t="str">
        <f t="shared" si="29"/>
        <v>2024 JAN-DEC DISC 75%</v>
      </c>
      <c r="B312" s="33">
        <f t="shared" si="29"/>
        <v>46121</v>
      </c>
      <c r="C312" s="33">
        <f t="shared" si="29"/>
        <v>46127</v>
      </c>
      <c r="D312" s="32">
        <v>3281</v>
      </c>
      <c r="E312" s="32">
        <v>337</v>
      </c>
      <c r="F312" s="32">
        <v>4</v>
      </c>
      <c r="G312" s="32">
        <v>1</v>
      </c>
      <c r="H312" s="32">
        <v>81146</v>
      </c>
      <c r="I312" s="32" t="s">
        <v>17</v>
      </c>
      <c r="J312" s="32">
        <v>50037360</v>
      </c>
      <c r="K312" s="32" t="s">
        <v>4346</v>
      </c>
      <c r="L312" s="38" t="s">
        <v>4349</v>
      </c>
      <c r="M312" s="34">
        <v>189900</v>
      </c>
      <c r="N312" s="35">
        <f t="shared" si="26"/>
        <v>0.75</v>
      </c>
      <c r="O312" s="34">
        <f t="shared" si="24"/>
        <v>47475</v>
      </c>
      <c r="P312" s="32" t="s">
        <v>16</v>
      </c>
    </row>
    <row r="313" spans="1:16" x14ac:dyDescent="0.35">
      <c r="A313" s="32" t="str">
        <f t="shared" si="29"/>
        <v>2024 JAN-DEC DISC 75%</v>
      </c>
      <c r="B313" s="33">
        <f t="shared" si="29"/>
        <v>46121</v>
      </c>
      <c r="C313" s="33">
        <f t="shared" si="29"/>
        <v>46127</v>
      </c>
      <c r="D313" s="32">
        <v>3281</v>
      </c>
      <c r="E313" s="32">
        <v>337</v>
      </c>
      <c r="F313" s="32">
        <v>4</v>
      </c>
      <c r="G313" s="32">
        <v>1</v>
      </c>
      <c r="H313" s="32">
        <v>81146</v>
      </c>
      <c r="I313" s="32" t="s">
        <v>17</v>
      </c>
      <c r="J313" s="32">
        <v>50037351</v>
      </c>
      <c r="K313" s="32" t="s">
        <v>4346</v>
      </c>
      <c r="L313" s="38" t="s">
        <v>4350</v>
      </c>
      <c r="M313" s="34">
        <v>189900</v>
      </c>
      <c r="N313" s="35">
        <f t="shared" si="26"/>
        <v>0.75</v>
      </c>
      <c r="O313" s="34">
        <f t="shared" si="24"/>
        <v>47475</v>
      </c>
      <c r="P313" s="32" t="s">
        <v>16</v>
      </c>
    </row>
    <row r="314" spans="1:16" x14ac:dyDescent="0.35">
      <c r="A314" s="32" t="str">
        <f t="shared" si="29"/>
        <v>2024 JAN-DEC DISC 75%</v>
      </c>
      <c r="B314" s="33">
        <f t="shared" si="29"/>
        <v>46121</v>
      </c>
      <c r="C314" s="33">
        <f t="shared" si="29"/>
        <v>46127</v>
      </c>
      <c r="D314" s="32">
        <v>3281</v>
      </c>
      <c r="E314" s="32">
        <v>337</v>
      </c>
      <c r="F314" s="32">
        <v>4</v>
      </c>
      <c r="G314" s="32">
        <v>3</v>
      </c>
      <c r="H314" s="32">
        <v>81146</v>
      </c>
      <c r="I314" s="32" t="s">
        <v>17</v>
      </c>
      <c r="J314" s="32">
        <v>50037379</v>
      </c>
      <c r="K314" s="32" t="s">
        <v>4351</v>
      </c>
      <c r="L314" s="38" t="s">
        <v>4352</v>
      </c>
      <c r="M314" s="34">
        <v>299900</v>
      </c>
      <c r="N314" s="35">
        <f t="shared" si="26"/>
        <v>0.75</v>
      </c>
      <c r="O314" s="34">
        <f t="shared" si="24"/>
        <v>74975</v>
      </c>
      <c r="P314" s="32" t="s">
        <v>16</v>
      </c>
    </row>
    <row r="315" spans="1:16" x14ac:dyDescent="0.35">
      <c r="A315" s="32" t="str">
        <f t="shared" si="29"/>
        <v>2024 JAN-DEC DISC 75%</v>
      </c>
      <c r="B315" s="33">
        <f t="shared" si="29"/>
        <v>46121</v>
      </c>
      <c r="C315" s="33">
        <f t="shared" si="29"/>
        <v>46127</v>
      </c>
      <c r="D315" s="32">
        <v>3281</v>
      </c>
      <c r="E315" s="32">
        <v>337</v>
      </c>
      <c r="F315" s="32">
        <v>4</v>
      </c>
      <c r="G315" s="32">
        <v>3</v>
      </c>
      <c r="H315" s="32">
        <v>81146</v>
      </c>
      <c r="I315" s="32" t="s">
        <v>17</v>
      </c>
      <c r="J315" s="32">
        <v>50037397</v>
      </c>
      <c r="K315" s="32" t="s">
        <v>4351</v>
      </c>
      <c r="L315" s="38" t="s">
        <v>4353</v>
      </c>
      <c r="M315" s="34">
        <v>299900</v>
      </c>
      <c r="N315" s="35">
        <f t="shared" si="26"/>
        <v>0.75</v>
      </c>
      <c r="O315" s="34">
        <f t="shared" si="24"/>
        <v>74975</v>
      </c>
      <c r="P315" s="32" t="s">
        <v>16</v>
      </c>
    </row>
    <row r="316" spans="1:16" x14ac:dyDescent="0.35">
      <c r="A316" s="32" t="str">
        <f t="shared" si="29"/>
        <v>2024 JAN-DEC DISC 75%</v>
      </c>
      <c r="B316" s="33">
        <f t="shared" si="29"/>
        <v>46121</v>
      </c>
      <c r="C316" s="33">
        <f t="shared" si="29"/>
        <v>46127</v>
      </c>
      <c r="D316" s="32">
        <v>3281</v>
      </c>
      <c r="E316" s="32">
        <v>337</v>
      </c>
      <c r="F316" s="32">
        <v>4</v>
      </c>
      <c r="G316" s="32">
        <v>3</v>
      </c>
      <c r="H316" s="32">
        <v>81146</v>
      </c>
      <c r="I316" s="32" t="s">
        <v>17</v>
      </c>
      <c r="J316" s="32">
        <v>50037404</v>
      </c>
      <c r="K316" s="32" t="s">
        <v>4351</v>
      </c>
      <c r="L316" s="38" t="s">
        <v>4354</v>
      </c>
      <c r="M316" s="34">
        <v>299900</v>
      </c>
      <c r="N316" s="35">
        <f t="shared" si="26"/>
        <v>0.75</v>
      </c>
      <c r="O316" s="34">
        <f t="shared" si="24"/>
        <v>74975</v>
      </c>
      <c r="P316" s="32" t="s">
        <v>16</v>
      </c>
    </row>
    <row r="317" spans="1:16" x14ac:dyDescent="0.35">
      <c r="A317" s="32" t="str">
        <f t="shared" si="29"/>
        <v>2024 JAN-DEC DISC 75%</v>
      </c>
      <c r="B317" s="33">
        <f t="shared" si="29"/>
        <v>46121</v>
      </c>
      <c r="C317" s="33">
        <f t="shared" si="29"/>
        <v>46127</v>
      </c>
      <c r="D317" s="32">
        <v>3281</v>
      </c>
      <c r="E317" s="32">
        <v>337</v>
      </c>
      <c r="F317" s="32">
        <v>4</v>
      </c>
      <c r="G317" s="32">
        <v>3</v>
      </c>
      <c r="H317" s="32">
        <v>81146</v>
      </c>
      <c r="I317" s="32" t="s">
        <v>17</v>
      </c>
      <c r="J317" s="32">
        <v>50037388</v>
      </c>
      <c r="K317" s="32" t="s">
        <v>4351</v>
      </c>
      <c r="L317" s="38" t="s">
        <v>4355</v>
      </c>
      <c r="M317" s="34">
        <v>299900</v>
      </c>
      <c r="N317" s="35">
        <f t="shared" si="26"/>
        <v>0.75</v>
      </c>
      <c r="O317" s="34">
        <f t="shared" si="24"/>
        <v>74975</v>
      </c>
      <c r="P317" s="32" t="s">
        <v>16</v>
      </c>
    </row>
    <row r="318" spans="1:16" x14ac:dyDescent="0.35">
      <c r="A318" s="32" t="str">
        <f t="shared" si="29"/>
        <v>2024 JAN-DEC DISC 75%</v>
      </c>
      <c r="B318" s="33">
        <f t="shared" si="29"/>
        <v>46121</v>
      </c>
      <c r="C318" s="33">
        <f t="shared" si="29"/>
        <v>46127</v>
      </c>
      <c r="D318" s="32">
        <v>3281</v>
      </c>
      <c r="E318" s="32">
        <v>337</v>
      </c>
      <c r="F318" s="32">
        <v>4</v>
      </c>
      <c r="G318" s="32">
        <v>5</v>
      </c>
      <c r="H318" s="32">
        <v>81506</v>
      </c>
      <c r="I318" s="32" t="s">
        <v>17</v>
      </c>
      <c r="J318" s="32">
        <v>50037502</v>
      </c>
      <c r="K318" s="32" t="s">
        <v>4356</v>
      </c>
      <c r="L318" s="38" t="s">
        <v>4357</v>
      </c>
      <c r="M318" s="34">
        <v>259900</v>
      </c>
      <c r="N318" s="35">
        <f t="shared" si="26"/>
        <v>0.75</v>
      </c>
      <c r="O318" s="34">
        <f t="shared" si="24"/>
        <v>64975</v>
      </c>
      <c r="P318" s="32" t="s">
        <v>16</v>
      </c>
    </row>
    <row r="319" spans="1:16" x14ac:dyDescent="0.35">
      <c r="A319" s="32" t="str">
        <f t="shared" si="29"/>
        <v>2024 JAN-DEC DISC 75%</v>
      </c>
      <c r="B319" s="33">
        <f t="shared" si="29"/>
        <v>46121</v>
      </c>
      <c r="C319" s="33">
        <f t="shared" si="29"/>
        <v>46127</v>
      </c>
      <c r="D319" s="32">
        <v>3281</v>
      </c>
      <c r="E319" s="32">
        <v>337</v>
      </c>
      <c r="F319" s="32">
        <v>4</v>
      </c>
      <c r="G319" s="32">
        <v>5</v>
      </c>
      <c r="H319" s="32">
        <v>81506</v>
      </c>
      <c r="I319" s="32" t="s">
        <v>17</v>
      </c>
      <c r="J319" s="32">
        <v>50037495</v>
      </c>
      <c r="K319" s="32" t="s">
        <v>4356</v>
      </c>
      <c r="L319" s="38" t="s">
        <v>4358</v>
      </c>
      <c r="M319" s="34">
        <v>259900</v>
      </c>
      <c r="N319" s="35">
        <f t="shared" si="26"/>
        <v>0.75</v>
      </c>
      <c r="O319" s="34">
        <f t="shared" si="24"/>
        <v>64975</v>
      </c>
      <c r="P319" s="32" t="s">
        <v>16</v>
      </c>
    </row>
    <row r="320" spans="1:16" x14ac:dyDescent="0.35">
      <c r="A320" s="32" t="str">
        <f t="shared" si="29"/>
        <v>2024 JAN-DEC DISC 75%</v>
      </c>
      <c r="B320" s="33">
        <f t="shared" si="29"/>
        <v>46121</v>
      </c>
      <c r="C320" s="33">
        <f t="shared" si="29"/>
        <v>46127</v>
      </c>
      <c r="D320" s="32">
        <v>3281</v>
      </c>
      <c r="E320" s="32">
        <v>337</v>
      </c>
      <c r="F320" s="32">
        <v>4</v>
      </c>
      <c r="G320" s="32">
        <v>5</v>
      </c>
      <c r="H320" s="32">
        <v>81506</v>
      </c>
      <c r="I320" s="32" t="s">
        <v>17</v>
      </c>
      <c r="J320" s="32">
        <v>50037511</v>
      </c>
      <c r="K320" s="32" t="s">
        <v>4356</v>
      </c>
      <c r="L320" s="38" t="s">
        <v>4359</v>
      </c>
      <c r="M320" s="34">
        <v>259900</v>
      </c>
      <c r="N320" s="35">
        <f t="shared" si="26"/>
        <v>0.75</v>
      </c>
      <c r="O320" s="34">
        <f t="shared" si="24"/>
        <v>64975</v>
      </c>
      <c r="P320" s="32" t="s">
        <v>16</v>
      </c>
    </row>
    <row r="321" spans="1:16" x14ac:dyDescent="0.35">
      <c r="A321" s="32" t="str">
        <f t="shared" si="29"/>
        <v>2024 JAN-DEC DISC 75%</v>
      </c>
      <c r="B321" s="33">
        <f t="shared" si="29"/>
        <v>46121</v>
      </c>
      <c r="C321" s="33">
        <f t="shared" si="29"/>
        <v>46127</v>
      </c>
      <c r="D321" s="32">
        <v>3281</v>
      </c>
      <c r="E321" s="32">
        <v>337</v>
      </c>
      <c r="F321" s="32">
        <v>4</v>
      </c>
      <c r="G321" s="32">
        <v>5</v>
      </c>
      <c r="H321" s="32">
        <v>81506</v>
      </c>
      <c r="I321" s="32" t="s">
        <v>17</v>
      </c>
      <c r="J321" s="32">
        <v>50037520</v>
      </c>
      <c r="K321" s="32" t="s">
        <v>4356</v>
      </c>
      <c r="L321" s="38" t="s">
        <v>4360</v>
      </c>
      <c r="M321" s="34">
        <v>259900</v>
      </c>
      <c r="N321" s="35">
        <f t="shared" si="26"/>
        <v>0.75</v>
      </c>
      <c r="O321" s="34">
        <f t="shared" si="24"/>
        <v>64975</v>
      </c>
      <c r="P321" s="32" t="s">
        <v>16</v>
      </c>
    </row>
    <row r="322" spans="1:16" x14ac:dyDescent="0.35">
      <c r="A322" s="32" t="str">
        <f t="shared" si="29"/>
        <v>2024 JAN-DEC DISC 75%</v>
      </c>
      <c r="B322" s="33">
        <f t="shared" si="29"/>
        <v>46121</v>
      </c>
      <c r="C322" s="33">
        <f t="shared" si="29"/>
        <v>46127</v>
      </c>
      <c r="D322" s="32">
        <v>3281</v>
      </c>
      <c r="E322" s="32">
        <v>337</v>
      </c>
      <c r="F322" s="32">
        <v>4</v>
      </c>
      <c r="G322" s="32">
        <v>5</v>
      </c>
      <c r="H322" s="32">
        <v>81506</v>
      </c>
      <c r="I322" s="32" t="s">
        <v>17</v>
      </c>
      <c r="J322" s="32">
        <v>22444455</v>
      </c>
      <c r="K322" s="32" t="s">
        <v>4361</v>
      </c>
      <c r="L322" s="38" t="s">
        <v>4362</v>
      </c>
      <c r="M322" s="34">
        <v>259900</v>
      </c>
      <c r="N322" s="35">
        <f t="shared" si="26"/>
        <v>0.75</v>
      </c>
      <c r="O322" s="34">
        <f t="shared" si="24"/>
        <v>64975</v>
      </c>
      <c r="P322" s="32" t="s">
        <v>16</v>
      </c>
    </row>
    <row r="323" spans="1:16" x14ac:dyDescent="0.35">
      <c r="A323" s="32" t="str">
        <f t="shared" si="29"/>
        <v>2024 JAN-DEC DISC 75%</v>
      </c>
      <c r="B323" s="33">
        <f t="shared" si="29"/>
        <v>46121</v>
      </c>
      <c r="C323" s="33">
        <f t="shared" si="29"/>
        <v>46127</v>
      </c>
      <c r="D323" s="32">
        <v>3281</v>
      </c>
      <c r="E323" s="32">
        <v>337</v>
      </c>
      <c r="F323" s="32">
        <v>4</v>
      </c>
      <c r="G323" s="32">
        <v>5</v>
      </c>
      <c r="H323" s="32">
        <v>81506</v>
      </c>
      <c r="I323" s="32" t="s">
        <v>17</v>
      </c>
      <c r="J323" s="32">
        <v>22444473</v>
      </c>
      <c r="K323" s="32" t="s">
        <v>4361</v>
      </c>
      <c r="L323" s="38" t="s">
        <v>4363</v>
      </c>
      <c r="M323" s="34">
        <v>259900</v>
      </c>
      <c r="N323" s="35">
        <f t="shared" si="26"/>
        <v>0.75</v>
      </c>
      <c r="O323" s="34">
        <f t="shared" ref="O323:O329" si="30">M323-((75*M323))/100</f>
        <v>64975</v>
      </c>
      <c r="P323" s="32" t="s">
        <v>16</v>
      </c>
    </row>
    <row r="324" spans="1:16" x14ac:dyDescent="0.35">
      <c r="A324" s="32" t="str">
        <f t="shared" ref="A324:C329" si="31">A323</f>
        <v>2024 JAN-DEC DISC 75%</v>
      </c>
      <c r="B324" s="33">
        <f t="shared" si="31"/>
        <v>46121</v>
      </c>
      <c r="C324" s="33">
        <f t="shared" si="31"/>
        <v>46127</v>
      </c>
      <c r="D324" s="32">
        <v>3281</v>
      </c>
      <c r="E324" s="32">
        <v>337</v>
      </c>
      <c r="F324" s="32">
        <v>4</v>
      </c>
      <c r="G324" s="32">
        <v>5</v>
      </c>
      <c r="H324" s="32">
        <v>81506</v>
      </c>
      <c r="I324" s="32" t="s">
        <v>17</v>
      </c>
      <c r="J324" s="32">
        <v>22444482</v>
      </c>
      <c r="K324" s="32" t="s">
        <v>4361</v>
      </c>
      <c r="L324" s="38" t="s">
        <v>4364</v>
      </c>
      <c r="M324" s="34">
        <v>259900</v>
      </c>
      <c r="N324" s="35">
        <f t="shared" ref="N324:N329" si="32">N323</f>
        <v>0.75</v>
      </c>
      <c r="O324" s="34">
        <f t="shared" si="30"/>
        <v>64975</v>
      </c>
      <c r="P324" s="32" t="s">
        <v>16</v>
      </c>
    </row>
    <row r="325" spans="1:16" x14ac:dyDescent="0.35">
      <c r="A325" s="32" t="str">
        <f t="shared" si="31"/>
        <v>2024 JAN-DEC DISC 75%</v>
      </c>
      <c r="B325" s="33">
        <f t="shared" si="31"/>
        <v>46121</v>
      </c>
      <c r="C325" s="33">
        <f t="shared" si="31"/>
        <v>46127</v>
      </c>
      <c r="D325" s="32">
        <v>3281</v>
      </c>
      <c r="E325" s="32">
        <v>337</v>
      </c>
      <c r="F325" s="32">
        <v>4</v>
      </c>
      <c r="G325" s="32">
        <v>5</v>
      </c>
      <c r="H325" s="32">
        <v>81506</v>
      </c>
      <c r="I325" s="32" t="s">
        <v>17</v>
      </c>
      <c r="J325" s="32">
        <v>22444464</v>
      </c>
      <c r="K325" s="32" t="s">
        <v>4361</v>
      </c>
      <c r="L325" s="38" t="s">
        <v>4365</v>
      </c>
      <c r="M325" s="34">
        <v>259900</v>
      </c>
      <c r="N325" s="35">
        <f t="shared" si="32"/>
        <v>0.75</v>
      </c>
      <c r="O325" s="34">
        <f t="shared" si="30"/>
        <v>64975</v>
      </c>
      <c r="P325" s="32" t="s">
        <v>16</v>
      </c>
    </row>
    <row r="326" spans="1:16" x14ac:dyDescent="0.35">
      <c r="A326" s="32" t="str">
        <f t="shared" si="31"/>
        <v>2024 JAN-DEC DISC 75%</v>
      </c>
      <c r="B326" s="33">
        <f t="shared" si="31"/>
        <v>46121</v>
      </c>
      <c r="C326" s="33">
        <f t="shared" si="31"/>
        <v>46127</v>
      </c>
      <c r="D326" s="32">
        <v>3281</v>
      </c>
      <c r="E326" s="32">
        <v>337</v>
      </c>
      <c r="F326" s="32">
        <v>4</v>
      </c>
      <c r="G326" s="32">
        <v>5</v>
      </c>
      <c r="H326" s="32">
        <v>81146</v>
      </c>
      <c r="I326" s="32" t="s">
        <v>17</v>
      </c>
      <c r="J326" s="32">
        <v>50130535</v>
      </c>
      <c r="K326" s="32" t="s">
        <v>4366</v>
      </c>
      <c r="L326" s="38" t="s">
        <v>4367</v>
      </c>
      <c r="M326" s="34">
        <v>299900</v>
      </c>
      <c r="N326" s="35">
        <f t="shared" si="32"/>
        <v>0.75</v>
      </c>
      <c r="O326" s="34">
        <f t="shared" si="30"/>
        <v>74975</v>
      </c>
      <c r="P326" s="32" t="s">
        <v>16</v>
      </c>
    </row>
    <row r="327" spans="1:16" x14ac:dyDescent="0.35">
      <c r="A327" s="32" t="str">
        <f t="shared" si="31"/>
        <v>2024 JAN-DEC DISC 75%</v>
      </c>
      <c r="B327" s="33">
        <f t="shared" si="31"/>
        <v>46121</v>
      </c>
      <c r="C327" s="33">
        <f t="shared" si="31"/>
        <v>46127</v>
      </c>
      <c r="D327" s="32">
        <v>3281</v>
      </c>
      <c r="E327" s="32">
        <v>337</v>
      </c>
      <c r="F327" s="32">
        <v>4</v>
      </c>
      <c r="G327" s="32">
        <v>5</v>
      </c>
      <c r="H327" s="32">
        <v>81146</v>
      </c>
      <c r="I327" s="32" t="s">
        <v>17</v>
      </c>
      <c r="J327" s="32">
        <v>50130526</v>
      </c>
      <c r="K327" s="32" t="s">
        <v>4366</v>
      </c>
      <c r="L327" s="38" t="s">
        <v>4368</v>
      </c>
      <c r="M327" s="34">
        <v>299900</v>
      </c>
      <c r="N327" s="35">
        <f t="shared" si="32"/>
        <v>0.75</v>
      </c>
      <c r="O327" s="34">
        <f t="shared" si="30"/>
        <v>74975</v>
      </c>
      <c r="P327" s="32" t="s">
        <v>16</v>
      </c>
    </row>
    <row r="328" spans="1:16" x14ac:dyDescent="0.35">
      <c r="A328" s="32" t="str">
        <f t="shared" si="31"/>
        <v>2024 JAN-DEC DISC 75%</v>
      </c>
      <c r="B328" s="33">
        <f t="shared" si="31"/>
        <v>46121</v>
      </c>
      <c r="C328" s="33">
        <f t="shared" si="31"/>
        <v>46127</v>
      </c>
      <c r="D328" s="32">
        <v>3281</v>
      </c>
      <c r="E328" s="32">
        <v>337</v>
      </c>
      <c r="F328" s="32">
        <v>4</v>
      </c>
      <c r="G328" s="32">
        <v>5</v>
      </c>
      <c r="H328" s="32">
        <v>81146</v>
      </c>
      <c r="I328" s="32" t="s">
        <v>17</v>
      </c>
      <c r="J328" s="32">
        <v>50130517</v>
      </c>
      <c r="K328" s="32" t="s">
        <v>4366</v>
      </c>
      <c r="L328" s="38" t="s">
        <v>4369</v>
      </c>
      <c r="M328" s="34">
        <v>299900</v>
      </c>
      <c r="N328" s="35">
        <f t="shared" si="32"/>
        <v>0.75</v>
      </c>
      <c r="O328" s="34">
        <f t="shared" si="30"/>
        <v>74975</v>
      </c>
      <c r="P328" s="32" t="s">
        <v>16</v>
      </c>
    </row>
    <row r="329" spans="1:16" x14ac:dyDescent="0.35">
      <c r="A329" s="32" t="str">
        <f t="shared" si="31"/>
        <v>2024 JAN-DEC DISC 75%</v>
      </c>
      <c r="B329" s="33">
        <f t="shared" si="31"/>
        <v>46121</v>
      </c>
      <c r="C329" s="33">
        <f t="shared" si="31"/>
        <v>46127</v>
      </c>
      <c r="D329" s="32">
        <v>3281</v>
      </c>
      <c r="E329" s="32">
        <v>337</v>
      </c>
      <c r="F329" s="32">
        <v>4</v>
      </c>
      <c r="G329" s="32">
        <v>5</v>
      </c>
      <c r="H329" s="32">
        <v>81146</v>
      </c>
      <c r="I329" s="32" t="s">
        <v>17</v>
      </c>
      <c r="J329" s="32">
        <v>50130544</v>
      </c>
      <c r="K329" s="32" t="s">
        <v>4366</v>
      </c>
      <c r="L329" s="38" t="s">
        <v>4370</v>
      </c>
      <c r="M329" s="34">
        <v>299900</v>
      </c>
      <c r="N329" s="35">
        <f t="shared" si="32"/>
        <v>0.75</v>
      </c>
      <c r="O329" s="34">
        <f t="shared" si="30"/>
        <v>74975</v>
      </c>
      <c r="P329" s="32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3000-E397-4671-8FF3-19206E52ADEC}">
  <dimension ref="A1:P228"/>
  <sheetViews>
    <sheetView zoomScale="64" zoomScaleNormal="100" workbookViewId="0">
      <pane ySplit="1" topLeftCell="A41" activePane="bottomLeft" state="frozen"/>
      <selection activeCell="B2" sqref="B2"/>
      <selection pane="bottomLeft" activeCell="F11" sqref="F11"/>
    </sheetView>
  </sheetViews>
  <sheetFormatPr defaultColWidth="8.6328125" defaultRowHeight="14.5" x14ac:dyDescent="0.35"/>
  <cols>
    <col min="1" max="1" width="23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4.36328125" style="2" customWidth="1"/>
    <col min="13" max="13" width="17.453125" style="4" customWidth="1"/>
    <col min="14" max="14" width="19.36328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6424</v>
      </c>
      <c r="B2" s="7">
        <f>'2025 HILITE D80 - 3321'!B2</f>
        <v>46121</v>
      </c>
      <c r="C2" s="7">
        <f>'2025 HILITE D80 - 3321'!C2</f>
        <v>46127</v>
      </c>
      <c r="D2" s="6">
        <v>3281</v>
      </c>
      <c r="E2" s="6">
        <v>337</v>
      </c>
      <c r="F2" s="6">
        <v>4</v>
      </c>
      <c r="G2" s="23">
        <v>1</v>
      </c>
      <c r="H2" s="23">
        <v>80994</v>
      </c>
      <c r="I2" s="6" t="s">
        <v>17</v>
      </c>
      <c r="J2" s="45">
        <v>83381177</v>
      </c>
      <c r="K2" s="45" t="s">
        <v>2708</v>
      </c>
      <c r="L2" s="45" t="s">
        <v>2711</v>
      </c>
      <c r="M2" s="46">
        <v>189900</v>
      </c>
      <c r="N2" s="9">
        <v>0.9</v>
      </c>
      <c r="O2" s="8">
        <f>M2-((90*M2)/100)</f>
        <v>18990</v>
      </c>
      <c r="P2" s="6" t="s">
        <v>16</v>
      </c>
    </row>
    <row r="3" spans="1:16" x14ac:dyDescent="0.35">
      <c r="A3" s="32" t="s">
        <v>6424</v>
      </c>
      <c r="B3" s="7">
        <f>B2</f>
        <v>46121</v>
      </c>
      <c r="C3" s="7">
        <f>C2</f>
        <v>46127</v>
      </c>
      <c r="D3" s="6">
        <v>3281</v>
      </c>
      <c r="E3" s="6">
        <v>337</v>
      </c>
      <c r="F3" s="6">
        <v>4</v>
      </c>
      <c r="G3" s="23">
        <v>1</v>
      </c>
      <c r="H3" s="23">
        <v>80994</v>
      </c>
      <c r="I3" s="6" t="s">
        <v>17</v>
      </c>
      <c r="J3" s="45">
        <v>83381186</v>
      </c>
      <c r="K3" s="45" t="s">
        <v>2708</v>
      </c>
      <c r="L3" s="45" t="s">
        <v>2710</v>
      </c>
      <c r="M3" s="46">
        <v>189900</v>
      </c>
      <c r="N3" s="35">
        <v>0.9</v>
      </c>
      <c r="O3" s="34">
        <f>M3-((90*M3)/100)</f>
        <v>18990</v>
      </c>
      <c r="P3" s="6" t="s">
        <v>16</v>
      </c>
    </row>
    <row r="4" spans="1:16" x14ac:dyDescent="0.35">
      <c r="A4" s="32" t="s">
        <v>6424</v>
      </c>
      <c r="B4" s="7">
        <f t="shared" ref="B4:B67" si="0">B3</f>
        <v>46121</v>
      </c>
      <c r="C4" s="7">
        <f t="shared" ref="C4:C67" si="1">C3</f>
        <v>46127</v>
      </c>
      <c r="D4" s="6">
        <v>3281</v>
      </c>
      <c r="E4" s="6">
        <v>337</v>
      </c>
      <c r="F4" s="6">
        <v>4</v>
      </c>
      <c r="G4" s="23">
        <v>1</v>
      </c>
      <c r="H4" s="23">
        <v>80994</v>
      </c>
      <c r="I4" s="6" t="s">
        <v>17</v>
      </c>
      <c r="J4" s="45">
        <v>83381195</v>
      </c>
      <c r="K4" s="45" t="s">
        <v>2708</v>
      </c>
      <c r="L4" s="45" t="s">
        <v>2709</v>
      </c>
      <c r="M4" s="46">
        <v>189900</v>
      </c>
      <c r="N4" s="35">
        <v>0.9</v>
      </c>
      <c r="O4" s="34">
        <f t="shared" ref="O4:O67" si="2">M4-((90*M4)/100)</f>
        <v>18990</v>
      </c>
      <c r="P4" s="6" t="s">
        <v>16</v>
      </c>
    </row>
    <row r="5" spans="1:16" x14ac:dyDescent="0.35">
      <c r="A5" s="32" t="s">
        <v>6424</v>
      </c>
      <c r="B5" s="7">
        <f t="shared" si="0"/>
        <v>46121</v>
      </c>
      <c r="C5" s="7">
        <f t="shared" si="1"/>
        <v>46127</v>
      </c>
      <c r="D5" s="6">
        <v>3281</v>
      </c>
      <c r="E5" s="6">
        <v>337</v>
      </c>
      <c r="F5" s="6">
        <v>4</v>
      </c>
      <c r="G5" s="23">
        <v>1</v>
      </c>
      <c r="H5" s="23">
        <v>80994</v>
      </c>
      <c r="I5" s="6" t="s">
        <v>17</v>
      </c>
      <c r="J5" s="45">
        <v>83381202</v>
      </c>
      <c r="K5" s="45" t="s">
        <v>2708</v>
      </c>
      <c r="L5" s="45" t="s">
        <v>2707</v>
      </c>
      <c r="M5" s="46">
        <v>189900</v>
      </c>
      <c r="N5" s="35">
        <v>0.9</v>
      </c>
      <c r="O5" s="34">
        <f t="shared" si="2"/>
        <v>18990</v>
      </c>
      <c r="P5" s="6" t="s">
        <v>16</v>
      </c>
    </row>
    <row r="6" spans="1:16" x14ac:dyDescent="0.35">
      <c r="A6" s="32" t="s">
        <v>6424</v>
      </c>
      <c r="B6" s="7">
        <f t="shared" si="0"/>
        <v>46121</v>
      </c>
      <c r="C6" s="7">
        <f t="shared" si="1"/>
        <v>46127</v>
      </c>
      <c r="D6" s="6">
        <v>3281</v>
      </c>
      <c r="E6" s="6">
        <v>337</v>
      </c>
      <c r="F6" s="6">
        <v>4</v>
      </c>
      <c r="G6" s="23">
        <v>1</v>
      </c>
      <c r="H6" s="23">
        <v>80994</v>
      </c>
      <c r="I6" s="6" t="s">
        <v>17</v>
      </c>
      <c r="J6" s="45">
        <v>83381220</v>
      </c>
      <c r="K6" s="45" t="s">
        <v>2704</v>
      </c>
      <c r="L6" s="45" t="s">
        <v>2706</v>
      </c>
      <c r="M6" s="46">
        <v>189900</v>
      </c>
      <c r="N6" s="35">
        <v>0.9</v>
      </c>
      <c r="O6" s="34">
        <f t="shared" si="2"/>
        <v>18990</v>
      </c>
      <c r="P6" s="6" t="s">
        <v>16</v>
      </c>
    </row>
    <row r="7" spans="1:16" x14ac:dyDescent="0.35">
      <c r="A7" s="32" t="s">
        <v>6424</v>
      </c>
      <c r="B7" s="7">
        <f t="shared" si="0"/>
        <v>46121</v>
      </c>
      <c r="C7" s="7">
        <f t="shared" si="1"/>
        <v>46127</v>
      </c>
      <c r="D7" s="6">
        <v>3281</v>
      </c>
      <c r="E7" s="6">
        <v>337</v>
      </c>
      <c r="F7" s="6">
        <v>4</v>
      </c>
      <c r="G7" s="23">
        <v>1</v>
      </c>
      <c r="H7" s="23">
        <v>80994</v>
      </c>
      <c r="I7" s="6" t="s">
        <v>17</v>
      </c>
      <c r="J7" s="45">
        <v>83381239</v>
      </c>
      <c r="K7" s="45" t="s">
        <v>2704</v>
      </c>
      <c r="L7" s="45" t="s">
        <v>2705</v>
      </c>
      <c r="M7" s="46">
        <v>189900</v>
      </c>
      <c r="N7" s="35">
        <v>0.9</v>
      </c>
      <c r="O7" s="34">
        <f t="shared" si="2"/>
        <v>18990</v>
      </c>
      <c r="P7" s="6" t="s">
        <v>16</v>
      </c>
    </row>
    <row r="8" spans="1:16" x14ac:dyDescent="0.35">
      <c r="A8" s="32" t="s">
        <v>6424</v>
      </c>
      <c r="B8" s="7">
        <f t="shared" si="0"/>
        <v>46121</v>
      </c>
      <c r="C8" s="7">
        <f t="shared" si="1"/>
        <v>46127</v>
      </c>
      <c r="D8" s="6">
        <v>3281</v>
      </c>
      <c r="E8" s="6">
        <v>337</v>
      </c>
      <c r="F8" s="6">
        <v>4</v>
      </c>
      <c r="G8" s="23">
        <v>1</v>
      </c>
      <c r="H8" s="23">
        <v>80994</v>
      </c>
      <c r="I8" s="6" t="s">
        <v>17</v>
      </c>
      <c r="J8" s="45">
        <v>83381248</v>
      </c>
      <c r="K8" s="45" t="s">
        <v>2704</v>
      </c>
      <c r="L8" s="45" t="s">
        <v>2703</v>
      </c>
      <c r="M8" s="46">
        <v>189900</v>
      </c>
      <c r="N8" s="35">
        <v>0.9</v>
      </c>
      <c r="O8" s="34">
        <f t="shared" si="2"/>
        <v>18990</v>
      </c>
      <c r="P8" s="6" t="s">
        <v>16</v>
      </c>
    </row>
    <row r="9" spans="1:16" x14ac:dyDescent="0.35">
      <c r="A9" s="32" t="s">
        <v>6424</v>
      </c>
      <c r="B9" s="7">
        <f t="shared" si="0"/>
        <v>46121</v>
      </c>
      <c r="C9" s="7">
        <f t="shared" si="1"/>
        <v>46127</v>
      </c>
      <c r="D9" s="6">
        <v>3281</v>
      </c>
      <c r="E9" s="6">
        <v>337</v>
      </c>
      <c r="F9" s="6">
        <v>4</v>
      </c>
      <c r="G9" s="23">
        <v>1</v>
      </c>
      <c r="H9" s="23">
        <v>850</v>
      </c>
      <c r="I9" s="6" t="s">
        <v>17</v>
      </c>
      <c r="J9" s="45">
        <v>83381373</v>
      </c>
      <c r="K9" s="45" t="s">
        <v>4826</v>
      </c>
      <c r="L9" s="45" t="s">
        <v>4827</v>
      </c>
      <c r="M9" s="46">
        <v>129900</v>
      </c>
      <c r="N9" s="35">
        <v>0.9</v>
      </c>
      <c r="O9" s="34">
        <f t="shared" si="2"/>
        <v>12990</v>
      </c>
      <c r="P9" s="6" t="s">
        <v>16</v>
      </c>
    </row>
    <row r="10" spans="1:16" x14ac:dyDescent="0.35">
      <c r="A10" s="32" t="s">
        <v>6424</v>
      </c>
      <c r="B10" s="7">
        <f t="shared" si="0"/>
        <v>46121</v>
      </c>
      <c r="C10" s="7">
        <f t="shared" si="1"/>
        <v>46127</v>
      </c>
      <c r="D10" s="6">
        <v>3281</v>
      </c>
      <c r="E10" s="6">
        <v>337</v>
      </c>
      <c r="F10" s="6">
        <v>4</v>
      </c>
      <c r="G10" s="23">
        <v>1</v>
      </c>
      <c r="H10" s="23">
        <v>850</v>
      </c>
      <c r="I10" s="6" t="s">
        <v>17</v>
      </c>
      <c r="J10" s="45">
        <v>83381408</v>
      </c>
      <c r="K10" s="45" t="s">
        <v>4826</v>
      </c>
      <c r="L10" s="45" t="s">
        <v>4828</v>
      </c>
      <c r="M10" s="46">
        <v>129900</v>
      </c>
      <c r="N10" s="35">
        <v>0.9</v>
      </c>
      <c r="O10" s="34">
        <f t="shared" si="2"/>
        <v>12990</v>
      </c>
      <c r="P10" s="6" t="s">
        <v>16</v>
      </c>
    </row>
    <row r="11" spans="1:16" x14ac:dyDescent="0.35">
      <c r="A11" s="32" t="s">
        <v>6424</v>
      </c>
      <c r="B11" s="7">
        <f t="shared" si="0"/>
        <v>46121</v>
      </c>
      <c r="C11" s="7">
        <f t="shared" si="1"/>
        <v>46127</v>
      </c>
      <c r="D11" s="6">
        <v>3281</v>
      </c>
      <c r="E11" s="6">
        <v>337</v>
      </c>
      <c r="F11" s="6">
        <v>4</v>
      </c>
      <c r="G11" s="23">
        <v>1</v>
      </c>
      <c r="H11" s="23">
        <v>850</v>
      </c>
      <c r="I11" s="6" t="s">
        <v>17</v>
      </c>
      <c r="J11" s="45">
        <v>86446324</v>
      </c>
      <c r="K11" s="45" t="s">
        <v>105</v>
      </c>
      <c r="L11" s="45" t="s">
        <v>106</v>
      </c>
      <c r="M11" s="46">
        <v>129900</v>
      </c>
      <c r="N11" s="35">
        <v>0.9</v>
      </c>
      <c r="O11" s="34">
        <f t="shared" si="2"/>
        <v>12990</v>
      </c>
      <c r="P11" s="6" t="s">
        <v>16</v>
      </c>
    </row>
    <row r="12" spans="1:16" x14ac:dyDescent="0.35">
      <c r="A12" s="32" t="s">
        <v>6424</v>
      </c>
      <c r="B12" s="7">
        <f t="shared" si="0"/>
        <v>46121</v>
      </c>
      <c r="C12" s="7">
        <f t="shared" si="1"/>
        <v>46127</v>
      </c>
      <c r="D12" s="6">
        <v>3281</v>
      </c>
      <c r="E12" s="6">
        <v>337</v>
      </c>
      <c r="F12" s="6">
        <v>4</v>
      </c>
      <c r="G12" s="23">
        <v>1</v>
      </c>
      <c r="H12" s="23">
        <v>850</v>
      </c>
      <c r="I12" s="6" t="s">
        <v>17</v>
      </c>
      <c r="J12" s="45">
        <v>86446333</v>
      </c>
      <c r="K12" s="45" t="s">
        <v>105</v>
      </c>
      <c r="L12" s="45" t="s">
        <v>107</v>
      </c>
      <c r="M12" s="46">
        <v>129900</v>
      </c>
      <c r="N12" s="35">
        <v>0.9</v>
      </c>
      <c r="O12" s="34">
        <f t="shared" si="2"/>
        <v>12990</v>
      </c>
      <c r="P12" s="6" t="s">
        <v>16</v>
      </c>
    </row>
    <row r="13" spans="1:16" x14ac:dyDescent="0.35">
      <c r="A13" s="32" t="s">
        <v>6424</v>
      </c>
      <c r="B13" s="7">
        <f t="shared" si="0"/>
        <v>46121</v>
      </c>
      <c r="C13" s="7">
        <f t="shared" si="1"/>
        <v>46127</v>
      </c>
      <c r="D13" s="6">
        <v>3281</v>
      </c>
      <c r="E13" s="6">
        <v>337</v>
      </c>
      <c r="F13" s="6">
        <v>4</v>
      </c>
      <c r="G13" s="23">
        <v>1</v>
      </c>
      <c r="H13" s="23">
        <v>850</v>
      </c>
      <c r="I13" s="6" t="s">
        <v>17</v>
      </c>
      <c r="J13" s="45">
        <v>86446342</v>
      </c>
      <c r="K13" s="45" t="s">
        <v>105</v>
      </c>
      <c r="L13" s="45" t="s">
        <v>108</v>
      </c>
      <c r="M13" s="46">
        <v>129900</v>
      </c>
      <c r="N13" s="35">
        <v>0.9</v>
      </c>
      <c r="O13" s="34">
        <f t="shared" si="2"/>
        <v>12990</v>
      </c>
      <c r="P13" s="6" t="s">
        <v>16</v>
      </c>
    </row>
    <row r="14" spans="1:16" x14ac:dyDescent="0.35">
      <c r="A14" s="32" t="s">
        <v>6424</v>
      </c>
      <c r="B14" s="7">
        <f t="shared" si="0"/>
        <v>46121</v>
      </c>
      <c r="C14" s="7">
        <f t="shared" si="1"/>
        <v>46127</v>
      </c>
      <c r="D14" s="6">
        <v>3281</v>
      </c>
      <c r="E14" s="6">
        <v>337</v>
      </c>
      <c r="F14" s="6">
        <v>4</v>
      </c>
      <c r="G14" s="23">
        <v>1</v>
      </c>
      <c r="H14" s="23">
        <v>850</v>
      </c>
      <c r="I14" s="6" t="s">
        <v>17</v>
      </c>
      <c r="J14" s="45">
        <v>86446351</v>
      </c>
      <c r="K14" s="45" t="s">
        <v>105</v>
      </c>
      <c r="L14" s="45" t="s">
        <v>109</v>
      </c>
      <c r="M14" s="46">
        <v>129900</v>
      </c>
      <c r="N14" s="35">
        <v>0.9</v>
      </c>
      <c r="O14" s="34">
        <f t="shared" si="2"/>
        <v>12990</v>
      </c>
      <c r="P14" s="6" t="s">
        <v>16</v>
      </c>
    </row>
    <row r="15" spans="1:16" x14ac:dyDescent="0.35">
      <c r="A15" s="32" t="s">
        <v>6424</v>
      </c>
      <c r="B15" s="7">
        <f t="shared" si="0"/>
        <v>46121</v>
      </c>
      <c r="C15" s="7">
        <f t="shared" si="1"/>
        <v>46127</v>
      </c>
      <c r="D15" s="6">
        <v>3281</v>
      </c>
      <c r="E15" s="6">
        <v>337</v>
      </c>
      <c r="F15" s="6">
        <v>4</v>
      </c>
      <c r="G15" s="23">
        <v>1</v>
      </c>
      <c r="H15" s="23">
        <v>81146</v>
      </c>
      <c r="I15" s="6" t="s">
        <v>17</v>
      </c>
      <c r="J15" s="45">
        <v>81754652</v>
      </c>
      <c r="K15" s="45" t="s">
        <v>131</v>
      </c>
      <c r="L15" s="45" t="s">
        <v>132</v>
      </c>
      <c r="M15" s="46">
        <v>149900</v>
      </c>
      <c r="N15" s="35">
        <v>0.9</v>
      </c>
      <c r="O15" s="34">
        <f t="shared" si="2"/>
        <v>14990</v>
      </c>
      <c r="P15" s="6" t="s">
        <v>16</v>
      </c>
    </row>
    <row r="16" spans="1:16" x14ac:dyDescent="0.35">
      <c r="A16" s="32" t="s">
        <v>6424</v>
      </c>
      <c r="B16" s="7">
        <f t="shared" si="0"/>
        <v>46121</v>
      </c>
      <c r="C16" s="7">
        <f t="shared" si="1"/>
        <v>46127</v>
      </c>
      <c r="D16" s="6">
        <v>3281</v>
      </c>
      <c r="E16" s="6">
        <v>337</v>
      </c>
      <c r="F16" s="6">
        <v>4</v>
      </c>
      <c r="G16" s="23">
        <v>1</v>
      </c>
      <c r="H16" s="23">
        <v>81146</v>
      </c>
      <c r="I16" s="6" t="s">
        <v>17</v>
      </c>
      <c r="J16" s="45">
        <v>81754670</v>
      </c>
      <c r="K16" s="45" t="s">
        <v>131</v>
      </c>
      <c r="L16" s="45" t="s">
        <v>133</v>
      </c>
      <c r="M16" s="46">
        <v>149900</v>
      </c>
      <c r="N16" s="35">
        <v>0.9</v>
      </c>
      <c r="O16" s="34">
        <f t="shared" si="2"/>
        <v>14990</v>
      </c>
      <c r="P16" s="6" t="s">
        <v>16</v>
      </c>
    </row>
    <row r="17" spans="1:16" x14ac:dyDescent="0.35">
      <c r="A17" s="32" t="s">
        <v>6424</v>
      </c>
      <c r="B17" s="7">
        <f t="shared" si="0"/>
        <v>46121</v>
      </c>
      <c r="C17" s="7">
        <f t="shared" si="1"/>
        <v>46127</v>
      </c>
      <c r="D17" s="6">
        <v>3281</v>
      </c>
      <c r="E17" s="6">
        <v>337</v>
      </c>
      <c r="F17" s="6">
        <v>4</v>
      </c>
      <c r="G17" s="23">
        <v>1</v>
      </c>
      <c r="H17" s="23">
        <v>81146</v>
      </c>
      <c r="I17" s="6" t="s">
        <v>17</v>
      </c>
      <c r="J17" s="45">
        <v>81754689</v>
      </c>
      <c r="K17" s="45" t="s">
        <v>134</v>
      </c>
      <c r="L17" s="45" t="s">
        <v>135</v>
      </c>
      <c r="M17" s="46">
        <v>149900</v>
      </c>
      <c r="N17" s="35">
        <v>0.9</v>
      </c>
      <c r="O17" s="34">
        <f t="shared" si="2"/>
        <v>14990</v>
      </c>
      <c r="P17" s="6" t="s">
        <v>16</v>
      </c>
    </row>
    <row r="18" spans="1:16" x14ac:dyDescent="0.35">
      <c r="A18" s="32" t="s">
        <v>6424</v>
      </c>
      <c r="B18" s="7">
        <f t="shared" si="0"/>
        <v>46121</v>
      </c>
      <c r="C18" s="7">
        <f t="shared" si="1"/>
        <v>46127</v>
      </c>
      <c r="D18" s="6">
        <v>3281</v>
      </c>
      <c r="E18" s="6">
        <v>337</v>
      </c>
      <c r="F18" s="6">
        <v>4</v>
      </c>
      <c r="G18" s="23">
        <v>1</v>
      </c>
      <c r="H18" s="23">
        <v>81146</v>
      </c>
      <c r="I18" s="6" t="s">
        <v>17</v>
      </c>
      <c r="J18" s="45">
        <v>81754714</v>
      </c>
      <c r="K18" s="45" t="s">
        <v>134</v>
      </c>
      <c r="L18" s="45" t="s">
        <v>136</v>
      </c>
      <c r="M18" s="46">
        <v>149900</v>
      </c>
      <c r="N18" s="35">
        <v>0.9</v>
      </c>
      <c r="O18" s="34">
        <f t="shared" si="2"/>
        <v>14990</v>
      </c>
      <c r="P18" s="6" t="s">
        <v>16</v>
      </c>
    </row>
    <row r="19" spans="1:16" x14ac:dyDescent="0.35">
      <c r="A19" s="32" t="s">
        <v>6424</v>
      </c>
      <c r="B19" s="7">
        <f t="shared" si="0"/>
        <v>46121</v>
      </c>
      <c r="C19" s="7">
        <f t="shared" si="1"/>
        <v>46127</v>
      </c>
      <c r="D19" s="6">
        <v>3281</v>
      </c>
      <c r="E19" s="6">
        <v>337</v>
      </c>
      <c r="F19" s="6">
        <v>4</v>
      </c>
      <c r="G19" s="23">
        <v>1</v>
      </c>
      <c r="H19" s="23">
        <v>81146</v>
      </c>
      <c r="I19" s="6" t="s">
        <v>17</v>
      </c>
      <c r="J19" s="45">
        <v>86446244</v>
      </c>
      <c r="K19" s="45" t="s">
        <v>18</v>
      </c>
      <c r="L19" s="45" t="s">
        <v>22</v>
      </c>
      <c r="M19" s="46">
        <v>149900</v>
      </c>
      <c r="N19" s="35">
        <v>0.9</v>
      </c>
      <c r="O19" s="34">
        <f t="shared" si="2"/>
        <v>14990</v>
      </c>
      <c r="P19" s="6" t="s">
        <v>16</v>
      </c>
    </row>
    <row r="20" spans="1:16" x14ac:dyDescent="0.35">
      <c r="A20" s="32" t="s">
        <v>6424</v>
      </c>
      <c r="B20" s="7">
        <f t="shared" si="0"/>
        <v>46121</v>
      </c>
      <c r="C20" s="7">
        <f t="shared" si="1"/>
        <v>46127</v>
      </c>
      <c r="D20" s="6">
        <v>3281</v>
      </c>
      <c r="E20" s="6">
        <v>337</v>
      </c>
      <c r="F20" s="6">
        <v>4</v>
      </c>
      <c r="G20" s="23">
        <v>1</v>
      </c>
      <c r="H20" s="23">
        <v>81146</v>
      </c>
      <c r="I20" s="6" t="s">
        <v>17</v>
      </c>
      <c r="J20" s="45">
        <v>86446253</v>
      </c>
      <c r="K20" s="45" t="s">
        <v>18</v>
      </c>
      <c r="L20" s="45" t="s">
        <v>19</v>
      </c>
      <c r="M20" s="46">
        <v>149900</v>
      </c>
      <c r="N20" s="35">
        <v>0.9</v>
      </c>
      <c r="O20" s="34">
        <f t="shared" si="2"/>
        <v>14990</v>
      </c>
      <c r="P20" s="6" t="s">
        <v>16</v>
      </c>
    </row>
    <row r="21" spans="1:16" x14ac:dyDescent="0.35">
      <c r="A21" s="32" t="s">
        <v>6424</v>
      </c>
      <c r="B21" s="7">
        <f t="shared" si="0"/>
        <v>46121</v>
      </c>
      <c r="C21" s="7">
        <f t="shared" si="1"/>
        <v>46127</v>
      </c>
      <c r="D21" s="6">
        <v>3281</v>
      </c>
      <c r="E21" s="6">
        <v>337</v>
      </c>
      <c r="F21" s="6">
        <v>4</v>
      </c>
      <c r="G21" s="23">
        <v>1</v>
      </c>
      <c r="H21" s="23">
        <v>81146</v>
      </c>
      <c r="I21" s="6" t="s">
        <v>17</v>
      </c>
      <c r="J21" s="45">
        <v>86446262</v>
      </c>
      <c r="K21" s="45" t="s">
        <v>18</v>
      </c>
      <c r="L21" s="45" t="s">
        <v>20</v>
      </c>
      <c r="M21" s="46">
        <v>149900</v>
      </c>
      <c r="N21" s="35">
        <v>0.9</v>
      </c>
      <c r="O21" s="34">
        <f t="shared" si="2"/>
        <v>14990</v>
      </c>
      <c r="P21" s="6" t="s">
        <v>16</v>
      </c>
    </row>
    <row r="22" spans="1:16" x14ac:dyDescent="0.35">
      <c r="A22" s="32" t="s">
        <v>6424</v>
      </c>
      <c r="B22" s="7">
        <f t="shared" si="0"/>
        <v>46121</v>
      </c>
      <c r="C22" s="7">
        <f t="shared" si="1"/>
        <v>46127</v>
      </c>
      <c r="D22" s="6">
        <v>3281</v>
      </c>
      <c r="E22" s="6">
        <v>337</v>
      </c>
      <c r="F22" s="6">
        <v>4</v>
      </c>
      <c r="G22" s="23">
        <v>1</v>
      </c>
      <c r="H22" s="23">
        <v>81146</v>
      </c>
      <c r="I22" s="6" t="s">
        <v>17</v>
      </c>
      <c r="J22" s="45">
        <v>86446271</v>
      </c>
      <c r="K22" s="45" t="s">
        <v>18</v>
      </c>
      <c r="L22" s="45" t="s">
        <v>21</v>
      </c>
      <c r="M22" s="46">
        <v>149900</v>
      </c>
      <c r="N22" s="35">
        <v>0.9</v>
      </c>
      <c r="O22" s="34">
        <f t="shared" si="2"/>
        <v>14990</v>
      </c>
      <c r="P22" s="6" t="s">
        <v>16</v>
      </c>
    </row>
    <row r="23" spans="1:16" x14ac:dyDescent="0.35">
      <c r="A23" s="32" t="s">
        <v>6424</v>
      </c>
      <c r="B23" s="7">
        <f t="shared" si="0"/>
        <v>46121</v>
      </c>
      <c r="C23" s="7">
        <f t="shared" si="1"/>
        <v>46127</v>
      </c>
      <c r="D23" s="6">
        <v>3281</v>
      </c>
      <c r="E23" s="6">
        <v>337</v>
      </c>
      <c r="F23" s="6">
        <v>4</v>
      </c>
      <c r="G23" s="23">
        <v>1</v>
      </c>
      <c r="H23" s="23">
        <v>81146</v>
      </c>
      <c r="I23" s="6" t="s">
        <v>17</v>
      </c>
      <c r="J23" s="45">
        <v>14608276</v>
      </c>
      <c r="K23" s="45" t="s">
        <v>100</v>
      </c>
      <c r="L23" s="45" t="s">
        <v>101</v>
      </c>
      <c r="M23" s="46">
        <v>149900</v>
      </c>
      <c r="N23" s="35">
        <v>0.9</v>
      </c>
      <c r="O23" s="34">
        <f t="shared" si="2"/>
        <v>14990</v>
      </c>
      <c r="P23" s="6" t="s">
        <v>16</v>
      </c>
    </row>
    <row r="24" spans="1:16" x14ac:dyDescent="0.35">
      <c r="A24" s="32" t="s">
        <v>6424</v>
      </c>
      <c r="B24" s="7">
        <f t="shared" si="0"/>
        <v>46121</v>
      </c>
      <c r="C24" s="7">
        <f t="shared" si="1"/>
        <v>46127</v>
      </c>
      <c r="D24" s="6">
        <v>3281</v>
      </c>
      <c r="E24" s="6">
        <v>337</v>
      </c>
      <c r="F24" s="6">
        <v>4</v>
      </c>
      <c r="G24" s="23">
        <v>1</v>
      </c>
      <c r="H24" s="23">
        <v>81146</v>
      </c>
      <c r="I24" s="6" t="s">
        <v>17</v>
      </c>
      <c r="J24" s="45">
        <v>14608285</v>
      </c>
      <c r="K24" s="45" t="s">
        <v>100</v>
      </c>
      <c r="L24" s="45" t="s">
        <v>102</v>
      </c>
      <c r="M24" s="46">
        <v>149900</v>
      </c>
      <c r="N24" s="35">
        <v>0.9</v>
      </c>
      <c r="O24" s="34">
        <f t="shared" si="2"/>
        <v>14990</v>
      </c>
      <c r="P24" s="6" t="s">
        <v>16</v>
      </c>
    </row>
    <row r="25" spans="1:16" x14ac:dyDescent="0.35">
      <c r="A25" s="32" t="s">
        <v>6424</v>
      </c>
      <c r="B25" s="7">
        <f t="shared" si="0"/>
        <v>46121</v>
      </c>
      <c r="C25" s="7">
        <f t="shared" si="1"/>
        <v>46127</v>
      </c>
      <c r="D25" s="6">
        <v>3281</v>
      </c>
      <c r="E25" s="6">
        <v>337</v>
      </c>
      <c r="F25" s="6">
        <v>4</v>
      </c>
      <c r="G25" s="23">
        <v>1</v>
      </c>
      <c r="H25" s="23">
        <v>81146</v>
      </c>
      <c r="I25" s="6" t="s">
        <v>17</v>
      </c>
      <c r="J25" s="45">
        <v>14608294</v>
      </c>
      <c r="K25" s="45" t="s">
        <v>100</v>
      </c>
      <c r="L25" s="45" t="s">
        <v>103</v>
      </c>
      <c r="M25" s="46">
        <v>149900</v>
      </c>
      <c r="N25" s="35">
        <v>0.9</v>
      </c>
      <c r="O25" s="34">
        <f t="shared" si="2"/>
        <v>14990</v>
      </c>
      <c r="P25" s="6" t="s">
        <v>16</v>
      </c>
    </row>
    <row r="26" spans="1:16" x14ac:dyDescent="0.35">
      <c r="A26" s="32" t="s">
        <v>6424</v>
      </c>
      <c r="B26" s="7">
        <f t="shared" si="0"/>
        <v>46121</v>
      </c>
      <c r="C26" s="7">
        <f t="shared" si="1"/>
        <v>46127</v>
      </c>
      <c r="D26" s="6">
        <v>3281</v>
      </c>
      <c r="E26" s="6">
        <v>337</v>
      </c>
      <c r="F26" s="6">
        <v>4</v>
      </c>
      <c r="G26" s="23">
        <v>1</v>
      </c>
      <c r="H26" s="23">
        <v>81146</v>
      </c>
      <c r="I26" s="6" t="s">
        <v>17</v>
      </c>
      <c r="J26" s="45">
        <v>14608301</v>
      </c>
      <c r="K26" s="45" t="s">
        <v>100</v>
      </c>
      <c r="L26" s="45" t="s">
        <v>104</v>
      </c>
      <c r="M26" s="46">
        <v>149900</v>
      </c>
      <c r="N26" s="35">
        <v>0.9</v>
      </c>
      <c r="O26" s="34">
        <f t="shared" si="2"/>
        <v>14990</v>
      </c>
      <c r="P26" s="6" t="s">
        <v>16</v>
      </c>
    </row>
    <row r="27" spans="1:16" x14ac:dyDescent="0.35">
      <c r="A27" s="32" t="s">
        <v>6424</v>
      </c>
      <c r="B27" s="7">
        <f t="shared" si="0"/>
        <v>46121</v>
      </c>
      <c r="C27" s="7">
        <f t="shared" si="1"/>
        <v>46127</v>
      </c>
      <c r="D27" s="6">
        <v>3281</v>
      </c>
      <c r="E27" s="6">
        <v>337</v>
      </c>
      <c r="F27" s="6">
        <v>4</v>
      </c>
      <c r="G27" s="23">
        <v>1</v>
      </c>
      <c r="H27" s="23">
        <v>81421</v>
      </c>
      <c r="I27" s="6" t="s">
        <v>17</v>
      </c>
      <c r="J27" s="45">
        <v>79527830</v>
      </c>
      <c r="K27" s="45" t="s">
        <v>245</v>
      </c>
      <c r="L27" s="45" t="s">
        <v>246</v>
      </c>
      <c r="M27" s="46">
        <v>169900</v>
      </c>
      <c r="N27" s="35">
        <v>0.9</v>
      </c>
      <c r="O27" s="34">
        <f t="shared" si="2"/>
        <v>16990</v>
      </c>
      <c r="P27" s="6" t="s">
        <v>16</v>
      </c>
    </row>
    <row r="28" spans="1:16" x14ac:dyDescent="0.35">
      <c r="A28" s="32" t="s">
        <v>6424</v>
      </c>
      <c r="B28" s="7">
        <f t="shared" si="0"/>
        <v>46121</v>
      </c>
      <c r="C28" s="7">
        <f t="shared" si="1"/>
        <v>46127</v>
      </c>
      <c r="D28" s="6">
        <v>3281</v>
      </c>
      <c r="E28" s="6">
        <v>337</v>
      </c>
      <c r="F28" s="6">
        <v>4</v>
      </c>
      <c r="G28" s="23">
        <v>1</v>
      </c>
      <c r="H28" s="23">
        <v>81421</v>
      </c>
      <c r="I28" s="6" t="s">
        <v>17</v>
      </c>
      <c r="J28" s="45">
        <v>79527947</v>
      </c>
      <c r="K28" s="45" t="s">
        <v>277</v>
      </c>
      <c r="L28" s="45" t="s">
        <v>278</v>
      </c>
      <c r="M28" s="46">
        <v>189900</v>
      </c>
      <c r="N28" s="35">
        <v>0.9</v>
      </c>
      <c r="O28" s="34">
        <f t="shared" si="2"/>
        <v>18990</v>
      </c>
      <c r="P28" s="6" t="s">
        <v>16</v>
      </c>
    </row>
    <row r="29" spans="1:16" x14ac:dyDescent="0.35">
      <c r="A29" s="32" t="s">
        <v>6424</v>
      </c>
      <c r="B29" s="7">
        <f t="shared" si="0"/>
        <v>46121</v>
      </c>
      <c r="C29" s="7">
        <f t="shared" si="1"/>
        <v>46127</v>
      </c>
      <c r="D29" s="6">
        <v>3281</v>
      </c>
      <c r="E29" s="6">
        <v>337</v>
      </c>
      <c r="F29" s="6">
        <v>4</v>
      </c>
      <c r="G29" s="23">
        <v>1</v>
      </c>
      <c r="H29" s="23">
        <v>81421</v>
      </c>
      <c r="I29" s="6" t="s">
        <v>17</v>
      </c>
      <c r="J29" s="45">
        <v>79527956</v>
      </c>
      <c r="K29" s="45" t="s">
        <v>277</v>
      </c>
      <c r="L29" s="45" t="s">
        <v>279</v>
      </c>
      <c r="M29" s="46">
        <v>189900</v>
      </c>
      <c r="N29" s="35">
        <v>0.9</v>
      </c>
      <c r="O29" s="34">
        <f t="shared" si="2"/>
        <v>18990</v>
      </c>
      <c r="P29" s="6" t="s">
        <v>16</v>
      </c>
    </row>
    <row r="30" spans="1:16" x14ac:dyDescent="0.35">
      <c r="A30" s="32" t="s">
        <v>6424</v>
      </c>
      <c r="B30" s="7">
        <f t="shared" si="0"/>
        <v>46121</v>
      </c>
      <c r="C30" s="7">
        <f t="shared" si="1"/>
        <v>46127</v>
      </c>
      <c r="D30" s="6">
        <v>3281</v>
      </c>
      <c r="E30" s="6">
        <v>337</v>
      </c>
      <c r="F30" s="6">
        <v>4</v>
      </c>
      <c r="G30" s="23">
        <v>1</v>
      </c>
      <c r="H30" s="23">
        <v>81421</v>
      </c>
      <c r="I30" s="6" t="s">
        <v>17</v>
      </c>
      <c r="J30" s="45">
        <v>79527965</v>
      </c>
      <c r="K30" s="45" t="s">
        <v>247</v>
      </c>
      <c r="L30" s="45" t="s">
        <v>248</v>
      </c>
      <c r="M30" s="46">
        <v>169900</v>
      </c>
      <c r="N30" s="35">
        <v>0.9</v>
      </c>
      <c r="O30" s="34">
        <f t="shared" si="2"/>
        <v>16990</v>
      </c>
      <c r="P30" s="6" t="s">
        <v>16</v>
      </c>
    </row>
    <row r="31" spans="1:16" x14ac:dyDescent="0.35">
      <c r="A31" s="32" t="s">
        <v>6424</v>
      </c>
      <c r="B31" s="7">
        <f t="shared" si="0"/>
        <v>46121</v>
      </c>
      <c r="C31" s="7">
        <f t="shared" si="1"/>
        <v>46127</v>
      </c>
      <c r="D31" s="6">
        <v>3281</v>
      </c>
      <c r="E31" s="6">
        <v>337</v>
      </c>
      <c r="F31" s="6">
        <v>4</v>
      </c>
      <c r="G31" s="23">
        <v>1</v>
      </c>
      <c r="H31" s="23">
        <v>81421</v>
      </c>
      <c r="I31" s="6" t="s">
        <v>17</v>
      </c>
      <c r="J31" s="45">
        <v>79527992</v>
      </c>
      <c r="K31" s="45" t="s">
        <v>247</v>
      </c>
      <c r="L31" s="45" t="s">
        <v>249</v>
      </c>
      <c r="M31" s="46">
        <v>169900</v>
      </c>
      <c r="N31" s="35">
        <v>0.9</v>
      </c>
      <c r="O31" s="34">
        <f t="shared" si="2"/>
        <v>16990</v>
      </c>
      <c r="P31" s="6" t="s">
        <v>16</v>
      </c>
    </row>
    <row r="32" spans="1:16" x14ac:dyDescent="0.35">
      <c r="A32" s="32" t="s">
        <v>6424</v>
      </c>
      <c r="B32" s="7">
        <f t="shared" si="0"/>
        <v>46121</v>
      </c>
      <c r="C32" s="7">
        <f t="shared" si="1"/>
        <v>46127</v>
      </c>
      <c r="D32" s="6">
        <v>3281</v>
      </c>
      <c r="E32" s="6">
        <v>337</v>
      </c>
      <c r="F32" s="6">
        <v>4</v>
      </c>
      <c r="G32" s="23">
        <v>1</v>
      </c>
      <c r="H32" s="23">
        <v>81421</v>
      </c>
      <c r="I32" s="6" t="s">
        <v>17</v>
      </c>
      <c r="J32" s="45">
        <v>79528017</v>
      </c>
      <c r="K32" s="45" t="s">
        <v>250</v>
      </c>
      <c r="L32" s="45" t="s">
        <v>251</v>
      </c>
      <c r="M32" s="46">
        <v>169900</v>
      </c>
      <c r="N32" s="35">
        <v>0.9</v>
      </c>
      <c r="O32" s="34">
        <f t="shared" si="2"/>
        <v>16990</v>
      </c>
      <c r="P32" s="6" t="s">
        <v>16</v>
      </c>
    </row>
    <row r="33" spans="1:16" x14ac:dyDescent="0.35">
      <c r="A33" s="32" t="s">
        <v>6424</v>
      </c>
      <c r="B33" s="7">
        <f t="shared" si="0"/>
        <v>46121</v>
      </c>
      <c r="C33" s="7">
        <f t="shared" si="1"/>
        <v>46127</v>
      </c>
      <c r="D33" s="6">
        <v>3281</v>
      </c>
      <c r="E33" s="6">
        <v>337</v>
      </c>
      <c r="F33" s="6">
        <v>4</v>
      </c>
      <c r="G33" s="23">
        <v>1</v>
      </c>
      <c r="H33" s="23">
        <v>81421</v>
      </c>
      <c r="I33" s="6" t="s">
        <v>17</v>
      </c>
      <c r="J33" s="45">
        <v>79528035</v>
      </c>
      <c r="K33" s="45" t="s">
        <v>250</v>
      </c>
      <c r="L33" s="45" t="s">
        <v>252</v>
      </c>
      <c r="M33" s="46">
        <v>169900</v>
      </c>
      <c r="N33" s="35">
        <v>0.9</v>
      </c>
      <c r="O33" s="34">
        <f t="shared" si="2"/>
        <v>16990</v>
      </c>
      <c r="P33" s="6" t="s">
        <v>16</v>
      </c>
    </row>
    <row r="34" spans="1:16" x14ac:dyDescent="0.35">
      <c r="A34" s="32" t="s">
        <v>6424</v>
      </c>
      <c r="B34" s="7">
        <f t="shared" si="0"/>
        <v>46121</v>
      </c>
      <c r="C34" s="7">
        <f t="shared" si="1"/>
        <v>46127</v>
      </c>
      <c r="D34" s="6">
        <v>3281</v>
      </c>
      <c r="E34" s="6">
        <v>337</v>
      </c>
      <c r="F34" s="6">
        <v>4</v>
      </c>
      <c r="G34" s="23">
        <v>1</v>
      </c>
      <c r="H34" s="23">
        <v>81421</v>
      </c>
      <c r="I34" s="6" t="s">
        <v>17</v>
      </c>
      <c r="J34" s="45">
        <v>79655237</v>
      </c>
      <c r="K34" s="45" t="s">
        <v>184</v>
      </c>
      <c r="L34" s="45" t="s">
        <v>185</v>
      </c>
      <c r="M34" s="46">
        <v>149900</v>
      </c>
      <c r="N34" s="35">
        <v>0.9</v>
      </c>
      <c r="O34" s="34">
        <f t="shared" si="2"/>
        <v>14990</v>
      </c>
      <c r="P34" s="6" t="s">
        <v>16</v>
      </c>
    </row>
    <row r="35" spans="1:16" x14ac:dyDescent="0.35">
      <c r="A35" s="32" t="s">
        <v>6424</v>
      </c>
      <c r="B35" s="7">
        <f t="shared" si="0"/>
        <v>46121</v>
      </c>
      <c r="C35" s="7">
        <f t="shared" si="1"/>
        <v>46127</v>
      </c>
      <c r="D35" s="6">
        <v>3281</v>
      </c>
      <c r="E35" s="6">
        <v>337</v>
      </c>
      <c r="F35" s="6">
        <v>4</v>
      </c>
      <c r="G35" s="23">
        <v>1</v>
      </c>
      <c r="H35" s="23">
        <v>190</v>
      </c>
      <c r="I35" s="6" t="s">
        <v>17</v>
      </c>
      <c r="J35" s="45">
        <v>87434308</v>
      </c>
      <c r="K35" s="45" t="s">
        <v>59</v>
      </c>
      <c r="L35" s="45" t="s">
        <v>60</v>
      </c>
      <c r="M35" s="46">
        <v>179900</v>
      </c>
      <c r="N35" s="35">
        <v>0.9</v>
      </c>
      <c r="O35" s="34">
        <f t="shared" si="2"/>
        <v>17990</v>
      </c>
      <c r="P35" s="6" t="s">
        <v>16</v>
      </c>
    </row>
    <row r="36" spans="1:16" x14ac:dyDescent="0.35">
      <c r="A36" s="32" t="s">
        <v>6424</v>
      </c>
      <c r="B36" s="7">
        <f t="shared" si="0"/>
        <v>46121</v>
      </c>
      <c r="C36" s="7">
        <f t="shared" si="1"/>
        <v>46127</v>
      </c>
      <c r="D36" s="6">
        <v>3281</v>
      </c>
      <c r="E36" s="6">
        <v>337</v>
      </c>
      <c r="F36" s="6">
        <v>4</v>
      </c>
      <c r="G36" s="23">
        <v>1</v>
      </c>
      <c r="H36" s="23">
        <v>190</v>
      </c>
      <c r="I36" s="6" t="s">
        <v>17</v>
      </c>
      <c r="J36" s="45">
        <v>87434317</v>
      </c>
      <c r="K36" s="45" t="s">
        <v>59</v>
      </c>
      <c r="L36" s="45" t="s">
        <v>61</v>
      </c>
      <c r="M36" s="46">
        <v>179900</v>
      </c>
      <c r="N36" s="35">
        <v>0.9</v>
      </c>
      <c r="O36" s="34">
        <f t="shared" si="2"/>
        <v>17990</v>
      </c>
      <c r="P36" s="6" t="s">
        <v>16</v>
      </c>
    </row>
    <row r="37" spans="1:16" x14ac:dyDescent="0.35">
      <c r="A37" s="32" t="s">
        <v>6424</v>
      </c>
      <c r="B37" s="7">
        <f t="shared" si="0"/>
        <v>46121</v>
      </c>
      <c r="C37" s="7">
        <f t="shared" si="1"/>
        <v>46127</v>
      </c>
      <c r="D37" s="6">
        <v>3281</v>
      </c>
      <c r="E37" s="6">
        <v>337</v>
      </c>
      <c r="F37" s="6">
        <v>4</v>
      </c>
      <c r="G37" s="23">
        <v>1</v>
      </c>
      <c r="H37" s="23">
        <v>190</v>
      </c>
      <c r="I37" s="6" t="s">
        <v>17</v>
      </c>
      <c r="J37" s="45">
        <v>87434326</v>
      </c>
      <c r="K37" s="45" t="s">
        <v>59</v>
      </c>
      <c r="L37" s="45" t="s">
        <v>62</v>
      </c>
      <c r="M37" s="46">
        <v>179900</v>
      </c>
      <c r="N37" s="35">
        <v>0.9</v>
      </c>
      <c r="O37" s="34">
        <f t="shared" si="2"/>
        <v>17990</v>
      </c>
      <c r="P37" s="6" t="s">
        <v>16</v>
      </c>
    </row>
    <row r="38" spans="1:16" x14ac:dyDescent="0.35">
      <c r="A38" s="32" t="s">
        <v>6424</v>
      </c>
      <c r="B38" s="7">
        <f t="shared" si="0"/>
        <v>46121</v>
      </c>
      <c r="C38" s="7">
        <f t="shared" si="1"/>
        <v>46127</v>
      </c>
      <c r="D38" s="6">
        <v>3281</v>
      </c>
      <c r="E38" s="6">
        <v>337</v>
      </c>
      <c r="F38" s="6">
        <v>4</v>
      </c>
      <c r="G38" s="23">
        <v>1</v>
      </c>
      <c r="H38" s="23">
        <v>190</v>
      </c>
      <c r="I38" s="6" t="s">
        <v>17</v>
      </c>
      <c r="J38" s="45">
        <v>87434335</v>
      </c>
      <c r="K38" s="45" t="s">
        <v>59</v>
      </c>
      <c r="L38" s="45" t="s">
        <v>63</v>
      </c>
      <c r="M38" s="46">
        <v>179900</v>
      </c>
      <c r="N38" s="35">
        <v>0.9</v>
      </c>
      <c r="O38" s="34">
        <f t="shared" si="2"/>
        <v>17990</v>
      </c>
      <c r="P38" s="6" t="s">
        <v>16</v>
      </c>
    </row>
    <row r="39" spans="1:16" x14ac:dyDescent="0.35">
      <c r="A39" s="32" t="s">
        <v>6424</v>
      </c>
      <c r="B39" s="7">
        <f t="shared" si="0"/>
        <v>46121</v>
      </c>
      <c r="C39" s="7">
        <f t="shared" si="1"/>
        <v>46127</v>
      </c>
      <c r="D39" s="6">
        <v>3281</v>
      </c>
      <c r="E39" s="6">
        <v>337</v>
      </c>
      <c r="F39" s="6">
        <v>4</v>
      </c>
      <c r="G39" s="23">
        <v>1</v>
      </c>
      <c r="H39" s="23">
        <v>190</v>
      </c>
      <c r="I39" s="6" t="s">
        <v>17</v>
      </c>
      <c r="J39" s="45">
        <v>87434353</v>
      </c>
      <c r="K39" s="45" t="s">
        <v>84</v>
      </c>
      <c r="L39" s="45" t="s">
        <v>85</v>
      </c>
      <c r="M39" s="46">
        <v>179900</v>
      </c>
      <c r="N39" s="35">
        <v>0.9</v>
      </c>
      <c r="O39" s="34">
        <f t="shared" si="2"/>
        <v>17990</v>
      </c>
      <c r="P39" s="6" t="s">
        <v>16</v>
      </c>
    </row>
    <row r="40" spans="1:16" x14ac:dyDescent="0.35">
      <c r="A40" s="32" t="s">
        <v>6424</v>
      </c>
      <c r="B40" s="7">
        <f t="shared" si="0"/>
        <v>46121</v>
      </c>
      <c r="C40" s="7">
        <f t="shared" si="1"/>
        <v>46127</v>
      </c>
      <c r="D40" s="6">
        <v>3281</v>
      </c>
      <c r="E40" s="6">
        <v>337</v>
      </c>
      <c r="F40" s="6">
        <v>4</v>
      </c>
      <c r="G40" s="23">
        <v>1</v>
      </c>
      <c r="H40" s="23">
        <v>80920</v>
      </c>
      <c r="I40" s="6" t="s">
        <v>17</v>
      </c>
      <c r="J40" s="45">
        <v>73502724</v>
      </c>
      <c r="K40" s="45" t="s">
        <v>178</v>
      </c>
      <c r="L40" s="45" t="s">
        <v>179</v>
      </c>
      <c r="M40" s="46">
        <v>149900</v>
      </c>
      <c r="N40" s="35">
        <v>0.9</v>
      </c>
      <c r="O40" s="34">
        <f t="shared" si="2"/>
        <v>14990</v>
      </c>
      <c r="P40" s="6" t="s">
        <v>16</v>
      </c>
    </row>
    <row r="41" spans="1:16" x14ac:dyDescent="0.35">
      <c r="A41" s="32" t="s">
        <v>6424</v>
      </c>
      <c r="B41" s="7">
        <f t="shared" si="0"/>
        <v>46121</v>
      </c>
      <c r="C41" s="7">
        <f t="shared" si="1"/>
        <v>46127</v>
      </c>
      <c r="D41" s="6">
        <v>3281</v>
      </c>
      <c r="E41" s="6">
        <v>337</v>
      </c>
      <c r="F41" s="6">
        <v>4</v>
      </c>
      <c r="G41" s="23">
        <v>1</v>
      </c>
      <c r="H41" s="23">
        <v>80920</v>
      </c>
      <c r="I41" s="6" t="s">
        <v>17</v>
      </c>
      <c r="J41" s="45">
        <v>73502742</v>
      </c>
      <c r="K41" s="45" t="s">
        <v>178</v>
      </c>
      <c r="L41" s="45" t="s">
        <v>180</v>
      </c>
      <c r="M41" s="46">
        <v>149900</v>
      </c>
      <c r="N41" s="35">
        <v>0.9</v>
      </c>
      <c r="O41" s="34">
        <f t="shared" si="2"/>
        <v>14990</v>
      </c>
      <c r="P41" s="6" t="s">
        <v>16</v>
      </c>
    </row>
    <row r="42" spans="1:16" x14ac:dyDescent="0.35">
      <c r="A42" s="32" t="s">
        <v>6424</v>
      </c>
      <c r="B42" s="7">
        <f t="shared" si="0"/>
        <v>46121</v>
      </c>
      <c r="C42" s="7">
        <f t="shared" si="1"/>
        <v>46127</v>
      </c>
      <c r="D42" s="6">
        <v>3281</v>
      </c>
      <c r="E42" s="6">
        <v>337</v>
      </c>
      <c r="F42" s="6">
        <v>4</v>
      </c>
      <c r="G42" s="23">
        <v>1</v>
      </c>
      <c r="H42" s="23">
        <v>80920</v>
      </c>
      <c r="I42" s="6" t="s">
        <v>17</v>
      </c>
      <c r="J42" s="45">
        <v>73502751</v>
      </c>
      <c r="K42" s="45" t="s">
        <v>178</v>
      </c>
      <c r="L42" s="45" t="s">
        <v>181</v>
      </c>
      <c r="M42" s="46">
        <v>149900</v>
      </c>
      <c r="N42" s="35">
        <v>0.9</v>
      </c>
      <c r="O42" s="34">
        <f t="shared" si="2"/>
        <v>14990</v>
      </c>
      <c r="P42" s="6" t="s">
        <v>16</v>
      </c>
    </row>
    <row r="43" spans="1:16" x14ac:dyDescent="0.35">
      <c r="A43" s="32" t="s">
        <v>6424</v>
      </c>
      <c r="B43" s="7">
        <f t="shared" si="0"/>
        <v>46121</v>
      </c>
      <c r="C43" s="7">
        <f t="shared" si="1"/>
        <v>46127</v>
      </c>
      <c r="D43" s="6">
        <v>3281</v>
      </c>
      <c r="E43" s="6">
        <v>337</v>
      </c>
      <c r="F43" s="6">
        <v>4</v>
      </c>
      <c r="G43" s="23">
        <v>1</v>
      </c>
      <c r="H43" s="23">
        <v>80920</v>
      </c>
      <c r="I43" s="6" t="s">
        <v>17</v>
      </c>
      <c r="J43" s="45">
        <v>73502788</v>
      </c>
      <c r="K43" s="45" t="s">
        <v>182</v>
      </c>
      <c r="L43" s="45" t="s">
        <v>183</v>
      </c>
      <c r="M43" s="46">
        <v>149900</v>
      </c>
      <c r="N43" s="35">
        <v>0.9</v>
      </c>
      <c r="O43" s="34">
        <f t="shared" si="2"/>
        <v>14990</v>
      </c>
      <c r="P43" s="6" t="s">
        <v>16</v>
      </c>
    </row>
    <row r="44" spans="1:16" x14ac:dyDescent="0.35">
      <c r="A44" s="32" t="s">
        <v>6424</v>
      </c>
      <c r="B44" s="7">
        <f t="shared" si="0"/>
        <v>46121</v>
      </c>
      <c r="C44" s="7">
        <f t="shared" si="1"/>
        <v>46127</v>
      </c>
      <c r="D44" s="6">
        <v>3281</v>
      </c>
      <c r="E44" s="6">
        <v>337</v>
      </c>
      <c r="F44" s="6">
        <v>4</v>
      </c>
      <c r="G44" s="23">
        <v>1</v>
      </c>
      <c r="H44" s="23">
        <v>80920</v>
      </c>
      <c r="I44" s="6" t="s">
        <v>17</v>
      </c>
      <c r="J44" s="45">
        <v>79527858</v>
      </c>
      <c r="K44" s="45" t="s">
        <v>270</v>
      </c>
      <c r="L44" s="45" t="s">
        <v>271</v>
      </c>
      <c r="M44" s="46">
        <v>149900</v>
      </c>
      <c r="N44" s="35">
        <v>0.9</v>
      </c>
      <c r="O44" s="34">
        <f t="shared" si="2"/>
        <v>14990</v>
      </c>
      <c r="P44" s="6" t="s">
        <v>16</v>
      </c>
    </row>
    <row r="45" spans="1:16" x14ac:dyDescent="0.35">
      <c r="A45" s="32" t="s">
        <v>6424</v>
      </c>
      <c r="B45" s="7">
        <f t="shared" si="0"/>
        <v>46121</v>
      </c>
      <c r="C45" s="7">
        <f t="shared" si="1"/>
        <v>46127</v>
      </c>
      <c r="D45" s="6">
        <v>3281</v>
      </c>
      <c r="E45" s="6">
        <v>337</v>
      </c>
      <c r="F45" s="6">
        <v>4</v>
      </c>
      <c r="G45" s="23">
        <v>1</v>
      </c>
      <c r="H45" s="23">
        <v>80920</v>
      </c>
      <c r="I45" s="6" t="s">
        <v>17</v>
      </c>
      <c r="J45" s="45">
        <v>79527867</v>
      </c>
      <c r="K45" s="45" t="s">
        <v>270</v>
      </c>
      <c r="L45" s="45" t="s">
        <v>272</v>
      </c>
      <c r="M45" s="46">
        <v>149900</v>
      </c>
      <c r="N45" s="35">
        <v>0.9</v>
      </c>
      <c r="O45" s="34">
        <f t="shared" si="2"/>
        <v>14990</v>
      </c>
      <c r="P45" s="6" t="s">
        <v>16</v>
      </c>
    </row>
    <row r="46" spans="1:16" x14ac:dyDescent="0.35">
      <c r="A46" s="32" t="s">
        <v>6424</v>
      </c>
      <c r="B46" s="7">
        <f t="shared" si="0"/>
        <v>46121</v>
      </c>
      <c r="C46" s="7">
        <f t="shared" si="1"/>
        <v>46127</v>
      </c>
      <c r="D46" s="6">
        <v>3281</v>
      </c>
      <c r="E46" s="6">
        <v>337</v>
      </c>
      <c r="F46" s="6">
        <v>4</v>
      </c>
      <c r="G46" s="23">
        <v>1</v>
      </c>
      <c r="H46" s="23">
        <v>80920</v>
      </c>
      <c r="I46" s="6" t="s">
        <v>17</v>
      </c>
      <c r="J46" s="45">
        <v>79527876</v>
      </c>
      <c r="K46" s="45" t="s">
        <v>270</v>
      </c>
      <c r="L46" s="45" t="s">
        <v>6425</v>
      </c>
      <c r="M46" s="46">
        <v>149900</v>
      </c>
      <c r="N46" s="35">
        <v>0.9</v>
      </c>
      <c r="O46" s="34">
        <f t="shared" si="2"/>
        <v>14990</v>
      </c>
      <c r="P46" s="6" t="s">
        <v>16</v>
      </c>
    </row>
    <row r="47" spans="1:16" x14ac:dyDescent="0.35">
      <c r="A47" s="32" t="s">
        <v>6424</v>
      </c>
      <c r="B47" s="7">
        <f t="shared" si="0"/>
        <v>46121</v>
      </c>
      <c r="C47" s="7">
        <f t="shared" si="1"/>
        <v>46127</v>
      </c>
      <c r="D47" s="6">
        <v>3281</v>
      </c>
      <c r="E47" s="6">
        <v>337</v>
      </c>
      <c r="F47" s="6">
        <v>4</v>
      </c>
      <c r="G47" s="23">
        <v>1</v>
      </c>
      <c r="H47" s="23">
        <v>80920</v>
      </c>
      <c r="I47" s="6" t="s">
        <v>17</v>
      </c>
      <c r="J47" s="45">
        <v>79527885</v>
      </c>
      <c r="K47" s="45" t="s">
        <v>273</v>
      </c>
      <c r="L47" s="45" t="s">
        <v>274</v>
      </c>
      <c r="M47" s="46">
        <v>149900</v>
      </c>
      <c r="N47" s="35">
        <v>0.9</v>
      </c>
      <c r="O47" s="34">
        <f t="shared" si="2"/>
        <v>14990</v>
      </c>
      <c r="P47" s="6" t="s">
        <v>16</v>
      </c>
    </row>
    <row r="48" spans="1:16" x14ac:dyDescent="0.35">
      <c r="A48" s="32" t="s">
        <v>6424</v>
      </c>
      <c r="B48" s="7">
        <f t="shared" si="0"/>
        <v>46121</v>
      </c>
      <c r="C48" s="7">
        <f t="shared" si="1"/>
        <v>46127</v>
      </c>
      <c r="D48" s="6">
        <v>3281</v>
      </c>
      <c r="E48" s="6">
        <v>337</v>
      </c>
      <c r="F48" s="6">
        <v>4</v>
      </c>
      <c r="G48" s="23">
        <v>1</v>
      </c>
      <c r="H48" s="23">
        <v>80920</v>
      </c>
      <c r="I48" s="6" t="s">
        <v>17</v>
      </c>
      <c r="J48" s="45">
        <v>79527894</v>
      </c>
      <c r="K48" s="45" t="s">
        <v>273</v>
      </c>
      <c r="L48" s="45" t="s">
        <v>275</v>
      </c>
      <c r="M48" s="46">
        <v>149900</v>
      </c>
      <c r="N48" s="35">
        <v>0.9</v>
      </c>
      <c r="O48" s="34">
        <f t="shared" si="2"/>
        <v>14990</v>
      </c>
      <c r="P48" s="6" t="s">
        <v>16</v>
      </c>
    </row>
    <row r="49" spans="1:16" x14ac:dyDescent="0.35">
      <c r="A49" s="32" t="s">
        <v>6424</v>
      </c>
      <c r="B49" s="7">
        <f t="shared" si="0"/>
        <v>46121</v>
      </c>
      <c r="C49" s="7">
        <f t="shared" si="1"/>
        <v>46127</v>
      </c>
      <c r="D49" s="6">
        <v>3281</v>
      </c>
      <c r="E49" s="6">
        <v>337</v>
      </c>
      <c r="F49" s="6">
        <v>4</v>
      </c>
      <c r="G49" s="23">
        <v>1</v>
      </c>
      <c r="H49" s="23">
        <v>80920</v>
      </c>
      <c r="I49" s="6" t="s">
        <v>17</v>
      </c>
      <c r="J49" s="45">
        <v>79527910</v>
      </c>
      <c r="K49" s="45" t="s">
        <v>273</v>
      </c>
      <c r="L49" s="45" t="s">
        <v>276</v>
      </c>
      <c r="M49" s="46">
        <v>149900</v>
      </c>
      <c r="N49" s="35">
        <v>0.9</v>
      </c>
      <c r="O49" s="34">
        <f t="shared" si="2"/>
        <v>14990</v>
      </c>
      <c r="P49" s="6" t="s">
        <v>16</v>
      </c>
    </row>
    <row r="50" spans="1:16" x14ac:dyDescent="0.35">
      <c r="A50" s="32" t="s">
        <v>6424</v>
      </c>
      <c r="B50" s="7">
        <f t="shared" si="0"/>
        <v>46121</v>
      </c>
      <c r="C50" s="7">
        <f t="shared" si="1"/>
        <v>46127</v>
      </c>
      <c r="D50" s="6">
        <v>3281</v>
      </c>
      <c r="E50" s="6">
        <v>337</v>
      </c>
      <c r="F50" s="6">
        <v>4</v>
      </c>
      <c r="G50" s="23">
        <v>1</v>
      </c>
      <c r="H50" s="23">
        <v>80920</v>
      </c>
      <c r="I50" s="6" t="s">
        <v>17</v>
      </c>
      <c r="J50" s="45">
        <v>79528124</v>
      </c>
      <c r="K50" s="45" t="s">
        <v>2720</v>
      </c>
      <c r="L50" s="45" t="s">
        <v>2721</v>
      </c>
      <c r="M50" s="46">
        <v>159900</v>
      </c>
      <c r="N50" s="35">
        <v>0.9</v>
      </c>
      <c r="O50" s="34">
        <f t="shared" si="2"/>
        <v>15990</v>
      </c>
      <c r="P50" s="6" t="s">
        <v>16</v>
      </c>
    </row>
    <row r="51" spans="1:16" x14ac:dyDescent="0.35">
      <c r="A51" s="32" t="s">
        <v>6424</v>
      </c>
      <c r="B51" s="7">
        <f t="shared" si="0"/>
        <v>46121</v>
      </c>
      <c r="C51" s="7">
        <f t="shared" si="1"/>
        <v>46127</v>
      </c>
      <c r="D51" s="6">
        <v>3281</v>
      </c>
      <c r="E51" s="6">
        <v>337</v>
      </c>
      <c r="F51" s="6">
        <v>4</v>
      </c>
      <c r="G51" s="23">
        <v>1</v>
      </c>
      <c r="H51" s="23">
        <v>80920</v>
      </c>
      <c r="I51" s="6" t="s">
        <v>17</v>
      </c>
      <c r="J51" s="45">
        <v>79528133</v>
      </c>
      <c r="K51" s="45" t="s">
        <v>2720</v>
      </c>
      <c r="L51" s="45" t="s">
        <v>2723</v>
      </c>
      <c r="M51" s="46">
        <v>159900</v>
      </c>
      <c r="N51" s="35">
        <v>0.9</v>
      </c>
      <c r="O51" s="34">
        <f t="shared" si="2"/>
        <v>15990</v>
      </c>
      <c r="P51" s="6" t="s">
        <v>16</v>
      </c>
    </row>
    <row r="52" spans="1:16" x14ac:dyDescent="0.35">
      <c r="A52" s="32" t="s">
        <v>6424</v>
      </c>
      <c r="B52" s="7">
        <f t="shared" si="0"/>
        <v>46121</v>
      </c>
      <c r="C52" s="7">
        <f t="shared" si="1"/>
        <v>46127</v>
      </c>
      <c r="D52" s="6">
        <v>3281</v>
      </c>
      <c r="E52" s="6">
        <v>337</v>
      </c>
      <c r="F52" s="6">
        <v>4</v>
      </c>
      <c r="G52" s="23">
        <v>1</v>
      </c>
      <c r="H52" s="23">
        <v>80920</v>
      </c>
      <c r="I52" s="6" t="s">
        <v>17</v>
      </c>
      <c r="J52" s="45">
        <v>79528142</v>
      </c>
      <c r="K52" s="45" t="s">
        <v>2720</v>
      </c>
      <c r="L52" s="45" t="s">
        <v>2722</v>
      </c>
      <c r="M52" s="46">
        <v>159900</v>
      </c>
      <c r="N52" s="35">
        <v>0.9</v>
      </c>
      <c r="O52" s="34">
        <f t="shared" si="2"/>
        <v>15990</v>
      </c>
      <c r="P52" s="6" t="s">
        <v>16</v>
      </c>
    </row>
    <row r="53" spans="1:16" x14ac:dyDescent="0.35">
      <c r="A53" s="32" t="s">
        <v>6424</v>
      </c>
      <c r="B53" s="7">
        <f t="shared" si="0"/>
        <v>46121</v>
      </c>
      <c r="C53" s="7">
        <f t="shared" si="1"/>
        <v>46127</v>
      </c>
      <c r="D53" s="6">
        <v>3281</v>
      </c>
      <c r="E53" s="6">
        <v>337</v>
      </c>
      <c r="F53" s="6">
        <v>4</v>
      </c>
      <c r="G53" s="23">
        <v>1</v>
      </c>
      <c r="H53" s="23">
        <v>80920</v>
      </c>
      <c r="I53" s="6" t="s">
        <v>17</v>
      </c>
      <c r="J53" s="45">
        <v>79647077</v>
      </c>
      <c r="K53" s="45" t="s">
        <v>2720</v>
      </c>
      <c r="L53" s="45" t="s">
        <v>2719</v>
      </c>
      <c r="M53" s="46">
        <v>159900</v>
      </c>
      <c r="N53" s="35">
        <v>0.9</v>
      </c>
      <c r="O53" s="34">
        <f t="shared" si="2"/>
        <v>15990</v>
      </c>
      <c r="P53" s="6" t="s">
        <v>16</v>
      </c>
    </row>
    <row r="54" spans="1:16" x14ac:dyDescent="0.35">
      <c r="A54" s="32" t="s">
        <v>6424</v>
      </c>
      <c r="B54" s="7">
        <f t="shared" si="0"/>
        <v>46121</v>
      </c>
      <c r="C54" s="7">
        <f t="shared" si="1"/>
        <v>46127</v>
      </c>
      <c r="D54" s="6">
        <v>3281</v>
      </c>
      <c r="E54" s="6">
        <v>337</v>
      </c>
      <c r="F54" s="6">
        <v>4</v>
      </c>
      <c r="G54" s="23">
        <v>1</v>
      </c>
      <c r="H54" s="23">
        <v>80920</v>
      </c>
      <c r="I54" s="6" t="s">
        <v>17</v>
      </c>
      <c r="J54" s="45">
        <v>79528151</v>
      </c>
      <c r="K54" s="45" t="s">
        <v>280</v>
      </c>
      <c r="L54" s="45" t="s">
        <v>281</v>
      </c>
      <c r="M54" s="46">
        <v>189900</v>
      </c>
      <c r="N54" s="35">
        <v>0.9</v>
      </c>
      <c r="O54" s="34">
        <f t="shared" si="2"/>
        <v>18990</v>
      </c>
      <c r="P54" s="6" t="s">
        <v>16</v>
      </c>
    </row>
    <row r="55" spans="1:16" x14ac:dyDescent="0.35">
      <c r="A55" s="32" t="s">
        <v>6424</v>
      </c>
      <c r="B55" s="7">
        <f t="shared" si="0"/>
        <v>46121</v>
      </c>
      <c r="C55" s="7">
        <f t="shared" si="1"/>
        <v>46127</v>
      </c>
      <c r="D55" s="6">
        <v>3281</v>
      </c>
      <c r="E55" s="6">
        <v>337</v>
      </c>
      <c r="F55" s="6">
        <v>4</v>
      </c>
      <c r="G55" s="23">
        <v>1</v>
      </c>
      <c r="H55" s="23">
        <v>80920</v>
      </c>
      <c r="I55" s="6" t="s">
        <v>17</v>
      </c>
      <c r="J55" s="45">
        <v>79528160</v>
      </c>
      <c r="K55" s="45" t="s">
        <v>280</v>
      </c>
      <c r="L55" s="45" t="s">
        <v>282</v>
      </c>
      <c r="M55" s="46">
        <v>189900</v>
      </c>
      <c r="N55" s="35">
        <v>0.9</v>
      </c>
      <c r="O55" s="34">
        <f t="shared" si="2"/>
        <v>18990</v>
      </c>
      <c r="P55" s="6" t="s">
        <v>16</v>
      </c>
    </row>
    <row r="56" spans="1:16" x14ac:dyDescent="0.35">
      <c r="A56" s="32" t="s">
        <v>6424</v>
      </c>
      <c r="B56" s="7">
        <f t="shared" si="0"/>
        <v>46121</v>
      </c>
      <c r="C56" s="7">
        <f t="shared" si="1"/>
        <v>46127</v>
      </c>
      <c r="D56" s="6">
        <v>3281</v>
      </c>
      <c r="E56" s="6">
        <v>337</v>
      </c>
      <c r="F56" s="6">
        <v>4</v>
      </c>
      <c r="G56" s="23">
        <v>1</v>
      </c>
      <c r="H56" s="23">
        <v>80920</v>
      </c>
      <c r="I56" s="6" t="s">
        <v>17</v>
      </c>
      <c r="J56" s="45">
        <v>79528188</v>
      </c>
      <c r="K56" s="45" t="s">
        <v>280</v>
      </c>
      <c r="L56" s="45" t="s">
        <v>283</v>
      </c>
      <c r="M56" s="46">
        <v>189900</v>
      </c>
      <c r="N56" s="35">
        <v>0.9</v>
      </c>
      <c r="O56" s="34">
        <f t="shared" si="2"/>
        <v>18990</v>
      </c>
      <c r="P56" s="6" t="s">
        <v>16</v>
      </c>
    </row>
    <row r="57" spans="1:16" x14ac:dyDescent="0.35">
      <c r="A57" s="32" t="s">
        <v>6424</v>
      </c>
      <c r="B57" s="7">
        <f t="shared" si="0"/>
        <v>46121</v>
      </c>
      <c r="C57" s="7">
        <f t="shared" si="1"/>
        <v>46127</v>
      </c>
      <c r="D57" s="6">
        <v>3281</v>
      </c>
      <c r="E57" s="6">
        <v>337</v>
      </c>
      <c r="F57" s="6">
        <v>4</v>
      </c>
      <c r="G57" s="23">
        <v>1</v>
      </c>
      <c r="H57" s="23">
        <v>80920</v>
      </c>
      <c r="I57" s="6" t="s">
        <v>17</v>
      </c>
      <c r="J57" s="45">
        <v>79528197</v>
      </c>
      <c r="K57" s="45" t="s">
        <v>284</v>
      </c>
      <c r="L57" s="45" t="s">
        <v>285</v>
      </c>
      <c r="M57" s="46">
        <v>169900</v>
      </c>
      <c r="N57" s="35">
        <v>0.9</v>
      </c>
      <c r="O57" s="34">
        <f t="shared" si="2"/>
        <v>16990</v>
      </c>
      <c r="P57" s="6" t="s">
        <v>16</v>
      </c>
    </row>
    <row r="58" spans="1:16" x14ac:dyDescent="0.35">
      <c r="A58" s="32" t="s">
        <v>6424</v>
      </c>
      <c r="B58" s="7">
        <f t="shared" si="0"/>
        <v>46121</v>
      </c>
      <c r="C58" s="7">
        <f t="shared" si="1"/>
        <v>46127</v>
      </c>
      <c r="D58" s="6">
        <v>3281</v>
      </c>
      <c r="E58" s="6">
        <v>337</v>
      </c>
      <c r="F58" s="6">
        <v>4</v>
      </c>
      <c r="G58" s="23">
        <v>1</v>
      </c>
      <c r="H58" s="23">
        <v>80920</v>
      </c>
      <c r="I58" s="6" t="s">
        <v>17</v>
      </c>
      <c r="J58" s="45">
        <v>79528204</v>
      </c>
      <c r="K58" s="45" t="s">
        <v>284</v>
      </c>
      <c r="L58" s="45" t="s">
        <v>286</v>
      </c>
      <c r="M58" s="46">
        <v>169900</v>
      </c>
      <c r="N58" s="35">
        <v>0.9</v>
      </c>
      <c r="O58" s="34">
        <f t="shared" si="2"/>
        <v>16990</v>
      </c>
      <c r="P58" s="6" t="s">
        <v>16</v>
      </c>
    </row>
    <row r="59" spans="1:16" x14ac:dyDescent="0.35">
      <c r="A59" s="32" t="s">
        <v>6424</v>
      </c>
      <c r="B59" s="7">
        <f t="shared" si="0"/>
        <v>46121</v>
      </c>
      <c r="C59" s="7">
        <f t="shared" si="1"/>
        <v>46127</v>
      </c>
      <c r="D59" s="6">
        <v>3281</v>
      </c>
      <c r="E59" s="6">
        <v>337</v>
      </c>
      <c r="F59" s="6">
        <v>4</v>
      </c>
      <c r="G59" s="23">
        <v>1</v>
      </c>
      <c r="H59" s="23">
        <v>80920</v>
      </c>
      <c r="I59" s="6" t="s">
        <v>17</v>
      </c>
      <c r="J59" s="45">
        <v>79528213</v>
      </c>
      <c r="K59" s="45" t="s">
        <v>284</v>
      </c>
      <c r="L59" s="45" t="s">
        <v>287</v>
      </c>
      <c r="M59" s="46">
        <v>169900</v>
      </c>
      <c r="N59" s="35">
        <v>0.9</v>
      </c>
      <c r="O59" s="34">
        <f t="shared" si="2"/>
        <v>16990</v>
      </c>
      <c r="P59" s="6" t="s">
        <v>16</v>
      </c>
    </row>
    <row r="60" spans="1:16" x14ac:dyDescent="0.35">
      <c r="A60" s="32" t="s">
        <v>6424</v>
      </c>
      <c r="B60" s="7">
        <f t="shared" si="0"/>
        <v>46121</v>
      </c>
      <c r="C60" s="7">
        <f t="shared" si="1"/>
        <v>46127</v>
      </c>
      <c r="D60" s="6">
        <v>3281</v>
      </c>
      <c r="E60" s="6">
        <v>337</v>
      </c>
      <c r="F60" s="6">
        <v>4</v>
      </c>
      <c r="G60" s="23">
        <v>1</v>
      </c>
      <c r="H60" s="23">
        <v>80920</v>
      </c>
      <c r="I60" s="6" t="s">
        <v>17</v>
      </c>
      <c r="J60" s="45">
        <v>79647086</v>
      </c>
      <c r="K60" s="45" t="s">
        <v>284</v>
      </c>
      <c r="L60" s="45" t="s">
        <v>288</v>
      </c>
      <c r="M60" s="46">
        <v>169900</v>
      </c>
      <c r="N60" s="35">
        <v>0.9</v>
      </c>
      <c r="O60" s="34">
        <f t="shared" si="2"/>
        <v>16990</v>
      </c>
      <c r="P60" s="6" t="s">
        <v>16</v>
      </c>
    </row>
    <row r="61" spans="1:16" x14ac:dyDescent="0.35">
      <c r="A61" s="32" t="s">
        <v>6424</v>
      </c>
      <c r="B61" s="7">
        <f t="shared" si="0"/>
        <v>46121</v>
      </c>
      <c r="C61" s="7">
        <f t="shared" si="1"/>
        <v>46127</v>
      </c>
      <c r="D61" s="6">
        <v>3281</v>
      </c>
      <c r="E61" s="6">
        <v>337</v>
      </c>
      <c r="F61" s="6">
        <v>4</v>
      </c>
      <c r="G61" s="23">
        <v>1</v>
      </c>
      <c r="H61" s="23">
        <v>80920</v>
      </c>
      <c r="I61" s="6" t="s">
        <v>17</v>
      </c>
      <c r="J61" s="45">
        <v>79528231</v>
      </c>
      <c r="K61" s="45" t="s">
        <v>253</v>
      </c>
      <c r="L61" s="45" t="s">
        <v>254</v>
      </c>
      <c r="M61" s="46">
        <v>159900</v>
      </c>
      <c r="N61" s="35">
        <v>0.9</v>
      </c>
      <c r="O61" s="34">
        <f t="shared" si="2"/>
        <v>15990</v>
      </c>
      <c r="P61" s="6" t="s">
        <v>16</v>
      </c>
    </row>
    <row r="62" spans="1:16" x14ac:dyDescent="0.35">
      <c r="A62" s="32" t="s">
        <v>6424</v>
      </c>
      <c r="B62" s="7">
        <f t="shared" si="0"/>
        <v>46121</v>
      </c>
      <c r="C62" s="7">
        <f t="shared" si="1"/>
        <v>46127</v>
      </c>
      <c r="D62" s="6">
        <v>3281</v>
      </c>
      <c r="E62" s="6">
        <v>337</v>
      </c>
      <c r="F62" s="6">
        <v>4</v>
      </c>
      <c r="G62" s="23">
        <v>1</v>
      </c>
      <c r="H62" s="23">
        <v>80920</v>
      </c>
      <c r="I62" s="6" t="s">
        <v>17</v>
      </c>
      <c r="J62" s="45">
        <v>81754607</v>
      </c>
      <c r="K62" s="45" t="s">
        <v>2715</v>
      </c>
      <c r="L62" s="45" t="s">
        <v>2718</v>
      </c>
      <c r="M62" s="46">
        <v>159900</v>
      </c>
      <c r="N62" s="35">
        <v>0.9</v>
      </c>
      <c r="O62" s="34">
        <f t="shared" si="2"/>
        <v>15990</v>
      </c>
      <c r="P62" s="6" t="s">
        <v>16</v>
      </c>
    </row>
    <row r="63" spans="1:16" x14ac:dyDescent="0.35">
      <c r="A63" s="32" t="s">
        <v>6424</v>
      </c>
      <c r="B63" s="7">
        <f t="shared" si="0"/>
        <v>46121</v>
      </c>
      <c r="C63" s="7">
        <f t="shared" si="1"/>
        <v>46127</v>
      </c>
      <c r="D63" s="6">
        <v>3281</v>
      </c>
      <c r="E63" s="6">
        <v>337</v>
      </c>
      <c r="F63" s="6">
        <v>4</v>
      </c>
      <c r="G63" s="23">
        <v>1</v>
      </c>
      <c r="H63" s="23">
        <v>80920</v>
      </c>
      <c r="I63" s="6" t="s">
        <v>17</v>
      </c>
      <c r="J63" s="45">
        <v>81754616</v>
      </c>
      <c r="K63" s="45" t="s">
        <v>2715</v>
      </c>
      <c r="L63" s="45" t="s">
        <v>2717</v>
      </c>
      <c r="M63" s="46">
        <v>159900</v>
      </c>
      <c r="N63" s="35">
        <v>0.9</v>
      </c>
      <c r="O63" s="34">
        <f t="shared" si="2"/>
        <v>15990</v>
      </c>
      <c r="P63" s="6" t="s">
        <v>16</v>
      </c>
    </row>
    <row r="64" spans="1:16" x14ac:dyDescent="0.35">
      <c r="A64" s="32" t="s">
        <v>6424</v>
      </c>
      <c r="B64" s="7">
        <f t="shared" si="0"/>
        <v>46121</v>
      </c>
      <c r="C64" s="7">
        <f t="shared" si="1"/>
        <v>46127</v>
      </c>
      <c r="D64" s="6">
        <v>3281</v>
      </c>
      <c r="E64" s="6">
        <v>337</v>
      </c>
      <c r="F64" s="6">
        <v>4</v>
      </c>
      <c r="G64" s="23">
        <v>1</v>
      </c>
      <c r="H64" s="23">
        <v>80920</v>
      </c>
      <c r="I64" s="6" t="s">
        <v>17</v>
      </c>
      <c r="J64" s="45">
        <v>81754625</v>
      </c>
      <c r="K64" s="45" t="s">
        <v>2715</v>
      </c>
      <c r="L64" s="45" t="s">
        <v>2716</v>
      </c>
      <c r="M64" s="46">
        <v>159900</v>
      </c>
      <c r="N64" s="35">
        <v>0.9</v>
      </c>
      <c r="O64" s="34">
        <f t="shared" si="2"/>
        <v>15990</v>
      </c>
      <c r="P64" s="6" t="s">
        <v>16</v>
      </c>
    </row>
    <row r="65" spans="1:16" x14ac:dyDescent="0.35">
      <c r="A65" s="32" t="s">
        <v>6424</v>
      </c>
      <c r="B65" s="7">
        <f t="shared" si="0"/>
        <v>46121</v>
      </c>
      <c r="C65" s="7">
        <f t="shared" si="1"/>
        <v>46127</v>
      </c>
      <c r="D65" s="6">
        <v>3281</v>
      </c>
      <c r="E65" s="6">
        <v>337</v>
      </c>
      <c r="F65" s="6">
        <v>4</v>
      </c>
      <c r="G65" s="23">
        <v>1</v>
      </c>
      <c r="H65" s="23">
        <v>80920</v>
      </c>
      <c r="I65" s="6" t="s">
        <v>17</v>
      </c>
      <c r="J65" s="45">
        <v>81754634</v>
      </c>
      <c r="K65" s="45" t="s">
        <v>2715</v>
      </c>
      <c r="L65" s="45" t="s">
        <v>2714</v>
      </c>
      <c r="M65" s="46">
        <v>159900</v>
      </c>
      <c r="N65" s="35">
        <v>0.9</v>
      </c>
      <c r="O65" s="34">
        <f t="shared" si="2"/>
        <v>15990</v>
      </c>
      <c r="P65" s="6" t="s">
        <v>16</v>
      </c>
    </row>
    <row r="66" spans="1:16" x14ac:dyDescent="0.35">
      <c r="A66" s="32" t="s">
        <v>6424</v>
      </c>
      <c r="B66" s="7">
        <f t="shared" si="0"/>
        <v>46121</v>
      </c>
      <c r="C66" s="7">
        <f t="shared" si="1"/>
        <v>46127</v>
      </c>
      <c r="D66" s="6">
        <v>3281</v>
      </c>
      <c r="E66" s="6">
        <v>337</v>
      </c>
      <c r="F66" s="6">
        <v>4</v>
      </c>
      <c r="G66" s="23">
        <v>1</v>
      </c>
      <c r="H66" s="23">
        <v>80920</v>
      </c>
      <c r="I66" s="6" t="s">
        <v>17</v>
      </c>
      <c r="J66" s="45">
        <v>86446280</v>
      </c>
      <c r="K66" s="45" t="s">
        <v>93</v>
      </c>
      <c r="L66" s="45" t="s">
        <v>94</v>
      </c>
      <c r="M66" s="46">
        <v>149900</v>
      </c>
      <c r="N66" s="35">
        <v>0.9</v>
      </c>
      <c r="O66" s="34">
        <f t="shared" si="2"/>
        <v>14990</v>
      </c>
      <c r="P66" s="6" t="s">
        <v>16</v>
      </c>
    </row>
    <row r="67" spans="1:16" x14ac:dyDescent="0.35">
      <c r="A67" s="32" t="s">
        <v>6424</v>
      </c>
      <c r="B67" s="7">
        <f t="shared" si="0"/>
        <v>46121</v>
      </c>
      <c r="C67" s="7">
        <f t="shared" si="1"/>
        <v>46127</v>
      </c>
      <c r="D67" s="6">
        <v>3281</v>
      </c>
      <c r="E67" s="6">
        <v>337</v>
      </c>
      <c r="F67" s="6">
        <v>4</v>
      </c>
      <c r="G67" s="23">
        <v>1</v>
      </c>
      <c r="H67" s="23">
        <v>80920</v>
      </c>
      <c r="I67" s="6" t="s">
        <v>17</v>
      </c>
      <c r="J67" s="45">
        <v>86446299</v>
      </c>
      <c r="K67" s="45" t="s">
        <v>93</v>
      </c>
      <c r="L67" s="45" t="s">
        <v>95</v>
      </c>
      <c r="M67" s="46">
        <v>149900</v>
      </c>
      <c r="N67" s="35">
        <v>0.9</v>
      </c>
      <c r="O67" s="34">
        <f t="shared" si="2"/>
        <v>14990</v>
      </c>
      <c r="P67" s="6" t="s">
        <v>16</v>
      </c>
    </row>
    <row r="68" spans="1:16" x14ac:dyDescent="0.35">
      <c r="A68" s="32" t="s">
        <v>6424</v>
      </c>
      <c r="B68" s="7">
        <f t="shared" ref="B68:B131" si="3">B67</f>
        <v>46121</v>
      </c>
      <c r="C68" s="7">
        <f t="shared" ref="C68:C131" si="4">C67</f>
        <v>46127</v>
      </c>
      <c r="D68" s="6">
        <v>3281</v>
      </c>
      <c r="E68" s="6">
        <v>337</v>
      </c>
      <c r="F68" s="6">
        <v>4</v>
      </c>
      <c r="G68" s="23">
        <v>1</v>
      </c>
      <c r="H68" s="23">
        <v>80920</v>
      </c>
      <c r="I68" s="6" t="s">
        <v>17</v>
      </c>
      <c r="J68" s="45">
        <v>86446306</v>
      </c>
      <c r="K68" s="45" t="s">
        <v>93</v>
      </c>
      <c r="L68" s="45" t="s">
        <v>96</v>
      </c>
      <c r="M68" s="46">
        <v>149900</v>
      </c>
      <c r="N68" s="35">
        <v>0.9</v>
      </c>
      <c r="O68" s="34">
        <f t="shared" ref="O68:O131" si="5">M68-((90*M68)/100)</f>
        <v>14990</v>
      </c>
      <c r="P68" s="6" t="s">
        <v>16</v>
      </c>
    </row>
    <row r="69" spans="1:16" x14ac:dyDescent="0.35">
      <c r="A69" s="32" t="s">
        <v>6424</v>
      </c>
      <c r="B69" s="7">
        <f t="shared" si="3"/>
        <v>46121</v>
      </c>
      <c r="C69" s="7">
        <f t="shared" si="4"/>
        <v>46127</v>
      </c>
      <c r="D69" s="6">
        <v>3281</v>
      </c>
      <c r="E69" s="6">
        <v>337</v>
      </c>
      <c r="F69" s="6">
        <v>4</v>
      </c>
      <c r="G69" s="23">
        <v>1</v>
      </c>
      <c r="H69" s="23">
        <v>80920</v>
      </c>
      <c r="I69" s="6" t="s">
        <v>17</v>
      </c>
      <c r="J69" s="45">
        <v>86446315</v>
      </c>
      <c r="K69" s="45" t="s">
        <v>93</v>
      </c>
      <c r="L69" s="45" t="s">
        <v>97</v>
      </c>
      <c r="M69" s="46">
        <v>149900</v>
      </c>
      <c r="N69" s="35">
        <v>0.9</v>
      </c>
      <c r="O69" s="34">
        <f t="shared" si="5"/>
        <v>14990</v>
      </c>
      <c r="P69" s="6" t="s">
        <v>16</v>
      </c>
    </row>
    <row r="70" spans="1:16" x14ac:dyDescent="0.35">
      <c r="A70" s="32" t="s">
        <v>6424</v>
      </c>
      <c r="B70" s="7">
        <f t="shared" si="3"/>
        <v>46121</v>
      </c>
      <c r="C70" s="7">
        <f t="shared" si="4"/>
        <v>46127</v>
      </c>
      <c r="D70" s="6">
        <v>3281</v>
      </c>
      <c r="E70" s="6">
        <v>337</v>
      </c>
      <c r="F70" s="6">
        <v>4</v>
      </c>
      <c r="G70" s="23">
        <v>1</v>
      </c>
      <c r="H70" s="23">
        <v>80920</v>
      </c>
      <c r="I70" s="6" t="s">
        <v>17</v>
      </c>
      <c r="J70" s="45">
        <v>87434586</v>
      </c>
      <c r="K70" s="45" t="s">
        <v>23</v>
      </c>
      <c r="L70" s="45" t="s">
        <v>24</v>
      </c>
      <c r="M70" s="46">
        <v>149900</v>
      </c>
      <c r="N70" s="35">
        <v>0.9</v>
      </c>
      <c r="O70" s="34">
        <f t="shared" si="5"/>
        <v>14990</v>
      </c>
      <c r="P70" s="6" t="s">
        <v>16</v>
      </c>
    </row>
    <row r="71" spans="1:16" x14ac:dyDescent="0.35">
      <c r="A71" s="32" t="s">
        <v>6424</v>
      </c>
      <c r="B71" s="7">
        <f t="shared" si="3"/>
        <v>46121</v>
      </c>
      <c r="C71" s="7">
        <f t="shared" si="4"/>
        <v>46127</v>
      </c>
      <c r="D71" s="6">
        <v>3281</v>
      </c>
      <c r="E71" s="6">
        <v>337</v>
      </c>
      <c r="F71" s="6">
        <v>4</v>
      </c>
      <c r="G71" s="23">
        <v>1</v>
      </c>
      <c r="H71" s="23">
        <v>80920</v>
      </c>
      <c r="I71" s="6" t="s">
        <v>17</v>
      </c>
      <c r="J71" s="45">
        <v>87434595</v>
      </c>
      <c r="K71" s="45" t="s">
        <v>23</v>
      </c>
      <c r="L71" s="45" t="s">
        <v>25</v>
      </c>
      <c r="M71" s="46">
        <v>149900</v>
      </c>
      <c r="N71" s="35">
        <v>0.9</v>
      </c>
      <c r="O71" s="34">
        <f t="shared" si="5"/>
        <v>14990</v>
      </c>
      <c r="P71" s="6" t="s">
        <v>16</v>
      </c>
    </row>
    <row r="72" spans="1:16" x14ac:dyDescent="0.35">
      <c r="A72" s="32" t="s">
        <v>6424</v>
      </c>
      <c r="B72" s="7">
        <f t="shared" si="3"/>
        <v>46121</v>
      </c>
      <c r="C72" s="7">
        <f t="shared" si="4"/>
        <v>46127</v>
      </c>
      <c r="D72" s="6">
        <v>3281</v>
      </c>
      <c r="E72" s="6">
        <v>337</v>
      </c>
      <c r="F72" s="6">
        <v>4</v>
      </c>
      <c r="G72" s="23">
        <v>1</v>
      </c>
      <c r="H72" s="23">
        <v>80920</v>
      </c>
      <c r="I72" s="6" t="s">
        <v>17</v>
      </c>
      <c r="J72" s="45">
        <v>87434602</v>
      </c>
      <c r="K72" s="45" t="s">
        <v>23</v>
      </c>
      <c r="L72" s="45" t="s">
        <v>26</v>
      </c>
      <c r="M72" s="46">
        <v>149900</v>
      </c>
      <c r="N72" s="35">
        <v>0.9</v>
      </c>
      <c r="O72" s="34">
        <f t="shared" si="5"/>
        <v>14990</v>
      </c>
      <c r="P72" s="6" t="s">
        <v>16</v>
      </c>
    </row>
    <row r="73" spans="1:16" x14ac:dyDescent="0.35">
      <c r="A73" s="32" t="s">
        <v>6424</v>
      </c>
      <c r="B73" s="7">
        <f t="shared" si="3"/>
        <v>46121</v>
      </c>
      <c r="C73" s="7">
        <f t="shared" si="4"/>
        <v>46127</v>
      </c>
      <c r="D73" s="6">
        <v>3281</v>
      </c>
      <c r="E73" s="6">
        <v>337</v>
      </c>
      <c r="F73" s="6">
        <v>4</v>
      </c>
      <c r="G73" s="23">
        <v>1</v>
      </c>
      <c r="H73" s="23">
        <v>80920</v>
      </c>
      <c r="I73" s="6" t="s">
        <v>17</v>
      </c>
      <c r="J73" s="45">
        <v>13493268</v>
      </c>
      <c r="K73" s="45" t="s">
        <v>90</v>
      </c>
      <c r="L73" s="45" t="s">
        <v>91</v>
      </c>
      <c r="M73" s="46">
        <v>159900</v>
      </c>
      <c r="N73" s="35">
        <v>0.9</v>
      </c>
      <c r="O73" s="34">
        <f t="shared" si="5"/>
        <v>15990</v>
      </c>
      <c r="P73" s="6" t="s">
        <v>16</v>
      </c>
    </row>
    <row r="74" spans="1:16" x14ac:dyDescent="0.35">
      <c r="A74" s="32" t="s">
        <v>6424</v>
      </c>
      <c r="B74" s="7">
        <f t="shared" si="3"/>
        <v>46121</v>
      </c>
      <c r="C74" s="7">
        <f t="shared" si="4"/>
        <v>46127</v>
      </c>
      <c r="D74" s="6">
        <v>3281</v>
      </c>
      <c r="E74" s="6">
        <v>337</v>
      </c>
      <c r="F74" s="6">
        <v>4</v>
      </c>
      <c r="G74" s="23">
        <v>1</v>
      </c>
      <c r="H74" s="23">
        <v>80920</v>
      </c>
      <c r="I74" s="6" t="s">
        <v>17</v>
      </c>
      <c r="J74" s="45">
        <v>13493277</v>
      </c>
      <c r="K74" s="45" t="s">
        <v>90</v>
      </c>
      <c r="L74" s="45" t="s">
        <v>92</v>
      </c>
      <c r="M74" s="46">
        <v>159900</v>
      </c>
      <c r="N74" s="35">
        <v>0.9</v>
      </c>
      <c r="O74" s="34">
        <f t="shared" si="5"/>
        <v>15990</v>
      </c>
      <c r="P74" s="6" t="s">
        <v>16</v>
      </c>
    </row>
    <row r="75" spans="1:16" x14ac:dyDescent="0.35">
      <c r="A75" s="32" t="s">
        <v>6424</v>
      </c>
      <c r="B75" s="7">
        <f t="shared" si="3"/>
        <v>46121</v>
      </c>
      <c r="C75" s="7">
        <f t="shared" si="4"/>
        <v>46127</v>
      </c>
      <c r="D75" s="6">
        <v>3281</v>
      </c>
      <c r="E75" s="6">
        <v>337</v>
      </c>
      <c r="F75" s="6">
        <v>4</v>
      </c>
      <c r="G75" s="23">
        <v>1</v>
      </c>
      <c r="H75" s="23">
        <v>80920</v>
      </c>
      <c r="I75" s="6" t="s">
        <v>17</v>
      </c>
      <c r="J75" s="45">
        <v>14478827</v>
      </c>
      <c r="K75" s="45" t="s">
        <v>98</v>
      </c>
      <c r="L75" s="45" t="s">
        <v>99</v>
      </c>
      <c r="M75" s="46">
        <v>149900</v>
      </c>
      <c r="N75" s="35">
        <v>0.9</v>
      </c>
      <c r="O75" s="34">
        <f t="shared" si="5"/>
        <v>14990</v>
      </c>
      <c r="P75" s="6" t="s">
        <v>16</v>
      </c>
    </row>
    <row r="76" spans="1:16" x14ac:dyDescent="0.35">
      <c r="A76" s="32" t="s">
        <v>6424</v>
      </c>
      <c r="B76" s="7">
        <f t="shared" si="3"/>
        <v>46121</v>
      </c>
      <c r="C76" s="7">
        <f t="shared" si="4"/>
        <v>46127</v>
      </c>
      <c r="D76" s="6">
        <v>3281</v>
      </c>
      <c r="E76" s="6">
        <v>337</v>
      </c>
      <c r="F76" s="6">
        <v>4</v>
      </c>
      <c r="G76" s="23">
        <v>1</v>
      </c>
      <c r="H76" s="23">
        <v>81676</v>
      </c>
      <c r="I76" s="6" t="s">
        <v>17</v>
      </c>
      <c r="J76" s="45">
        <v>83381435</v>
      </c>
      <c r="K76" s="45" t="s">
        <v>2701</v>
      </c>
      <c r="L76" s="45" t="s">
        <v>2702</v>
      </c>
      <c r="M76" s="46">
        <v>129900</v>
      </c>
      <c r="N76" s="35">
        <v>0.9</v>
      </c>
      <c r="O76" s="34">
        <f t="shared" si="5"/>
        <v>12990</v>
      </c>
      <c r="P76" s="6" t="s">
        <v>16</v>
      </c>
    </row>
    <row r="77" spans="1:16" x14ac:dyDescent="0.35">
      <c r="A77" s="32" t="s">
        <v>6424</v>
      </c>
      <c r="B77" s="7">
        <f t="shared" si="3"/>
        <v>46121</v>
      </c>
      <c r="C77" s="7">
        <f t="shared" si="4"/>
        <v>46127</v>
      </c>
      <c r="D77" s="6">
        <v>3281</v>
      </c>
      <c r="E77" s="6">
        <v>337</v>
      </c>
      <c r="F77" s="6">
        <v>4</v>
      </c>
      <c r="G77" s="23">
        <v>1</v>
      </c>
      <c r="H77" s="23">
        <v>81676</v>
      </c>
      <c r="I77" s="6" t="s">
        <v>17</v>
      </c>
      <c r="J77" s="45">
        <v>83381453</v>
      </c>
      <c r="K77" s="45" t="s">
        <v>2698</v>
      </c>
      <c r="L77" s="45" t="s">
        <v>2700</v>
      </c>
      <c r="M77" s="46">
        <v>129900</v>
      </c>
      <c r="N77" s="35">
        <v>0.9</v>
      </c>
      <c r="O77" s="34">
        <f t="shared" si="5"/>
        <v>12990</v>
      </c>
      <c r="P77" s="6" t="s">
        <v>16</v>
      </c>
    </row>
    <row r="78" spans="1:16" x14ac:dyDescent="0.35">
      <c r="A78" s="32" t="s">
        <v>6424</v>
      </c>
      <c r="B78" s="7">
        <f t="shared" si="3"/>
        <v>46121</v>
      </c>
      <c r="C78" s="7">
        <f t="shared" si="4"/>
        <v>46127</v>
      </c>
      <c r="D78" s="6">
        <v>3281</v>
      </c>
      <c r="E78" s="6">
        <v>337</v>
      </c>
      <c r="F78" s="6">
        <v>4</v>
      </c>
      <c r="G78" s="23">
        <v>1</v>
      </c>
      <c r="H78" s="23">
        <v>81676</v>
      </c>
      <c r="I78" s="6" t="s">
        <v>17</v>
      </c>
      <c r="J78" s="45">
        <v>83381462</v>
      </c>
      <c r="K78" s="45" t="s">
        <v>2698</v>
      </c>
      <c r="L78" s="45" t="s">
        <v>2699</v>
      </c>
      <c r="M78" s="46">
        <v>129900</v>
      </c>
      <c r="N78" s="35">
        <v>0.9</v>
      </c>
      <c r="O78" s="34">
        <f t="shared" si="5"/>
        <v>12990</v>
      </c>
      <c r="P78" s="6" t="s">
        <v>16</v>
      </c>
    </row>
    <row r="79" spans="1:16" x14ac:dyDescent="0.35">
      <c r="A79" s="32" t="s">
        <v>6424</v>
      </c>
      <c r="B79" s="7">
        <f t="shared" si="3"/>
        <v>46121</v>
      </c>
      <c r="C79" s="7">
        <f t="shared" si="4"/>
        <v>46127</v>
      </c>
      <c r="D79" s="6">
        <v>3281</v>
      </c>
      <c r="E79" s="6">
        <v>337</v>
      </c>
      <c r="F79" s="6">
        <v>4</v>
      </c>
      <c r="G79" s="23">
        <v>1</v>
      </c>
      <c r="H79" s="23">
        <v>81676</v>
      </c>
      <c r="I79" s="6" t="s">
        <v>17</v>
      </c>
      <c r="J79" s="45">
        <v>83381480</v>
      </c>
      <c r="K79" s="45" t="s">
        <v>2698</v>
      </c>
      <c r="L79" s="45" t="s">
        <v>2697</v>
      </c>
      <c r="M79" s="46">
        <v>129900</v>
      </c>
      <c r="N79" s="35">
        <v>0.9</v>
      </c>
      <c r="O79" s="34">
        <f t="shared" si="5"/>
        <v>12990</v>
      </c>
      <c r="P79" s="6" t="s">
        <v>16</v>
      </c>
    </row>
    <row r="80" spans="1:16" x14ac:dyDescent="0.35">
      <c r="A80" s="32" t="s">
        <v>6424</v>
      </c>
      <c r="B80" s="7">
        <f t="shared" si="3"/>
        <v>46121</v>
      </c>
      <c r="C80" s="7">
        <f t="shared" si="4"/>
        <v>46127</v>
      </c>
      <c r="D80" s="6">
        <v>3281</v>
      </c>
      <c r="E80" s="6">
        <v>337</v>
      </c>
      <c r="F80" s="6">
        <v>4</v>
      </c>
      <c r="G80" s="23">
        <v>2</v>
      </c>
      <c r="H80" s="23">
        <v>80920</v>
      </c>
      <c r="I80" s="6" t="s">
        <v>17</v>
      </c>
      <c r="J80" s="45">
        <v>75737496</v>
      </c>
      <c r="K80" s="45" t="s">
        <v>159</v>
      </c>
      <c r="L80" s="45" t="s">
        <v>160</v>
      </c>
      <c r="M80" s="46">
        <v>279900</v>
      </c>
      <c r="N80" s="35">
        <v>0.9</v>
      </c>
      <c r="O80" s="34">
        <f t="shared" si="5"/>
        <v>27990</v>
      </c>
      <c r="P80" s="6" t="s">
        <v>16</v>
      </c>
    </row>
    <row r="81" spans="1:16" x14ac:dyDescent="0.35">
      <c r="A81" s="32" t="s">
        <v>6424</v>
      </c>
      <c r="B81" s="7">
        <f t="shared" si="3"/>
        <v>46121</v>
      </c>
      <c r="C81" s="7">
        <f t="shared" si="4"/>
        <v>46127</v>
      </c>
      <c r="D81" s="6">
        <v>3281</v>
      </c>
      <c r="E81" s="6">
        <v>337</v>
      </c>
      <c r="F81" s="6">
        <v>4</v>
      </c>
      <c r="G81" s="23">
        <v>2</v>
      </c>
      <c r="H81" s="23">
        <v>80920</v>
      </c>
      <c r="I81" s="6" t="s">
        <v>17</v>
      </c>
      <c r="J81" s="45">
        <v>75737503</v>
      </c>
      <c r="K81" s="45" t="s">
        <v>159</v>
      </c>
      <c r="L81" s="45" t="s">
        <v>161</v>
      </c>
      <c r="M81" s="46">
        <v>279900</v>
      </c>
      <c r="N81" s="35">
        <v>0.9</v>
      </c>
      <c r="O81" s="34">
        <f t="shared" si="5"/>
        <v>27990</v>
      </c>
      <c r="P81" s="6" t="s">
        <v>16</v>
      </c>
    </row>
    <row r="82" spans="1:16" x14ac:dyDescent="0.35">
      <c r="A82" s="32" t="s">
        <v>6424</v>
      </c>
      <c r="B82" s="7">
        <f t="shared" si="3"/>
        <v>46121</v>
      </c>
      <c r="C82" s="7">
        <f t="shared" si="4"/>
        <v>46127</v>
      </c>
      <c r="D82" s="6">
        <v>3281</v>
      </c>
      <c r="E82" s="6">
        <v>337</v>
      </c>
      <c r="F82" s="6">
        <v>4</v>
      </c>
      <c r="G82" s="23">
        <v>2</v>
      </c>
      <c r="H82" s="23">
        <v>80920</v>
      </c>
      <c r="I82" s="6" t="s">
        <v>17</v>
      </c>
      <c r="J82" s="45">
        <v>75738271</v>
      </c>
      <c r="K82" s="45" t="s">
        <v>162</v>
      </c>
      <c r="L82" s="45" t="s">
        <v>163</v>
      </c>
      <c r="M82" s="46">
        <v>279900</v>
      </c>
      <c r="N82" s="35">
        <v>0.9</v>
      </c>
      <c r="O82" s="34">
        <f t="shared" si="5"/>
        <v>27990</v>
      </c>
      <c r="P82" s="6" t="s">
        <v>16</v>
      </c>
    </row>
    <row r="83" spans="1:16" x14ac:dyDescent="0.35">
      <c r="A83" s="32" t="s">
        <v>6424</v>
      </c>
      <c r="B83" s="7">
        <f t="shared" si="3"/>
        <v>46121</v>
      </c>
      <c r="C83" s="7">
        <f t="shared" si="4"/>
        <v>46127</v>
      </c>
      <c r="D83" s="6">
        <v>3281</v>
      </c>
      <c r="E83" s="6">
        <v>337</v>
      </c>
      <c r="F83" s="6">
        <v>4</v>
      </c>
      <c r="G83" s="23">
        <v>2</v>
      </c>
      <c r="H83" s="23">
        <v>80920</v>
      </c>
      <c r="I83" s="6" t="s">
        <v>17</v>
      </c>
      <c r="J83" s="45">
        <v>75738280</v>
      </c>
      <c r="K83" s="45" t="s">
        <v>162</v>
      </c>
      <c r="L83" s="45" t="s">
        <v>164</v>
      </c>
      <c r="M83" s="46">
        <v>279900</v>
      </c>
      <c r="N83" s="35">
        <v>0.9</v>
      </c>
      <c r="O83" s="34">
        <f t="shared" si="5"/>
        <v>27990</v>
      </c>
      <c r="P83" s="6" t="s">
        <v>16</v>
      </c>
    </row>
    <row r="84" spans="1:16" x14ac:dyDescent="0.35">
      <c r="A84" s="32" t="s">
        <v>6424</v>
      </c>
      <c r="B84" s="7">
        <f t="shared" si="3"/>
        <v>46121</v>
      </c>
      <c r="C84" s="7">
        <f t="shared" si="4"/>
        <v>46127</v>
      </c>
      <c r="D84" s="6">
        <v>3281</v>
      </c>
      <c r="E84" s="6">
        <v>337</v>
      </c>
      <c r="F84" s="6">
        <v>4</v>
      </c>
      <c r="G84" s="23">
        <v>2</v>
      </c>
      <c r="H84" s="23">
        <v>80920</v>
      </c>
      <c r="I84" s="6" t="s">
        <v>17</v>
      </c>
      <c r="J84" s="45">
        <v>75738306</v>
      </c>
      <c r="K84" s="45" t="s">
        <v>162</v>
      </c>
      <c r="L84" s="45" t="s">
        <v>165</v>
      </c>
      <c r="M84" s="46">
        <v>279900</v>
      </c>
      <c r="N84" s="35">
        <v>0.9</v>
      </c>
      <c r="O84" s="34">
        <f t="shared" si="5"/>
        <v>27990</v>
      </c>
      <c r="P84" s="6" t="s">
        <v>16</v>
      </c>
    </row>
    <row r="85" spans="1:16" x14ac:dyDescent="0.35">
      <c r="A85" s="32" t="s">
        <v>6424</v>
      </c>
      <c r="B85" s="7">
        <f t="shared" si="3"/>
        <v>46121</v>
      </c>
      <c r="C85" s="7">
        <f t="shared" si="4"/>
        <v>46127</v>
      </c>
      <c r="D85" s="6">
        <v>3281</v>
      </c>
      <c r="E85" s="6">
        <v>337</v>
      </c>
      <c r="F85" s="6">
        <v>4</v>
      </c>
      <c r="G85" s="23">
        <v>3</v>
      </c>
      <c r="H85" s="23">
        <v>80994</v>
      </c>
      <c r="I85" s="6" t="s">
        <v>17</v>
      </c>
      <c r="J85" s="45">
        <v>75739412</v>
      </c>
      <c r="K85" s="45" t="s">
        <v>149</v>
      </c>
      <c r="L85" s="45" t="s">
        <v>150</v>
      </c>
      <c r="M85" s="46">
        <v>229900</v>
      </c>
      <c r="N85" s="35">
        <v>0.9</v>
      </c>
      <c r="O85" s="34">
        <f t="shared" si="5"/>
        <v>22990</v>
      </c>
      <c r="P85" s="6" t="s">
        <v>16</v>
      </c>
    </row>
    <row r="86" spans="1:16" x14ac:dyDescent="0.35">
      <c r="A86" s="32" t="s">
        <v>6424</v>
      </c>
      <c r="B86" s="7">
        <f t="shared" si="3"/>
        <v>46121</v>
      </c>
      <c r="C86" s="7">
        <f t="shared" si="4"/>
        <v>46127</v>
      </c>
      <c r="D86" s="6">
        <v>3281</v>
      </c>
      <c r="E86" s="6">
        <v>337</v>
      </c>
      <c r="F86" s="6">
        <v>4</v>
      </c>
      <c r="G86" s="23">
        <v>3</v>
      </c>
      <c r="H86" s="23">
        <v>80994</v>
      </c>
      <c r="I86" s="6" t="s">
        <v>17</v>
      </c>
      <c r="J86" s="45">
        <v>75739421</v>
      </c>
      <c r="K86" s="45" t="s">
        <v>149</v>
      </c>
      <c r="L86" s="45" t="s">
        <v>151</v>
      </c>
      <c r="M86" s="46">
        <v>229900</v>
      </c>
      <c r="N86" s="35">
        <v>0.9</v>
      </c>
      <c r="O86" s="34">
        <f t="shared" si="5"/>
        <v>22990</v>
      </c>
      <c r="P86" s="6" t="s">
        <v>16</v>
      </c>
    </row>
    <row r="87" spans="1:16" x14ac:dyDescent="0.35">
      <c r="A87" s="32" t="s">
        <v>6424</v>
      </c>
      <c r="B87" s="7">
        <f t="shared" si="3"/>
        <v>46121</v>
      </c>
      <c r="C87" s="7">
        <f t="shared" si="4"/>
        <v>46127</v>
      </c>
      <c r="D87" s="6">
        <v>3281</v>
      </c>
      <c r="E87" s="6">
        <v>337</v>
      </c>
      <c r="F87" s="6">
        <v>4</v>
      </c>
      <c r="G87" s="23">
        <v>3</v>
      </c>
      <c r="H87" s="23">
        <v>80994</v>
      </c>
      <c r="I87" s="6" t="s">
        <v>17</v>
      </c>
      <c r="J87" s="45">
        <v>75739430</v>
      </c>
      <c r="K87" s="45" t="s">
        <v>149</v>
      </c>
      <c r="L87" s="45" t="s">
        <v>152</v>
      </c>
      <c r="M87" s="46">
        <v>229900</v>
      </c>
      <c r="N87" s="35">
        <v>0.9</v>
      </c>
      <c r="O87" s="34">
        <f t="shared" si="5"/>
        <v>22990</v>
      </c>
      <c r="P87" s="6" t="s">
        <v>16</v>
      </c>
    </row>
    <row r="88" spans="1:16" x14ac:dyDescent="0.35">
      <c r="A88" s="32" t="s">
        <v>6424</v>
      </c>
      <c r="B88" s="7">
        <f t="shared" si="3"/>
        <v>46121</v>
      </c>
      <c r="C88" s="7">
        <f t="shared" si="4"/>
        <v>46127</v>
      </c>
      <c r="D88" s="6">
        <v>3281</v>
      </c>
      <c r="E88" s="6">
        <v>337</v>
      </c>
      <c r="F88" s="6">
        <v>4</v>
      </c>
      <c r="G88" s="23">
        <v>3</v>
      </c>
      <c r="H88" s="23">
        <v>80994</v>
      </c>
      <c r="I88" s="6" t="s">
        <v>17</v>
      </c>
      <c r="J88" s="45">
        <v>75739449</v>
      </c>
      <c r="K88" s="45" t="s">
        <v>149</v>
      </c>
      <c r="L88" s="45" t="s">
        <v>153</v>
      </c>
      <c r="M88" s="46">
        <v>229900</v>
      </c>
      <c r="N88" s="35">
        <v>0.9</v>
      </c>
      <c r="O88" s="34">
        <f t="shared" si="5"/>
        <v>22990</v>
      </c>
      <c r="P88" s="6" t="s">
        <v>16</v>
      </c>
    </row>
    <row r="89" spans="1:16" x14ac:dyDescent="0.35">
      <c r="A89" s="32" t="s">
        <v>6424</v>
      </c>
      <c r="B89" s="7">
        <f t="shared" si="3"/>
        <v>46121</v>
      </c>
      <c r="C89" s="7">
        <f t="shared" si="4"/>
        <v>46127</v>
      </c>
      <c r="D89" s="6">
        <v>3281</v>
      </c>
      <c r="E89" s="6">
        <v>337</v>
      </c>
      <c r="F89" s="6">
        <v>4</v>
      </c>
      <c r="G89" s="23">
        <v>3</v>
      </c>
      <c r="H89" s="23">
        <v>80994</v>
      </c>
      <c r="I89" s="6" t="s">
        <v>17</v>
      </c>
      <c r="J89" s="45">
        <v>75739556</v>
      </c>
      <c r="K89" s="45" t="s">
        <v>154</v>
      </c>
      <c r="L89" s="45" t="s">
        <v>155</v>
      </c>
      <c r="M89" s="46">
        <v>239900</v>
      </c>
      <c r="N89" s="35">
        <v>0.9</v>
      </c>
      <c r="O89" s="34">
        <f t="shared" si="5"/>
        <v>23990</v>
      </c>
      <c r="P89" s="6" t="s">
        <v>16</v>
      </c>
    </row>
    <row r="90" spans="1:16" x14ac:dyDescent="0.35">
      <c r="A90" s="32" t="s">
        <v>6424</v>
      </c>
      <c r="B90" s="7">
        <f t="shared" si="3"/>
        <v>46121</v>
      </c>
      <c r="C90" s="7">
        <f t="shared" si="4"/>
        <v>46127</v>
      </c>
      <c r="D90" s="6">
        <v>3281</v>
      </c>
      <c r="E90" s="6">
        <v>337</v>
      </c>
      <c r="F90" s="6">
        <v>4</v>
      </c>
      <c r="G90" s="23">
        <v>3</v>
      </c>
      <c r="H90" s="23">
        <v>80994</v>
      </c>
      <c r="I90" s="6" t="s">
        <v>17</v>
      </c>
      <c r="J90" s="45">
        <v>75739565</v>
      </c>
      <c r="K90" s="45" t="s">
        <v>154</v>
      </c>
      <c r="L90" s="45" t="s">
        <v>156</v>
      </c>
      <c r="M90" s="46">
        <v>239900</v>
      </c>
      <c r="N90" s="35">
        <v>0.9</v>
      </c>
      <c r="O90" s="34">
        <f t="shared" si="5"/>
        <v>23990</v>
      </c>
      <c r="P90" s="6" t="s">
        <v>16</v>
      </c>
    </row>
    <row r="91" spans="1:16" x14ac:dyDescent="0.35">
      <c r="A91" s="32" t="s">
        <v>6424</v>
      </c>
      <c r="B91" s="7">
        <f t="shared" si="3"/>
        <v>46121</v>
      </c>
      <c r="C91" s="7">
        <f t="shared" si="4"/>
        <v>46127</v>
      </c>
      <c r="D91" s="6">
        <v>3281</v>
      </c>
      <c r="E91" s="6">
        <v>337</v>
      </c>
      <c r="F91" s="6">
        <v>4</v>
      </c>
      <c r="G91" s="23">
        <v>3</v>
      </c>
      <c r="H91" s="23">
        <v>80994</v>
      </c>
      <c r="I91" s="6" t="s">
        <v>17</v>
      </c>
      <c r="J91" s="45">
        <v>75739574</v>
      </c>
      <c r="K91" s="45" t="s">
        <v>154</v>
      </c>
      <c r="L91" s="45" t="s">
        <v>157</v>
      </c>
      <c r="M91" s="46">
        <v>239900</v>
      </c>
      <c r="N91" s="35">
        <v>0.9</v>
      </c>
      <c r="O91" s="34">
        <f t="shared" si="5"/>
        <v>23990</v>
      </c>
      <c r="P91" s="6" t="s">
        <v>16</v>
      </c>
    </row>
    <row r="92" spans="1:16" x14ac:dyDescent="0.35">
      <c r="A92" s="32" t="s">
        <v>6424</v>
      </c>
      <c r="B92" s="7">
        <f t="shared" si="3"/>
        <v>46121</v>
      </c>
      <c r="C92" s="7">
        <f t="shared" si="4"/>
        <v>46127</v>
      </c>
      <c r="D92" s="6">
        <v>3281</v>
      </c>
      <c r="E92" s="6">
        <v>337</v>
      </c>
      <c r="F92" s="6">
        <v>4</v>
      </c>
      <c r="G92" s="23">
        <v>3</v>
      </c>
      <c r="H92" s="23">
        <v>80994</v>
      </c>
      <c r="I92" s="6" t="s">
        <v>17</v>
      </c>
      <c r="J92" s="45">
        <v>75739583</v>
      </c>
      <c r="K92" s="45" t="s">
        <v>154</v>
      </c>
      <c r="L92" s="45" t="s">
        <v>158</v>
      </c>
      <c r="M92" s="46">
        <v>239900</v>
      </c>
      <c r="N92" s="35">
        <v>0.9</v>
      </c>
      <c r="O92" s="34">
        <f t="shared" si="5"/>
        <v>23990</v>
      </c>
      <c r="P92" s="6" t="s">
        <v>16</v>
      </c>
    </row>
    <row r="93" spans="1:16" x14ac:dyDescent="0.35">
      <c r="A93" s="32" t="s">
        <v>6424</v>
      </c>
      <c r="B93" s="7">
        <f t="shared" si="3"/>
        <v>46121</v>
      </c>
      <c r="C93" s="7">
        <f t="shared" si="4"/>
        <v>46127</v>
      </c>
      <c r="D93" s="6">
        <v>3281</v>
      </c>
      <c r="E93" s="6">
        <v>337</v>
      </c>
      <c r="F93" s="6">
        <v>4</v>
      </c>
      <c r="G93" s="23">
        <v>3</v>
      </c>
      <c r="H93" s="23">
        <v>80994</v>
      </c>
      <c r="I93" s="6" t="s">
        <v>17</v>
      </c>
      <c r="J93" s="45">
        <v>76638618</v>
      </c>
      <c r="K93" s="45" t="s">
        <v>220</v>
      </c>
      <c r="L93" s="45" t="s">
        <v>221</v>
      </c>
      <c r="M93" s="46">
        <v>239900</v>
      </c>
      <c r="N93" s="35">
        <v>0.9</v>
      </c>
      <c r="O93" s="34">
        <f t="shared" si="5"/>
        <v>23990</v>
      </c>
      <c r="P93" s="6" t="s">
        <v>16</v>
      </c>
    </row>
    <row r="94" spans="1:16" x14ac:dyDescent="0.35">
      <c r="A94" s="32" t="s">
        <v>6424</v>
      </c>
      <c r="B94" s="7">
        <f t="shared" si="3"/>
        <v>46121</v>
      </c>
      <c r="C94" s="7">
        <f t="shared" si="4"/>
        <v>46127</v>
      </c>
      <c r="D94" s="6">
        <v>3281</v>
      </c>
      <c r="E94" s="6">
        <v>337</v>
      </c>
      <c r="F94" s="6">
        <v>4</v>
      </c>
      <c r="G94" s="23">
        <v>3</v>
      </c>
      <c r="H94" s="23">
        <v>80994</v>
      </c>
      <c r="I94" s="6" t="s">
        <v>17</v>
      </c>
      <c r="J94" s="45">
        <v>76638627</v>
      </c>
      <c r="K94" s="45" t="s">
        <v>220</v>
      </c>
      <c r="L94" s="45" t="s">
        <v>222</v>
      </c>
      <c r="M94" s="46">
        <v>239900</v>
      </c>
      <c r="N94" s="35">
        <v>0.9</v>
      </c>
      <c r="O94" s="34">
        <f t="shared" si="5"/>
        <v>23990</v>
      </c>
      <c r="P94" s="6" t="s">
        <v>16</v>
      </c>
    </row>
    <row r="95" spans="1:16" x14ac:dyDescent="0.35">
      <c r="A95" s="32" t="s">
        <v>6424</v>
      </c>
      <c r="B95" s="7">
        <f t="shared" si="3"/>
        <v>46121</v>
      </c>
      <c r="C95" s="7">
        <f t="shared" si="4"/>
        <v>46127</v>
      </c>
      <c r="D95" s="6">
        <v>3281</v>
      </c>
      <c r="E95" s="6">
        <v>337</v>
      </c>
      <c r="F95" s="6">
        <v>4</v>
      </c>
      <c r="G95" s="23">
        <v>3</v>
      </c>
      <c r="H95" s="23">
        <v>80994</v>
      </c>
      <c r="I95" s="6" t="s">
        <v>17</v>
      </c>
      <c r="J95" s="45">
        <v>76638636</v>
      </c>
      <c r="K95" s="45" t="s">
        <v>220</v>
      </c>
      <c r="L95" s="45" t="s">
        <v>223</v>
      </c>
      <c r="M95" s="46">
        <v>239900</v>
      </c>
      <c r="N95" s="35">
        <v>0.9</v>
      </c>
      <c r="O95" s="34">
        <f t="shared" si="5"/>
        <v>23990</v>
      </c>
      <c r="P95" s="6" t="s">
        <v>16</v>
      </c>
    </row>
    <row r="96" spans="1:16" x14ac:dyDescent="0.35">
      <c r="A96" s="32" t="s">
        <v>6424</v>
      </c>
      <c r="B96" s="7">
        <f t="shared" si="3"/>
        <v>46121</v>
      </c>
      <c r="C96" s="7">
        <f t="shared" si="4"/>
        <v>46127</v>
      </c>
      <c r="D96" s="6">
        <v>3281</v>
      </c>
      <c r="E96" s="6">
        <v>337</v>
      </c>
      <c r="F96" s="6">
        <v>4</v>
      </c>
      <c r="G96" s="23">
        <v>3</v>
      </c>
      <c r="H96" s="23">
        <v>80994</v>
      </c>
      <c r="I96" s="6" t="s">
        <v>17</v>
      </c>
      <c r="J96" s="45">
        <v>76638645</v>
      </c>
      <c r="K96" s="45" t="s">
        <v>220</v>
      </c>
      <c r="L96" s="45" t="s">
        <v>224</v>
      </c>
      <c r="M96" s="46">
        <v>239900</v>
      </c>
      <c r="N96" s="35">
        <v>0.9</v>
      </c>
      <c r="O96" s="34">
        <f t="shared" si="5"/>
        <v>23990</v>
      </c>
      <c r="P96" s="6" t="s">
        <v>16</v>
      </c>
    </row>
    <row r="97" spans="1:16" x14ac:dyDescent="0.35">
      <c r="A97" s="32" t="s">
        <v>6424</v>
      </c>
      <c r="B97" s="7">
        <f t="shared" si="3"/>
        <v>46121</v>
      </c>
      <c r="C97" s="7">
        <f t="shared" si="4"/>
        <v>46127</v>
      </c>
      <c r="D97" s="6">
        <v>3281</v>
      </c>
      <c r="E97" s="6">
        <v>337</v>
      </c>
      <c r="F97" s="6">
        <v>4</v>
      </c>
      <c r="G97" s="23">
        <v>3</v>
      </c>
      <c r="H97" s="23">
        <v>80994</v>
      </c>
      <c r="I97" s="6" t="s">
        <v>17</v>
      </c>
      <c r="J97" s="45">
        <v>83381284</v>
      </c>
      <c r="K97" s="45" t="s">
        <v>2696</v>
      </c>
      <c r="L97" s="45" t="s">
        <v>2695</v>
      </c>
      <c r="M97" s="46">
        <v>279900</v>
      </c>
      <c r="N97" s="35">
        <v>0.9</v>
      </c>
      <c r="O97" s="34">
        <f t="shared" si="5"/>
        <v>27990</v>
      </c>
      <c r="P97" s="6" t="s">
        <v>16</v>
      </c>
    </row>
    <row r="98" spans="1:16" x14ac:dyDescent="0.35">
      <c r="A98" s="32" t="s">
        <v>6424</v>
      </c>
      <c r="B98" s="7">
        <f t="shared" si="3"/>
        <v>46121</v>
      </c>
      <c r="C98" s="7">
        <f t="shared" si="4"/>
        <v>46127</v>
      </c>
      <c r="D98" s="6">
        <v>3281</v>
      </c>
      <c r="E98" s="6">
        <v>337</v>
      </c>
      <c r="F98" s="6">
        <v>4</v>
      </c>
      <c r="G98" s="23">
        <v>3</v>
      </c>
      <c r="H98" s="23">
        <v>81421</v>
      </c>
      <c r="I98" s="6" t="s">
        <v>17</v>
      </c>
      <c r="J98" s="45">
        <v>79528099</v>
      </c>
      <c r="K98" s="45" t="s">
        <v>259</v>
      </c>
      <c r="L98" s="45" t="s">
        <v>260</v>
      </c>
      <c r="M98" s="46">
        <v>279900</v>
      </c>
      <c r="N98" s="35">
        <v>0.9</v>
      </c>
      <c r="O98" s="34">
        <f t="shared" si="5"/>
        <v>27990</v>
      </c>
      <c r="P98" s="6" t="s">
        <v>16</v>
      </c>
    </row>
    <row r="99" spans="1:16" x14ac:dyDescent="0.35">
      <c r="A99" s="32" t="s">
        <v>6424</v>
      </c>
      <c r="B99" s="7">
        <f t="shared" si="3"/>
        <v>46121</v>
      </c>
      <c r="C99" s="7">
        <f t="shared" si="4"/>
        <v>46127</v>
      </c>
      <c r="D99" s="6">
        <v>3281</v>
      </c>
      <c r="E99" s="6">
        <v>337</v>
      </c>
      <c r="F99" s="6">
        <v>4</v>
      </c>
      <c r="G99" s="23">
        <v>3</v>
      </c>
      <c r="H99" s="23">
        <v>81421</v>
      </c>
      <c r="I99" s="6" t="s">
        <v>17</v>
      </c>
      <c r="J99" s="45">
        <v>79528106</v>
      </c>
      <c r="K99" s="45" t="s">
        <v>259</v>
      </c>
      <c r="L99" s="45" t="s">
        <v>261</v>
      </c>
      <c r="M99" s="46">
        <v>279900</v>
      </c>
      <c r="N99" s="35">
        <v>0.9</v>
      </c>
      <c r="O99" s="34">
        <f t="shared" si="5"/>
        <v>27990</v>
      </c>
      <c r="P99" s="6" t="s">
        <v>16</v>
      </c>
    </row>
    <row r="100" spans="1:16" x14ac:dyDescent="0.35">
      <c r="A100" s="32" t="s">
        <v>6424</v>
      </c>
      <c r="B100" s="7">
        <f t="shared" si="3"/>
        <v>46121</v>
      </c>
      <c r="C100" s="7">
        <f t="shared" si="4"/>
        <v>46127</v>
      </c>
      <c r="D100" s="6">
        <v>3281</v>
      </c>
      <c r="E100" s="6">
        <v>337</v>
      </c>
      <c r="F100" s="6">
        <v>4</v>
      </c>
      <c r="G100" s="23">
        <v>3</v>
      </c>
      <c r="H100" s="23">
        <v>81421</v>
      </c>
      <c r="I100" s="6" t="s">
        <v>17</v>
      </c>
      <c r="J100" s="45">
        <v>79528115</v>
      </c>
      <c r="K100" s="45" t="s">
        <v>259</v>
      </c>
      <c r="L100" s="45" t="s">
        <v>262</v>
      </c>
      <c r="M100" s="46">
        <v>279900</v>
      </c>
      <c r="N100" s="35">
        <v>0.9</v>
      </c>
      <c r="O100" s="34">
        <f t="shared" si="5"/>
        <v>27990</v>
      </c>
      <c r="P100" s="6" t="s">
        <v>16</v>
      </c>
    </row>
    <row r="101" spans="1:16" x14ac:dyDescent="0.35">
      <c r="A101" s="32" t="s">
        <v>6424</v>
      </c>
      <c r="B101" s="7">
        <f t="shared" si="3"/>
        <v>46121</v>
      </c>
      <c r="C101" s="7">
        <f t="shared" si="4"/>
        <v>46127</v>
      </c>
      <c r="D101" s="6">
        <v>3281</v>
      </c>
      <c r="E101" s="6">
        <v>337</v>
      </c>
      <c r="F101" s="6">
        <v>4</v>
      </c>
      <c r="G101" s="23">
        <v>3</v>
      </c>
      <c r="H101" s="23">
        <v>81421</v>
      </c>
      <c r="I101" s="6" t="s">
        <v>17</v>
      </c>
      <c r="J101" s="45">
        <v>79528375</v>
      </c>
      <c r="K101" s="45" t="s">
        <v>263</v>
      </c>
      <c r="L101" s="45" t="s">
        <v>264</v>
      </c>
      <c r="M101" s="46">
        <v>239900</v>
      </c>
      <c r="N101" s="35">
        <v>0.9</v>
      </c>
      <c r="O101" s="34">
        <f t="shared" si="5"/>
        <v>23990</v>
      </c>
      <c r="P101" s="6" t="s">
        <v>16</v>
      </c>
    </row>
    <row r="102" spans="1:16" x14ac:dyDescent="0.35">
      <c r="A102" s="32" t="s">
        <v>6424</v>
      </c>
      <c r="B102" s="7">
        <f t="shared" si="3"/>
        <v>46121</v>
      </c>
      <c r="C102" s="7">
        <f t="shared" si="4"/>
        <v>46127</v>
      </c>
      <c r="D102" s="6">
        <v>3281</v>
      </c>
      <c r="E102" s="6">
        <v>337</v>
      </c>
      <c r="F102" s="6">
        <v>4</v>
      </c>
      <c r="G102" s="23">
        <v>3</v>
      </c>
      <c r="H102" s="23">
        <v>81421</v>
      </c>
      <c r="I102" s="6" t="s">
        <v>17</v>
      </c>
      <c r="J102" s="45">
        <v>79528393</v>
      </c>
      <c r="K102" s="45" t="s">
        <v>263</v>
      </c>
      <c r="L102" s="45" t="s">
        <v>265</v>
      </c>
      <c r="M102" s="46">
        <v>239900</v>
      </c>
      <c r="N102" s="35">
        <v>0.9</v>
      </c>
      <c r="O102" s="34">
        <f t="shared" si="5"/>
        <v>23990</v>
      </c>
      <c r="P102" s="6" t="s">
        <v>16</v>
      </c>
    </row>
    <row r="103" spans="1:16" x14ac:dyDescent="0.35">
      <c r="A103" s="32" t="s">
        <v>6424</v>
      </c>
      <c r="B103" s="7">
        <f t="shared" si="3"/>
        <v>46121</v>
      </c>
      <c r="C103" s="7">
        <f t="shared" si="4"/>
        <v>46127</v>
      </c>
      <c r="D103" s="6">
        <v>3281</v>
      </c>
      <c r="E103" s="6">
        <v>337</v>
      </c>
      <c r="F103" s="6">
        <v>4</v>
      </c>
      <c r="G103" s="23">
        <v>3</v>
      </c>
      <c r="H103" s="23">
        <v>81421</v>
      </c>
      <c r="I103" s="6" t="s">
        <v>17</v>
      </c>
      <c r="J103" s="45">
        <v>79528400</v>
      </c>
      <c r="K103" s="45" t="s">
        <v>263</v>
      </c>
      <c r="L103" s="45" t="s">
        <v>266</v>
      </c>
      <c r="M103" s="46">
        <v>239900</v>
      </c>
      <c r="N103" s="35">
        <v>0.9</v>
      </c>
      <c r="O103" s="34">
        <f t="shared" si="5"/>
        <v>23990</v>
      </c>
      <c r="P103" s="6" t="s">
        <v>16</v>
      </c>
    </row>
    <row r="104" spans="1:16" x14ac:dyDescent="0.35">
      <c r="A104" s="32" t="s">
        <v>6424</v>
      </c>
      <c r="B104" s="7">
        <f t="shared" si="3"/>
        <v>46121</v>
      </c>
      <c r="C104" s="7">
        <f t="shared" si="4"/>
        <v>46127</v>
      </c>
      <c r="D104" s="6">
        <v>3281</v>
      </c>
      <c r="E104" s="6">
        <v>337</v>
      </c>
      <c r="F104" s="6">
        <v>4</v>
      </c>
      <c r="G104" s="23">
        <v>3</v>
      </c>
      <c r="H104" s="23">
        <v>81421</v>
      </c>
      <c r="I104" s="6" t="s">
        <v>17</v>
      </c>
      <c r="J104" s="45">
        <v>79528571</v>
      </c>
      <c r="K104" s="45" t="s">
        <v>232</v>
      </c>
      <c r="L104" s="45" t="s">
        <v>233</v>
      </c>
      <c r="M104" s="46">
        <v>229900</v>
      </c>
      <c r="N104" s="35">
        <v>0.9</v>
      </c>
      <c r="O104" s="34">
        <f t="shared" si="5"/>
        <v>22990</v>
      </c>
      <c r="P104" s="6" t="s">
        <v>16</v>
      </c>
    </row>
    <row r="105" spans="1:16" x14ac:dyDescent="0.35">
      <c r="A105" s="32" t="s">
        <v>6424</v>
      </c>
      <c r="B105" s="7">
        <f t="shared" si="3"/>
        <v>46121</v>
      </c>
      <c r="C105" s="7">
        <f t="shared" si="4"/>
        <v>46127</v>
      </c>
      <c r="D105" s="6">
        <v>3281</v>
      </c>
      <c r="E105" s="6">
        <v>337</v>
      </c>
      <c r="F105" s="6">
        <v>4</v>
      </c>
      <c r="G105" s="23">
        <v>3</v>
      </c>
      <c r="H105" s="23">
        <v>81421</v>
      </c>
      <c r="I105" s="6" t="s">
        <v>17</v>
      </c>
      <c r="J105" s="45">
        <v>79528624</v>
      </c>
      <c r="K105" s="45" t="s">
        <v>234</v>
      </c>
      <c r="L105" s="45" t="s">
        <v>235</v>
      </c>
      <c r="M105" s="46">
        <v>229900</v>
      </c>
      <c r="N105" s="35">
        <v>0.9</v>
      </c>
      <c r="O105" s="34">
        <f t="shared" si="5"/>
        <v>22990</v>
      </c>
      <c r="P105" s="6" t="s">
        <v>16</v>
      </c>
    </row>
    <row r="106" spans="1:16" x14ac:dyDescent="0.35">
      <c r="A106" s="32" t="s">
        <v>6424</v>
      </c>
      <c r="B106" s="7">
        <f t="shared" si="3"/>
        <v>46121</v>
      </c>
      <c r="C106" s="7">
        <f t="shared" si="4"/>
        <v>46127</v>
      </c>
      <c r="D106" s="6">
        <v>3281</v>
      </c>
      <c r="E106" s="6">
        <v>337</v>
      </c>
      <c r="F106" s="6">
        <v>4</v>
      </c>
      <c r="G106" s="23">
        <v>3</v>
      </c>
      <c r="H106" s="23">
        <v>81421</v>
      </c>
      <c r="I106" s="6" t="s">
        <v>17</v>
      </c>
      <c r="J106" s="45">
        <v>79528633</v>
      </c>
      <c r="K106" s="45" t="s">
        <v>234</v>
      </c>
      <c r="L106" s="45" t="s">
        <v>236</v>
      </c>
      <c r="M106" s="46">
        <v>229900</v>
      </c>
      <c r="N106" s="35">
        <v>0.9</v>
      </c>
      <c r="O106" s="34">
        <f t="shared" si="5"/>
        <v>22990</v>
      </c>
      <c r="P106" s="6" t="s">
        <v>16</v>
      </c>
    </row>
    <row r="107" spans="1:16" x14ac:dyDescent="0.35">
      <c r="A107" s="32" t="s">
        <v>6424</v>
      </c>
      <c r="B107" s="7">
        <f t="shared" si="3"/>
        <v>46121</v>
      </c>
      <c r="C107" s="7">
        <f t="shared" si="4"/>
        <v>46127</v>
      </c>
      <c r="D107" s="6">
        <v>3281</v>
      </c>
      <c r="E107" s="6">
        <v>337</v>
      </c>
      <c r="F107" s="6">
        <v>4</v>
      </c>
      <c r="G107" s="23">
        <v>3</v>
      </c>
      <c r="H107" s="23">
        <v>81421</v>
      </c>
      <c r="I107" s="6" t="s">
        <v>17</v>
      </c>
      <c r="J107" s="45">
        <v>79528704</v>
      </c>
      <c r="K107" s="45" t="s">
        <v>267</v>
      </c>
      <c r="L107" s="45" t="s">
        <v>268</v>
      </c>
      <c r="M107" s="46">
        <v>239900</v>
      </c>
      <c r="N107" s="35">
        <v>0.9</v>
      </c>
      <c r="O107" s="34">
        <f t="shared" si="5"/>
        <v>23990</v>
      </c>
      <c r="P107" s="6" t="s">
        <v>16</v>
      </c>
    </row>
    <row r="108" spans="1:16" x14ac:dyDescent="0.35">
      <c r="A108" s="32" t="s">
        <v>6424</v>
      </c>
      <c r="B108" s="7">
        <f t="shared" si="3"/>
        <v>46121</v>
      </c>
      <c r="C108" s="7">
        <f t="shared" si="4"/>
        <v>46127</v>
      </c>
      <c r="D108" s="6">
        <v>3281</v>
      </c>
      <c r="E108" s="6">
        <v>337</v>
      </c>
      <c r="F108" s="6">
        <v>4</v>
      </c>
      <c r="G108" s="23">
        <v>3</v>
      </c>
      <c r="H108" s="23">
        <v>81421</v>
      </c>
      <c r="I108" s="6" t="s">
        <v>17</v>
      </c>
      <c r="J108" s="45">
        <v>79528713</v>
      </c>
      <c r="K108" s="45" t="s">
        <v>267</v>
      </c>
      <c r="L108" s="45" t="s">
        <v>269</v>
      </c>
      <c r="M108" s="46">
        <v>239900</v>
      </c>
      <c r="N108" s="35">
        <v>0.9</v>
      </c>
      <c r="O108" s="34">
        <f t="shared" si="5"/>
        <v>23990</v>
      </c>
      <c r="P108" s="6" t="s">
        <v>16</v>
      </c>
    </row>
    <row r="109" spans="1:16" x14ac:dyDescent="0.35">
      <c r="A109" s="32" t="s">
        <v>6424</v>
      </c>
      <c r="B109" s="7">
        <f t="shared" si="3"/>
        <v>46121</v>
      </c>
      <c r="C109" s="7">
        <f t="shared" si="4"/>
        <v>46127</v>
      </c>
      <c r="D109" s="6">
        <v>3281</v>
      </c>
      <c r="E109" s="6">
        <v>337</v>
      </c>
      <c r="F109" s="6">
        <v>4</v>
      </c>
      <c r="G109" s="23">
        <v>3</v>
      </c>
      <c r="H109" s="23">
        <v>81421</v>
      </c>
      <c r="I109" s="6" t="s">
        <v>17</v>
      </c>
      <c r="J109" s="45">
        <v>86446360</v>
      </c>
      <c r="K109" s="45" t="s">
        <v>51</v>
      </c>
      <c r="L109" s="45" t="s">
        <v>52</v>
      </c>
      <c r="M109" s="46">
        <v>279900</v>
      </c>
      <c r="N109" s="35">
        <v>0.9</v>
      </c>
      <c r="O109" s="34">
        <f t="shared" si="5"/>
        <v>27990</v>
      </c>
      <c r="P109" s="6" t="s">
        <v>16</v>
      </c>
    </row>
    <row r="110" spans="1:16" x14ac:dyDescent="0.35">
      <c r="A110" s="32" t="s">
        <v>6424</v>
      </c>
      <c r="B110" s="7">
        <f t="shared" si="3"/>
        <v>46121</v>
      </c>
      <c r="C110" s="7">
        <f t="shared" si="4"/>
        <v>46127</v>
      </c>
      <c r="D110" s="6">
        <v>3281</v>
      </c>
      <c r="E110" s="6">
        <v>337</v>
      </c>
      <c r="F110" s="6">
        <v>4</v>
      </c>
      <c r="G110" s="23">
        <v>3</v>
      </c>
      <c r="H110" s="23">
        <v>81421</v>
      </c>
      <c r="I110" s="6" t="s">
        <v>17</v>
      </c>
      <c r="J110" s="45">
        <v>87434620</v>
      </c>
      <c r="K110" s="45" t="s">
        <v>110</v>
      </c>
      <c r="L110" s="45" t="s">
        <v>111</v>
      </c>
      <c r="M110" s="46">
        <v>239900</v>
      </c>
      <c r="N110" s="35">
        <v>0.9</v>
      </c>
      <c r="O110" s="34">
        <f t="shared" si="5"/>
        <v>23990</v>
      </c>
      <c r="P110" s="6" t="s">
        <v>16</v>
      </c>
    </row>
    <row r="111" spans="1:16" x14ac:dyDescent="0.35">
      <c r="A111" s="32" t="s">
        <v>6424</v>
      </c>
      <c r="B111" s="7">
        <f t="shared" si="3"/>
        <v>46121</v>
      </c>
      <c r="C111" s="7">
        <f t="shared" si="4"/>
        <v>46127</v>
      </c>
      <c r="D111" s="6">
        <v>3281</v>
      </c>
      <c r="E111" s="6">
        <v>337</v>
      </c>
      <c r="F111" s="6">
        <v>4</v>
      </c>
      <c r="G111" s="23">
        <v>3</v>
      </c>
      <c r="H111" s="23">
        <v>190</v>
      </c>
      <c r="I111" s="6" t="s">
        <v>17</v>
      </c>
      <c r="J111" s="45">
        <v>79528419</v>
      </c>
      <c r="K111" s="45" t="s">
        <v>225</v>
      </c>
      <c r="L111" s="45" t="s">
        <v>226</v>
      </c>
      <c r="M111" s="46">
        <v>229900</v>
      </c>
      <c r="N111" s="35">
        <v>0.9</v>
      </c>
      <c r="O111" s="34">
        <f t="shared" si="5"/>
        <v>22990</v>
      </c>
      <c r="P111" s="6" t="s">
        <v>16</v>
      </c>
    </row>
    <row r="112" spans="1:16" x14ac:dyDescent="0.35">
      <c r="A112" s="32" t="s">
        <v>6424</v>
      </c>
      <c r="B112" s="7">
        <f t="shared" si="3"/>
        <v>46121</v>
      </c>
      <c r="C112" s="7">
        <f t="shared" si="4"/>
        <v>46127</v>
      </c>
      <c r="D112" s="6">
        <v>3281</v>
      </c>
      <c r="E112" s="6">
        <v>337</v>
      </c>
      <c r="F112" s="6">
        <v>4</v>
      </c>
      <c r="G112" s="23">
        <v>3</v>
      </c>
      <c r="H112" s="23">
        <v>190</v>
      </c>
      <c r="I112" s="6" t="s">
        <v>17</v>
      </c>
      <c r="J112" s="45">
        <v>79528428</v>
      </c>
      <c r="K112" s="45" t="s">
        <v>225</v>
      </c>
      <c r="L112" s="45" t="s">
        <v>227</v>
      </c>
      <c r="M112" s="46">
        <v>229900</v>
      </c>
      <c r="N112" s="35">
        <v>0.9</v>
      </c>
      <c r="O112" s="34">
        <f t="shared" si="5"/>
        <v>22990</v>
      </c>
      <c r="P112" s="6" t="s">
        <v>16</v>
      </c>
    </row>
    <row r="113" spans="1:16" x14ac:dyDescent="0.35">
      <c r="A113" s="32" t="s">
        <v>6424</v>
      </c>
      <c r="B113" s="7">
        <f t="shared" si="3"/>
        <v>46121</v>
      </c>
      <c r="C113" s="7">
        <f t="shared" si="4"/>
        <v>46127</v>
      </c>
      <c r="D113" s="6">
        <v>3281</v>
      </c>
      <c r="E113" s="6">
        <v>337</v>
      </c>
      <c r="F113" s="6">
        <v>4</v>
      </c>
      <c r="G113" s="23">
        <v>3</v>
      </c>
      <c r="H113" s="23">
        <v>190</v>
      </c>
      <c r="I113" s="6" t="s">
        <v>17</v>
      </c>
      <c r="J113" s="45">
        <v>79528437</v>
      </c>
      <c r="K113" s="45" t="s">
        <v>225</v>
      </c>
      <c r="L113" s="45" t="s">
        <v>228</v>
      </c>
      <c r="M113" s="46">
        <v>229900</v>
      </c>
      <c r="N113" s="35">
        <v>0.9</v>
      </c>
      <c r="O113" s="34">
        <f t="shared" si="5"/>
        <v>22990</v>
      </c>
      <c r="P113" s="6" t="s">
        <v>16</v>
      </c>
    </row>
    <row r="114" spans="1:16" x14ac:dyDescent="0.35">
      <c r="A114" s="32" t="s">
        <v>6424</v>
      </c>
      <c r="B114" s="7">
        <f t="shared" si="3"/>
        <v>46121</v>
      </c>
      <c r="C114" s="7">
        <f t="shared" si="4"/>
        <v>46127</v>
      </c>
      <c r="D114" s="6">
        <v>3281</v>
      </c>
      <c r="E114" s="6">
        <v>337</v>
      </c>
      <c r="F114" s="6">
        <v>4</v>
      </c>
      <c r="G114" s="23">
        <v>3</v>
      </c>
      <c r="H114" s="23">
        <v>190</v>
      </c>
      <c r="I114" s="6" t="s">
        <v>17</v>
      </c>
      <c r="J114" s="45">
        <v>79647102</v>
      </c>
      <c r="K114" s="45" t="s">
        <v>225</v>
      </c>
      <c r="L114" s="45" t="s">
        <v>240</v>
      </c>
      <c r="M114" s="46">
        <v>229900</v>
      </c>
      <c r="N114" s="35">
        <v>0.9</v>
      </c>
      <c r="O114" s="34">
        <f t="shared" si="5"/>
        <v>22990</v>
      </c>
      <c r="P114" s="6" t="s">
        <v>16</v>
      </c>
    </row>
    <row r="115" spans="1:16" x14ac:dyDescent="0.35">
      <c r="A115" s="32" t="s">
        <v>6424</v>
      </c>
      <c r="B115" s="7">
        <f t="shared" si="3"/>
        <v>46121</v>
      </c>
      <c r="C115" s="7">
        <f t="shared" si="4"/>
        <v>46127</v>
      </c>
      <c r="D115" s="6">
        <v>3281</v>
      </c>
      <c r="E115" s="6">
        <v>337</v>
      </c>
      <c r="F115" s="6">
        <v>4</v>
      </c>
      <c r="G115" s="23">
        <v>3</v>
      </c>
      <c r="H115" s="23">
        <v>190</v>
      </c>
      <c r="I115" s="6" t="s">
        <v>17</v>
      </c>
      <c r="J115" s="45">
        <v>79528446</v>
      </c>
      <c r="K115" s="45" t="s">
        <v>229</v>
      </c>
      <c r="L115" s="45" t="s">
        <v>230</v>
      </c>
      <c r="M115" s="46">
        <v>229900</v>
      </c>
      <c r="N115" s="35">
        <v>0.9</v>
      </c>
      <c r="O115" s="34">
        <f t="shared" si="5"/>
        <v>22990</v>
      </c>
      <c r="P115" s="6" t="s">
        <v>16</v>
      </c>
    </row>
    <row r="116" spans="1:16" x14ac:dyDescent="0.35">
      <c r="A116" s="32" t="s">
        <v>6424</v>
      </c>
      <c r="B116" s="7">
        <f t="shared" si="3"/>
        <v>46121</v>
      </c>
      <c r="C116" s="7">
        <f t="shared" si="4"/>
        <v>46127</v>
      </c>
      <c r="D116" s="6">
        <v>3281</v>
      </c>
      <c r="E116" s="6">
        <v>337</v>
      </c>
      <c r="F116" s="6">
        <v>4</v>
      </c>
      <c r="G116" s="23">
        <v>3</v>
      </c>
      <c r="H116" s="23">
        <v>190</v>
      </c>
      <c r="I116" s="6" t="s">
        <v>17</v>
      </c>
      <c r="J116" s="45">
        <v>79528464</v>
      </c>
      <c r="K116" s="45" t="s">
        <v>229</v>
      </c>
      <c r="L116" s="45" t="s">
        <v>231</v>
      </c>
      <c r="M116" s="46">
        <v>229900</v>
      </c>
      <c r="N116" s="35">
        <v>0.9</v>
      </c>
      <c r="O116" s="34">
        <f t="shared" si="5"/>
        <v>22990</v>
      </c>
      <c r="P116" s="6" t="s">
        <v>16</v>
      </c>
    </row>
    <row r="117" spans="1:16" x14ac:dyDescent="0.35">
      <c r="A117" s="32" t="s">
        <v>6424</v>
      </c>
      <c r="B117" s="7">
        <f t="shared" si="3"/>
        <v>46121</v>
      </c>
      <c r="C117" s="7">
        <f t="shared" si="4"/>
        <v>46127</v>
      </c>
      <c r="D117" s="6">
        <v>3281</v>
      </c>
      <c r="E117" s="6">
        <v>337</v>
      </c>
      <c r="F117" s="6">
        <v>4</v>
      </c>
      <c r="G117" s="23">
        <v>3</v>
      </c>
      <c r="H117" s="23">
        <v>190</v>
      </c>
      <c r="I117" s="6" t="s">
        <v>17</v>
      </c>
      <c r="J117" s="45">
        <v>83478760</v>
      </c>
      <c r="K117" s="45" t="s">
        <v>4829</v>
      </c>
      <c r="L117" s="45" t="s">
        <v>4830</v>
      </c>
      <c r="M117" s="46">
        <v>229900</v>
      </c>
      <c r="N117" s="35">
        <v>0.9</v>
      </c>
      <c r="O117" s="34">
        <f t="shared" si="5"/>
        <v>22990</v>
      </c>
      <c r="P117" s="6" t="s">
        <v>16</v>
      </c>
    </row>
    <row r="118" spans="1:16" x14ac:dyDescent="0.35">
      <c r="A118" s="32" t="s">
        <v>6424</v>
      </c>
      <c r="B118" s="7">
        <f t="shared" si="3"/>
        <v>46121</v>
      </c>
      <c r="C118" s="7">
        <f t="shared" si="4"/>
        <v>46127</v>
      </c>
      <c r="D118" s="6">
        <v>3281</v>
      </c>
      <c r="E118" s="6">
        <v>337</v>
      </c>
      <c r="F118" s="6">
        <v>4</v>
      </c>
      <c r="G118" s="23">
        <v>3</v>
      </c>
      <c r="H118" s="23">
        <v>190</v>
      </c>
      <c r="I118" s="6" t="s">
        <v>17</v>
      </c>
      <c r="J118" s="45">
        <v>83478779</v>
      </c>
      <c r="K118" s="45" t="s">
        <v>4829</v>
      </c>
      <c r="L118" s="45" t="s">
        <v>4831</v>
      </c>
      <c r="M118" s="46">
        <v>229900</v>
      </c>
      <c r="N118" s="35">
        <v>0.9</v>
      </c>
      <c r="O118" s="34">
        <f t="shared" si="5"/>
        <v>22990</v>
      </c>
      <c r="P118" s="6" t="s">
        <v>16</v>
      </c>
    </row>
    <row r="119" spans="1:16" x14ac:dyDescent="0.35">
      <c r="A119" s="32" t="s">
        <v>6424</v>
      </c>
      <c r="B119" s="7">
        <f t="shared" si="3"/>
        <v>46121</v>
      </c>
      <c r="C119" s="7">
        <f t="shared" si="4"/>
        <v>46127</v>
      </c>
      <c r="D119" s="6">
        <v>3281</v>
      </c>
      <c r="E119" s="6">
        <v>337</v>
      </c>
      <c r="F119" s="6">
        <v>4</v>
      </c>
      <c r="G119" s="23">
        <v>3</v>
      </c>
      <c r="H119" s="23">
        <v>190</v>
      </c>
      <c r="I119" s="6" t="s">
        <v>17</v>
      </c>
      <c r="J119" s="45">
        <v>83478788</v>
      </c>
      <c r="K119" s="45" t="s">
        <v>4829</v>
      </c>
      <c r="L119" s="45" t="s">
        <v>4832</v>
      </c>
      <c r="M119" s="46">
        <v>229900</v>
      </c>
      <c r="N119" s="35">
        <v>0.9</v>
      </c>
      <c r="O119" s="34">
        <f t="shared" si="5"/>
        <v>22990</v>
      </c>
      <c r="P119" s="6" t="s">
        <v>16</v>
      </c>
    </row>
    <row r="120" spans="1:16" x14ac:dyDescent="0.35">
      <c r="A120" s="32" t="s">
        <v>6424</v>
      </c>
      <c r="B120" s="7">
        <f t="shared" si="3"/>
        <v>46121</v>
      </c>
      <c r="C120" s="7">
        <f t="shared" si="4"/>
        <v>46127</v>
      </c>
      <c r="D120" s="6">
        <v>3281</v>
      </c>
      <c r="E120" s="6">
        <v>337</v>
      </c>
      <c r="F120" s="6">
        <v>4</v>
      </c>
      <c r="G120" s="23">
        <v>3</v>
      </c>
      <c r="H120" s="23">
        <v>190</v>
      </c>
      <c r="I120" s="6" t="s">
        <v>17</v>
      </c>
      <c r="J120" s="45">
        <v>83478797</v>
      </c>
      <c r="K120" s="45" t="s">
        <v>4829</v>
      </c>
      <c r="L120" s="45" t="s">
        <v>4833</v>
      </c>
      <c r="M120" s="46">
        <v>229900</v>
      </c>
      <c r="N120" s="35">
        <v>0.9</v>
      </c>
      <c r="O120" s="34">
        <f t="shared" si="5"/>
        <v>22990</v>
      </c>
      <c r="P120" s="6" t="s">
        <v>16</v>
      </c>
    </row>
    <row r="121" spans="1:16" x14ac:dyDescent="0.35">
      <c r="A121" s="32" t="s">
        <v>6424</v>
      </c>
      <c r="B121" s="7">
        <f t="shared" si="3"/>
        <v>46121</v>
      </c>
      <c r="C121" s="7">
        <f t="shared" si="4"/>
        <v>46127</v>
      </c>
      <c r="D121" s="6">
        <v>3281</v>
      </c>
      <c r="E121" s="6">
        <v>337</v>
      </c>
      <c r="F121" s="6">
        <v>4</v>
      </c>
      <c r="G121" s="23">
        <v>3</v>
      </c>
      <c r="H121" s="23">
        <v>80920</v>
      </c>
      <c r="I121" s="6" t="s">
        <v>17</v>
      </c>
      <c r="J121" s="45">
        <v>79528642</v>
      </c>
      <c r="K121" s="45" t="s">
        <v>237</v>
      </c>
      <c r="L121" s="45" t="s">
        <v>238</v>
      </c>
      <c r="M121" s="46">
        <v>229900</v>
      </c>
      <c r="N121" s="35">
        <v>0.9</v>
      </c>
      <c r="O121" s="34">
        <f t="shared" si="5"/>
        <v>22990</v>
      </c>
      <c r="P121" s="6" t="s">
        <v>16</v>
      </c>
    </row>
    <row r="122" spans="1:16" x14ac:dyDescent="0.35">
      <c r="A122" s="32" t="s">
        <v>6424</v>
      </c>
      <c r="B122" s="7">
        <f t="shared" si="3"/>
        <v>46121</v>
      </c>
      <c r="C122" s="7">
        <f t="shared" si="4"/>
        <v>46127</v>
      </c>
      <c r="D122" s="6">
        <v>3281</v>
      </c>
      <c r="E122" s="6">
        <v>337</v>
      </c>
      <c r="F122" s="6">
        <v>4</v>
      </c>
      <c r="G122" s="23">
        <v>3</v>
      </c>
      <c r="H122" s="23">
        <v>80920</v>
      </c>
      <c r="I122" s="6" t="s">
        <v>17</v>
      </c>
      <c r="J122" s="45">
        <v>79528679</v>
      </c>
      <c r="K122" s="45" t="s">
        <v>237</v>
      </c>
      <c r="L122" s="45" t="s">
        <v>239</v>
      </c>
      <c r="M122" s="46">
        <v>229900</v>
      </c>
      <c r="N122" s="35">
        <v>0.9</v>
      </c>
      <c r="O122" s="34">
        <f t="shared" si="5"/>
        <v>22990</v>
      </c>
      <c r="P122" s="6" t="s">
        <v>16</v>
      </c>
    </row>
    <row r="123" spans="1:16" x14ac:dyDescent="0.35">
      <c r="A123" s="32" t="s">
        <v>6424</v>
      </c>
      <c r="B123" s="7">
        <f t="shared" si="3"/>
        <v>46121</v>
      </c>
      <c r="C123" s="7">
        <f t="shared" si="4"/>
        <v>46127</v>
      </c>
      <c r="D123" s="6">
        <v>3281</v>
      </c>
      <c r="E123" s="6">
        <v>337</v>
      </c>
      <c r="F123" s="6">
        <v>4</v>
      </c>
      <c r="G123" s="23">
        <v>4</v>
      </c>
      <c r="H123" s="23">
        <v>80994</v>
      </c>
      <c r="I123" s="6" t="s">
        <v>17</v>
      </c>
      <c r="J123" s="45">
        <v>75739832</v>
      </c>
      <c r="K123" s="45" t="s">
        <v>186</v>
      </c>
      <c r="L123" s="45" t="s">
        <v>187</v>
      </c>
      <c r="M123" s="46">
        <v>229900</v>
      </c>
      <c r="N123" s="35">
        <v>0.9</v>
      </c>
      <c r="O123" s="34">
        <f t="shared" si="5"/>
        <v>22990</v>
      </c>
      <c r="P123" s="6" t="s">
        <v>16</v>
      </c>
    </row>
    <row r="124" spans="1:16" x14ac:dyDescent="0.35">
      <c r="A124" s="32" t="s">
        <v>6424</v>
      </c>
      <c r="B124" s="7">
        <f t="shared" si="3"/>
        <v>46121</v>
      </c>
      <c r="C124" s="7">
        <f t="shared" si="4"/>
        <v>46127</v>
      </c>
      <c r="D124" s="6">
        <v>3281</v>
      </c>
      <c r="E124" s="6">
        <v>337</v>
      </c>
      <c r="F124" s="6">
        <v>4</v>
      </c>
      <c r="G124" s="23">
        <v>4</v>
      </c>
      <c r="H124" s="23">
        <v>80994</v>
      </c>
      <c r="I124" s="6" t="s">
        <v>17</v>
      </c>
      <c r="J124" s="45">
        <v>75739841</v>
      </c>
      <c r="K124" s="45" t="s">
        <v>186</v>
      </c>
      <c r="L124" s="45" t="s">
        <v>188</v>
      </c>
      <c r="M124" s="46">
        <v>229900</v>
      </c>
      <c r="N124" s="35">
        <v>0.9</v>
      </c>
      <c r="O124" s="34">
        <f t="shared" si="5"/>
        <v>22990</v>
      </c>
      <c r="P124" s="6" t="s">
        <v>16</v>
      </c>
    </row>
    <row r="125" spans="1:16" x14ac:dyDescent="0.35">
      <c r="A125" s="32" t="s">
        <v>6424</v>
      </c>
      <c r="B125" s="7">
        <f t="shared" si="3"/>
        <v>46121</v>
      </c>
      <c r="C125" s="7">
        <f t="shared" si="4"/>
        <v>46127</v>
      </c>
      <c r="D125" s="6">
        <v>3281</v>
      </c>
      <c r="E125" s="6">
        <v>337</v>
      </c>
      <c r="F125" s="6">
        <v>4</v>
      </c>
      <c r="G125" s="23">
        <v>4</v>
      </c>
      <c r="H125" s="23">
        <v>80994</v>
      </c>
      <c r="I125" s="6" t="s">
        <v>17</v>
      </c>
      <c r="J125" s="45">
        <v>75739850</v>
      </c>
      <c r="K125" s="45" t="s">
        <v>186</v>
      </c>
      <c r="L125" s="45" t="s">
        <v>189</v>
      </c>
      <c r="M125" s="46">
        <v>229900</v>
      </c>
      <c r="N125" s="35">
        <v>0.9</v>
      </c>
      <c r="O125" s="34">
        <f t="shared" si="5"/>
        <v>22990</v>
      </c>
      <c r="P125" s="6" t="s">
        <v>16</v>
      </c>
    </row>
    <row r="126" spans="1:16" x14ac:dyDescent="0.35">
      <c r="A126" s="32" t="s">
        <v>6424</v>
      </c>
      <c r="B126" s="7">
        <f t="shared" si="3"/>
        <v>46121</v>
      </c>
      <c r="C126" s="7">
        <f t="shared" si="4"/>
        <v>46127</v>
      </c>
      <c r="D126" s="6">
        <v>3281</v>
      </c>
      <c r="E126" s="6">
        <v>337</v>
      </c>
      <c r="F126" s="6">
        <v>4</v>
      </c>
      <c r="G126" s="23">
        <v>4</v>
      </c>
      <c r="H126" s="23">
        <v>80994</v>
      </c>
      <c r="I126" s="6" t="s">
        <v>17</v>
      </c>
      <c r="J126" s="45">
        <v>75739869</v>
      </c>
      <c r="K126" s="45" t="s">
        <v>186</v>
      </c>
      <c r="L126" s="45" t="s">
        <v>190</v>
      </c>
      <c r="M126" s="46">
        <v>229900</v>
      </c>
      <c r="N126" s="35">
        <v>0.9</v>
      </c>
      <c r="O126" s="34">
        <f t="shared" si="5"/>
        <v>22990</v>
      </c>
      <c r="P126" s="6" t="s">
        <v>16</v>
      </c>
    </row>
    <row r="127" spans="1:16" x14ac:dyDescent="0.35">
      <c r="A127" s="32" t="s">
        <v>6424</v>
      </c>
      <c r="B127" s="7">
        <f t="shared" si="3"/>
        <v>46121</v>
      </c>
      <c r="C127" s="7">
        <f t="shared" si="4"/>
        <v>46127</v>
      </c>
      <c r="D127" s="6">
        <v>3281</v>
      </c>
      <c r="E127" s="6">
        <v>337</v>
      </c>
      <c r="F127" s="6">
        <v>4</v>
      </c>
      <c r="G127" s="23">
        <v>4</v>
      </c>
      <c r="H127" s="23">
        <v>80994</v>
      </c>
      <c r="I127" s="6" t="s">
        <v>17</v>
      </c>
      <c r="J127" s="45">
        <v>75739878</v>
      </c>
      <c r="K127" s="45" t="s">
        <v>140</v>
      </c>
      <c r="L127" s="45" t="s">
        <v>141</v>
      </c>
      <c r="M127" s="46">
        <v>229900</v>
      </c>
      <c r="N127" s="35">
        <v>0.9</v>
      </c>
      <c r="O127" s="34">
        <f t="shared" si="5"/>
        <v>22990</v>
      </c>
      <c r="P127" s="6" t="s">
        <v>16</v>
      </c>
    </row>
    <row r="128" spans="1:16" x14ac:dyDescent="0.35">
      <c r="A128" s="32" t="s">
        <v>6424</v>
      </c>
      <c r="B128" s="7">
        <f t="shared" si="3"/>
        <v>46121</v>
      </c>
      <c r="C128" s="7">
        <f t="shared" si="4"/>
        <v>46127</v>
      </c>
      <c r="D128" s="6">
        <v>3281</v>
      </c>
      <c r="E128" s="6">
        <v>337</v>
      </c>
      <c r="F128" s="6">
        <v>4</v>
      </c>
      <c r="G128" s="23">
        <v>4</v>
      </c>
      <c r="H128" s="23">
        <v>80994</v>
      </c>
      <c r="I128" s="6" t="s">
        <v>17</v>
      </c>
      <c r="J128" s="45">
        <v>75739887</v>
      </c>
      <c r="K128" s="45" t="s">
        <v>140</v>
      </c>
      <c r="L128" s="45" t="s">
        <v>142</v>
      </c>
      <c r="M128" s="46">
        <v>229900</v>
      </c>
      <c r="N128" s="35">
        <v>0.9</v>
      </c>
      <c r="O128" s="34">
        <f t="shared" si="5"/>
        <v>22990</v>
      </c>
      <c r="P128" s="6" t="s">
        <v>16</v>
      </c>
    </row>
    <row r="129" spans="1:16" x14ac:dyDescent="0.35">
      <c r="A129" s="32" t="s">
        <v>6424</v>
      </c>
      <c r="B129" s="7">
        <f t="shared" si="3"/>
        <v>46121</v>
      </c>
      <c r="C129" s="7">
        <f t="shared" si="4"/>
        <v>46127</v>
      </c>
      <c r="D129" s="6">
        <v>3281</v>
      </c>
      <c r="E129" s="6">
        <v>337</v>
      </c>
      <c r="F129" s="6">
        <v>4</v>
      </c>
      <c r="G129" s="23">
        <v>4</v>
      </c>
      <c r="H129" s="23">
        <v>80994</v>
      </c>
      <c r="I129" s="6" t="s">
        <v>17</v>
      </c>
      <c r="J129" s="45">
        <v>75739896</v>
      </c>
      <c r="K129" s="45" t="s">
        <v>140</v>
      </c>
      <c r="L129" s="45" t="s">
        <v>143</v>
      </c>
      <c r="M129" s="46">
        <v>229900</v>
      </c>
      <c r="N129" s="35">
        <v>0.9</v>
      </c>
      <c r="O129" s="34">
        <f t="shared" si="5"/>
        <v>22990</v>
      </c>
      <c r="P129" s="6" t="s">
        <v>16</v>
      </c>
    </row>
    <row r="130" spans="1:16" x14ac:dyDescent="0.35">
      <c r="A130" s="32" t="s">
        <v>6424</v>
      </c>
      <c r="B130" s="7">
        <f t="shared" si="3"/>
        <v>46121</v>
      </c>
      <c r="C130" s="7">
        <f t="shared" si="4"/>
        <v>46127</v>
      </c>
      <c r="D130" s="6">
        <v>3281</v>
      </c>
      <c r="E130" s="6">
        <v>337</v>
      </c>
      <c r="F130" s="6">
        <v>4</v>
      </c>
      <c r="G130" s="23">
        <v>4</v>
      </c>
      <c r="H130" s="23">
        <v>80994</v>
      </c>
      <c r="I130" s="6" t="s">
        <v>17</v>
      </c>
      <c r="J130" s="45">
        <v>75739903</v>
      </c>
      <c r="K130" s="45" t="s">
        <v>140</v>
      </c>
      <c r="L130" s="45" t="s">
        <v>144</v>
      </c>
      <c r="M130" s="46">
        <v>229900</v>
      </c>
      <c r="N130" s="35">
        <v>0.9</v>
      </c>
      <c r="O130" s="34">
        <f t="shared" si="5"/>
        <v>22990</v>
      </c>
      <c r="P130" s="6" t="s">
        <v>16</v>
      </c>
    </row>
    <row r="131" spans="1:16" x14ac:dyDescent="0.35">
      <c r="A131" s="32" t="s">
        <v>6424</v>
      </c>
      <c r="B131" s="7">
        <f t="shared" si="3"/>
        <v>46121</v>
      </c>
      <c r="C131" s="7">
        <f t="shared" si="4"/>
        <v>46127</v>
      </c>
      <c r="D131" s="6">
        <v>3281</v>
      </c>
      <c r="E131" s="6">
        <v>337</v>
      </c>
      <c r="F131" s="6">
        <v>4</v>
      </c>
      <c r="G131" s="23">
        <v>4</v>
      </c>
      <c r="H131" s="23">
        <v>80994</v>
      </c>
      <c r="I131" s="6" t="s">
        <v>17</v>
      </c>
      <c r="J131" s="45">
        <v>76638654</v>
      </c>
      <c r="K131" s="45" t="s">
        <v>191</v>
      </c>
      <c r="L131" s="45" t="s">
        <v>192</v>
      </c>
      <c r="M131" s="46">
        <v>229900</v>
      </c>
      <c r="N131" s="35">
        <v>0.9</v>
      </c>
      <c r="O131" s="34">
        <f t="shared" si="5"/>
        <v>22990</v>
      </c>
      <c r="P131" s="6" t="s">
        <v>16</v>
      </c>
    </row>
    <row r="132" spans="1:16" x14ac:dyDescent="0.35">
      <c r="A132" s="32" t="s">
        <v>6424</v>
      </c>
      <c r="B132" s="7">
        <f t="shared" ref="B132:B195" si="6">B131</f>
        <v>46121</v>
      </c>
      <c r="C132" s="7">
        <f t="shared" ref="C132:C195" si="7">C131</f>
        <v>46127</v>
      </c>
      <c r="D132" s="6">
        <v>3281</v>
      </c>
      <c r="E132" s="6">
        <v>337</v>
      </c>
      <c r="F132" s="6">
        <v>4</v>
      </c>
      <c r="G132" s="23">
        <v>4</v>
      </c>
      <c r="H132" s="23">
        <v>80994</v>
      </c>
      <c r="I132" s="6" t="s">
        <v>17</v>
      </c>
      <c r="J132" s="45">
        <v>76638663</v>
      </c>
      <c r="K132" s="45" t="s">
        <v>191</v>
      </c>
      <c r="L132" s="45" t="s">
        <v>193</v>
      </c>
      <c r="M132" s="46">
        <v>229900</v>
      </c>
      <c r="N132" s="35">
        <v>0.9</v>
      </c>
      <c r="O132" s="34">
        <f t="shared" ref="O132:O195" si="8">M132-((90*M132)/100)</f>
        <v>22990</v>
      </c>
      <c r="P132" s="6" t="s">
        <v>16</v>
      </c>
    </row>
    <row r="133" spans="1:16" x14ac:dyDescent="0.35">
      <c r="A133" s="32" t="s">
        <v>6424</v>
      </c>
      <c r="B133" s="7">
        <f t="shared" si="6"/>
        <v>46121</v>
      </c>
      <c r="C133" s="7">
        <f t="shared" si="7"/>
        <v>46127</v>
      </c>
      <c r="D133" s="6">
        <v>3281</v>
      </c>
      <c r="E133" s="6">
        <v>337</v>
      </c>
      <c r="F133" s="6">
        <v>4</v>
      </c>
      <c r="G133" s="23">
        <v>4</v>
      </c>
      <c r="H133" s="23">
        <v>80994</v>
      </c>
      <c r="I133" s="6" t="s">
        <v>17</v>
      </c>
      <c r="J133" s="45">
        <v>76638672</v>
      </c>
      <c r="K133" s="45" t="s">
        <v>191</v>
      </c>
      <c r="L133" s="45" t="s">
        <v>194</v>
      </c>
      <c r="M133" s="46">
        <v>229900</v>
      </c>
      <c r="N133" s="35">
        <v>0.9</v>
      </c>
      <c r="O133" s="34">
        <f t="shared" si="8"/>
        <v>22990</v>
      </c>
      <c r="P133" s="6" t="s">
        <v>16</v>
      </c>
    </row>
    <row r="134" spans="1:16" x14ac:dyDescent="0.35">
      <c r="A134" s="32" t="s">
        <v>6424</v>
      </c>
      <c r="B134" s="7">
        <f t="shared" si="6"/>
        <v>46121</v>
      </c>
      <c r="C134" s="7">
        <f t="shared" si="7"/>
        <v>46127</v>
      </c>
      <c r="D134" s="6">
        <v>3281</v>
      </c>
      <c r="E134" s="6">
        <v>337</v>
      </c>
      <c r="F134" s="6">
        <v>4</v>
      </c>
      <c r="G134" s="23">
        <v>4</v>
      </c>
      <c r="H134" s="23">
        <v>80994</v>
      </c>
      <c r="I134" s="6" t="s">
        <v>17</v>
      </c>
      <c r="J134" s="45">
        <v>76638681</v>
      </c>
      <c r="K134" s="45" t="s">
        <v>191</v>
      </c>
      <c r="L134" s="45" t="s">
        <v>195</v>
      </c>
      <c r="M134" s="46">
        <v>229900</v>
      </c>
      <c r="N134" s="35">
        <v>0.9</v>
      </c>
      <c r="O134" s="34">
        <f t="shared" si="8"/>
        <v>22990</v>
      </c>
      <c r="P134" s="6" t="s">
        <v>16</v>
      </c>
    </row>
    <row r="135" spans="1:16" x14ac:dyDescent="0.35">
      <c r="A135" s="32" t="s">
        <v>6424</v>
      </c>
      <c r="B135" s="7">
        <f t="shared" si="6"/>
        <v>46121</v>
      </c>
      <c r="C135" s="7">
        <f t="shared" si="7"/>
        <v>46127</v>
      </c>
      <c r="D135" s="6">
        <v>3281</v>
      </c>
      <c r="E135" s="6">
        <v>337</v>
      </c>
      <c r="F135" s="6">
        <v>4</v>
      </c>
      <c r="G135" s="23">
        <v>4</v>
      </c>
      <c r="H135" s="23">
        <v>80994</v>
      </c>
      <c r="I135" s="6" t="s">
        <v>17</v>
      </c>
      <c r="J135" s="45">
        <v>83381293</v>
      </c>
      <c r="K135" s="45" t="s">
        <v>2691</v>
      </c>
      <c r="L135" s="45" t="s">
        <v>2694</v>
      </c>
      <c r="M135" s="46">
        <v>229900</v>
      </c>
      <c r="N135" s="35">
        <v>0.9</v>
      </c>
      <c r="O135" s="34">
        <f t="shared" si="8"/>
        <v>22990</v>
      </c>
      <c r="P135" s="6" t="s">
        <v>16</v>
      </c>
    </row>
    <row r="136" spans="1:16" x14ac:dyDescent="0.35">
      <c r="A136" s="32" t="s">
        <v>6424</v>
      </c>
      <c r="B136" s="7">
        <f t="shared" si="6"/>
        <v>46121</v>
      </c>
      <c r="C136" s="7">
        <f t="shared" si="7"/>
        <v>46127</v>
      </c>
      <c r="D136" s="6">
        <v>3281</v>
      </c>
      <c r="E136" s="6">
        <v>337</v>
      </c>
      <c r="F136" s="6">
        <v>4</v>
      </c>
      <c r="G136" s="23">
        <v>4</v>
      </c>
      <c r="H136" s="23">
        <v>80994</v>
      </c>
      <c r="I136" s="6" t="s">
        <v>17</v>
      </c>
      <c r="J136" s="45">
        <v>83381300</v>
      </c>
      <c r="K136" s="45" t="s">
        <v>2691</v>
      </c>
      <c r="L136" s="45" t="s">
        <v>2693</v>
      </c>
      <c r="M136" s="46">
        <v>229900</v>
      </c>
      <c r="N136" s="35">
        <v>0.9</v>
      </c>
      <c r="O136" s="34">
        <f t="shared" si="8"/>
        <v>22990</v>
      </c>
      <c r="P136" s="6" t="s">
        <v>16</v>
      </c>
    </row>
    <row r="137" spans="1:16" x14ac:dyDescent="0.35">
      <c r="A137" s="32" t="s">
        <v>6424</v>
      </c>
      <c r="B137" s="7">
        <f t="shared" si="6"/>
        <v>46121</v>
      </c>
      <c r="C137" s="7">
        <f t="shared" si="7"/>
        <v>46127</v>
      </c>
      <c r="D137" s="6">
        <v>3281</v>
      </c>
      <c r="E137" s="6">
        <v>337</v>
      </c>
      <c r="F137" s="6">
        <v>4</v>
      </c>
      <c r="G137" s="23">
        <v>4</v>
      </c>
      <c r="H137" s="23">
        <v>80994</v>
      </c>
      <c r="I137" s="6" t="s">
        <v>17</v>
      </c>
      <c r="J137" s="45">
        <v>83381319</v>
      </c>
      <c r="K137" s="45" t="s">
        <v>2691</v>
      </c>
      <c r="L137" s="45" t="s">
        <v>2692</v>
      </c>
      <c r="M137" s="46">
        <v>229900</v>
      </c>
      <c r="N137" s="35">
        <v>0.9</v>
      </c>
      <c r="O137" s="34">
        <f t="shared" si="8"/>
        <v>22990</v>
      </c>
      <c r="P137" s="6" t="s">
        <v>16</v>
      </c>
    </row>
    <row r="138" spans="1:16" x14ac:dyDescent="0.35">
      <c r="A138" s="32" t="s">
        <v>6424</v>
      </c>
      <c r="B138" s="7">
        <f t="shared" si="6"/>
        <v>46121</v>
      </c>
      <c r="C138" s="7">
        <f t="shared" si="7"/>
        <v>46127</v>
      </c>
      <c r="D138" s="6">
        <v>3281</v>
      </c>
      <c r="E138" s="6">
        <v>337</v>
      </c>
      <c r="F138" s="6">
        <v>4</v>
      </c>
      <c r="G138" s="23">
        <v>4</v>
      </c>
      <c r="H138" s="23">
        <v>80994</v>
      </c>
      <c r="I138" s="6" t="s">
        <v>17</v>
      </c>
      <c r="J138" s="45">
        <v>83381328</v>
      </c>
      <c r="K138" s="45" t="s">
        <v>2691</v>
      </c>
      <c r="L138" s="45" t="s">
        <v>2690</v>
      </c>
      <c r="M138" s="46">
        <v>229900</v>
      </c>
      <c r="N138" s="35">
        <v>0.9</v>
      </c>
      <c r="O138" s="34">
        <f t="shared" si="8"/>
        <v>22990</v>
      </c>
      <c r="P138" s="6" t="s">
        <v>16</v>
      </c>
    </row>
    <row r="139" spans="1:16" x14ac:dyDescent="0.35">
      <c r="A139" s="32" t="s">
        <v>6424</v>
      </c>
      <c r="B139" s="7">
        <f t="shared" si="6"/>
        <v>46121</v>
      </c>
      <c r="C139" s="7">
        <f t="shared" si="7"/>
        <v>46127</v>
      </c>
      <c r="D139" s="6">
        <v>3281</v>
      </c>
      <c r="E139" s="6">
        <v>337</v>
      </c>
      <c r="F139" s="6">
        <v>4</v>
      </c>
      <c r="G139" s="23">
        <v>4</v>
      </c>
      <c r="H139" s="23">
        <v>81146</v>
      </c>
      <c r="I139" s="6" t="s">
        <v>17</v>
      </c>
      <c r="J139" s="45">
        <v>81775540</v>
      </c>
      <c r="K139" s="45" t="s">
        <v>123</v>
      </c>
      <c r="L139" s="45" t="s">
        <v>124</v>
      </c>
      <c r="M139" s="46">
        <v>169900</v>
      </c>
      <c r="N139" s="35">
        <v>0.9</v>
      </c>
      <c r="O139" s="34">
        <f t="shared" si="8"/>
        <v>16990</v>
      </c>
      <c r="P139" s="6" t="s">
        <v>16</v>
      </c>
    </row>
    <row r="140" spans="1:16" x14ac:dyDescent="0.35">
      <c r="A140" s="32" t="s">
        <v>6424</v>
      </c>
      <c r="B140" s="7">
        <f t="shared" si="6"/>
        <v>46121</v>
      </c>
      <c r="C140" s="7">
        <f t="shared" si="7"/>
        <v>46127</v>
      </c>
      <c r="D140" s="6">
        <v>3281</v>
      </c>
      <c r="E140" s="6">
        <v>337</v>
      </c>
      <c r="F140" s="6">
        <v>4</v>
      </c>
      <c r="G140" s="23">
        <v>4</v>
      </c>
      <c r="H140" s="23">
        <v>81146</v>
      </c>
      <c r="I140" s="6" t="s">
        <v>17</v>
      </c>
      <c r="J140" s="45">
        <v>81775559</v>
      </c>
      <c r="K140" s="45" t="s">
        <v>123</v>
      </c>
      <c r="L140" s="45" t="s">
        <v>125</v>
      </c>
      <c r="M140" s="46">
        <v>169900</v>
      </c>
      <c r="N140" s="35">
        <v>0.9</v>
      </c>
      <c r="O140" s="34">
        <f t="shared" si="8"/>
        <v>16990</v>
      </c>
      <c r="P140" s="6" t="s">
        <v>16</v>
      </c>
    </row>
    <row r="141" spans="1:16" x14ac:dyDescent="0.35">
      <c r="A141" s="32" t="s">
        <v>6424</v>
      </c>
      <c r="B141" s="7">
        <f t="shared" si="6"/>
        <v>46121</v>
      </c>
      <c r="C141" s="7">
        <f t="shared" si="7"/>
        <v>46127</v>
      </c>
      <c r="D141" s="6">
        <v>3281</v>
      </c>
      <c r="E141" s="6">
        <v>337</v>
      </c>
      <c r="F141" s="6">
        <v>4</v>
      </c>
      <c r="G141" s="23">
        <v>4</v>
      </c>
      <c r="H141" s="23">
        <v>81146</v>
      </c>
      <c r="I141" s="6" t="s">
        <v>17</v>
      </c>
      <c r="J141" s="45">
        <v>81775568</v>
      </c>
      <c r="K141" s="45" t="s">
        <v>123</v>
      </c>
      <c r="L141" s="45" t="s">
        <v>126</v>
      </c>
      <c r="M141" s="46">
        <v>169900</v>
      </c>
      <c r="N141" s="35">
        <v>0.9</v>
      </c>
      <c r="O141" s="34">
        <f t="shared" si="8"/>
        <v>16990</v>
      </c>
      <c r="P141" s="6" t="s">
        <v>16</v>
      </c>
    </row>
    <row r="142" spans="1:16" x14ac:dyDescent="0.35">
      <c r="A142" s="32" t="s">
        <v>6424</v>
      </c>
      <c r="B142" s="7">
        <f t="shared" si="6"/>
        <v>46121</v>
      </c>
      <c r="C142" s="7">
        <f t="shared" si="7"/>
        <v>46127</v>
      </c>
      <c r="D142" s="6">
        <v>3281</v>
      </c>
      <c r="E142" s="6">
        <v>337</v>
      </c>
      <c r="F142" s="6">
        <v>4</v>
      </c>
      <c r="G142" s="23">
        <v>4</v>
      </c>
      <c r="H142" s="23">
        <v>190</v>
      </c>
      <c r="I142" s="6" t="s">
        <v>17</v>
      </c>
      <c r="J142" s="45">
        <v>87434540</v>
      </c>
      <c r="K142" s="45" t="s">
        <v>64</v>
      </c>
      <c r="L142" s="45" t="s">
        <v>65</v>
      </c>
      <c r="M142" s="46">
        <v>249900</v>
      </c>
      <c r="N142" s="35">
        <v>0.9</v>
      </c>
      <c r="O142" s="34">
        <f t="shared" si="8"/>
        <v>24990</v>
      </c>
      <c r="P142" s="6" t="s">
        <v>16</v>
      </c>
    </row>
    <row r="143" spans="1:16" x14ac:dyDescent="0.35">
      <c r="A143" s="32" t="s">
        <v>6424</v>
      </c>
      <c r="B143" s="7">
        <f t="shared" si="6"/>
        <v>46121</v>
      </c>
      <c r="C143" s="7">
        <f t="shared" si="7"/>
        <v>46127</v>
      </c>
      <c r="D143" s="6">
        <v>3281</v>
      </c>
      <c r="E143" s="6">
        <v>337</v>
      </c>
      <c r="F143" s="6">
        <v>4</v>
      </c>
      <c r="G143" s="23">
        <v>4</v>
      </c>
      <c r="H143" s="23">
        <v>190</v>
      </c>
      <c r="I143" s="6" t="s">
        <v>17</v>
      </c>
      <c r="J143" s="45">
        <v>87434577</v>
      </c>
      <c r="K143" s="45" t="s">
        <v>64</v>
      </c>
      <c r="L143" s="45" t="s">
        <v>66</v>
      </c>
      <c r="M143" s="46">
        <v>249900</v>
      </c>
      <c r="N143" s="35">
        <v>0.9</v>
      </c>
      <c r="O143" s="34">
        <f t="shared" si="8"/>
        <v>24990</v>
      </c>
      <c r="P143" s="6" t="s">
        <v>16</v>
      </c>
    </row>
    <row r="144" spans="1:16" x14ac:dyDescent="0.35">
      <c r="A144" s="32" t="s">
        <v>6424</v>
      </c>
      <c r="B144" s="7">
        <f t="shared" si="6"/>
        <v>46121</v>
      </c>
      <c r="C144" s="7">
        <f t="shared" si="7"/>
        <v>46127</v>
      </c>
      <c r="D144" s="6">
        <v>3281</v>
      </c>
      <c r="E144" s="6">
        <v>337</v>
      </c>
      <c r="F144" s="6">
        <v>4</v>
      </c>
      <c r="G144" s="23">
        <v>4</v>
      </c>
      <c r="H144" s="23">
        <v>80920</v>
      </c>
      <c r="I144" s="6" t="s">
        <v>17</v>
      </c>
      <c r="J144" s="45">
        <v>75739805</v>
      </c>
      <c r="K144" s="45" t="s">
        <v>171</v>
      </c>
      <c r="L144" s="45" t="s">
        <v>172</v>
      </c>
      <c r="M144" s="46">
        <v>279900</v>
      </c>
      <c r="N144" s="35">
        <v>0.9</v>
      </c>
      <c r="O144" s="34">
        <f t="shared" si="8"/>
        <v>27990</v>
      </c>
      <c r="P144" s="6" t="s">
        <v>16</v>
      </c>
    </row>
    <row r="145" spans="1:16" x14ac:dyDescent="0.35">
      <c r="A145" s="32" t="s">
        <v>6424</v>
      </c>
      <c r="B145" s="7">
        <f t="shared" si="6"/>
        <v>46121</v>
      </c>
      <c r="C145" s="7">
        <f t="shared" si="7"/>
        <v>46127</v>
      </c>
      <c r="D145" s="6">
        <v>3281</v>
      </c>
      <c r="E145" s="6">
        <v>337</v>
      </c>
      <c r="F145" s="6">
        <v>4</v>
      </c>
      <c r="G145" s="23">
        <v>4</v>
      </c>
      <c r="H145" s="23">
        <v>80920</v>
      </c>
      <c r="I145" s="6" t="s">
        <v>17</v>
      </c>
      <c r="J145" s="45">
        <v>75739814</v>
      </c>
      <c r="K145" s="45" t="s">
        <v>171</v>
      </c>
      <c r="L145" s="45" t="s">
        <v>173</v>
      </c>
      <c r="M145" s="46">
        <v>279900</v>
      </c>
      <c r="N145" s="35">
        <v>0.9</v>
      </c>
      <c r="O145" s="34">
        <f t="shared" si="8"/>
        <v>27990</v>
      </c>
      <c r="P145" s="6" t="s">
        <v>16</v>
      </c>
    </row>
    <row r="146" spans="1:16" x14ac:dyDescent="0.35">
      <c r="A146" s="32" t="s">
        <v>6424</v>
      </c>
      <c r="B146" s="7">
        <f t="shared" si="6"/>
        <v>46121</v>
      </c>
      <c r="C146" s="7">
        <f t="shared" si="7"/>
        <v>46127</v>
      </c>
      <c r="D146" s="6">
        <v>3281</v>
      </c>
      <c r="E146" s="6">
        <v>337</v>
      </c>
      <c r="F146" s="6">
        <v>4</v>
      </c>
      <c r="G146" s="23">
        <v>4</v>
      </c>
      <c r="H146" s="23">
        <v>81736</v>
      </c>
      <c r="I146" s="6" t="s">
        <v>17</v>
      </c>
      <c r="J146" s="45">
        <v>13450741</v>
      </c>
      <c r="K146" s="45" t="s">
        <v>27</v>
      </c>
      <c r="L146" s="45" t="s">
        <v>29</v>
      </c>
      <c r="M146" s="46">
        <v>229900</v>
      </c>
      <c r="N146" s="35">
        <v>0.9</v>
      </c>
      <c r="O146" s="34">
        <f t="shared" si="8"/>
        <v>22990</v>
      </c>
      <c r="P146" s="6" t="s">
        <v>16</v>
      </c>
    </row>
    <row r="147" spans="1:16" x14ac:dyDescent="0.35">
      <c r="A147" s="32" t="s">
        <v>6424</v>
      </c>
      <c r="B147" s="7">
        <f t="shared" si="6"/>
        <v>46121</v>
      </c>
      <c r="C147" s="7">
        <f t="shared" si="7"/>
        <v>46127</v>
      </c>
      <c r="D147" s="6">
        <v>3281</v>
      </c>
      <c r="E147" s="6">
        <v>337</v>
      </c>
      <c r="F147" s="6">
        <v>4</v>
      </c>
      <c r="G147" s="23">
        <v>4</v>
      </c>
      <c r="H147" s="23">
        <v>81736</v>
      </c>
      <c r="I147" s="6" t="s">
        <v>17</v>
      </c>
      <c r="J147" s="45">
        <v>13450750</v>
      </c>
      <c r="K147" s="45" t="s">
        <v>27</v>
      </c>
      <c r="L147" s="45" t="s">
        <v>30</v>
      </c>
      <c r="M147" s="46">
        <v>229900</v>
      </c>
      <c r="N147" s="35">
        <v>0.9</v>
      </c>
      <c r="O147" s="34">
        <f t="shared" si="8"/>
        <v>22990</v>
      </c>
      <c r="P147" s="6" t="s">
        <v>16</v>
      </c>
    </row>
    <row r="148" spans="1:16" x14ac:dyDescent="0.35">
      <c r="A148" s="32" t="s">
        <v>6424</v>
      </c>
      <c r="B148" s="7">
        <f t="shared" si="6"/>
        <v>46121</v>
      </c>
      <c r="C148" s="7">
        <f t="shared" si="7"/>
        <v>46127</v>
      </c>
      <c r="D148" s="6">
        <v>3281</v>
      </c>
      <c r="E148" s="6">
        <v>337</v>
      </c>
      <c r="F148" s="6">
        <v>4</v>
      </c>
      <c r="G148" s="23">
        <v>4</v>
      </c>
      <c r="H148" s="23">
        <v>81736</v>
      </c>
      <c r="I148" s="6" t="s">
        <v>17</v>
      </c>
      <c r="J148" s="45">
        <v>13450769</v>
      </c>
      <c r="K148" s="45" t="s">
        <v>27</v>
      </c>
      <c r="L148" s="45" t="s">
        <v>31</v>
      </c>
      <c r="M148" s="46">
        <v>229900</v>
      </c>
      <c r="N148" s="35">
        <v>0.9</v>
      </c>
      <c r="O148" s="34">
        <f t="shared" si="8"/>
        <v>22990</v>
      </c>
      <c r="P148" s="6" t="s">
        <v>16</v>
      </c>
    </row>
    <row r="149" spans="1:16" x14ac:dyDescent="0.35">
      <c r="A149" s="32" t="s">
        <v>6424</v>
      </c>
      <c r="B149" s="7">
        <f t="shared" si="6"/>
        <v>46121</v>
      </c>
      <c r="C149" s="7">
        <f t="shared" si="7"/>
        <v>46127</v>
      </c>
      <c r="D149" s="6">
        <v>3281</v>
      </c>
      <c r="E149" s="6">
        <v>337</v>
      </c>
      <c r="F149" s="6">
        <v>4</v>
      </c>
      <c r="G149" s="23">
        <v>4</v>
      </c>
      <c r="H149" s="23">
        <v>81736</v>
      </c>
      <c r="I149" s="6" t="s">
        <v>17</v>
      </c>
      <c r="J149" s="45">
        <v>13450778</v>
      </c>
      <c r="K149" s="45" t="s">
        <v>27</v>
      </c>
      <c r="L149" s="45" t="s">
        <v>28</v>
      </c>
      <c r="M149" s="46">
        <v>229900</v>
      </c>
      <c r="N149" s="35">
        <v>0.9</v>
      </c>
      <c r="O149" s="34">
        <f t="shared" si="8"/>
        <v>22990</v>
      </c>
      <c r="P149" s="6" t="s">
        <v>16</v>
      </c>
    </row>
    <row r="150" spans="1:16" x14ac:dyDescent="0.35">
      <c r="A150" s="32" t="s">
        <v>6424</v>
      </c>
      <c r="B150" s="7">
        <f t="shared" si="6"/>
        <v>46121</v>
      </c>
      <c r="C150" s="7">
        <f t="shared" si="7"/>
        <v>46127</v>
      </c>
      <c r="D150" s="6">
        <v>3281</v>
      </c>
      <c r="E150" s="6">
        <v>337</v>
      </c>
      <c r="F150" s="6">
        <v>4</v>
      </c>
      <c r="G150" s="23">
        <v>4</v>
      </c>
      <c r="H150" s="23">
        <v>81574</v>
      </c>
      <c r="I150" s="6" t="s">
        <v>17</v>
      </c>
      <c r="J150" s="45">
        <v>79528268</v>
      </c>
      <c r="K150" s="45" t="s">
        <v>241</v>
      </c>
      <c r="L150" s="45" t="s">
        <v>242</v>
      </c>
      <c r="M150" s="46">
        <v>319900</v>
      </c>
      <c r="N150" s="35">
        <v>0.9</v>
      </c>
      <c r="O150" s="34">
        <f t="shared" si="8"/>
        <v>31990</v>
      </c>
      <c r="P150" s="6" t="s">
        <v>16</v>
      </c>
    </row>
    <row r="151" spans="1:16" x14ac:dyDescent="0.35">
      <c r="A151" s="32" t="s">
        <v>6424</v>
      </c>
      <c r="B151" s="7">
        <f t="shared" si="6"/>
        <v>46121</v>
      </c>
      <c r="C151" s="7">
        <f t="shared" si="7"/>
        <v>46127</v>
      </c>
      <c r="D151" s="6">
        <v>3281</v>
      </c>
      <c r="E151" s="6">
        <v>337</v>
      </c>
      <c r="F151" s="6">
        <v>4</v>
      </c>
      <c r="G151" s="23">
        <v>4</v>
      </c>
      <c r="H151" s="23">
        <v>81574</v>
      </c>
      <c r="I151" s="6" t="s">
        <v>17</v>
      </c>
      <c r="J151" s="45">
        <v>79528277</v>
      </c>
      <c r="K151" s="45" t="s">
        <v>241</v>
      </c>
      <c r="L151" s="45" t="s">
        <v>243</v>
      </c>
      <c r="M151" s="46">
        <v>319900</v>
      </c>
      <c r="N151" s="35">
        <v>0.9</v>
      </c>
      <c r="O151" s="34">
        <f t="shared" si="8"/>
        <v>31990</v>
      </c>
      <c r="P151" s="6" t="s">
        <v>16</v>
      </c>
    </row>
    <row r="152" spans="1:16" x14ac:dyDescent="0.35">
      <c r="A152" s="32" t="s">
        <v>6424</v>
      </c>
      <c r="B152" s="7">
        <f t="shared" si="6"/>
        <v>46121</v>
      </c>
      <c r="C152" s="7">
        <f t="shared" si="7"/>
        <v>46127</v>
      </c>
      <c r="D152" s="6">
        <v>3281</v>
      </c>
      <c r="E152" s="6">
        <v>337</v>
      </c>
      <c r="F152" s="6">
        <v>4</v>
      </c>
      <c r="G152" s="23">
        <v>4</v>
      </c>
      <c r="H152" s="23">
        <v>81574</v>
      </c>
      <c r="I152" s="6" t="s">
        <v>17</v>
      </c>
      <c r="J152" s="45">
        <v>79528286</v>
      </c>
      <c r="K152" s="45" t="s">
        <v>241</v>
      </c>
      <c r="L152" s="45" t="s">
        <v>244</v>
      </c>
      <c r="M152" s="46">
        <v>319900</v>
      </c>
      <c r="N152" s="35">
        <v>0.9</v>
      </c>
      <c r="O152" s="34">
        <f t="shared" si="8"/>
        <v>31990</v>
      </c>
      <c r="P152" s="6" t="s">
        <v>16</v>
      </c>
    </row>
    <row r="153" spans="1:16" x14ac:dyDescent="0.35">
      <c r="A153" s="32" t="s">
        <v>6424</v>
      </c>
      <c r="B153" s="7">
        <f t="shared" si="6"/>
        <v>46121</v>
      </c>
      <c r="C153" s="7">
        <f t="shared" si="7"/>
        <v>46127</v>
      </c>
      <c r="D153" s="6">
        <v>3281</v>
      </c>
      <c r="E153" s="6">
        <v>337</v>
      </c>
      <c r="F153" s="6">
        <v>4</v>
      </c>
      <c r="G153" s="23">
        <v>4</v>
      </c>
      <c r="H153" s="23">
        <v>81574</v>
      </c>
      <c r="I153" s="6" t="s">
        <v>17</v>
      </c>
      <c r="J153" s="45">
        <v>79532575</v>
      </c>
      <c r="K153" s="45" t="s">
        <v>166</v>
      </c>
      <c r="L153" s="45" t="s">
        <v>167</v>
      </c>
      <c r="M153" s="46">
        <v>319900</v>
      </c>
      <c r="N153" s="35">
        <v>0.9</v>
      </c>
      <c r="O153" s="34">
        <f t="shared" si="8"/>
        <v>31990</v>
      </c>
      <c r="P153" s="6" t="s">
        <v>16</v>
      </c>
    </row>
    <row r="154" spans="1:16" x14ac:dyDescent="0.35">
      <c r="A154" s="32" t="s">
        <v>6424</v>
      </c>
      <c r="B154" s="7">
        <f t="shared" si="6"/>
        <v>46121</v>
      </c>
      <c r="C154" s="7">
        <f t="shared" si="7"/>
        <v>46127</v>
      </c>
      <c r="D154" s="6">
        <v>3281</v>
      </c>
      <c r="E154" s="6">
        <v>337</v>
      </c>
      <c r="F154" s="6">
        <v>4</v>
      </c>
      <c r="G154" s="23">
        <v>4</v>
      </c>
      <c r="H154" s="23">
        <v>81574</v>
      </c>
      <c r="I154" s="6" t="s">
        <v>17</v>
      </c>
      <c r="J154" s="45">
        <v>79532584</v>
      </c>
      <c r="K154" s="45" t="s">
        <v>166</v>
      </c>
      <c r="L154" s="45" t="s">
        <v>168</v>
      </c>
      <c r="M154" s="46">
        <v>319900</v>
      </c>
      <c r="N154" s="35">
        <v>0.9</v>
      </c>
      <c r="O154" s="34">
        <f t="shared" si="8"/>
        <v>31990</v>
      </c>
      <c r="P154" s="6" t="s">
        <v>16</v>
      </c>
    </row>
    <row r="155" spans="1:16" x14ac:dyDescent="0.35">
      <c r="A155" s="32" t="s">
        <v>6424</v>
      </c>
      <c r="B155" s="7">
        <f t="shared" si="6"/>
        <v>46121</v>
      </c>
      <c r="C155" s="7">
        <f t="shared" si="7"/>
        <v>46127</v>
      </c>
      <c r="D155" s="6">
        <v>3281</v>
      </c>
      <c r="E155" s="6">
        <v>337</v>
      </c>
      <c r="F155" s="6">
        <v>4</v>
      </c>
      <c r="G155" s="23">
        <v>4</v>
      </c>
      <c r="H155" s="23">
        <v>81574</v>
      </c>
      <c r="I155" s="6" t="s">
        <v>17</v>
      </c>
      <c r="J155" s="45">
        <v>79532593</v>
      </c>
      <c r="K155" s="45" t="s">
        <v>166</v>
      </c>
      <c r="L155" s="45" t="s">
        <v>169</v>
      </c>
      <c r="M155" s="46">
        <v>319900</v>
      </c>
      <c r="N155" s="35">
        <v>0.9</v>
      </c>
      <c r="O155" s="34">
        <f t="shared" si="8"/>
        <v>31990</v>
      </c>
      <c r="P155" s="6" t="s">
        <v>16</v>
      </c>
    </row>
    <row r="156" spans="1:16" x14ac:dyDescent="0.35">
      <c r="A156" s="32" t="s">
        <v>6424</v>
      </c>
      <c r="B156" s="7">
        <f t="shared" si="6"/>
        <v>46121</v>
      </c>
      <c r="C156" s="7">
        <f t="shared" si="7"/>
        <v>46127</v>
      </c>
      <c r="D156" s="6">
        <v>3281</v>
      </c>
      <c r="E156" s="6">
        <v>337</v>
      </c>
      <c r="F156" s="6">
        <v>4</v>
      </c>
      <c r="G156" s="23">
        <v>4</v>
      </c>
      <c r="H156" s="23">
        <v>81574</v>
      </c>
      <c r="I156" s="6" t="s">
        <v>17</v>
      </c>
      <c r="J156" s="45">
        <v>79532600</v>
      </c>
      <c r="K156" s="45" t="s">
        <v>166</v>
      </c>
      <c r="L156" s="45" t="s">
        <v>170</v>
      </c>
      <c r="M156" s="46">
        <v>319900</v>
      </c>
      <c r="N156" s="35">
        <v>0.9</v>
      </c>
      <c r="O156" s="34">
        <f t="shared" si="8"/>
        <v>31990</v>
      </c>
      <c r="P156" s="6" t="s">
        <v>16</v>
      </c>
    </row>
    <row r="157" spans="1:16" x14ac:dyDescent="0.35">
      <c r="A157" s="32" t="s">
        <v>6424</v>
      </c>
      <c r="B157" s="7">
        <f t="shared" si="6"/>
        <v>46121</v>
      </c>
      <c r="C157" s="7">
        <f t="shared" si="7"/>
        <v>46127</v>
      </c>
      <c r="D157" s="6">
        <v>3281</v>
      </c>
      <c r="E157" s="6">
        <v>337</v>
      </c>
      <c r="F157" s="6">
        <v>4</v>
      </c>
      <c r="G157" s="23">
        <v>5</v>
      </c>
      <c r="H157" s="23">
        <v>80994</v>
      </c>
      <c r="I157" s="6" t="s">
        <v>17</v>
      </c>
      <c r="J157" s="45">
        <v>75739912</v>
      </c>
      <c r="K157" s="45" t="s">
        <v>196</v>
      </c>
      <c r="L157" s="45" t="s">
        <v>197</v>
      </c>
      <c r="M157" s="46">
        <v>259900</v>
      </c>
      <c r="N157" s="35">
        <v>0.9</v>
      </c>
      <c r="O157" s="34">
        <f t="shared" si="8"/>
        <v>25990</v>
      </c>
      <c r="P157" s="6" t="s">
        <v>16</v>
      </c>
    </row>
    <row r="158" spans="1:16" x14ac:dyDescent="0.35">
      <c r="A158" s="32" t="s">
        <v>6424</v>
      </c>
      <c r="B158" s="7">
        <f t="shared" si="6"/>
        <v>46121</v>
      </c>
      <c r="C158" s="7">
        <f t="shared" si="7"/>
        <v>46127</v>
      </c>
      <c r="D158" s="6">
        <v>3281</v>
      </c>
      <c r="E158" s="6">
        <v>337</v>
      </c>
      <c r="F158" s="6">
        <v>4</v>
      </c>
      <c r="G158" s="23">
        <v>5</v>
      </c>
      <c r="H158" s="23">
        <v>80994</v>
      </c>
      <c r="I158" s="6" t="s">
        <v>17</v>
      </c>
      <c r="J158" s="45">
        <v>75739921</v>
      </c>
      <c r="K158" s="45" t="s">
        <v>196</v>
      </c>
      <c r="L158" s="45" t="s">
        <v>198</v>
      </c>
      <c r="M158" s="46">
        <v>259900</v>
      </c>
      <c r="N158" s="35">
        <v>0.9</v>
      </c>
      <c r="O158" s="34">
        <f t="shared" si="8"/>
        <v>25990</v>
      </c>
      <c r="P158" s="6" t="s">
        <v>16</v>
      </c>
    </row>
    <row r="159" spans="1:16" x14ac:dyDescent="0.35">
      <c r="A159" s="32" t="s">
        <v>6424</v>
      </c>
      <c r="B159" s="7">
        <f t="shared" si="6"/>
        <v>46121</v>
      </c>
      <c r="C159" s="7">
        <f t="shared" si="7"/>
        <v>46127</v>
      </c>
      <c r="D159" s="6">
        <v>3281</v>
      </c>
      <c r="E159" s="6">
        <v>337</v>
      </c>
      <c r="F159" s="6">
        <v>4</v>
      </c>
      <c r="G159" s="23">
        <v>5</v>
      </c>
      <c r="H159" s="23">
        <v>80994</v>
      </c>
      <c r="I159" s="6" t="s">
        <v>17</v>
      </c>
      <c r="J159" s="45">
        <v>75739930</v>
      </c>
      <c r="K159" s="45" t="s">
        <v>196</v>
      </c>
      <c r="L159" s="45" t="s">
        <v>199</v>
      </c>
      <c r="M159" s="46">
        <v>259900</v>
      </c>
      <c r="N159" s="35">
        <v>0.9</v>
      </c>
      <c r="O159" s="34">
        <f t="shared" si="8"/>
        <v>25990</v>
      </c>
      <c r="P159" s="6" t="s">
        <v>16</v>
      </c>
    </row>
    <row r="160" spans="1:16" x14ac:dyDescent="0.35">
      <c r="A160" s="32" t="s">
        <v>6424</v>
      </c>
      <c r="B160" s="7">
        <f t="shared" si="6"/>
        <v>46121</v>
      </c>
      <c r="C160" s="7">
        <f t="shared" si="7"/>
        <v>46127</v>
      </c>
      <c r="D160" s="6">
        <v>3281</v>
      </c>
      <c r="E160" s="6">
        <v>337</v>
      </c>
      <c r="F160" s="6">
        <v>4</v>
      </c>
      <c r="G160" s="23">
        <v>5</v>
      </c>
      <c r="H160" s="23">
        <v>80994</v>
      </c>
      <c r="I160" s="6" t="s">
        <v>17</v>
      </c>
      <c r="J160" s="45">
        <v>75739949</v>
      </c>
      <c r="K160" s="45" t="s">
        <v>196</v>
      </c>
      <c r="L160" s="45" t="s">
        <v>200</v>
      </c>
      <c r="M160" s="46">
        <v>259900</v>
      </c>
      <c r="N160" s="35">
        <v>0.9</v>
      </c>
      <c r="O160" s="34">
        <f t="shared" si="8"/>
        <v>25990</v>
      </c>
      <c r="P160" s="6" t="s">
        <v>16</v>
      </c>
    </row>
    <row r="161" spans="1:16" x14ac:dyDescent="0.35">
      <c r="A161" s="32" t="s">
        <v>6424</v>
      </c>
      <c r="B161" s="7">
        <f t="shared" si="6"/>
        <v>46121</v>
      </c>
      <c r="C161" s="7">
        <f t="shared" si="7"/>
        <v>46127</v>
      </c>
      <c r="D161" s="6">
        <v>3281</v>
      </c>
      <c r="E161" s="6">
        <v>337</v>
      </c>
      <c r="F161" s="6">
        <v>4</v>
      </c>
      <c r="G161" s="23">
        <v>5</v>
      </c>
      <c r="H161" s="23">
        <v>80994</v>
      </c>
      <c r="I161" s="6" t="s">
        <v>17</v>
      </c>
      <c r="J161" s="45">
        <v>75739958</v>
      </c>
      <c r="K161" s="45" t="s">
        <v>201</v>
      </c>
      <c r="L161" s="45" t="s">
        <v>202</v>
      </c>
      <c r="M161" s="46">
        <v>259900</v>
      </c>
      <c r="N161" s="35">
        <v>0.9</v>
      </c>
      <c r="O161" s="34">
        <f t="shared" si="8"/>
        <v>25990</v>
      </c>
      <c r="P161" s="6" t="s">
        <v>16</v>
      </c>
    </row>
    <row r="162" spans="1:16" x14ac:dyDescent="0.35">
      <c r="A162" s="32" t="s">
        <v>6424</v>
      </c>
      <c r="B162" s="7">
        <f t="shared" si="6"/>
        <v>46121</v>
      </c>
      <c r="C162" s="7">
        <f t="shared" si="7"/>
        <v>46127</v>
      </c>
      <c r="D162" s="6">
        <v>3281</v>
      </c>
      <c r="E162" s="6">
        <v>337</v>
      </c>
      <c r="F162" s="6">
        <v>4</v>
      </c>
      <c r="G162" s="23">
        <v>5</v>
      </c>
      <c r="H162" s="23">
        <v>80994</v>
      </c>
      <c r="I162" s="6" t="s">
        <v>17</v>
      </c>
      <c r="J162" s="45">
        <v>75739976</v>
      </c>
      <c r="K162" s="45" t="s">
        <v>201</v>
      </c>
      <c r="L162" s="45" t="s">
        <v>203</v>
      </c>
      <c r="M162" s="46">
        <v>259900</v>
      </c>
      <c r="N162" s="35">
        <v>0.9</v>
      </c>
      <c r="O162" s="34">
        <f t="shared" si="8"/>
        <v>25990</v>
      </c>
      <c r="P162" s="6" t="s">
        <v>16</v>
      </c>
    </row>
    <row r="163" spans="1:16" x14ac:dyDescent="0.35">
      <c r="A163" s="32" t="s">
        <v>6424</v>
      </c>
      <c r="B163" s="7">
        <f t="shared" si="6"/>
        <v>46121</v>
      </c>
      <c r="C163" s="7">
        <f t="shared" si="7"/>
        <v>46127</v>
      </c>
      <c r="D163" s="6">
        <v>3281</v>
      </c>
      <c r="E163" s="6">
        <v>337</v>
      </c>
      <c r="F163" s="6">
        <v>4</v>
      </c>
      <c r="G163" s="23">
        <v>5</v>
      </c>
      <c r="H163" s="23">
        <v>80994</v>
      </c>
      <c r="I163" s="6" t="s">
        <v>17</v>
      </c>
      <c r="J163" s="45">
        <v>75739985</v>
      </c>
      <c r="K163" s="45" t="s">
        <v>201</v>
      </c>
      <c r="L163" s="45" t="s">
        <v>204</v>
      </c>
      <c r="M163" s="46">
        <v>259900</v>
      </c>
      <c r="N163" s="35">
        <v>0.9</v>
      </c>
      <c r="O163" s="34">
        <f t="shared" si="8"/>
        <v>25990</v>
      </c>
      <c r="P163" s="6" t="s">
        <v>16</v>
      </c>
    </row>
    <row r="164" spans="1:16" x14ac:dyDescent="0.35">
      <c r="A164" s="32" t="s">
        <v>6424</v>
      </c>
      <c r="B164" s="7">
        <f t="shared" si="6"/>
        <v>46121</v>
      </c>
      <c r="C164" s="7">
        <f t="shared" si="7"/>
        <v>46127</v>
      </c>
      <c r="D164" s="6">
        <v>3281</v>
      </c>
      <c r="E164" s="6">
        <v>337</v>
      </c>
      <c r="F164" s="6">
        <v>4</v>
      </c>
      <c r="G164" s="23">
        <v>5</v>
      </c>
      <c r="H164" s="23">
        <v>80994</v>
      </c>
      <c r="I164" s="6" t="s">
        <v>17</v>
      </c>
      <c r="J164" s="45">
        <v>76638752</v>
      </c>
      <c r="K164" s="45" t="s">
        <v>205</v>
      </c>
      <c r="L164" s="45" t="s">
        <v>206</v>
      </c>
      <c r="M164" s="46">
        <v>249900</v>
      </c>
      <c r="N164" s="35">
        <v>0.9</v>
      </c>
      <c r="O164" s="34">
        <f t="shared" si="8"/>
        <v>24990</v>
      </c>
      <c r="P164" s="6" t="s">
        <v>16</v>
      </c>
    </row>
    <row r="165" spans="1:16" x14ac:dyDescent="0.35">
      <c r="A165" s="32" t="s">
        <v>6424</v>
      </c>
      <c r="B165" s="7">
        <f t="shared" si="6"/>
        <v>46121</v>
      </c>
      <c r="C165" s="7">
        <f t="shared" si="7"/>
        <v>46127</v>
      </c>
      <c r="D165" s="6">
        <v>3281</v>
      </c>
      <c r="E165" s="6">
        <v>337</v>
      </c>
      <c r="F165" s="6">
        <v>4</v>
      </c>
      <c r="G165" s="23">
        <v>5</v>
      </c>
      <c r="H165" s="23">
        <v>80994</v>
      </c>
      <c r="I165" s="6" t="s">
        <v>17</v>
      </c>
      <c r="J165" s="45">
        <v>76638761</v>
      </c>
      <c r="K165" s="45" t="s">
        <v>205</v>
      </c>
      <c r="L165" s="45" t="s">
        <v>207</v>
      </c>
      <c r="M165" s="46">
        <v>249900</v>
      </c>
      <c r="N165" s="35">
        <v>0.9</v>
      </c>
      <c r="O165" s="34">
        <f t="shared" si="8"/>
        <v>24990</v>
      </c>
      <c r="P165" s="6" t="s">
        <v>16</v>
      </c>
    </row>
    <row r="166" spans="1:16" x14ac:dyDescent="0.35">
      <c r="A166" s="32" t="s">
        <v>6424</v>
      </c>
      <c r="B166" s="7">
        <f t="shared" si="6"/>
        <v>46121</v>
      </c>
      <c r="C166" s="7">
        <f t="shared" si="7"/>
        <v>46127</v>
      </c>
      <c r="D166" s="6">
        <v>3281</v>
      </c>
      <c r="E166" s="6">
        <v>337</v>
      </c>
      <c r="F166" s="6">
        <v>4</v>
      </c>
      <c r="G166" s="23">
        <v>5</v>
      </c>
      <c r="H166" s="23">
        <v>80994</v>
      </c>
      <c r="I166" s="6" t="s">
        <v>17</v>
      </c>
      <c r="J166" s="45">
        <v>76638789</v>
      </c>
      <c r="K166" s="45" t="s">
        <v>208</v>
      </c>
      <c r="L166" s="45" t="s">
        <v>209</v>
      </c>
      <c r="M166" s="46">
        <v>259900</v>
      </c>
      <c r="N166" s="35">
        <v>0.9</v>
      </c>
      <c r="O166" s="34">
        <f t="shared" si="8"/>
        <v>25990</v>
      </c>
      <c r="P166" s="6" t="s">
        <v>16</v>
      </c>
    </row>
    <row r="167" spans="1:16" x14ac:dyDescent="0.35">
      <c r="A167" s="32" t="s">
        <v>6424</v>
      </c>
      <c r="B167" s="7">
        <f t="shared" si="6"/>
        <v>46121</v>
      </c>
      <c r="C167" s="7">
        <f t="shared" si="7"/>
        <v>46127</v>
      </c>
      <c r="D167" s="6">
        <v>3281</v>
      </c>
      <c r="E167" s="6">
        <v>337</v>
      </c>
      <c r="F167" s="6">
        <v>4</v>
      </c>
      <c r="G167" s="23">
        <v>5</v>
      </c>
      <c r="H167" s="23">
        <v>80994</v>
      </c>
      <c r="I167" s="6" t="s">
        <v>17</v>
      </c>
      <c r="J167" s="45">
        <v>76638805</v>
      </c>
      <c r="K167" s="45" t="s">
        <v>208</v>
      </c>
      <c r="L167" s="45" t="s">
        <v>210</v>
      </c>
      <c r="M167" s="46">
        <v>259900</v>
      </c>
      <c r="N167" s="35">
        <v>0.9</v>
      </c>
      <c r="O167" s="34">
        <f t="shared" si="8"/>
        <v>25990</v>
      </c>
      <c r="P167" s="6" t="s">
        <v>16</v>
      </c>
    </row>
    <row r="168" spans="1:16" x14ac:dyDescent="0.35">
      <c r="A168" s="32" t="s">
        <v>6424</v>
      </c>
      <c r="B168" s="7">
        <f t="shared" si="6"/>
        <v>46121</v>
      </c>
      <c r="C168" s="7">
        <f t="shared" si="7"/>
        <v>46127</v>
      </c>
      <c r="D168" s="6">
        <v>3281</v>
      </c>
      <c r="E168" s="6">
        <v>337</v>
      </c>
      <c r="F168" s="6">
        <v>4</v>
      </c>
      <c r="G168" s="23">
        <v>5</v>
      </c>
      <c r="H168" s="23">
        <v>80994</v>
      </c>
      <c r="I168" s="6" t="s">
        <v>17</v>
      </c>
      <c r="J168" s="45">
        <v>83381337</v>
      </c>
      <c r="K168" s="45" t="s">
        <v>36</v>
      </c>
      <c r="L168" s="45" t="s">
        <v>38</v>
      </c>
      <c r="M168" s="46">
        <v>259900</v>
      </c>
      <c r="N168" s="35">
        <v>0.9</v>
      </c>
      <c r="O168" s="34">
        <f t="shared" si="8"/>
        <v>25990</v>
      </c>
      <c r="P168" s="6" t="s">
        <v>16</v>
      </c>
    </row>
    <row r="169" spans="1:16" x14ac:dyDescent="0.35">
      <c r="A169" s="32" t="s">
        <v>6424</v>
      </c>
      <c r="B169" s="7">
        <f t="shared" si="6"/>
        <v>46121</v>
      </c>
      <c r="C169" s="7">
        <f t="shared" si="7"/>
        <v>46127</v>
      </c>
      <c r="D169" s="6">
        <v>3281</v>
      </c>
      <c r="E169" s="6">
        <v>337</v>
      </c>
      <c r="F169" s="6">
        <v>4</v>
      </c>
      <c r="G169" s="23">
        <v>5</v>
      </c>
      <c r="H169" s="23">
        <v>80994</v>
      </c>
      <c r="I169" s="6" t="s">
        <v>17</v>
      </c>
      <c r="J169" s="45">
        <v>83381346</v>
      </c>
      <c r="K169" s="45" t="s">
        <v>36</v>
      </c>
      <c r="L169" s="45" t="s">
        <v>39</v>
      </c>
      <c r="M169" s="46">
        <v>259900</v>
      </c>
      <c r="N169" s="35">
        <v>0.9</v>
      </c>
      <c r="O169" s="34">
        <f t="shared" si="8"/>
        <v>25990</v>
      </c>
      <c r="P169" s="6" t="s">
        <v>16</v>
      </c>
    </row>
    <row r="170" spans="1:16" x14ac:dyDescent="0.35">
      <c r="A170" s="32" t="s">
        <v>6424</v>
      </c>
      <c r="B170" s="7">
        <f t="shared" si="6"/>
        <v>46121</v>
      </c>
      <c r="C170" s="7">
        <f t="shared" si="7"/>
        <v>46127</v>
      </c>
      <c r="D170" s="6">
        <v>3281</v>
      </c>
      <c r="E170" s="6">
        <v>337</v>
      </c>
      <c r="F170" s="6">
        <v>4</v>
      </c>
      <c r="G170" s="23">
        <v>5</v>
      </c>
      <c r="H170" s="23">
        <v>80994</v>
      </c>
      <c r="I170" s="6" t="s">
        <v>17</v>
      </c>
      <c r="J170" s="45">
        <v>83381355</v>
      </c>
      <c r="K170" s="45" t="s">
        <v>36</v>
      </c>
      <c r="L170" s="45" t="s">
        <v>40</v>
      </c>
      <c r="M170" s="46">
        <v>259900</v>
      </c>
      <c r="N170" s="35">
        <v>0.9</v>
      </c>
      <c r="O170" s="34">
        <f t="shared" si="8"/>
        <v>25990</v>
      </c>
      <c r="P170" s="6" t="s">
        <v>16</v>
      </c>
    </row>
    <row r="171" spans="1:16" x14ac:dyDescent="0.35">
      <c r="A171" s="32" t="s">
        <v>6424</v>
      </c>
      <c r="B171" s="7">
        <f t="shared" si="6"/>
        <v>46121</v>
      </c>
      <c r="C171" s="7">
        <f t="shared" si="7"/>
        <v>46127</v>
      </c>
      <c r="D171" s="6">
        <v>3281</v>
      </c>
      <c r="E171" s="6">
        <v>337</v>
      </c>
      <c r="F171" s="6">
        <v>4</v>
      </c>
      <c r="G171" s="23">
        <v>5</v>
      </c>
      <c r="H171" s="23">
        <v>80994</v>
      </c>
      <c r="I171" s="6" t="s">
        <v>17</v>
      </c>
      <c r="J171" s="45">
        <v>83381364</v>
      </c>
      <c r="K171" s="45" t="s">
        <v>36</v>
      </c>
      <c r="L171" s="45" t="s">
        <v>37</v>
      </c>
      <c r="M171" s="46">
        <v>259900</v>
      </c>
      <c r="N171" s="35">
        <v>0.9</v>
      </c>
      <c r="O171" s="34">
        <f t="shared" si="8"/>
        <v>25990</v>
      </c>
      <c r="P171" s="6" t="s">
        <v>16</v>
      </c>
    </row>
    <row r="172" spans="1:16" x14ac:dyDescent="0.35">
      <c r="A172" s="32" t="s">
        <v>6424</v>
      </c>
      <c r="B172" s="7">
        <f t="shared" si="6"/>
        <v>46121</v>
      </c>
      <c r="C172" s="7">
        <f t="shared" si="7"/>
        <v>46127</v>
      </c>
      <c r="D172" s="6">
        <v>3281</v>
      </c>
      <c r="E172" s="6">
        <v>337</v>
      </c>
      <c r="F172" s="6">
        <v>4</v>
      </c>
      <c r="G172" s="23">
        <v>5</v>
      </c>
      <c r="H172" s="23">
        <v>81146</v>
      </c>
      <c r="I172" s="6" t="s">
        <v>17</v>
      </c>
      <c r="J172" s="45">
        <v>81754723</v>
      </c>
      <c r="K172" s="45" t="s">
        <v>127</v>
      </c>
      <c r="L172" s="45" t="s">
        <v>128</v>
      </c>
      <c r="M172" s="46">
        <v>219900</v>
      </c>
      <c r="N172" s="35">
        <v>0.9</v>
      </c>
      <c r="O172" s="34">
        <f t="shared" si="8"/>
        <v>21990</v>
      </c>
      <c r="P172" s="6" t="s">
        <v>16</v>
      </c>
    </row>
    <row r="173" spans="1:16" x14ac:dyDescent="0.35">
      <c r="A173" s="32" t="s">
        <v>6424</v>
      </c>
      <c r="B173" s="7">
        <f t="shared" si="6"/>
        <v>46121</v>
      </c>
      <c r="C173" s="7">
        <f t="shared" si="7"/>
        <v>46127</v>
      </c>
      <c r="D173" s="6">
        <v>3281</v>
      </c>
      <c r="E173" s="6">
        <v>337</v>
      </c>
      <c r="F173" s="6">
        <v>4</v>
      </c>
      <c r="G173" s="23">
        <v>5</v>
      </c>
      <c r="H173" s="23">
        <v>81146</v>
      </c>
      <c r="I173" s="6" t="s">
        <v>17</v>
      </c>
      <c r="J173" s="45">
        <v>81754741</v>
      </c>
      <c r="K173" s="45" t="s">
        <v>127</v>
      </c>
      <c r="L173" s="45" t="s">
        <v>129</v>
      </c>
      <c r="M173" s="46">
        <v>219900</v>
      </c>
      <c r="N173" s="35">
        <v>0.9</v>
      </c>
      <c r="O173" s="34">
        <f t="shared" si="8"/>
        <v>21990</v>
      </c>
      <c r="P173" s="6" t="s">
        <v>16</v>
      </c>
    </row>
    <row r="174" spans="1:16" x14ac:dyDescent="0.35">
      <c r="A174" s="32" t="s">
        <v>6424</v>
      </c>
      <c r="B174" s="7">
        <f t="shared" si="6"/>
        <v>46121</v>
      </c>
      <c r="C174" s="7">
        <f t="shared" si="7"/>
        <v>46127</v>
      </c>
      <c r="D174" s="6">
        <v>3281</v>
      </c>
      <c r="E174" s="6">
        <v>337</v>
      </c>
      <c r="F174" s="6">
        <v>4</v>
      </c>
      <c r="G174" s="23">
        <v>5</v>
      </c>
      <c r="H174" s="23">
        <v>81146</v>
      </c>
      <c r="I174" s="6" t="s">
        <v>17</v>
      </c>
      <c r="J174" s="45">
        <v>81754750</v>
      </c>
      <c r="K174" s="45" t="s">
        <v>127</v>
      </c>
      <c r="L174" s="45" t="s">
        <v>130</v>
      </c>
      <c r="M174" s="46">
        <v>219900</v>
      </c>
      <c r="N174" s="35">
        <v>0.9</v>
      </c>
      <c r="O174" s="34">
        <f t="shared" si="8"/>
        <v>21990</v>
      </c>
      <c r="P174" s="6" t="s">
        <v>16</v>
      </c>
    </row>
    <row r="175" spans="1:16" x14ac:dyDescent="0.35">
      <c r="A175" s="32" t="s">
        <v>6424</v>
      </c>
      <c r="B175" s="7">
        <f t="shared" si="6"/>
        <v>46121</v>
      </c>
      <c r="C175" s="7">
        <f t="shared" si="7"/>
        <v>46127</v>
      </c>
      <c r="D175" s="6">
        <v>3281</v>
      </c>
      <c r="E175" s="6">
        <v>337</v>
      </c>
      <c r="F175" s="6">
        <v>4</v>
      </c>
      <c r="G175" s="23">
        <v>5</v>
      </c>
      <c r="H175" s="23">
        <v>81146</v>
      </c>
      <c r="I175" s="6" t="s">
        <v>17</v>
      </c>
      <c r="J175" s="45">
        <v>87434380</v>
      </c>
      <c r="K175" s="45" t="s">
        <v>41</v>
      </c>
      <c r="L175" s="45" t="s">
        <v>42</v>
      </c>
      <c r="M175" s="46">
        <v>289900</v>
      </c>
      <c r="N175" s="35">
        <v>0.9</v>
      </c>
      <c r="O175" s="34">
        <f t="shared" si="8"/>
        <v>28990</v>
      </c>
      <c r="P175" s="6" t="s">
        <v>16</v>
      </c>
    </row>
    <row r="176" spans="1:16" x14ac:dyDescent="0.35">
      <c r="A176" s="32" t="s">
        <v>6424</v>
      </c>
      <c r="B176" s="7">
        <f t="shared" si="6"/>
        <v>46121</v>
      </c>
      <c r="C176" s="7">
        <f t="shared" si="7"/>
        <v>46127</v>
      </c>
      <c r="D176" s="6">
        <v>3281</v>
      </c>
      <c r="E176" s="6">
        <v>337</v>
      </c>
      <c r="F176" s="6">
        <v>4</v>
      </c>
      <c r="G176" s="23">
        <v>5</v>
      </c>
      <c r="H176" s="23">
        <v>81146</v>
      </c>
      <c r="I176" s="6" t="s">
        <v>17</v>
      </c>
      <c r="J176" s="45">
        <v>87434399</v>
      </c>
      <c r="K176" s="45" t="s">
        <v>41</v>
      </c>
      <c r="L176" s="45" t="s">
        <v>43</v>
      </c>
      <c r="M176" s="46">
        <v>289900</v>
      </c>
      <c r="N176" s="35">
        <v>0.9</v>
      </c>
      <c r="O176" s="34">
        <f t="shared" si="8"/>
        <v>28990</v>
      </c>
      <c r="P176" s="6" t="s">
        <v>16</v>
      </c>
    </row>
    <row r="177" spans="1:16" x14ac:dyDescent="0.35">
      <c r="A177" s="32" t="s">
        <v>6424</v>
      </c>
      <c r="B177" s="7">
        <f t="shared" si="6"/>
        <v>46121</v>
      </c>
      <c r="C177" s="7">
        <f t="shared" si="7"/>
        <v>46127</v>
      </c>
      <c r="D177" s="6">
        <v>3281</v>
      </c>
      <c r="E177" s="6">
        <v>337</v>
      </c>
      <c r="F177" s="6">
        <v>4</v>
      </c>
      <c r="G177" s="23">
        <v>5</v>
      </c>
      <c r="H177" s="23">
        <v>81146</v>
      </c>
      <c r="I177" s="6" t="s">
        <v>17</v>
      </c>
      <c r="J177" s="45">
        <v>87434406</v>
      </c>
      <c r="K177" s="45" t="s">
        <v>41</v>
      </c>
      <c r="L177" s="45" t="s">
        <v>44</v>
      </c>
      <c r="M177" s="46">
        <v>289900</v>
      </c>
      <c r="N177" s="35">
        <v>0.9</v>
      </c>
      <c r="O177" s="34">
        <f t="shared" si="8"/>
        <v>28990</v>
      </c>
      <c r="P177" s="6" t="s">
        <v>16</v>
      </c>
    </row>
    <row r="178" spans="1:16" x14ac:dyDescent="0.35">
      <c r="A178" s="32" t="s">
        <v>6424</v>
      </c>
      <c r="B178" s="7">
        <f t="shared" si="6"/>
        <v>46121</v>
      </c>
      <c r="C178" s="7">
        <f t="shared" si="7"/>
        <v>46127</v>
      </c>
      <c r="D178" s="6">
        <v>3281</v>
      </c>
      <c r="E178" s="6">
        <v>337</v>
      </c>
      <c r="F178" s="6">
        <v>4</v>
      </c>
      <c r="G178" s="23">
        <v>5</v>
      </c>
      <c r="H178" s="23">
        <v>81146</v>
      </c>
      <c r="I178" s="6" t="s">
        <v>17</v>
      </c>
      <c r="J178" s="45">
        <v>87434415</v>
      </c>
      <c r="K178" s="45" t="s">
        <v>41</v>
      </c>
      <c r="L178" s="45" t="s">
        <v>45</v>
      </c>
      <c r="M178" s="46">
        <v>289900</v>
      </c>
      <c r="N178" s="35">
        <v>0.9</v>
      </c>
      <c r="O178" s="34">
        <f t="shared" si="8"/>
        <v>28990</v>
      </c>
      <c r="P178" s="6" t="s">
        <v>16</v>
      </c>
    </row>
    <row r="179" spans="1:16" x14ac:dyDescent="0.35">
      <c r="A179" s="32" t="s">
        <v>6424</v>
      </c>
      <c r="B179" s="7">
        <f t="shared" si="6"/>
        <v>46121</v>
      </c>
      <c r="C179" s="7">
        <f t="shared" si="7"/>
        <v>46127</v>
      </c>
      <c r="D179" s="6">
        <v>3281</v>
      </c>
      <c r="E179" s="6">
        <v>337</v>
      </c>
      <c r="F179" s="6">
        <v>4</v>
      </c>
      <c r="G179" s="23">
        <v>5</v>
      </c>
      <c r="H179" s="23">
        <v>81146</v>
      </c>
      <c r="I179" s="6" t="s">
        <v>17</v>
      </c>
      <c r="J179" s="45">
        <v>87434424</v>
      </c>
      <c r="K179" s="45" t="s">
        <v>46</v>
      </c>
      <c r="L179" s="45" t="s">
        <v>47</v>
      </c>
      <c r="M179" s="46">
        <v>299900</v>
      </c>
      <c r="N179" s="35">
        <v>0.9</v>
      </c>
      <c r="O179" s="34">
        <f t="shared" si="8"/>
        <v>29990</v>
      </c>
      <c r="P179" s="6" t="s">
        <v>16</v>
      </c>
    </row>
    <row r="180" spans="1:16" x14ac:dyDescent="0.35">
      <c r="A180" s="32" t="s">
        <v>6424</v>
      </c>
      <c r="B180" s="7">
        <f t="shared" si="6"/>
        <v>46121</v>
      </c>
      <c r="C180" s="7">
        <f t="shared" si="7"/>
        <v>46127</v>
      </c>
      <c r="D180" s="6">
        <v>3281</v>
      </c>
      <c r="E180" s="6">
        <v>337</v>
      </c>
      <c r="F180" s="6">
        <v>4</v>
      </c>
      <c r="G180" s="23">
        <v>5</v>
      </c>
      <c r="H180" s="23">
        <v>81146</v>
      </c>
      <c r="I180" s="6" t="s">
        <v>17</v>
      </c>
      <c r="J180" s="45">
        <v>87434433</v>
      </c>
      <c r="K180" s="45" t="s">
        <v>46</v>
      </c>
      <c r="L180" s="45" t="s">
        <v>48</v>
      </c>
      <c r="M180" s="46">
        <v>299900</v>
      </c>
      <c r="N180" s="35">
        <v>0.9</v>
      </c>
      <c r="O180" s="34">
        <f t="shared" si="8"/>
        <v>29990</v>
      </c>
      <c r="P180" s="6" t="s">
        <v>16</v>
      </c>
    </row>
    <row r="181" spans="1:16" x14ac:dyDescent="0.35">
      <c r="A181" s="32" t="s">
        <v>6424</v>
      </c>
      <c r="B181" s="7">
        <f t="shared" si="6"/>
        <v>46121</v>
      </c>
      <c r="C181" s="7">
        <f t="shared" si="7"/>
        <v>46127</v>
      </c>
      <c r="D181" s="6">
        <v>3281</v>
      </c>
      <c r="E181" s="6">
        <v>337</v>
      </c>
      <c r="F181" s="6">
        <v>4</v>
      </c>
      <c r="G181" s="23">
        <v>5</v>
      </c>
      <c r="H181" s="23">
        <v>81146</v>
      </c>
      <c r="I181" s="6" t="s">
        <v>17</v>
      </c>
      <c r="J181" s="45">
        <v>87434442</v>
      </c>
      <c r="K181" s="45" t="s">
        <v>46</v>
      </c>
      <c r="L181" s="45" t="s">
        <v>49</v>
      </c>
      <c r="M181" s="46">
        <v>299900</v>
      </c>
      <c r="N181" s="35">
        <v>0.9</v>
      </c>
      <c r="O181" s="34">
        <f t="shared" si="8"/>
        <v>29990</v>
      </c>
      <c r="P181" s="6" t="s">
        <v>16</v>
      </c>
    </row>
    <row r="182" spans="1:16" x14ac:dyDescent="0.35">
      <c r="A182" s="32" t="s">
        <v>6424</v>
      </c>
      <c r="B182" s="7">
        <f t="shared" si="6"/>
        <v>46121</v>
      </c>
      <c r="C182" s="7">
        <f t="shared" si="7"/>
        <v>46127</v>
      </c>
      <c r="D182" s="6">
        <v>3281</v>
      </c>
      <c r="E182" s="6">
        <v>337</v>
      </c>
      <c r="F182" s="6">
        <v>4</v>
      </c>
      <c r="G182" s="23">
        <v>5</v>
      </c>
      <c r="H182" s="23">
        <v>81146</v>
      </c>
      <c r="I182" s="6" t="s">
        <v>17</v>
      </c>
      <c r="J182" s="45">
        <v>87434451</v>
      </c>
      <c r="K182" s="45" t="s">
        <v>46</v>
      </c>
      <c r="L182" s="45" t="s">
        <v>50</v>
      </c>
      <c r="M182" s="46">
        <v>299900</v>
      </c>
      <c r="N182" s="35">
        <v>0.9</v>
      </c>
      <c r="O182" s="34">
        <f t="shared" si="8"/>
        <v>29990</v>
      </c>
      <c r="P182" s="6" t="s">
        <v>16</v>
      </c>
    </row>
    <row r="183" spans="1:16" x14ac:dyDescent="0.35">
      <c r="A183" s="32" t="s">
        <v>6424</v>
      </c>
      <c r="B183" s="7">
        <f t="shared" si="6"/>
        <v>46121</v>
      </c>
      <c r="C183" s="7">
        <f t="shared" si="7"/>
        <v>46127</v>
      </c>
      <c r="D183" s="6">
        <v>3281</v>
      </c>
      <c r="E183" s="6">
        <v>337</v>
      </c>
      <c r="F183" s="6">
        <v>4</v>
      </c>
      <c r="G183" s="23">
        <v>5</v>
      </c>
      <c r="H183" s="23">
        <v>81146</v>
      </c>
      <c r="I183" s="6" t="s">
        <v>17</v>
      </c>
      <c r="J183" s="45">
        <v>14608338</v>
      </c>
      <c r="K183" s="45" t="s">
        <v>115</v>
      </c>
      <c r="L183" s="45" t="s">
        <v>116</v>
      </c>
      <c r="M183" s="46">
        <v>219900</v>
      </c>
      <c r="N183" s="35">
        <v>0.9</v>
      </c>
      <c r="O183" s="34">
        <f t="shared" si="8"/>
        <v>21990</v>
      </c>
      <c r="P183" s="6" t="s">
        <v>16</v>
      </c>
    </row>
    <row r="184" spans="1:16" x14ac:dyDescent="0.35">
      <c r="A184" s="32" t="s">
        <v>6424</v>
      </c>
      <c r="B184" s="7">
        <f t="shared" si="6"/>
        <v>46121</v>
      </c>
      <c r="C184" s="7">
        <f t="shared" si="7"/>
        <v>46127</v>
      </c>
      <c r="D184" s="6">
        <v>3281</v>
      </c>
      <c r="E184" s="6">
        <v>337</v>
      </c>
      <c r="F184" s="6">
        <v>4</v>
      </c>
      <c r="G184" s="23">
        <v>5</v>
      </c>
      <c r="H184" s="23">
        <v>81146</v>
      </c>
      <c r="I184" s="6" t="s">
        <v>17</v>
      </c>
      <c r="J184" s="45">
        <v>14608347</v>
      </c>
      <c r="K184" s="45" t="s">
        <v>115</v>
      </c>
      <c r="L184" s="45" t="s">
        <v>117</v>
      </c>
      <c r="M184" s="46">
        <v>219900</v>
      </c>
      <c r="N184" s="35">
        <v>0.9</v>
      </c>
      <c r="O184" s="34">
        <f t="shared" si="8"/>
        <v>21990</v>
      </c>
      <c r="P184" s="6" t="s">
        <v>16</v>
      </c>
    </row>
    <row r="185" spans="1:16" x14ac:dyDescent="0.35">
      <c r="A185" s="32" t="s">
        <v>6424</v>
      </c>
      <c r="B185" s="7">
        <f t="shared" si="6"/>
        <v>46121</v>
      </c>
      <c r="C185" s="7">
        <f t="shared" si="7"/>
        <v>46127</v>
      </c>
      <c r="D185" s="6">
        <v>3281</v>
      </c>
      <c r="E185" s="6">
        <v>337</v>
      </c>
      <c r="F185" s="6">
        <v>4</v>
      </c>
      <c r="G185" s="23">
        <v>5</v>
      </c>
      <c r="H185" s="23">
        <v>81146</v>
      </c>
      <c r="I185" s="6" t="s">
        <v>17</v>
      </c>
      <c r="J185" s="45">
        <v>14608356</v>
      </c>
      <c r="K185" s="45" t="s">
        <v>118</v>
      </c>
      <c r="L185" s="45" t="s">
        <v>120</v>
      </c>
      <c r="M185" s="46">
        <v>249900</v>
      </c>
      <c r="N185" s="35">
        <v>0.9</v>
      </c>
      <c r="O185" s="34">
        <f t="shared" si="8"/>
        <v>24990</v>
      </c>
      <c r="P185" s="6" t="s">
        <v>16</v>
      </c>
    </row>
    <row r="186" spans="1:16" x14ac:dyDescent="0.35">
      <c r="A186" s="32" t="s">
        <v>6424</v>
      </c>
      <c r="B186" s="7">
        <f t="shared" si="6"/>
        <v>46121</v>
      </c>
      <c r="C186" s="7">
        <f t="shared" si="7"/>
        <v>46127</v>
      </c>
      <c r="D186" s="6">
        <v>3281</v>
      </c>
      <c r="E186" s="6">
        <v>337</v>
      </c>
      <c r="F186" s="6">
        <v>4</v>
      </c>
      <c r="G186" s="23">
        <v>5</v>
      </c>
      <c r="H186" s="23">
        <v>81146</v>
      </c>
      <c r="I186" s="6" t="s">
        <v>17</v>
      </c>
      <c r="J186" s="45">
        <v>14608365</v>
      </c>
      <c r="K186" s="45" t="s">
        <v>118</v>
      </c>
      <c r="L186" s="45" t="s">
        <v>121</v>
      </c>
      <c r="M186" s="46">
        <v>249900</v>
      </c>
      <c r="N186" s="35">
        <v>0.9</v>
      </c>
      <c r="O186" s="34">
        <f t="shared" si="8"/>
        <v>24990</v>
      </c>
      <c r="P186" s="6" t="s">
        <v>16</v>
      </c>
    </row>
    <row r="187" spans="1:16" x14ac:dyDescent="0.35">
      <c r="A187" s="32" t="s">
        <v>6424</v>
      </c>
      <c r="B187" s="7">
        <f t="shared" si="6"/>
        <v>46121</v>
      </c>
      <c r="C187" s="7">
        <f t="shared" si="7"/>
        <v>46127</v>
      </c>
      <c r="D187" s="6">
        <v>3281</v>
      </c>
      <c r="E187" s="6">
        <v>337</v>
      </c>
      <c r="F187" s="6">
        <v>4</v>
      </c>
      <c r="G187" s="23">
        <v>5</v>
      </c>
      <c r="H187" s="23">
        <v>81146</v>
      </c>
      <c r="I187" s="6" t="s">
        <v>17</v>
      </c>
      <c r="J187" s="45">
        <v>14608374</v>
      </c>
      <c r="K187" s="45" t="s">
        <v>118</v>
      </c>
      <c r="L187" s="45" t="s">
        <v>122</v>
      </c>
      <c r="M187" s="46">
        <v>249900</v>
      </c>
      <c r="N187" s="35">
        <v>0.9</v>
      </c>
      <c r="O187" s="34">
        <f t="shared" si="8"/>
        <v>24990</v>
      </c>
      <c r="P187" s="6" t="s">
        <v>16</v>
      </c>
    </row>
    <row r="188" spans="1:16" x14ac:dyDescent="0.35">
      <c r="A188" s="32" t="s">
        <v>6424</v>
      </c>
      <c r="B188" s="7">
        <f t="shared" si="6"/>
        <v>46121</v>
      </c>
      <c r="C188" s="7">
        <f t="shared" si="7"/>
        <v>46127</v>
      </c>
      <c r="D188" s="6">
        <v>3281</v>
      </c>
      <c r="E188" s="6">
        <v>337</v>
      </c>
      <c r="F188" s="6">
        <v>4</v>
      </c>
      <c r="G188" s="23">
        <v>5</v>
      </c>
      <c r="H188" s="23">
        <v>81146</v>
      </c>
      <c r="I188" s="6" t="s">
        <v>17</v>
      </c>
      <c r="J188" s="45">
        <v>14608383</v>
      </c>
      <c r="K188" s="45" t="s">
        <v>118</v>
      </c>
      <c r="L188" s="45" t="s">
        <v>119</v>
      </c>
      <c r="M188" s="46">
        <v>249900</v>
      </c>
      <c r="N188" s="35">
        <v>0.9</v>
      </c>
      <c r="O188" s="34">
        <f t="shared" si="8"/>
        <v>24990</v>
      </c>
      <c r="P188" s="6" t="s">
        <v>16</v>
      </c>
    </row>
    <row r="189" spans="1:16" x14ac:dyDescent="0.35">
      <c r="A189" s="32" t="s">
        <v>6424</v>
      </c>
      <c r="B189" s="7">
        <f t="shared" si="6"/>
        <v>46121</v>
      </c>
      <c r="C189" s="7">
        <f t="shared" si="7"/>
        <v>46127</v>
      </c>
      <c r="D189" s="6">
        <v>3281</v>
      </c>
      <c r="E189" s="6">
        <v>337</v>
      </c>
      <c r="F189" s="6">
        <v>4</v>
      </c>
      <c r="G189" s="23">
        <v>5</v>
      </c>
      <c r="H189" s="23">
        <v>81421</v>
      </c>
      <c r="I189" s="6" t="s">
        <v>17</v>
      </c>
      <c r="J189" s="45">
        <v>76638823</v>
      </c>
      <c r="K189" s="45" t="s">
        <v>211</v>
      </c>
      <c r="L189" s="45" t="s">
        <v>212</v>
      </c>
      <c r="M189" s="46">
        <v>169900</v>
      </c>
      <c r="N189" s="35">
        <v>0.9</v>
      </c>
      <c r="O189" s="34">
        <f t="shared" si="8"/>
        <v>16990</v>
      </c>
      <c r="P189" s="6" t="s">
        <v>16</v>
      </c>
    </row>
    <row r="190" spans="1:16" x14ac:dyDescent="0.35">
      <c r="A190" s="32" t="s">
        <v>6424</v>
      </c>
      <c r="B190" s="7">
        <f t="shared" si="6"/>
        <v>46121</v>
      </c>
      <c r="C190" s="7">
        <f t="shared" si="7"/>
        <v>46127</v>
      </c>
      <c r="D190" s="6">
        <v>3281</v>
      </c>
      <c r="E190" s="6">
        <v>337</v>
      </c>
      <c r="F190" s="6">
        <v>4</v>
      </c>
      <c r="G190" s="23">
        <v>5</v>
      </c>
      <c r="H190" s="23">
        <v>81421</v>
      </c>
      <c r="I190" s="6" t="s">
        <v>17</v>
      </c>
      <c r="J190" s="45">
        <v>79528517</v>
      </c>
      <c r="K190" s="45" t="s">
        <v>213</v>
      </c>
      <c r="L190" s="45" t="s">
        <v>214</v>
      </c>
      <c r="M190" s="46">
        <v>249900</v>
      </c>
      <c r="N190" s="35">
        <v>0.9</v>
      </c>
      <c r="O190" s="34">
        <f t="shared" si="8"/>
        <v>24990</v>
      </c>
      <c r="P190" s="6" t="s">
        <v>16</v>
      </c>
    </row>
    <row r="191" spans="1:16" x14ac:dyDescent="0.35">
      <c r="A191" s="32" t="s">
        <v>6424</v>
      </c>
      <c r="B191" s="7">
        <f t="shared" si="6"/>
        <v>46121</v>
      </c>
      <c r="C191" s="7">
        <f t="shared" si="7"/>
        <v>46127</v>
      </c>
      <c r="D191" s="6">
        <v>3281</v>
      </c>
      <c r="E191" s="6">
        <v>337</v>
      </c>
      <c r="F191" s="6">
        <v>4</v>
      </c>
      <c r="G191" s="23">
        <v>5</v>
      </c>
      <c r="H191" s="23">
        <v>81421</v>
      </c>
      <c r="I191" s="6" t="s">
        <v>17</v>
      </c>
      <c r="J191" s="45">
        <v>79647157</v>
      </c>
      <c r="K191" s="45" t="s">
        <v>213</v>
      </c>
      <c r="L191" s="45" t="s">
        <v>219</v>
      </c>
      <c r="M191" s="46">
        <v>249900</v>
      </c>
      <c r="N191" s="35">
        <v>0.9</v>
      </c>
      <c r="O191" s="34">
        <f t="shared" si="8"/>
        <v>24990</v>
      </c>
      <c r="P191" s="6" t="s">
        <v>16</v>
      </c>
    </row>
    <row r="192" spans="1:16" x14ac:dyDescent="0.35">
      <c r="A192" s="32" t="s">
        <v>6424</v>
      </c>
      <c r="B192" s="7">
        <f t="shared" si="6"/>
        <v>46121</v>
      </c>
      <c r="C192" s="7">
        <f t="shared" si="7"/>
        <v>46127</v>
      </c>
      <c r="D192" s="6">
        <v>3281</v>
      </c>
      <c r="E192" s="6">
        <v>337</v>
      </c>
      <c r="F192" s="6">
        <v>4</v>
      </c>
      <c r="G192" s="23">
        <v>5</v>
      </c>
      <c r="H192" s="23">
        <v>81421</v>
      </c>
      <c r="I192" s="6" t="s">
        <v>17</v>
      </c>
      <c r="J192" s="45">
        <v>79528535</v>
      </c>
      <c r="K192" s="45" t="s">
        <v>255</v>
      </c>
      <c r="L192" s="45" t="s">
        <v>256</v>
      </c>
      <c r="M192" s="46">
        <v>249900</v>
      </c>
      <c r="N192" s="35">
        <v>0.9</v>
      </c>
      <c r="O192" s="34">
        <f t="shared" si="8"/>
        <v>24990</v>
      </c>
      <c r="P192" s="6" t="s">
        <v>16</v>
      </c>
    </row>
    <row r="193" spans="1:16" x14ac:dyDescent="0.35">
      <c r="A193" s="32" t="s">
        <v>6424</v>
      </c>
      <c r="B193" s="7">
        <f t="shared" si="6"/>
        <v>46121</v>
      </c>
      <c r="C193" s="7">
        <f t="shared" si="7"/>
        <v>46127</v>
      </c>
      <c r="D193" s="6">
        <v>3281</v>
      </c>
      <c r="E193" s="6">
        <v>337</v>
      </c>
      <c r="F193" s="6">
        <v>4</v>
      </c>
      <c r="G193" s="23">
        <v>5</v>
      </c>
      <c r="H193" s="23">
        <v>81421</v>
      </c>
      <c r="I193" s="6" t="s">
        <v>17</v>
      </c>
      <c r="J193" s="45">
        <v>79528544</v>
      </c>
      <c r="K193" s="45" t="s">
        <v>255</v>
      </c>
      <c r="L193" s="45" t="s">
        <v>257</v>
      </c>
      <c r="M193" s="46">
        <v>249900</v>
      </c>
      <c r="N193" s="35">
        <v>0.9</v>
      </c>
      <c r="O193" s="34">
        <f t="shared" si="8"/>
        <v>24990</v>
      </c>
      <c r="P193" s="6" t="s">
        <v>16</v>
      </c>
    </row>
    <row r="194" spans="1:16" x14ac:dyDescent="0.35">
      <c r="A194" s="32" t="s">
        <v>6424</v>
      </c>
      <c r="B194" s="7">
        <f t="shared" si="6"/>
        <v>46121</v>
      </c>
      <c r="C194" s="7">
        <f t="shared" si="7"/>
        <v>46127</v>
      </c>
      <c r="D194" s="6">
        <v>3281</v>
      </c>
      <c r="E194" s="6">
        <v>337</v>
      </c>
      <c r="F194" s="6">
        <v>4</v>
      </c>
      <c r="G194" s="23">
        <v>5</v>
      </c>
      <c r="H194" s="23">
        <v>81421</v>
      </c>
      <c r="I194" s="6" t="s">
        <v>17</v>
      </c>
      <c r="J194" s="45">
        <v>79528553</v>
      </c>
      <c r="K194" s="45" t="s">
        <v>255</v>
      </c>
      <c r="L194" s="45" t="s">
        <v>258</v>
      </c>
      <c r="M194" s="46">
        <v>249900</v>
      </c>
      <c r="N194" s="35">
        <v>0.9</v>
      </c>
      <c r="O194" s="34">
        <f t="shared" si="8"/>
        <v>24990</v>
      </c>
      <c r="P194" s="6" t="s">
        <v>16</v>
      </c>
    </row>
    <row r="195" spans="1:16" x14ac:dyDescent="0.35">
      <c r="A195" s="32" t="s">
        <v>6424</v>
      </c>
      <c r="B195" s="7">
        <f t="shared" si="6"/>
        <v>46121</v>
      </c>
      <c r="C195" s="7">
        <f t="shared" si="7"/>
        <v>46127</v>
      </c>
      <c r="D195" s="6">
        <v>3281</v>
      </c>
      <c r="E195" s="6">
        <v>337</v>
      </c>
      <c r="F195" s="6">
        <v>4</v>
      </c>
      <c r="G195" s="23">
        <v>5</v>
      </c>
      <c r="H195" s="23">
        <v>81421</v>
      </c>
      <c r="I195" s="6" t="s">
        <v>17</v>
      </c>
      <c r="J195" s="45">
        <v>81792834</v>
      </c>
      <c r="K195" s="45" t="s">
        <v>2712</v>
      </c>
      <c r="L195" s="45" t="s">
        <v>2713</v>
      </c>
      <c r="M195" s="46">
        <v>179900</v>
      </c>
      <c r="N195" s="35">
        <v>0.9</v>
      </c>
      <c r="O195" s="34">
        <f t="shared" si="8"/>
        <v>17990</v>
      </c>
      <c r="P195" s="6" t="s">
        <v>16</v>
      </c>
    </row>
    <row r="196" spans="1:16" x14ac:dyDescent="0.35">
      <c r="A196" s="32" t="s">
        <v>6424</v>
      </c>
      <c r="B196" s="7">
        <f t="shared" ref="B196:B228" si="9">B195</f>
        <v>46121</v>
      </c>
      <c r="C196" s="7">
        <f t="shared" ref="C196:C228" si="10">C195</f>
        <v>46127</v>
      </c>
      <c r="D196" s="6">
        <v>3281</v>
      </c>
      <c r="E196" s="6">
        <v>337</v>
      </c>
      <c r="F196" s="6">
        <v>4</v>
      </c>
      <c r="G196" s="23">
        <v>5</v>
      </c>
      <c r="H196" s="23">
        <v>81421</v>
      </c>
      <c r="I196" s="6" t="s">
        <v>17</v>
      </c>
      <c r="J196" s="45">
        <v>81792861</v>
      </c>
      <c r="K196" s="45" t="s">
        <v>137</v>
      </c>
      <c r="L196" s="45" t="s">
        <v>138</v>
      </c>
      <c r="M196" s="46">
        <v>179900</v>
      </c>
      <c r="N196" s="35">
        <v>0.9</v>
      </c>
      <c r="O196" s="34">
        <f t="shared" ref="O196:O228" si="11">M196-((90*M196)/100)</f>
        <v>17990</v>
      </c>
      <c r="P196" s="6" t="s">
        <v>16</v>
      </c>
    </row>
    <row r="197" spans="1:16" x14ac:dyDescent="0.35">
      <c r="A197" s="32" t="s">
        <v>6424</v>
      </c>
      <c r="B197" s="7">
        <f t="shared" si="9"/>
        <v>46121</v>
      </c>
      <c r="C197" s="7">
        <f t="shared" si="10"/>
        <v>46127</v>
      </c>
      <c r="D197" s="6">
        <v>3281</v>
      </c>
      <c r="E197" s="6">
        <v>337</v>
      </c>
      <c r="F197" s="6">
        <v>4</v>
      </c>
      <c r="G197" s="23">
        <v>5</v>
      </c>
      <c r="H197" s="23">
        <v>81421</v>
      </c>
      <c r="I197" s="6" t="s">
        <v>17</v>
      </c>
      <c r="J197" s="45">
        <v>81792889</v>
      </c>
      <c r="K197" s="45" t="s">
        <v>137</v>
      </c>
      <c r="L197" s="45" t="s">
        <v>139</v>
      </c>
      <c r="M197" s="46">
        <v>179900</v>
      </c>
      <c r="N197" s="35">
        <v>0.9</v>
      </c>
      <c r="O197" s="34">
        <f t="shared" si="11"/>
        <v>17990</v>
      </c>
      <c r="P197" s="6" t="s">
        <v>16</v>
      </c>
    </row>
    <row r="198" spans="1:16" x14ac:dyDescent="0.35">
      <c r="A198" s="32" t="s">
        <v>6424</v>
      </c>
      <c r="B198" s="7">
        <f t="shared" si="9"/>
        <v>46121</v>
      </c>
      <c r="C198" s="7">
        <f t="shared" si="10"/>
        <v>46127</v>
      </c>
      <c r="D198" s="6">
        <v>3281</v>
      </c>
      <c r="E198" s="6">
        <v>337</v>
      </c>
      <c r="F198" s="6">
        <v>4</v>
      </c>
      <c r="G198" s="23">
        <v>5</v>
      </c>
      <c r="H198" s="23">
        <v>81421</v>
      </c>
      <c r="I198" s="6" t="s">
        <v>17</v>
      </c>
      <c r="J198" s="45">
        <v>86446440</v>
      </c>
      <c r="K198" s="45" t="s">
        <v>32</v>
      </c>
      <c r="L198" s="45" t="s">
        <v>33</v>
      </c>
      <c r="M198" s="46">
        <v>249900</v>
      </c>
      <c r="N198" s="35">
        <v>0.9</v>
      </c>
      <c r="O198" s="34">
        <f t="shared" si="11"/>
        <v>24990</v>
      </c>
      <c r="P198" s="6" t="s">
        <v>16</v>
      </c>
    </row>
    <row r="199" spans="1:16" x14ac:dyDescent="0.35">
      <c r="A199" s="32" t="s">
        <v>6424</v>
      </c>
      <c r="B199" s="7">
        <f t="shared" si="9"/>
        <v>46121</v>
      </c>
      <c r="C199" s="7">
        <f t="shared" si="10"/>
        <v>46127</v>
      </c>
      <c r="D199" s="6">
        <v>3281</v>
      </c>
      <c r="E199" s="6">
        <v>337</v>
      </c>
      <c r="F199" s="6">
        <v>4</v>
      </c>
      <c r="G199" s="23">
        <v>5</v>
      </c>
      <c r="H199" s="23">
        <v>81421</v>
      </c>
      <c r="I199" s="6" t="s">
        <v>17</v>
      </c>
      <c r="J199" s="45">
        <v>86446468</v>
      </c>
      <c r="K199" s="45" t="s">
        <v>32</v>
      </c>
      <c r="L199" s="45" t="s">
        <v>34</v>
      </c>
      <c r="M199" s="46">
        <v>249900</v>
      </c>
      <c r="N199" s="35">
        <v>0.9</v>
      </c>
      <c r="O199" s="34">
        <f t="shared" si="11"/>
        <v>24990</v>
      </c>
      <c r="P199" s="6" t="s">
        <v>16</v>
      </c>
    </row>
    <row r="200" spans="1:16" x14ac:dyDescent="0.35">
      <c r="A200" s="32" t="s">
        <v>6424</v>
      </c>
      <c r="B200" s="7">
        <f t="shared" si="9"/>
        <v>46121</v>
      </c>
      <c r="C200" s="7">
        <f t="shared" si="10"/>
        <v>46127</v>
      </c>
      <c r="D200" s="6">
        <v>3281</v>
      </c>
      <c r="E200" s="6">
        <v>337</v>
      </c>
      <c r="F200" s="6">
        <v>4</v>
      </c>
      <c r="G200" s="23">
        <v>5</v>
      </c>
      <c r="H200" s="23">
        <v>81421</v>
      </c>
      <c r="I200" s="6" t="s">
        <v>17</v>
      </c>
      <c r="J200" s="45">
        <v>86446477</v>
      </c>
      <c r="K200" s="45" t="s">
        <v>32</v>
      </c>
      <c r="L200" s="45" t="s">
        <v>35</v>
      </c>
      <c r="M200" s="46">
        <v>249900</v>
      </c>
      <c r="N200" s="35">
        <v>0.9</v>
      </c>
      <c r="O200" s="34">
        <f t="shared" si="11"/>
        <v>24990</v>
      </c>
      <c r="P200" s="6" t="s">
        <v>16</v>
      </c>
    </row>
    <row r="201" spans="1:16" x14ac:dyDescent="0.35">
      <c r="A201" s="32" t="s">
        <v>6424</v>
      </c>
      <c r="B201" s="7">
        <f t="shared" si="9"/>
        <v>46121</v>
      </c>
      <c r="C201" s="7">
        <f t="shared" si="10"/>
        <v>46127</v>
      </c>
      <c r="D201" s="6">
        <v>3281</v>
      </c>
      <c r="E201" s="6">
        <v>337</v>
      </c>
      <c r="F201" s="6">
        <v>4</v>
      </c>
      <c r="G201" s="23">
        <v>5</v>
      </c>
      <c r="H201" s="23">
        <v>81421</v>
      </c>
      <c r="I201" s="6" t="s">
        <v>17</v>
      </c>
      <c r="J201" s="45">
        <v>86446495</v>
      </c>
      <c r="K201" s="45" t="s">
        <v>67</v>
      </c>
      <c r="L201" s="45" t="s">
        <v>68</v>
      </c>
      <c r="M201" s="46">
        <v>249900</v>
      </c>
      <c r="N201" s="35">
        <v>0.9</v>
      </c>
      <c r="O201" s="34">
        <f t="shared" si="11"/>
        <v>24990</v>
      </c>
      <c r="P201" s="6" t="s">
        <v>16</v>
      </c>
    </row>
    <row r="202" spans="1:16" x14ac:dyDescent="0.35">
      <c r="A202" s="32" t="s">
        <v>6424</v>
      </c>
      <c r="B202" s="7">
        <f t="shared" si="9"/>
        <v>46121</v>
      </c>
      <c r="C202" s="7">
        <f t="shared" si="10"/>
        <v>46127</v>
      </c>
      <c r="D202" s="6">
        <v>3281</v>
      </c>
      <c r="E202" s="6">
        <v>337</v>
      </c>
      <c r="F202" s="6">
        <v>4</v>
      </c>
      <c r="G202" s="23">
        <v>5</v>
      </c>
      <c r="H202" s="23">
        <v>81421</v>
      </c>
      <c r="I202" s="6" t="s">
        <v>17</v>
      </c>
      <c r="J202" s="45">
        <v>86446502</v>
      </c>
      <c r="K202" s="45" t="s">
        <v>67</v>
      </c>
      <c r="L202" s="45" t="s">
        <v>69</v>
      </c>
      <c r="M202" s="46">
        <v>249900</v>
      </c>
      <c r="N202" s="35">
        <v>0.9</v>
      </c>
      <c r="O202" s="34">
        <f t="shared" si="11"/>
        <v>24990</v>
      </c>
      <c r="P202" s="6" t="s">
        <v>16</v>
      </c>
    </row>
    <row r="203" spans="1:16" x14ac:dyDescent="0.35">
      <c r="A203" s="32" t="s">
        <v>6424</v>
      </c>
      <c r="B203" s="7">
        <f t="shared" si="9"/>
        <v>46121</v>
      </c>
      <c r="C203" s="7">
        <f t="shared" si="10"/>
        <v>46127</v>
      </c>
      <c r="D203" s="6">
        <v>3281</v>
      </c>
      <c r="E203" s="6">
        <v>337</v>
      </c>
      <c r="F203" s="6">
        <v>4</v>
      </c>
      <c r="G203" s="23">
        <v>5</v>
      </c>
      <c r="H203" s="23">
        <v>81421</v>
      </c>
      <c r="I203" s="6" t="s">
        <v>17</v>
      </c>
      <c r="J203" s="45">
        <v>86446511</v>
      </c>
      <c r="K203" s="45" t="s">
        <v>67</v>
      </c>
      <c r="L203" s="45" t="s">
        <v>70</v>
      </c>
      <c r="M203" s="46">
        <v>249900</v>
      </c>
      <c r="N203" s="35">
        <v>0.9</v>
      </c>
      <c r="O203" s="34">
        <f t="shared" si="11"/>
        <v>24990</v>
      </c>
      <c r="P203" s="6" t="s">
        <v>16</v>
      </c>
    </row>
    <row r="204" spans="1:16" x14ac:dyDescent="0.35">
      <c r="A204" s="32" t="s">
        <v>6424</v>
      </c>
      <c r="B204" s="7">
        <f t="shared" si="9"/>
        <v>46121</v>
      </c>
      <c r="C204" s="7">
        <f t="shared" si="10"/>
        <v>46127</v>
      </c>
      <c r="D204" s="6">
        <v>3281</v>
      </c>
      <c r="E204" s="6">
        <v>337</v>
      </c>
      <c r="F204" s="6">
        <v>4</v>
      </c>
      <c r="G204" s="23">
        <v>5</v>
      </c>
      <c r="H204" s="23">
        <v>81421</v>
      </c>
      <c r="I204" s="6" t="s">
        <v>17</v>
      </c>
      <c r="J204" s="45">
        <v>86446619</v>
      </c>
      <c r="K204" s="45" t="s">
        <v>71</v>
      </c>
      <c r="L204" s="45" t="s">
        <v>72</v>
      </c>
      <c r="M204" s="46">
        <v>249900</v>
      </c>
      <c r="N204" s="35">
        <v>0.9</v>
      </c>
      <c r="O204" s="34">
        <f t="shared" si="11"/>
        <v>24990</v>
      </c>
      <c r="P204" s="6" t="s">
        <v>16</v>
      </c>
    </row>
    <row r="205" spans="1:16" x14ac:dyDescent="0.35">
      <c r="A205" s="32" t="s">
        <v>6424</v>
      </c>
      <c r="B205" s="7">
        <f t="shared" si="9"/>
        <v>46121</v>
      </c>
      <c r="C205" s="7">
        <f t="shared" si="10"/>
        <v>46127</v>
      </c>
      <c r="D205" s="6">
        <v>3281</v>
      </c>
      <c r="E205" s="6">
        <v>337</v>
      </c>
      <c r="F205" s="6">
        <v>4</v>
      </c>
      <c r="G205" s="23">
        <v>5</v>
      </c>
      <c r="H205" s="23">
        <v>81421</v>
      </c>
      <c r="I205" s="6" t="s">
        <v>17</v>
      </c>
      <c r="J205" s="45">
        <v>86446628</v>
      </c>
      <c r="K205" s="45" t="s">
        <v>71</v>
      </c>
      <c r="L205" s="45" t="s">
        <v>73</v>
      </c>
      <c r="M205" s="46">
        <v>249900</v>
      </c>
      <c r="N205" s="35">
        <v>0.9</v>
      </c>
      <c r="O205" s="34">
        <f t="shared" si="11"/>
        <v>24990</v>
      </c>
      <c r="P205" s="6" t="s">
        <v>16</v>
      </c>
    </row>
    <row r="206" spans="1:16" x14ac:dyDescent="0.35">
      <c r="A206" s="32" t="s">
        <v>6424</v>
      </c>
      <c r="B206" s="7">
        <f t="shared" si="9"/>
        <v>46121</v>
      </c>
      <c r="C206" s="7">
        <f t="shared" si="10"/>
        <v>46127</v>
      </c>
      <c r="D206" s="6">
        <v>3281</v>
      </c>
      <c r="E206" s="6">
        <v>337</v>
      </c>
      <c r="F206" s="6">
        <v>4</v>
      </c>
      <c r="G206" s="23">
        <v>5</v>
      </c>
      <c r="H206" s="23">
        <v>81421</v>
      </c>
      <c r="I206" s="6" t="s">
        <v>17</v>
      </c>
      <c r="J206" s="45">
        <v>86446637</v>
      </c>
      <c r="K206" s="45" t="s">
        <v>71</v>
      </c>
      <c r="L206" s="45" t="s">
        <v>74</v>
      </c>
      <c r="M206" s="46">
        <v>249900</v>
      </c>
      <c r="N206" s="35">
        <v>0.9</v>
      </c>
      <c r="O206" s="34">
        <f t="shared" si="11"/>
        <v>24990</v>
      </c>
      <c r="P206" s="6" t="s">
        <v>16</v>
      </c>
    </row>
    <row r="207" spans="1:16" x14ac:dyDescent="0.35">
      <c r="A207" s="32" t="s">
        <v>6424</v>
      </c>
      <c r="B207" s="7">
        <f t="shared" si="9"/>
        <v>46121</v>
      </c>
      <c r="C207" s="7">
        <f t="shared" si="10"/>
        <v>46127</v>
      </c>
      <c r="D207" s="6">
        <v>3281</v>
      </c>
      <c r="E207" s="6">
        <v>337</v>
      </c>
      <c r="F207" s="6">
        <v>4</v>
      </c>
      <c r="G207" s="23">
        <v>5</v>
      </c>
      <c r="H207" s="23">
        <v>190</v>
      </c>
      <c r="I207" s="6" t="s">
        <v>17</v>
      </c>
      <c r="J207" s="45">
        <v>73502706</v>
      </c>
      <c r="K207" s="45" t="s">
        <v>145</v>
      </c>
      <c r="L207" s="45" t="s">
        <v>146</v>
      </c>
      <c r="M207" s="46">
        <v>239900</v>
      </c>
      <c r="N207" s="35">
        <v>0.9</v>
      </c>
      <c r="O207" s="34">
        <f t="shared" si="11"/>
        <v>23990</v>
      </c>
      <c r="P207" s="6" t="s">
        <v>16</v>
      </c>
    </row>
    <row r="208" spans="1:16" x14ac:dyDescent="0.35">
      <c r="A208" s="32" t="s">
        <v>6424</v>
      </c>
      <c r="B208" s="7">
        <f t="shared" si="9"/>
        <v>46121</v>
      </c>
      <c r="C208" s="7">
        <f t="shared" si="10"/>
        <v>46127</v>
      </c>
      <c r="D208" s="6">
        <v>3281</v>
      </c>
      <c r="E208" s="6">
        <v>337</v>
      </c>
      <c r="F208" s="6">
        <v>4</v>
      </c>
      <c r="G208" s="23">
        <v>5</v>
      </c>
      <c r="H208" s="23">
        <v>190</v>
      </c>
      <c r="I208" s="6" t="s">
        <v>17</v>
      </c>
      <c r="J208" s="45">
        <v>79528848</v>
      </c>
      <c r="K208" s="45" t="s">
        <v>215</v>
      </c>
      <c r="L208" s="45" t="s">
        <v>216</v>
      </c>
      <c r="M208" s="46">
        <v>239900</v>
      </c>
      <c r="N208" s="35">
        <v>0.9</v>
      </c>
      <c r="O208" s="34">
        <f t="shared" si="11"/>
        <v>23990</v>
      </c>
      <c r="P208" s="6" t="s">
        <v>16</v>
      </c>
    </row>
    <row r="209" spans="1:16" x14ac:dyDescent="0.35">
      <c r="A209" s="32" t="s">
        <v>6424</v>
      </c>
      <c r="B209" s="7">
        <f t="shared" si="9"/>
        <v>46121</v>
      </c>
      <c r="C209" s="7">
        <f t="shared" si="10"/>
        <v>46127</v>
      </c>
      <c r="D209" s="6">
        <v>3281</v>
      </c>
      <c r="E209" s="6">
        <v>337</v>
      </c>
      <c r="F209" s="6">
        <v>4</v>
      </c>
      <c r="G209" s="23">
        <v>5</v>
      </c>
      <c r="H209" s="23">
        <v>190</v>
      </c>
      <c r="I209" s="6" t="s">
        <v>17</v>
      </c>
      <c r="J209" s="45">
        <v>79528857</v>
      </c>
      <c r="K209" s="45" t="s">
        <v>215</v>
      </c>
      <c r="L209" s="45" t="s">
        <v>217</v>
      </c>
      <c r="M209" s="46">
        <v>239900</v>
      </c>
      <c r="N209" s="35">
        <v>0.9</v>
      </c>
      <c r="O209" s="34">
        <f t="shared" si="11"/>
        <v>23990</v>
      </c>
      <c r="P209" s="6" t="s">
        <v>16</v>
      </c>
    </row>
    <row r="210" spans="1:16" x14ac:dyDescent="0.35">
      <c r="A210" s="32" t="s">
        <v>6424</v>
      </c>
      <c r="B210" s="7">
        <f t="shared" si="9"/>
        <v>46121</v>
      </c>
      <c r="C210" s="7">
        <f t="shared" si="10"/>
        <v>46127</v>
      </c>
      <c r="D210" s="6">
        <v>3281</v>
      </c>
      <c r="E210" s="6">
        <v>337</v>
      </c>
      <c r="F210" s="6">
        <v>4</v>
      </c>
      <c r="G210" s="23">
        <v>5</v>
      </c>
      <c r="H210" s="23">
        <v>190</v>
      </c>
      <c r="I210" s="6" t="s">
        <v>17</v>
      </c>
      <c r="J210" s="45">
        <v>79647139</v>
      </c>
      <c r="K210" s="45" t="s">
        <v>215</v>
      </c>
      <c r="L210" s="45" t="s">
        <v>218</v>
      </c>
      <c r="M210" s="46">
        <v>239900</v>
      </c>
      <c r="N210" s="35">
        <v>0.9</v>
      </c>
      <c r="O210" s="34">
        <f t="shared" si="11"/>
        <v>23990</v>
      </c>
      <c r="P210" s="6" t="s">
        <v>16</v>
      </c>
    </row>
    <row r="211" spans="1:16" x14ac:dyDescent="0.35">
      <c r="A211" s="32" t="s">
        <v>6424</v>
      </c>
      <c r="B211" s="7">
        <f t="shared" si="9"/>
        <v>46121</v>
      </c>
      <c r="C211" s="7">
        <f t="shared" si="10"/>
        <v>46127</v>
      </c>
      <c r="D211" s="6">
        <v>3281</v>
      </c>
      <c r="E211" s="6">
        <v>337</v>
      </c>
      <c r="F211" s="6">
        <v>4</v>
      </c>
      <c r="G211" s="23">
        <v>5</v>
      </c>
      <c r="H211" s="23">
        <v>190</v>
      </c>
      <c r="I211" s="6" t="s">
        <v>17</v>
      </c>
      <c r="J211" s="45">
        <v>80614359</v>
      </c>
      <c r="K211" s="45" t="s">
        <v>75</v>
      </c>
      <c r="L211" s="45" t="s">
        <v>76</v>
      </c>
      <c r="M211" s="46">
        <v>239900</v>
      </c>
      <c r="N211" s="35">
        <v>0.9</v>
      </c>
      <c r="O211" s="34">
        <f t="shared" si="11"/>
        <v>23990</v>
      </c>
      <c r="P211" s="6" t="s">
        <v>16</v>
      </c>
    </row>
    <row r="212" spans="1:16" x14ac:dyDescent="0.35">
      <c r="A212" s="32" t="s">
        <v>6424</v>
      </c>
      <c r="B212" s="7">
        <f t="shared" si="9"/>
        <v>46121</v>
      </c>
      <c r="C212" s="7">
        <f t="shared" si="10"/>
        <v>46127</v>
      </c>
      <c r="D212" s="6">
        <v>3281</v>
      </c>
      <c r="E212" s="6">
        <v>337</v>
      </c>
      <c r="F212" s="6">
        <v>4</v>
      </c>
      <c r="G212" s="23">
        <v>5</v>
      </c>
      <c r="H212" s="23">
        <v>190</v>
      </c>
      <c r="I212" s="6" t="s">
        <v>17</v>
      </c>
      <c r="J212" s="45">
        <v>80614377</v>
      </c>
      <c r="K212" s="45" t="s">
        <v>75</v>
      </c>
      <c r="L212" s="45" t="s">
        <v>77</v>
      </c>
      <c r="M212" s="46">
        <v>239900</v>
      </c>
      <c r="N212" s="35">
        <v>0.9</v>
      </c>
      <c r="O212" s="34">
        <f t="shared" si="11"/>
        <v>23990</v>
      </c>
      <c r="P212" s="6" t="s">
        <v>16</v>
      </c>
    </row>
    <row r="213" spans="1:16" x14ac:dyDescent="0.35">
      <c r="A213" s="32" t="s">
        <v>6424</v>
      </c>
      <c r="B213" s="7">
        <f t="shared" si="9"/>
        <v>46121</v>
      </c>
      <c r="C213" s="7">
        <f t="shared" si="10"/>
        <v>46127</v>
      </c>
      <c r="D213" s="6">
        <v>3281</v>
      </c>
      <c r="E213" s="6">
        <v>337</v>
      </c>
      <c r="F213" s="6">
        <v>4</v>
      </c>
      <c r="G213" s="23">
        <v>5</v>
      </c>
      <c r="H213" s="23">
        <v>190</v>
      </c>
      <c r="I213" s="6" t="s">
        <v>17</v>
      </c>
      <c r="J213" s="45">
        <v>86446520</v>
      </c>
      <c r="K213" s="45" t="s">
        <v>86</v>
      </c>
      <c r="L213" s="45" t="s">
        <v>87</v>
      </c>
      <c r="M213" s="46">
        <v>249900</v>
      </c>
      <c r="N213" s="35">
        <v>0.9</v>
      </c>
      <c r="O213" s="34">
        <f t="shared" si="11"/>
        <v>24990</v>
      </c>
      <c r="P213" s="6" t="s">
        <v>16</v>
      </c>
    </row>
    <row r="214" spans="1:16" x14ac:dyDescent="0.35">
      <c r="A214" s="32" t="s">
        <v>6424</v>
      </c>
      <c r="B214" s="7">
        <f t="shared" si="9"/>
        <v>46121</v>
      </c>
      <c r="C214" s="7">
        <f t="shared" si="10"/>
        <v>46127</v>
      </c>
      <c r="D214" s="6">
        <v>3281</v>
      </c>
      <c r="E214" s="6">
        <v>337</v>
      </c>
      <c r="F214" s="6">
        <v>4</v>
      </c>
      <c r="G214" s="23">
        <v>5</v>
      </c>
      <c r="H214" s="23">
        <v>190</v>
      </c>
      <c r="I214" s="6" t="s">
        <v>17</v>
      </c>
      <c r="J214" s="45">
        <v>86446566</v>
      </c>
      <c r="K214" s="45" t="s">
        <v>88</v>
      </c>
      <c r="L214" s="45" t="s">
        <v>89</v>
      </c>
      <c r="M214" s="46">
        <v>249900</v>
      </c>
      <c r="N214" s="35">
        <v>0.9</v>
      </c>
      <c r="O214" s="34">
        <f t="shared" si="11"/>
        <v>24990</v>
      </c>
      <c r="P214" s="6" t="s">
        <v>16</v>
      </c>
    </row>
    <row r="215" spans="1:16" x14ac:dyDescent="0.35">
      <c r="A215" s="32" t="s">
        <v>6424</v>
      </c>
      <c r="B215" s="7">
        <f t="shared" si="9"/>
        <v>46121</v>
      </c>
      <c r="C215" s="7">
        <f t="shared" si="10"/>
        <v>46127</v>
      </c>
      <c r="D215" s="6">
        <v>3281</v>
      </c>
      <c r="E215" s="6">
        <v>337</v>
      </c>
      <c r="F215" s="6">
        <v>4</v>
      </c>
      <c r="G215" s="23">
        <v>5</v>
      </c>
      <c r="H215" s="23">
        <v>190</v>
      </c>
      <c r="I215" s="6" t="s">
        <v>17</v>
      </c>
      <c r="J215" s="45">
        <v>87434513</v>
      </c>
      <c r="K215" s="45" t="s">
        <v>53</v>
      </c>
      <c r="L215" s="45" t="s">
        <v>54</v>
      </c>
      <c r="M215" s="46">
        <v>289900</v>
      </c>
      <c r="N215" s="35">
        <v>0.9</v>
      </c>
      <c r="O215" s="34">
        <f t="shared" si="11"/>
        <v>28990</v>
      </c>
      <c r="P215" s="6" t="s">
        <v>16</v>
      </c>
    </row>
    <row r="216" spans="1:16" x14ac:dyDescent="0.35">
      <c r="A216" s="32" t="s">
        <v>6424</v>
      </c>
      <c r="B216" s="7">
        <f t="shared" si="9"/>
        <v>46121</v>
      </c>
      <c r="C216" s="7">
        <f t="shared" si="10"/>
        <v>46127</v>
      </c>
      <c r="D216" s="6">
        <v>3281</v>
      </c>
      <c r="E216" s="6">
        <v>337</v>
      </c>
      <c r="F216" s="6">
        <v>4</v>
      </c>
      <c r="G216" s="23">
        <v>5</v>
      </c>
      <c r="H216" s="23">
        <v>190</v>
      </c>
      <c r="I216" s="6" t="s">
        <v>17</v>
      </c>
      <c r="J216" s="45">
        <v>87434522</v>
      </c>
      <c r="K216" s="45" t="s">
        <v>53</v>
      </c>
      <c r="L216" s="45" t="s">
        <v>55</v>
      </c>
      <c r="M216" s="46">
        <v>289900</v>
      </c>
      <c r="N216" s="35">
        <v>0.9</v>
      </c>
      <c r="O216" s="34">
        <f t="shared" si="11"/>
        <v>28990</v>
      </c>
      <c r="P216" s="6" t="s">
        <v>16</v>
      </c>
    </row>
    <row r="217" spans="1:16" x14ac:dyDescent="0.35">
      <c r="A217" s="32" t="s">
        <v>6424</v>
      </c>
      <c r="B217" s="7">
        <f t="shared" si="9"/>
        <v>46121</v>
      </c>
      <c r="C217" s="7">
        <f t="shared" si="10"/>
        <v>46127</v>
      </c>
      <c r="D217" s="6">
        <v>3281</v>
      </c>
      <c r="E217" s="6">
        <v>337</v>
      </c>
      <c r="F217" s="6">
        <v>4</v>
      </c>
      <c r="G217" s="23">
        <v>5</v>
      </c>
      <c r="H217" s="23">
        <v>190</v>
      </c>
      <c r="I217" s="6" t="s">
        <v>17</v>
      </c>
      <c r="J217" s="45">
        <v>87434531</v>
      </c>
      <c r="K217" s="45" t="s">
        <v>53</v>
      </c>
      <c r="L217" s="45" t="s">
        <v>56</v>
      </c>
      <c r="M217" s="46">
        <v>289900</v>
      </c>
      <c r="N217" s="35">
        <v>0.9</v>
      </c>
      <c r="O217" s="34">
        <f t="shared" si="11"/>
        <v>28990</v>
      </c>
      <c r="P217" s="6" t="s">
        <v>16</v>
      </c>
    </row>
    <row r="218" spans="1:16" x14ac:dyDescent="0.35">
      <c r="A218" s="32" t="s">
        <v>6424</v>
      </c>
      <c r="B218" s="7">
        <f t="shared" si="9"/>
        <v>46121</v>
      </c>
      <c r="C218" s="7">
        <f t="shared" si="10"/>
        <v>46127</v>
      </c>
      <c r="D218" s="6">
        <v>3281</v>
      </c>
      <c r="E218" s="6">
        <v>337</v>
      </c>
      <c r="F218" s="6">
        <v>4</v>
      </c>
      <c r="G218" s="23">
        <v>5</v>
      </c>
      <c r="H218" s="23">
        <v>190</v>
      </c>
      <c r="I218" s="6" t="s">
        <v>17</v>
      </c>
      <c r="J218" s="45">
        <v>13493286</v>
      </c>
      <c r="K218" s="45" t="s">
        <v>112</v>
      </c>
      <c r="L218" s="45" t="s">
        <v>113</v>
      </c>
      <c r="M218" s="46">
        <v>249900</v>
      </c>
      <c r="N218" s="35">
        <v>0.9</v>
      </c>
      <c r="O218" s="34">
        <f t="shared" si="11"/>
        <v>24990</v>
      </c>
      <c r="P218" s="6" t="s">
        <v>16</v>
      </c>
    </row>
    <row r="219" spans="1:16" x14ac:dyDescent="0.35">
      <c r="A219" s="32" t="s">
        <v>6424</v>
      </c>
      <c r="B219" s="7">
        <f t="shared" si="9"/>
        <v>46121</v>
      </c>
      <c r="C219" s="7">
        <f t="shared" si="10"/>
        <v>46127</v>
      </c>
      <c r="D219" s="6">
        <v>3281</v>
      </c>
      <c r="E219" s="6">
        <v>337</v>
      </c>
      <c r="F219" s="6">
        <v>4</v>
      </c>
      <c r="G219" s="23">
        <v>5</v>
      </c>
      <c r="H219" s="23">
        <v>190</v>
      </c>
      <c r="I219" s="6" t="s">
        <v>17</v>
      </c>
      <c r="J219" s="45">
        <v>13493302</v>
      </c>
      <c r="K219" s="45" t="s">
        <v>112</v>
      </c>
      <c r="L219" s="45" t="s">
        <v>114</v>
      </c>
      <c r="M219" s="46">
        <v>249900</v>
      </c>
      <c r="N219" s="35">
        <v>0.9</v>
      </c>
      <c r="O219" s="34">
        <f t="shared" si="11"/>
        <v>24990</v>
      </c>
      <c r="P219" s="6" t="s">
        <v>16</v>
      </c>
    </row>
    <row r="220" spans="1:16" x14ac:dyDescent="0.35">
      <c r="A220" s="32" t="s">
        <v>6424</v>
      </c>
      <c r="B220" s="7">
        <f t="shared" si="9"/>
        <v>46121</v>
      </c>
      <c r="C220" s="7">
        <f t="shared" si="10"/>
        <v>46127</v>
      </c>
      <c r="D220" s="6">
        <v>3281</v>
      </c>
      <c r="E220" s="6">
        <v>337</v>
      </c>
      <c r="F220" s="6">
        <v>4</v>
      </c>
      <c r="G220" s="23">
        <v>5</v>
      </c>
      <c r="H220" s="23">
        <v>190</v>
      </c>
      <c r="I220" s="6" t="s">
        <v>17</v>
      </c>
      <c r="J220" s="45">
        <v>13493366</v>
      </c>
      <c r="K220" s="45" t="s">
        <v>78</v>
      </c>
      <c r="L220" s="45" t="s">
        <v>79</v>
      </c>
      <c r="M220" s="46">
        <v>249900</v>
      </c>
      <c r="N220" s="35">
        <v>0.9</v>
      </c>
      <c r="O220" s="34">
        <f t="shared" si="11"/>
        <v>24990</v>
      </c>
      <c r="P220" s="6" t="s">
        <v>16</v>
      </c>
    </row>
    <row r="221" spans="1:16" x14ac:dyDescent="0.35">
      <c r="A221" s="32" t="s">
        <v>6424</v>
      </c>
      <c r="B221" s="7">
        <f t="shared" si="9"/>
        <v>46121</v>
      </c>
      <c r="C221" s="7">
        <f t="shared" si="10"/>
        <v>46127</v>
      </c>
      <c r="D221" s="6">
        <v>3281</v>
      </c>
      <c r="E221" s="6">
        <v>337</v>
      </c>
      <c r="F221" s="6">
        <v>4</v>
      </c>
      <c r="G221" s="23">
        <v>5</v>
      </c>
      <c r="H221" s="23">
        <v>190</v>
      </c>
      <c r="I221" s="6" t="s">
        <v>17</v>
      </c>
      <c r="J221" s="45">
        <v>13493375</v>
      </c>
      <c r="K221" s="45" t="s">
        <v>78</v>
      </c>
      <c r="L221" s="45" t="s">
        <v>80</v>
      </c>
      <c r="M221" s="46">
        <v>249900</v>
      </c>
      <c r="N221" s="35">
        <v>0.9</v>
      </c>
      <c r="O221" s="34">
        <f t="shared" si="11"/>
        <v>24990</v>
      </c>
      <c r="P221" s="6" t="s">
        <v>16</v>
      </c>
    </row>
    <row r="222" spans="1:16" x14ac:dyDescent="0.35">
      <c r="A222" s="32" t="s">
        <v>6424</v>
      </c>
      <c r="B222" s="7">
        <f t="shared" si="9"/>
        <v>46121</v>
      </c>
      <c r="C222" s="7">
        <f t="shared" si="10"/>
        <v>46127</v>
      </c>
      <c r="D222" s="6">
        <v>3281</v>
      </c>
      <c r="E222" s="6">
        <v>337</v>
      </c>
      <c r="F222" s="6">
        <v>4</v>
      </c>
      <c r="G222" s="23">
        <v>5</v>
      </c>
      <c r="H222" s="23">
        <v>190</v>
      </c>
      <c r="I222" s="6" t="s">
        <v>17</v>
      </c>
      <c r="J222" s="45">
        <v>14478774</v>
      </c>
      <c r="K222" s="45" t="s">
        <v>81</v>
      </c>
      <c r="L222" s="45" t="s">
        <v>82</v>
      </c>
      <c r="M222" s="46">
        <v>249900</v>
      </c>
      <c r="N222" s="35">
        <v>0.9</v>
      </c>
      <c r="O222" s="34">
        <f t="shared" si="11"/>
        <v>24990</v>
      </c>
      <c r="P222" s="6" t="s">
        <v>16</v>
      </c>
    </row>
    <row r="223" spans="1:16" x14ac:dyDescent="0.35">
      <c r="A223" s="32" t="s">
        <v>6424</v>
      </c>
      <c r="B223" s="7">
        <f t="shared" si="9"/>
        <v>46121</v>
      </c>
      <c r="C223" s="7">
        <f t="shared" si="10"/>
        <v>46127</v>
      </c>
      <c r="D223" s="6">
        <v>3281</v>
      </c>
      <c r="E223" s="6">
        <v>337</v>
      </c>
      <c r="F223" s="6">
        <v>4</v>
      </c>
      <c r="G223" s="23">
        <v>5</v>
      </c>
      <c r="H223" s="23">
        <v>190</v>
      </c>
      <c r="I223" s="6" t="s">
        <v>17</v>
      </c>
      <c r="J223" s="45">
        <v>14478783</v>
      </c>
      <c r="K223" s="45" t="s">
        <v>81</v>
      </c>
      <c r="L223" s="45" t="s">
        <v>83</v>
      </c>
      <c r="M223" s="46">
        <v>249900</v>
      </c>
      <c r="N223" s="35">
        <v>0.9</v>
      </c>
      <c r="O223" s="34">
        <f t="shared" si="11"/>
        <v>24990</v>
      </c>
      <c r="P223" s="6" t="s">
        <v>16</v>
      </c>
    </row>
    <row r="224" spans="1:16" x14ac:dyDescent="0.35">
      <c r="A224" s="32" t="s">
        <v>6424</v>
      </c>
      <c r="B224" s="7">
        <f t="shared" si="9"/>
        <v>46121</v>
      </c>
      <c r="C224" s="7">
        <f t="shared" si="10"/>
        <v>46127</v>
      </c>
      <c r="D224" s="6">
        <v>3281</v>
      </c>
      <c r="E224" s="6">
        <v>337</v>
      </c>
      <c r="F224" s="6">
        <v>4</v>
      </c>
      <c r="G224" s="23">
        <v>5</v>
      </c>
      <c r="H224" s="23">
        <v>80920</v>
      </c>
      <c r="I224" s="6" t="s">
        <v>17</v>
      </c>
      <c r="J224" s="45">
        <v>76638716</v>
      </c>
      <c r="K224" s="45" t="s">
        <v>147</v>
      </c>
      <c r="L224" s="45" t="s">
        <v>148</v>
      </c>
      <c r="M224" s="46">
        <v>259900</v>
      </c>
      <c r="N224" s="35">
        <v>0.9</v>
      </c>
      <c r="O224" s="34">
        <f t="shared" si="11"/>
        <v>25990</v>
      </c>
      <c r="P224" s="6" t="s">
        <v>16</v>
      </c>
    </row>
    <row r="225" spans="1:16" x14ac:dyDescent="0.35">
      <c r="A225" s="32" t="s">
        <v>6424</v>
      </c>
      <c r="B225" s="7">
        <f t="shared" si="9"/>
        <v>46121</v>
      </c>
      <c r="C225" s="7">
        <f t="shared" si="10"/>
        <v>46127</v>
      </c>
      <c r="D225" s="6">
        <v>3281</v>
      </c>
      <c r="E225" s="6">
        <v>337</v>
      </c>
      <c r="F225" s="6">
        <v>4</v>
      </c>
      <c r="G225" s="23">
        <v>5</v>
      </c>
      <c r="H225" s="23">
        <v>80920</v>
      </c>
      <c r="I225" s="6" t="s">
        <v>17</v>
      </c>
      <c r="J225" s="45">
        <v>79528302</v>
      </c>
      <c r="K225" s="45" t="s">
        <v>174</v>
      </c>
      <c r="L225" s="45" t="s">
        <v>175</v>
      </c>
      <c r="M225" s="46">
        <v>299900</v>
      </c>
      <c r="N225" s="35">
        <v>0.9</v>
      </c>
      <c r="O225" s="34">
        <f t="shared" si="11"/>
        <v>29990</v>
      </c>
      <c r="P225" s="6" t="s">
        <v>16</v>
      </c>
    </row>
    <row r="226" spans="1:16" x14ac:dyDescent="0.35">
      <c r="A226" s="32" t="s">
        <v>6424</v>
      </c>
      <c r="B226" s="7">
        <f t="shared" si="9"/>
        <v>46121</v>
      </c>
      <c r="C226" s="7">
        <f t="shared" si="10"/>
        <v>46127</v>
      </c>
      <c r="D226" s="6">
        <v>3281</v>
      </c>
      <c r="E226" s="6">
        <v>337</v>
      </c>
      <c r="F226" s="18">
        <v>4</v>
      </c>
      <c r="G226" s="47">
        <v>5</v>
      </c>
      <c r="H226" s="47">
        <v>80920</v>
      </c>
      <c r="I226" s="18" t="s">
        <v>17</v>
      </c>
      <c r="J226" s="45">
        <v>79528320</v>
      </c>
      <c r="K226" s="45" t="s">
        <v>174</v>
      </c>
      <c r="L226" s="45" t="s">
        <v>176</v>
      </c>
      <c r="M226" s="46">
        <v>299900</v>
      </c>
      <c r="N226" s="48">
        <v>0.9</v>
      </c>
      <c r="O226" s="19">
        <f t="shared" si="11"/>
        <v>29990</v>
      </c>
      <c r="P226" s="18" t="s">
        <v>16</v>
      </c>
    </row>
    <row r="227" spans="1:16" x14ac:dyDescent="0.35">
      <c r="A227" s="32" t="s">
        <v>6424</v>
      </c>
      <c r="B227" s="7">
        <f t="shared" si="9"/>
        <v>46121</v>
      </c>
      <c r="C227" s="7">
        <f t="shared" si="10"/>
        <v>46127</v>
      </c>
      <c r="D227" s="6">
        <v>3281</v>
      </c>
      <c r="E227" s="6">
        <v>337</v>
      </c>
      <c r="F227" s="32">
        <v>4</v>
      </c>
      <c r="G227" s="23">
        <v>5</v>
      </c>
      <c r="H227" s="23">
        <v>80920</v>
      </c>
      <c r="I227" s="32" t="s">
        <v>17</v>
      </c>
      <c r="J227" s="22">
        <v>79528339</v>
      </c>
      <c r="K227" s="22" t="s">
        <v>174</v>
      </c>
      <c r="L227" s="22" t="s">
        <v>177</v>
      </c>
      <c r="M227" s="49">
        <v>299900</v>
      </c>
      <c r="N227" s="35">
        <v>0.9</v>
      </c>
      <c r="O227" s="34">
        <f t="shared" si="11"/>
        <v>29990</v>
      </c>
      <c r="P227" s="32" t="s">
        <v>16</v>
      </c>
    </row>
    <row r="228" spans="1:16" x14ac:dyDescent="0.35">
      <c r="A228" s="32" t="s">
        <v>6424</v>
      </c>
      <c r="B228" s="7">
        <f t="shared" si="9"/>
        <v>46121</v>
      </c>
      <c r="C228" s="7">
        <f t="shared" si="10"/>
        <v>46127</v>
      </c>
      <c r="D228" s="6">
        <v>3281</v>
      </c>
      <c r="E228" s="6">
        <v>337</v>
      </c>
      <c r="F228" s="32">
        <v>4</v>
      </c>
      <c r="G228" s="23">
        <v>5</v>
      </c>
      <c r="H228" s="23">
        <v>81506</v>
      </c>
      <c r="I228" s="32" t="s">
        <v>17</v>
      </c>
      <c r="J228" s="22">
        <v>87434460</v>
      </c>
      <c r="K228" s="22" t="s">
        <v>57</v>
      </c>
      <c r="L228" s="22" t="s">
        <v>58</v>
      </c>
      <c r="M228" s="49">
        <v>299900</v>
      </c>
      <c r="N228" s="35">
        <v>0.9</v>
      </c>
      <c r="O228" s="34">
        <f t="shared" si="11"/>
        <v>29990</v>
      </c>
      <c r="P228" s="32" t="s">
        <v>16</v>
      </c>
    </row>
  </sheetData>
  <autoFilter ref="A1:P1" xr:uid="{00000000-0009-0000-0000-00000A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7"/>
  <sheetViews>
    <sheetView zoomScaleNormal="100" workbookViewId="0">
      <pane ySplit="1" topLeftCell="A2" activePane="bottomLeft" state="frozen"/>
      <selection activeCell="B2" sqref="B2"/>
      <selection pane="bottomLeft" activeCell="M10" sqref="M10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6513</v>
      </c>
      <c r="B2" s="7">
        <f>'2025 HILITE D80 - 3321'!B2</f>
        <v>46121</v>
      </c>
      <c r="C2" s="7">
        <f>'2025 HILITE D80 - 3321'!C2</f>
        <v>46127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17</v>
      </c>
      <c r="J2" s="6">
        <v>63556703</v>
      </c>
      <c r="K2" s="6" t="s">
        <v>495</v>
      </c>
      <c r="L2" s="6" t="s">
        <v>496</v>
      </c>
      <c r="M2" s="8">
        <v>159900</v>
      </c>
      <c r="N2" s="9">
        <v>0.9</v>
      </c>
      <c r="O2" s="8">
        <f>M2-((90*M2)/100)</f>
        <v>15990</v>
      </c>
      <c r="P2" s="6" t="s">
        <v>16</v>
      </c>
    </row>
    <row r="3" spans="1:16" x14ac:dyDescent="0.35">
      <c r="A3" s="32" t="s">
        <v>6513</v>
      </c>
      <c r="B3" s="7">
        <f>B2</f>
        <v>46121</v>
      </c>
      <c r="C3" s="7">
        <f>C2</f>
        <v>46127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17</v>
      </c>
      <c r="J3" s="6">
        <v>63556712</v>
      </c>
      <c r="K3" s="6" t="s">
        <v>495</v>
      </c>
      <c r="L3" s="6" t="s">
        <v>498</v>
      </c>
      <c r="M3" s="8">
        <v>159900</v>
      </c>
      <c r="N3" s="35">
        <v>0.9</v>
      </c>
      <c r="O3" s="34">
        <f t="shared" ref="O3:O66" si="0">M3-((90*M3)/100)</f>
        <v>15990</v>
      </c>
      <c r="P3" s="6" t="s">
        <v>16</v>
      </c>
    </row>
    <row r="4" spans="1:16" x14ac:dyDescent="0.35">
      <c r="A4" s="32" t="s">
        <v>6513</v>
      </c>
      <c r="B4" s="7">
        <f t="shared" ref="B4:B67" si="1">B3</f>
        <v>46121</v>
      </c>
      <c r="C4" s="7">
        <f t="shared" ref="C4:C67" si="2">C3</f>
        <v>46127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17</v>
      </c>
      <c r="J4" s="6">
        <v>63556721</v>
      </c>
      <c r="K4" s="6" t="s">
        <v>495</v>
      </c>
      <c r="L4" s="6" t="s">
        <v>499</v>
      </c>
      <c r="M4" s="8">
        <v>159900</v>
      </c>
      <c r="N4" s="35">
        <v>0.9</v>
      </c>
      <c r="O4" s="34">
        <f t="shared" si="0"/>
        <v>15990</v>
      </c>
      <c r="P4" s="6" t="s">
        <v>16</v>
      </c>
    </row>
    <row r="5" spans="1:16" x14ac:dyDescent="0.35">
      <c r="A5" s="32" t="s">
        <v>6513</v>
      </c>
      <c r="B5" s="7">
        <f t="shared" si="1"/>
        <v>46121</v>
      </c>
      <c r="C5" s="7">
        <f t="shared" si="2"/>
        <v>46127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17</v>
      </c>
      <c r="J5" s="6">
        <v>63556730</v>
      </c>
      <c r="K5" s="6" t="s">
        <v>495</v>
      </c>
      <c r="L5" s="6" t="s">
        <v>497</v>
      </c>
      <c r="M5" s="8">
        <v>159900</v>
      </c>
      <c r="N5" s="35">
        <v>0.9</v>
      </c>
      <c r="O5" s="34">
        <f t="shared" si="0"/>
        <v>15990</v>
      </c>
      <c r="P5" s="6" t="s">
        <v>16</v>
      </c>
    </row>
    <row r="6" spans="1:16" x14ac:dyDescent="0.35">
      <c r="A6" s="32" t="s">
        <v>6513</v>
      </c>
      <c r="B6" s="7">
        <f t="shared" si="1"/>
        <v>46121</v>
      </c>
      <c r="C6" s="7">
        <f t="shared" si="2"/>
        <v>46127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17</v>
      </c>
      <c r="J6" s="6">
        <v>63559344</v>
      </c>
      <c r="K6" s="6" t="s">
        <v>319</v>
      </c>
      <c r="L6" s="6" t="s">
        <v>320</v>
      </c>
      <c r="M6" s="8">
        <v>159900</v>
      </c>
      <c r="N6" s="35">
        <v>0.9</v>
      </c>
      <c r="O6" s="34">
        <f t="shared" si="0"/>
        <v>15990</v>
      </c>
      <c r="P6" s="6" t="s">
        <v>16</v>
      </c>
    </row>
    <row r="7" spans="1:16" x14ac:dyDescent="0.35">
      <c r="A7" s="32" t="s">
        <v>6513</v>
      </c>
      <c r="B7" s="7">
        <f t="shared" si="1"/>
        <v>46121</v>
      </c>
      <c r="C7" s="7">
        <f t="shared" si="2"/>
        <v>46127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17</v>
      </c>
      <c r="J7" s="6">
        <v>63559353</v>
      </c>
      <c r="K7" s="6" t="s">
        <v>319</v>
      </c>
      <c r="L7" s="6" t="s">
        <v>321</v>
      </c>
      <c r="M7" s="8">
        <v>159900</v>
      </c>
      <c r="N7" s="35">
        <v>0.9</v>
      </c>
      <c r="O7" s="34">
        <f t="shared" si="0"/>
        <v>15990</v>
      </c>
      <c r="P7" s="6" t="s">
        <v>16</v>
      </c>
    </row>
    <row r="8" spans="1:16" x14ac:dyDescent="0.35">
      <c r="A8" s="32" t="s">
        <v>6513</v>
      </c>
      <c r="B8" s="7">
        <f t="shared" si="1"/>
        <v>46121</v>
      </c>
      <c r="C8" s="7">
        <f t="shared" si="2"/>
        <v>46127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17</v>
      </c>
      <c r="J8" s="6">
        <v>63559362</v>
      </c>
      <c r="K8" s="6" t="s">
        <v>319</v>
      </c>
      <c r="L8" s="6" t="s">
        <v>322</v>
      </c>
      <c r="M8" s="8">
        <v>159900</v>
      </c>
      <c r="N8" s="35">
        <v>0.9</v>
      </c>
      <c r="O8" s="34">
        <f t="shared" si="0"/>
        <v>15990</v>
      </c>
      <c r="P8" s="6" t="s">
        <v>16</v>
      </c>
    </row>
    <row r="9" spans="1:16" x14ac:dyDescent="0.35">
      <c r="A9" s="32" t="s">
        <v>6513</v>
      </c>
      <c r="B9" s="7">
        <f t="shared" si="1"/>
        <v>46121</v>
      </c>
      <c r="C9" s="7">
        <f t="shared" si="2"/>
        <v>46127</v>
      </c>
      <c r="D9" s="6">
        <v>3281</v>
      </c>
      <c r="E9" s="6">
        <v>337</v>
      </c>
      <c r="F9" s="6">
        <v>4</v>
      </c>
      <c r="G9" s="6">
        <v>1</v>
      </c>
      <c r="H9" s="6">
        <v>81419</v>
      </c>
      <c r="I9" s="6" t="s">
        <v>17</v>
      </c>
      <c r="J9" s="6">
        <v>63559371</v>
      </c>
      <c r="K9" s="6" t="s">
        <v>319</v>
      </c>
      <c r="L9" s="6" t="s">
        <v>323</v>
      </c>
      <c r="M9" s="8">
        <v>159900</v>
      </c>
      <c r="N9" s="35">
        <v>0.9</v>
      </c>
      <c r="O9" s="34">
        <f t="shared" si="0"/>
        <v>15990</v>
      </c>
      <c r="P9" s="6" t="s">
        <v>16</v>
      </c>
    </row>
    <row r="10" spans="1:16" x14ac:dyDescent="0.35">
      <c r="A10" s="32" t="s">
        <v>6513</v>
      </c>
      <c r="B10" s="7">
        <f t="shared" si="1"/>
        <v>46121</v>
      </c>
      <c r="C10" s="7">
        <f t="shared" si="2"/>
        <v>46127</v>
      </c>
      <c r="D10" s="6">
        <v>3281</v>
      </c>
      <c r="E10" s="6">
        <v>337</v>
      </c>
      <c r="F10" s="6">
        <v>4</v>
      </c>
      <c r="G10" s="6">
        <v>1</v>
      </c>
      <c r="H10" s="6">
        <v>81419</v>
      </c>
      <c r="I10" s="6" t="s">
        <v>17</v>
      </c>
      <c r="J10" s="6">
        <v>67566196</v>
      </c>
      <c r="K10" s="6" t="s">
        <v>602</v>
      </c>
      <c r="L10" s="6" t="s">
        <v>603</v>
      </c>
      <c r="M10" s="8">
        <v>159900</v>
      </c>
      <c r="N10" s="35">
        <v>0.9</v>
      </c>
      <c r="O10" s="34">
        <f t="shared" si="0"/>
        <v>15990</v>
      </c>
      <c r="P10" s="6" t="s">
        <v>16</v>
      </c>
    </row>
    <row r="11" spans="1:16" x14ac:dyDescent="0.35">
      <c r="A11" s="32" t="s">
        <v>6513</v>
      </c>
      <c r="B11" s="7">
        <f t="shared" si="1"/>
        <v>46121</v>
      </c>
      <c r="C11" s="7">
        <f t="shared" si="2"/>
        <v>46127</v>
      </c>
      <c r="D11" s="6">
        <v>3281</v>
      </c>
      <c r="E11" s="6">
        <v>337</v>
      </c>
      <c r="F11" s="6">
        <v>4</v>
      </c>
      <c r="G11" s="6">
        <v>1</v>
      </c>
      <c r="H11" s="6">
        <v>81419</v>
      </c>
      <c r="I11" s="6" t="s">
        <v>17</v>
      </c>
      <c r="J11" s="6">
        <v>67566203</v>
      </c>
      <c r="K11" s="6" t="s">
        <v>602</v>
      </c>
      <c r="L11" s="6" t="s">
        <v>604</v>
      </c>
      <c r="M11" s="8">
        <v>159900</v>
      </c>
      <c r="N11" s="35">
        <v>0.9</v>
      </c>
      <c r="O11" s="34">
        <f t="shared" si="0"/>
        <v>15990</v>
      </c>
      <c r="P11" s="6" t="s">
        <v>16</v>
      </c>
    </row>
    <row r="12" spans="1:16" x14ac:dyDescent="0.35">
      <c r="A12" s="32" t="s">
        <v>6513</v>
      </c>
      <c r="B12" s="7">
        <f t="shared" si="1"/>
        <v>46121</v>
      </c>
      <c r="C12" s="7">
        <f t="shared" si="2"/>
        <v>46127</v>
      </c>
      <c r="D12" s="6">
        <v>3281</v>
      </c>
      <c r="E12" s="6">
        <v>337</v>
      </c>
      <c r="F12" s="6">
        <v>4</v>
      </c>
      <c r="G12" s="6">
        <v>1</v>
      </c>
      <c r="H12" s="6">
        <v>81419</v>
      </c>
      <c r="I12" s="6" t="s">
        <v>17</v>
      </c>
      <c r="J12" s="6">
        <v>67566212</v>
      </c>
      <c r="K12" s="6" t="s">
        <v>602</v>
      </c>
      <c r="L12" s="6" t="s">
        <v>605</v>
      </c>
      <c r="M12" s="8">
        <v>159900</v>
      </c>
      <c r="N12" s="35">
        <v>0.9</v>
      </c>
      <c r="O12" s="34">
        <f t="shared" si="0"/>
        <v>15990</v>
      </c>
      <c r="P12" s="6" t="s">
        <v>16</v>
      </c>
    </row>
    <row r="13" spans="1:16" x14ac:dyDescent="0.35">
      <c r="A13" s="32" t="s">
        <v>6513</v>
      </c>
      <c r="B13" s="7">
        <f t="shared" si="1"/>
        <v>46121</v>
      </c>
      <c r="C13" s="7">
        <f t="shared" si="2"/>
        <v>46127</v>
      </c>
      <c r="D13" s="6">
        <v>3281</v>
      </c>
      <c r="E13" s="6">
        <v>337</v>
      </c>
      <c r="F13" s="6">
        <v>4</v>
      </c>
      <c r="G13" s="6">
        <v>1</v>
      </c>
      <c r="H13" s="6">
        <v>81379</v>
      </c>
      <c r="I13" s="6" t="s">
        <v>17</v>
      </c>
      <c r="J13" s="6">
        <v>60927273</v>
      </c>
      <c r="K13" s="6" t="s">
        <v>412</v>
      </c>
      <c r="L13" s="6" t="s">
        <v>413</v>
      </c>
      <c r="M13" s="8">
        <v>139900</v>
      </c>
      <c r="N13" s="35">
        <v>0.9</v>
      </c>
      <c r="O13" s="34">
        <f t="shared" si="0"/>
        <v>13990</v>
      </c>
      <c r="P13" s="6" t="s">
        <v>16</v>
      </c>
    </row>
    <row r="14" spans="1:16" x14ac:dyDescent="0.35">
      <c r="A14" s="32" t="s">
        <v>6513</v>
      </c>
      <c r="B14" s="7">
        <f t="shared" si="1"/>
        <v>46121</v>
      </c>
      <c r="C14" s="7">
        <f t="shared" si="2"/>
        <v>46127</v>
      </c>
      <c r="D14" s="6">
        <v>3281</v>
      </c>
      <c r="E14" s="6">
        <v>337</v>
      </c>
      <c r="F14" s="6">
        <v>4</v>
      </c>
      <c r="G14" s="6">
        <v>1</v>
      </c>
      <c r="H14" s="6">
        <v>81379</v>
      </c>
      <c r="I14" s="6" t="s">
        <v>17</v>
      </c>
      <c r="J14" s="6">
        <v>60927282</v>
      </c>
      <c r="K14" s="6" t="s">
        <v>412</v>
      </c>
      <c r="L14" s="6" t="s">
        <v>414</v>
      </c>
      <c r="M14" s="8">
        <v>139900</v>
      </c>
      <c r="N14" s="35">
        <v>0.9</v>
      </c>
      <c r="O14" s="34">
        <f t="shared" si="0"/>
        <v>13990</v>
      </c>
      <c r="P14" s="6" t="s">
        <v>16</v>
      </c>
    </row>
    <row r="15" spans="1:16" x14ac:dyDescent="0.35">
      <c r="A15" s="32" t="s">
        <v>6513</v>
      </c>
      <c r="B15" s="7">
        <f t="shared" si="1"/>
        <v>46121</v>
      </c>
      <c r="C15" s="7">
        <f t="shared" si="2"/>
        <v>46127</v>
      </c>
      <c r="D15" s="6">
        <v>3281</v>
      </c>
      <c r="E15" s="6">
        <v>337</v>
      </c>
      <c r="F15" s="6">
        <v>4</v>
      </c>
      <c r="G15" s="6">
        <v>1</v>
      </c>
      <c r="H15" s="6">
        <v>81379</v>
      </c>
      <c r="I15" s="6" t="s">
        <v>17</v>
      </c>
      <c r="J15" s="6">
        <v>60927291</v>
      </c>
      <c r="K15" s="6" t="s">
        <v>412</v>
      </c>
      <c r="L15" s="6" t="s">
        <v>415</v>
      </c>
      <c r="M15" s="8">
        <v>139900</v>
      </c>
      <c r="N15" s="35">
        <v>0.9</v>
      </c>
      <c r="O15" s="34">
        <f t="shared" si="0"/>
        <v>13990</v>
      </c>
      <c r="P15" s="6" t="s">
        <v>16</v>
      </c>
    </row>
    <row r="16" spans="1:16" x14ac:dyDescent="0.35">
      <c r="A16" s="32" t="s">
        <v>6513</v>
      </c>
      <c r="B16" s="7">
        <f t="shared" si="1"/>
        <v>46121</v>
      </c>
      <c r="C16" s="7">
        <f t="shared" si="2"/>
        <v>46127</v>
      </c>
      <c r="D16" s="6">
        <v>3281</v>
      </c>
      <c r="E16" s="6">
        <v>337</v>
      </c>
      <c r="F16" s="6">
        <v>4</v>
      </c>
      <c r="G16" s="6">
        <v>1</v>
      </c>
      <c r="H16" s="6">
        <v>81379</v>
      </c>
      <c r="I16" s="6" t="s">
        <v>17</v>
      </c>
      <c r="J16" s="6">
        <v>60927308</v>
      </c>
      <c r="K16" s="6" t="s">
        <v>412</v>
      </c>
      <c r="L16" s="6" t="s">
        <v>416</v>
      </c>
      <c r="M16" s="8">
        <v>139900</v>
      </c>
      <c r="N16" s="35">
        <v>0.9</v>
      </c>
      <c r="O16" s="34">
        <f t="shared" si="0"/>
        <v>13990</v>
      </c>
      <c r="P16" s="6" t="s">
        <v>16</v>
      </c>
    </row>
    <row r="17" spans="1:16" x14ac:dyDescent="0.35">
      <c r="A17" s="32" t="s">
        <v>6513</v>
      </c>
      <c r="B17" s="7">
        <f t="shared" si="1"/>
        <v>46121</v>
      </c>
      <c r="C17" s="7">
        <f t="shared" si="2"/>
        <v>46127</v>
      </c>
      <c r="D17" s="6">
        <v>3281</v>
      </c>
      <c r="E17" s="6">
        <v>337</v>
      </c>
      <c r="F17" s="6">
        <v>4</v>
      </c>
      <c r="G17" s="6">
        <v>1</v>
      </c>
      <c r="H17" s="6">
        <v>81379</v>
      </c>
      <c r="I17" s="6" t="s">
        <v>17</v>
      </c>
      <c r="J17" s="6">
        <v>60927317</v>
      </c>
      <c r="K17" s="6" t="s">
        <v>315</v>
      </c>
      <c r="L17" s="6" t="s">
        <v>316</v>
      </c>
      <c r="M17" s="8">
        <v>139900</v>
      </c>
      <c r="N17" s="35">
        <v>0.9</v>
      </c>
      <c r="O17" s="34">
        <f t="shared" si="0"/>
        <v>13990</v>
      </c>
      <c r="P17" s="6" t="s">
        <v>16</v>
      </c>
    </row>
    <row r="18" spans="1:16" x14ac:dyDescent="0.35">
      <c r="A18" s="32" t="s">
        <v>6513</v>
      </c>
      <c r="B18" s="7">
        <f t="shared" si="1"/>
        <v>46121</v>
      </c>
      <c r="C18" s="7">
        <f t="shared" si="2"/>
        <v>46127</v>
      </c>
      <c r="D18" s="6">
        <v>3281</v>
      </c>
      <c r="E18" s="6">
        <v>337</v>
      </c>
      <c r="F18" s="6">
        <v>4</v>
      </c>
      <c r="G18" s="6">
        <v>1</v>
      </c>
      <c r="H18" s="6">
        <v>81379</v>
      </c>
      <c r="I18" s="6" t="s">
        <v>17</v>
      </c>
      <c r="J18" s="6">
        <v>60927326</v>
      </c>
      <c r="K18" s="6" t="s">
        <v>315</v>
      </c>
      <c r="L18" s="6" t="s">
        <v>417</v>
      </c>
      <c r="M18" s="8">
        <v>139900</v>
      </c>
      <c r="N18" s="35">
        <v>0.9</v>
      </c>
      <c r="O18" s="34">
        <f t="shared" si="0"/>
        <v>13990</v>
      </c>
      <c r="P18" s="6" t="s">
        <v>16</v>
      </c>
    </row>
    <row r="19" spans="1:16" x14ac:dyDescent="0.35">
      <c r="A19" s="32" t="s">
        <v>6513</v>
      </c>
      <c r="B19" s="7">
        <f t="shared" si="1"/>
        <v>46121</v>
      </c>
      <c r="C19" s="7">
        <f t="shared" si="2"/>
        <v>46127</v>
      </c>
      <c r="D19" s="6">
        <v>3281</v>
      </c>
      <c r="E19" s="6">
        <v>337</v>
      </c>
      <c r="F19" s="6">
        <v>4</v>
      </c>
      <c r="G19" s="6">
        <v>1</v>
      </c>
      <c r="H19" s="6">
        <v>81379</v>
      </c>
      <c r="I19" s="6" t="s">
        <v>17</v>
      </c>
      <c r="J19" s="6">
        <v>60927335</v>
      </c>
      <c r="K19" s="6" t="s">
        <v>315</v>
      </c>
      <c r="L19" s="6" t="s">
        <v>317</v>
      </c>
      <c r="M19" s="8">
        <v>139900</v>
      </c>
      <c r="N19" s="35">
        <v>0.9</v>
      </c>
      <c r="O19" s="34">
        <f t="shared" si="0"/>
        <v>13990</v>
      </c>
      <c r="P19" s="6" t="s">
        <v>16</v>
      </c>
    </row>
    <row r="20" spans="1:16" x14ac:dyDescent="0.35">
      <c r="A20" s="32" t="s">
        <v>6513</v>
      </c>
      <c r="B20" s="7">
        <f t="shared" si="1"/>
        <v>46121</v>
      </c>
      <c r="C20" s="7">
        <f t="shared" si="2"/>
        <v>46127</v>
      </c>
      <c r="D20" s="6">
        <v>3281</v>
      </c>
      <c r="E20" s="6">
        <v>337</v>
      </c>
      <c r="F20" s="6">
        <v>4</v>
      </c>
      <c r="G20" s="6">
        <v>1</v>
      </c>
      <c r="H20" s="6">
        <v>81379</v>
      </c>
      <c r="I20" s="6" t="s">
        <v>17</v>
      </c>
      <c r="J20" s="6">
        <v>60927344</v>
      </c>
      <c r="K20" s="6" t="s">
        <v>315</v>
      </c>
      <c r="L20" s="6" t="s">
        <v>318</v>
      </c>
      <c r="M20" s="8">
        <v>139900</v>
      </c>
      <c r="N20" s="35">
        <v>0.9</v>
      </c>
      <c r="O20" s="34">
        <f t="shared" si="0"/>
        <v>13990</v>
      </c>
      <c r="P20" s="6" t="s">
        <v>16</v>
      </c>
    </row>
    <row r="21" spans="1:16" x14ac:dyDescent="0.35">
      <c r="A21" s="32" t="s">
        <v>6513</v>
      </c>
      <c r="B21" s="7">
        <f t="shared" si="1"/>
        <v>46121</v>
      </c>
      <c r="C21" s="7">
        <f t="shared" si="2"/>
        <v>46127</v>
      </c>
      <c r="D21" s="6">
        <v>3281</v>
      </c>
      <c r="E21" s="6">
        <v>337</v>
      </c>
      <c r="F21" s="6">
        <v>4</v>
      </c>
      <c r="G21" s="6">
        <v>1</v>
      </c>
      <c r="H21" s="6">
        <v>81379</v>
      </c>
      <c r="I21" s="6" t="s">
        <v>17</v>
      </c>
      <c r="J21" s="6">
        <v>66927977</v>
      </c>
      <c r="K21" s="6" t="s">
        <v>334</v>
      </c>
      <c r="L21" s="6" t="s">
        <v>335</v>
      </c>
      <c r="M21" s="8">
        <v>129900</v>
      </c>
      <c r="N21" s="35">
        <v>0.9</v>
      </c>
      <c r="O21" s="34">
        <f t="shared" si="0"/>
        <v>12990</v>
      </c>
      <c r="P21" s="6" t="s">
        <v>16</v>
      </c>
    </row>
    <row r="22" spans="1:16" x14ac:dyDescent="0.35">
      <c r="A22" s="32" t="s">
        <v>6513</v>
      </c>
      <c r="B22" s="7">
        <f t="shared" si="1"/>
        <v>46121</v>
      </c>
      <c r="C22" s="7">
        <f t="shared" si="2"/>
        <v>46127</v>
      </c>
      <c r="D22" s="6">
        <v>3281</v>
      </c>
      <c r="E22" s="6">
        <v>337</v>
      </c>
      <c r="F22" s="6">
        <v>4</v>
      </c>
      <c r="G22" s="6">
        <v>1</v>
      </c>
      <c r="H22" s="6">
        <v>81379</v>
      </c>
      <c r="I22" s="6" t="s">
        <v>17</v>
      </c>
      <c r="J22" s="6">
        <v>66927986</v>
      </c>
      <c r="K22" s="6" t="s">
        <v>334</v>
      </c>
      <c r="L22" s="6" t="s">
        <v>419</v>
      </c>
      <c r="M22" s="8">
        <v>129900</v>
      </c>
      <c r="N22" s="35">
        <v>0.9</v>
      </c>
      <c r="O22" s="34">
        <f t="shared" si="0"/>
        <v>12990</v>
      </c>
      <c r="P22" s="6" t="s">
        <v>16</v>
      </c>
    </row>
    <row r="23" spans="1:16" x14ac:dyDescent="0.35">
      <c r="A23" s="32" t="s">
        <v>6513</v>
      </c>
      <c r="B23" s="7">
        <f t="shared" si="1"/>
        <v>46121</v>
      </c>
      <c r="C23" s="7">
        <f t="shared" si="2"/>
        <v>46127</v>
      </c>
      <c r="D23" s="6">
        <v>3281</v>
      </c>
      <c r="E23" s="6">
        <v>337</v>
      </c>
      <c r="F23" s="6">
        <v>4</v>
      </c>
      <c r="G23" s="6">
        <v>1</v>
      </c>
      <c r="H23" s="6">
        <v>81379</v>
      </c>
      <c r="I23" s="6" t="s">
        <v>17</v>
      </c>
      <c r="J23" s="6">
        <v>66927995</v>
      </c>
      <c r="K23" s="6" t="s">
        <v>334</v>
      </c>
      <c r="L23" s="6" t="s">
        <v>336</v>
      </c>
      <c r="M23" s="8">
        <v>129900</v>
      </c>
      <c r="N23" s="35">
        <v>0.9</v>
      </c>
      <c r="O23" s="34">
        <f t="shared" si="0"/>
        <v>12990</v>
      </c>
      <c r="P23" s="6" t="s">
        <v>16</v>
      </c>
    </row>
    <row r="24" spans="1:16" x14ac:dyDescent="0.35">
      <c r="A24" s="32" t="s">
        <v>6513</v>
      </c>
      <c r="B24" s="7">
        <f t="shared" si="1"/>
        <v>46121</v>
      </c>
      <c r="C24" s="7">
        <f t="shared" si="2"/>
        <v>46127</v>
      </c>
      <c r="D24" s="6">
        <v>3281</v>
      </c>
      <c r="E24" s="6">
        <v>337</v>
      </c>
      <c r="F24" s="6">
        <v>4</v>
      </c>
      <c r="G24" s="6">
        <v>1</v>
      </c>
      <c r="H24" s="6">
        <v>81379</v>
      </c>
      <c r="I24" s="6" t="s">
        <v>17</v>
      </c>
      <c r="J24" s="6">
        <v>66928001</v>
      </c>
      <c r="K24" s="6" t="s">
        <v>334</v>
      </c>
      <c r="L24" s="6" t="s">
        <v>337</v>
      </c>
      <c r="M24" s="8">
        <v>129900</v>
      </c>
      <c r="N24" s="35">
        <v>0.9</v>
      </c>
      <c r="O24" s="34">
        <f t="shared" si="0"/>
        <v>12990</v>
      </c>
      <c r="P24" s="6" t="s">
        <v>16</v>
      </c>
    </row>
    <row r="25" spans="1:16" x14ac:dyDescent="0.35">
      <c r="A25" s="32" t="s">
        <v>6513</v>
      </c>
      <c r="B25" s="7">
        <f t="shared" si="1"/>
        <v>46121</v>
      </c>
      <c r="C25" s="7">
        <f t="shared" si="2"/>
        <v>46127</v>
      </c>
      <c r="D25" s="6">
        <v>3281</v>
      </c>
      <c r="E25" s="6">
        <v>337</v>
      </c>
      <c r="F25" s="6">
        <v>4</v>
      </c>
      <c r="G25" s="6">
        <v>1</v>
      </c>
      <c r="H25" s="6">
        <v>81379</v>
      </c>
      <c r="I25" s="6" t="s">
        <v>17</v>
      </c>
      <c r="J25" s="6">
        <v>66929519</v>
      </c>
      <c r="K25" s="6" t="s">
        <v>338</v>
      </c>
      <c r="L25" s="6" t="s">
        <v>339</v>
      </c>
      <c r="M25" s="8">
        <v>129900</v>
      </c>
      <c r="N25" s="35">
        <v>0.9</v>
      </c>
      <c r="O25" s="34">
        <f t="shared" si="0"/>
        <v>12990</v>
      </c>
      <c r="P25" s="6" t="s">
        <v>16</v>
      </c>
    </row>
    <row r="26" spans="1:16" x14ac:dyDescent="0.35">
      <c r="A26" s="32" t="s">
        <v>6513</v>
      </c>
      <c r="B26" s="7">
        <f t="shared" si="1"/>
        <v>46121</v>
      </c>
      <c r="C26" s="7">
        <f t="shared" si="2"/>
        <v>46127</v>
      </c>
      <c r="D26" s="6">
        <v>3281</v>
      </c>
      <c r="E26" s="6">
        <v>337</v>
      </c>
      <c r="F26" s="6">
        <v>4</v>
      </c>
      <c r="G26" s="6">
        <v>1</v>
      </c>
      <c r="H26" s="6">
        <v>81379</v>
      </c>
      <c r="I26" s="6" t="s">
        <v>17</v>
      </c>
      <c r="J26" s="6">
        <v>66929528</v>
      </c>
      <c r="K26" s="6" t="s">
        <v>338</v>
      </c>
      <c r="L26" s="6" t="s">
        <v>420</v>
      </c>
      <c r="M26" s="8">
        <v>129900</v>
      </c>
      <c r="N26" s="35">
        <v>0.9</v>
      </c>
      <c r="O26" s="34">
        <f t="shared" si="0"/>
        <v>12990</v>
      </c>
      <c r="P26" s="6" t="s">
        <v>16</v>
      </c>
    </row>
    <row r="27" spans="1:16" x14ac:dyDescent="0.35">
      <c r="A27" s="32" t="s">
        <v>6513</v>
      </c>
      <c r="B27" s="7">
        <f t="shared" si="1"/>
        <v>46121</v>
      </c>
      <c r="C27" s="7">
        <f t="shared" si="2"/>
        <v>46127</v>
      </c>
      <c r="D27" s="6">
        <v>3281</v>
      </c>
      <c r="E27" s="6">
        <v>337</v>
      </c>
      <c r="F27" s="6">
        <v>4</v>
      </c>
      <c r="G27" s="6">
        <v>1</v>
      </c>
      <c r="H27" s="6">
        <v>81379</v>
      </c>
      <c r="I27" s="6" t="s">
        <v>17</v>
      </c>
      <c r="J27" s="6">
        <v>66929537</v>
      </c>
      <c r="K27" s="6" t="s">
        <v>338</v>
      </c>
      <c r="L27" s="6" t="s">
        <v>340</v>
      </c>
      <c r="M27" s="8">
        <v>129900</v>
      </c>
      <c r="N27" s="35">
        <v>0.9</v>
      </c>
      <c r="O27" s="34">
        <f t="shared" si="0"/>
        <v>12990</v>
      </c>
      <c r="P27" s="6" t="s">
        <v>16</v>
      </c>
    </row>
    <row r="28" spans="1:16" x14ac:dyDescent="0.35">
      <c r="A28" s="32" t="s">
        <v>6513</v>
      </c>
      <c r="B28" s="7">
        <f t="shared" si="1"/>
        <v>46121</v>
      </c>
      <c r="C28" s="7">
        <f t="shared" si="2"/>
        <v>46127</v>
      </c>
      <c r="D28" s="6">
        <v>3281</v>
      </c>
      <c r="E28" s="6">
        <v>337</v>
      </c>
      <c r="F28" s="6">
        <v>4</v>
      </c>
      <c r="G28" s="6">
        <v>1</v>
      </c>
      <c r="H28" s="6">
        <v>81379</v>
      </c>
      <c r="I28" s="6" t="s">
        <v>17</v>
      </c>
      <c r="J28" s="6">
        <v>66929546</v>
      </c>
      <c r="K28" s="6" t="s">
        <v>338</v>
      </c>
      <c r="L28" s="6" t="s">
        <v>341</v>
      </c>
      <c r="M28" s="8">
        <v>129900</v>
      </c>
      <c r="N28" s="35">
        <v>0.9</v>
      </c>
      <c r="O28" s="34">
        <f t="shared" si="0"/>
        <v>12990</v>
      </c>
      <c r="P28" s="6" t="s">
        <v>16</v>
      </c>
    </row>
    <row r="29" spans="1:16" x14ac:dyDescent="0.35">
      <c r="A29" s="32" t="s">
        <v>6513</v>
      </c>
      <c r="B29" s="7">
        <f t="shared" si="1"/>
        <v>46121</v>
      </c>
      <c r="C29" s="7">
        <f t="shared" si="2"/>
        <v>46127</v>
      </c>
      <c r="D29" s="6">
        <v>3281</v>
      </c>
      <c r="E29" s="6">
        <v>337</v>
      </c>
      <c r="F29" s="6">
        <v>4</v>
      </c>
      <c r="G29" s="6">
        <v>1</v>
      </c>
      <c r="H29" s="6">
        <v>81379</v>
      </c>
      <c r="I29" s="6" t="s">
        <v>17</v>
      </c>
      <c r="J29" s="6">
        <v>65325208</v>
      </c>
      <c r="K29" s="6" t="s">
        <v>350</v>
      </c>
      <c r="L29" s="6" t="s">
        <v>351</v>
      </c>
      <c r="M29" s="8">
        <v>139900</v>
      </c>
      <c r="N29" s="35">
        <v>0.9</v>
      </c>
      <c r="O29" s="34">
        <f t="shared" si="0"/>
        <v>13990</v>
      </c>
      <c r="P29" s="6" t="s">
        <v>16</v>
      </c>
    </row>
    <row r="30" spans="1:16" x14ac:dyDescent="0.35">
      <c r="A30" s="32" t="s">
        <v>6513</v>
      </c>
      <c r="B30" s="7">
        <f t="shared" si="1"/>
        <v>46121</v>
      </c>
      <c r="C30" s="7">
        <f t="shared" si="2"/>
        <v>46127</v>
      </c>
      <c r="D30" s="6">
        <v>3281</v>
      </c>
      <c r="E30" s="6">
        <v>337</v>
      </c>
      <c r="F30" s="6">
        <v>4</v>
      </c>
      <c r="G30" s="6">
        <v>1</v>
      </c>
      <c r="H30" s="6">
        <v>81379</v>
      </c>
      <c r="I30" s="6" t="s">
        <v>17</v>
      </c>
      <c r="J30" s="6">
        <v>65325217</v>
      </c>
      <c r="K30" s="6" t="s">
        <v>350</v>
      </c>
      <c r="L30" s="6" t="s">
        <v>442</v>
      </c>
      <c r="M30" s="8">
        <v>139900</v>
      </c>
      <c r="N30" s="35">
        <v>0.9</v>
      </c>
      <c r="O30" s="34">
        <f t="shared" si="0"/>
        <v>13990</v>
      </c>
      <c r="P30" s="6" t="s">
        <v>16</v>
      </c>
    </row>
    <row r="31" spans="1:16" x14ac:dyDescent="0.35">
      <c r="A31" s="32" t="s">
        <v>6513</v>
      </c>
      <c r="B31" s="7">
        <f t="shared" si="1"/>
        <v>46121</v>
      </c>
      <c r="C31" s="7">
        <f t="shared" si="2"/>
        <v>46127</v>
      </c>
      <c r="D31" s="6">
        <v>3281</v>
      </c>
      <c r="E31" s="6">
        <v>337</v>
      </c>
      <c r="F31" s="6">
        <v>4</v>
      </c>
      <c r="G31" s="6">
        <v>1</v>
      </c>
      <c r="H31" s="6">
        <v>81379</v>
      </c>
      <c r="I31" s="6" t="s">
        <v>17</v>
      </c>
      <c r="J31" s="6">
        <v>65325226</v>
      </c>
      <c r="K31" s="6" t="s">
        <v>350</v>
      </c>
      <c r="L31" s="6" t="s">
        <v>352</v>
      </c>
      <c r="M31" s="8">
        <v>139900</v>
      </c>
      <c r="N31" s="35">
        <v>0.9</v>
      </c>
      <c r="O31" s="34">
        <f t="shared" si="0"/>
        <v>13990</v>
      </c>
      <c r="P31" s="6" t="s">
        <v>16</v>
      </c>
    </row>
    <row r="32" spans="1:16" x14ac:dyDescent="0.35">
      <c r="A32" s="32" t="s">
        <v>6513</v>
      </c>
      <c r="B32" s="7">
        <f t="shared" si="1"/>
        <v>46121</v>
      </c>
      <c r="C32" s="7">
        <f t="shared" si="2"/>
        <v>46127</v>
      </c>
      <c r="D32" s="6">
        <v>3281</v>
      </c>
      <c r="E32" s="6">
        <v>337</v>
      </c>
      <c r="F32" s="6">
        <v>4</v>
      </c>
      <c r="G32" s="6">
        <v>1</v>
      </c>
      <c r="H32" s="6">
        <v>81379</v>
      </c>
      <c r="I32" s="6" t="s">
        <v>17</v>
      </c>
      <c r="J32" s="6">
        <v>65325235</v>
      </c>
      <c r="K32" s="6" t="s">
        <v>350</v>
      </c>
      <c r="L32" s="6" t="s">
        <v>353</v>
      </c>
      <c r="M32" s="8">
        <v>139900</v>
      </c>
      <c r="N32" s="35">
        <v>0.9</v>
      </c>
      <c r="O32" s="34">
        <f t="shared" si="0"/>
        <v>13990</v>
      </c>
      <c r="P32" s="6" t="s">
        <v>16</v>
      </c>
    </row>
    <row r="33" spans="1:16" x14ac:dyDescent="0.35">
      <c r="A33" s="32" t="s">
        <v>6513</v>
      </c>
      <c r="B33" s="7">
        <f t="shared" si="1"/>
        <v>46121</v>
      </c>
      <c r="C33" s="7">
        <f t="shared" si="2"/>
        <v>46127</v>
      </c>
      <c r="D33" s="6">
        <v>3281</v>
      </c>
      <c r="E33" s="6">
        <v>337</v>
      </c>
      <c r="F33" s="6">
        <v>4</v>
      </c>
      <c r="G33" s="6">
        <v>1</v>
      </c>
      <c r="H33" s="6">
        <v>81379</v>
      </c>
      <c r="I33" s="6" t="s">
        <v>17</v>
      </c>
      <c r="J33" s="6">
        <v>66248120</v>
      </c>
      <c r="K33" s="6" t="s">
        <v>354</v>
      </c>
      <c r="L33" s="6" t="s">
        <v>355</v>
      </c>
      <c r="M33" s="8">
        <v>139900</v>
      </c>
      <c r="N33" s="35">
        <v>0.9</v>
      </c>
      <c r="O33" s="34">
        <f t="shared" si="0"/>
        <v>13990</v>
      </c>
      <c r="P33" s="6" t="s">
        <v>16</v>
      </c>
    </row>
    <row r="34" spans="1:16" x14ac:dyDescent="0.35">
      <c r="A34" s="32" t="s">
        <v>6513</v>
      </c>
      <c r="B34" s="7">
        <f t="shared" si="1"/>
        <v>46121</v>
      </c>
      <c r="C34" s="7">
        <f t="shared" si="2"/>
        <v>46127</v>
      </c>
      <c r="D34" s="6">
        <v>3281</v>
      </c>
      <c r="E34" s="6">
        <v>337</v>
      </c>
      <c r="F34" s="6">
        <v>4</v>
      </c>
      <c r="G34" s="6">
        <v>1</v>
      </c>
      <c r="H34" s="6">
        <v>81379</v>
      </c>
      <c r="I34" s="6" t="s">
        <v>17</v>
      </c>
      <c r="J34" s="6">
        <v>66248139</v>
      </c>
      <c r="K34" s="6" t="s">
        <v>354</v>
      </c>
      <c r="L34" s="6" t="s">
        <v>448</v>
      </c>
      <c r="M34" s="8">
        <v>139900</v>
      </c>
      <c r="N34" s="35">
        <v>0.9</v>
      </c>
      <c r="O34" s="34">
        <f t="shared" si="0"/>
        <v>13990</v>
      </c>
      <c r="P34" s="6" t="s">
        <v>16</v>
      </c>
    </row>
    <row r="35" spans="1:16" x14ac:dyDescent="0.35">
      <c r="A35" s="32" t="s">
        <v>6513</v>
      </c>
      <c r="B35" s="7">
        <f t="shared" si="1"/>
        <v>46121</v>
      </c>
      <c r="C35" s="7">
        <f t="shared" si="2"/>
        <v>46127</v>
      </c>
      <c r="D35" s="6">
        <v>3281</v>
      </c>
      <c r="E35" s="6">
        <v>337</v>
      </c>
      <c r="F35" s="6">
        <v>4</v>
      </c>
      <c r="G35" s="6">
        <v>1</v>
      </c>
      <c r="H35" s="6">
        <v>81379</v>
      </c>
      <c r="I35" s="6" t="s">
        <v>17</v>
      </c>
      <c r="J35" s="6">
        <v>66248148</v>
      </c>
      <c r="K35" s="6" t="s">
        <v>354</v>
      </c>
      <c r="L35" s="6" t="s">
        <v>356</v>
      </c>
      <c r="M35" s="8">
        <v>139900</v>
      </c>
      <c r="N35" s="35">
        <v>0.9</v>
      </c>
      <c r="O35" s="34">
        <f t="shared" si="0"/>
        <v>13990</v>
      </c>
      <c r="P35" s="6" t="s">
        <v>16</v>
      </c>
    </row>
    <row r="36" spans="1:16" x14ac:dyDescent="0.35">
      <c r="A36" s="32" t="s">
        <v>6513</v>
      </c>
      <c r="B36" s="7">
        <f t="shared" si="1"/>
        <v>46121</v>
      </c>
      <c r="C36" s="7">
        <f t="shared" si="2"/>
        <v>46127</v>
      </c>
      <c r="D36" s="6">
        <v>3281</v>
      </c>
      <c r="E36" s="6">
        <v>337</v>
      </c>
      <c r="F36" s="6">
        <v>4</v>
      </c>
      <c r="G36" s="6">
        <v>1</v>
      </c>
      <c r="H36" s="6">
        <v>81379</v>
      </c>
      <c r="I36" s="6" t="s">
        <v>17</v>
      </c>
      <c r="J36" s="6">
        <v>66248157</v>
      </c>
      <c r="K36" s="6" t="s">
        <v>354</v>
      </c>
      <c r="L36" s="6" t="s">
        <v>357</v>
      </c>
      <c r="M36" s="8">
        <v>139900</v>
      </c>
      <c r="N36" s="35">
        <v>0.9</v>
      </c>
      <c r="O36" s="34">
        <f t="shared" si="0"/>
        <v>13990</v>
      </c>
      <c r="P36" s="6" t="s">
        <v>16</v>
      </c>
    </row>
    <row r="37" spans="1:16" x14ac:dyDescent="0.35">
      <c r="A37" s="32" t="s">
        <v>6513</v>
      </c>
      <c r="B37" s="7">
        <f t="shared" si="1"/>
        <v>46121</v>
      </c>
      <c r="C37" s="7">
        <f t="shared" si="2"/>
        <v>46127</v>
      </c>
      <c r="D37" s="6">
        <v>3281</v>
      </c>
      <c r="E37" s="6">
        <v>337</v>
      </c>
      <c r="F37" s="6">
        <v>4</v>
      </c>
      <c r="G37" s="6">
        <v>1</v>
      </c>
      <c r="H37" s="6">
        <v>81421</v>
      </c>
      <c r="I37" s="6" t="s">
        <v>17</v>
      </c>
      <c r="J37" s="6">
        <v>56040827</v>
      </c>
      <c r="K37" s="6" t="s">
        <v>289</v>
      </c>
      <c r="L37" s="6" t="s">
        <v>290</v>
      </c>
      <c r="M37" s="8">
        <v>89900</v>
      </c>
      <c r="N37" s="35">
        <v>0.9</v>
      </c>
      <c r="O37" s="34">
        <f t="shared" si="0"/>
        <v>8990</v>
      </c>
      <c r="P37" s="6" t="s">
        <v>16</v>
      </c>
    </row>
    <row r="38" spans="1:16" x14ac:dyDescent="0.35">
      <c r="A38" s="32" t="s">
        <v>6513</v>
      </c>
      <c r="B38" s="7">
        <f t="shared" si="1"/>
        <v>46121</v>
      </c>
      <c r="C38" s="7">
        <f t="shared" si="2"/>
        <v>46127</v>
      </c>
      <c r="D38" s="6">
        <v>3281</v>
      </c>
      <c r="E38" s="6">
        <v>337</v>
      </c>
      <c r="F38" s="6">
        <v>4</v>
      </c>
      <c r="G38" s="6">
        <v>1</v>
      </c>
      <c r="H38" s="6">
        <v>81421</v>
      </c>
      <c r="I38" s="6" t="s">
        <v>17</v>
      </c>
      <c r="J38" s="6">
        <v>56043600</v>
      </c>
      <c r="K38" s="6" t="s">
        <v>291</v>
      </c>
      <c r="L38" s="6" t="s">
        <v>292</v>
      </c>
      <c r="M38" s="8">
        <v>89900</v>
      </c>
      <c r="N38" s="35">
        <v>0.9</v>
      </c>
      <c r="O38" s="34">
        <f t="shared" si="0"/>
        <v>8990</v>
      </c>
      <c r="P38" s="6" t="s">
        <v>16</v>
      </c>
    </row>
    <row r="39" spans="1:16" x14ac:dyDescent="0.35">
      <c r="A39" s="32" t="s">
        <v>6513</v>
      </c>
      <c r="B39" s="7">
        <f t="shared" si="1"/>
        <v>46121</v>
      </c>
      <c r="C39" s="7">
        <f t="shared" si="2"/>
        <v>46127</v>
      </c>
      <c r="D39" s="6">
        <v>3281</v>
      </c>
      <c r="E39" s="6">
        <v>337</v>
      </c>
      <c r="F39" s="6">
        <v>4</v>
      </c>
      <c r="G39" s="6">
        <v>1</v>
      </c>
      <c r="H39" s="6">
        <v>81421</v>
      </c>
      <c r="I39" s="6" t="s">
        <v>17</v>
      </c>
      <c r="J39" s="6">
        <v>56043628</v>
      </c>
      <c r="K39" s="6" t="s">
        <v>291</v>
      </c>
      <c r="L39" s="6" t="s">
        <v>293</v>
      </c>
      <c r="M39" s="8">
        <v>89900</v>
      </c>
      <c r="N39" s="35">
        <v>0.9</v>
      </c>
      <c r="O39" s="34">
        <f t="shared" si="0"/>
        <v>8990</v>
      </c>
      <c r="P39" s="6" t="s">
        <v>16</v>
      </c>
    </row>
    <row r="40" spans="1:16" x14ac:dyDescent="0.35">
      <c r="A40" s="32" t="s">
        <v>6513</v>
      </c>
      <c r="B40" s="7">
        <f t="shared" si="1"/>
        <v>46121</v>
      </c>
      <c r="C40" s="7">
        <f t="shared" si="2"/>
        <v>46127</v>
      </c>
      <c r="D40" s="6">
        <v>3281</v>
      </c>
      <c r="E40" s="6">
        <v>337</v>
      </c>
      <c r="F40" s="6">
        <v>4</v>
      </c>
      <c r="G40" s="6">
        <v>1</v>
      </c>
      <c r="H40" s="6">
        <v>81421</v>
      </c>
      <c r="I40" s="6" t="s">
        <v>17</v>
      </c>
      <c r="J40" s="6">
        <v>65902870</v>
      </c>
      <c r="K40" s="6" t="s">
        <v>324</v>
      </c>
      <c r="L40" s="6" t="s">
        <v>325</v>
      </c>
      <c r="M40" s="8">
        <v>99900</v>
      </c>
      <c r="N40" s="35">
        <v>0.9</v>
      </c>
      <c r="O40" s="34">
        <f t="shared" si="0"/>
        <v>9990</v>
      </c>
      <c r="P40" s="6" t="s">
        <v>16</v>
      </c>
    </row>
    <row r="41" spans="1:16" x14ac:dyDescent="0.35">
      <c r="A41" s="32" t="s">
        <v>6513</v>
      </c>
      <c r="B41" s="7">
        <f t="shared" si="1"/>
        <v>46121</v>
      </c>
      <c r="C41" s="7">
        <f t="shared" si="2"/>
        <v>46127</v>
      </c>
      <c r="D41" s="6">
        <v>3281</v>
      </c>
      <c r="E41" s="6">
        <v>337</v>
      </c>
      <c r="F41" s="6">
        <v>4</v>
      </c>
      <c r="G41" s="6">
        <v>1</v>
      </c>
      <c r="H41" s="6">
        <v>81421</v>
      </c>
      <c r="I41" s="6" t="s">
        <v>17</v>
      </c>
      <c r="J41" s="6">
        <v>67564885</v>
      </c>
      <c r="K41" s="6" t="s">
        <v>426</v>
      </c>
      <c r="L41" s="6" t="s">
        <v>427</v>
      </c>
      <c r="M41" s="8">
        <v>149900</v>
      </c>
      <c r="N41" s="35">
        <v>0.9</v>
      </c>
      <c r="O41" s="34">
        <f t="shared" si="0"/>
        <v>14990</v>
      </c>
      <c r="P41" s="6" t="s">
        <v>16</v>
      </c>
    </row>
    <row r="42" spans="1:16" x14ac:dyDescent="0.35">
      <c r="A42" s="32" t="s">
        <v>6513</v>
      </c>
      <c r="B42" s="7">
        <f t="shared" si="1"/>
        <v>46121</v>
      </c>
      <c r="C42" s="7">
        <f t="shared" si="2"/>
        <v>46127</v>
      </c>
      <c r="D42" s="6">
        <v>3281</v>
      </c>
      <c r="E42" s="6">
        <v>337</v>
      </c>
      <c r="F42" s="6">
        <v>4</v>
      </c>
      <c r="G42" s="6">
        <v>1</v>
      </c>
      <c r="H42" s="6">
        <v>81421</v>
      </c>
      <c r="I42" s="6" t="s">
        <v>17</v>
      </c>
      <c r="J42" s="6">
        <v>67564894</v>
      </c>
      <c r="K42" s="6" t="s">
        <v>426</v>
      </c>
      <c r="L42" s="6" t="s">
        <v>428</v>
      </c>
      <c r="M42" s="8">
        <v>149900</v>
      </c>
      <c r="N42" s="35">
        <v>0.9</v>
      </c>
      <c r="O42" s="34">
        <f t="shared" si="0"/>
        <v>14990</v>
      </c>
      <c r="P42" s="6" t="s">
        <v>16</v>
      </c>
    </row>
    <row r="43" spans="1:16" x14ac:dyDescent="0.35">
      <c r="A43" s="32" t="s">
        <v>6513</v>
      </c>
      <c r="B43" s="7">
        <f t="shared" si="1"/>
        <v>46121</v>
      </c>
      <c r="C43" s="7">
        <f t="shared" si="2"/>
        <v>46127</v>
      </c>
      <c r="D43" s="6">
        <v>3281</v>
      </c>
      <c r="E43" s="6">
        <v>337</v>
      </c>
      <c r="F43" s="6">
        <v>4</v>
      </c>
      <c r="G43" s="6">
        <v>1</v>
      </c>
      <c r="H43" s="6">
        <v>81421</v>
      </c>
      <c r="I43" s="6" t="s">
        <v>17</v>
      </c>
      <c r="J43" s="6">
        <v>67564901</v>
      </c>
      <c r="K43" s="6" t="s">
        <v>426</v>
      </c>
      <c r="L43" s="6" t="s">
        <v>429</v>
      </c>
      <c r="M43" s="8">
        <v>149900</v>
      </c>
      <c r="N43" s="35">
        <v>0.9</v>
      </c>
      <c r="O43" s="34">
        <f t="shared" si="0"/>
        <v>14990</v>
      </c>
      <c r="P43" s="6" t="s">
        <v>16</v>
      </c>
    </row>
    <row r="44" spans="1:16" x14ac:dyDescent="0.35">
      <c r="A44" s="32" t="s">
        <v>6513</v>
      </c>
      <c r="B44" s="7">
        <f t="shared" si="1"/>
        <v>46121</v>
      </c>
      <c r="C44" s="7">
        <f t="shared" si="2"/>
        <v>46127</v>
      </c>
      <c r="D44" s="6">
        <v>3281</v>
      </c>
      <c r="E44" s="6">
        <v>337</v>
      </c>
      <c r="F44" s="6">
        <v>4</v>
      </c>
      <c r="G44" s="6">
        <v>1</v>
      </c>
      <c r="H44" s="6">
        <v>81421</v>
      </c>
      <c r="I44" s="6" t="s">
        <v>17</v>
      </c>
      <c r="J44" s="6">
        <v>67566294</v>
      </c>
      <c r="K44" s="6" t="s">
        <v>500</v>
      </c>
      <c r="L44" s="6" t="s">
        <v>501</v>
      </c>
      <c r="M44" s="8">
        <v>139900</v>
      </c>
      <c r="N44" s="35">
        <v>0.9</v>
      </c>
      <c r="O44" s="34">
        <f t="shared" si="0"/>
        <v>13990</v>
      </c>
      <c r="P44" s="6" t="s">
        <v>16</v>
      </c>
    </row>
    <row r="45" spans="1:16" x14ac:dyDescent="0.35">
      <c r="A45" s="32" t="s">
        <v>6513</v>
      </c>
      <c r="B45" s="7">
        <f t="shared" si="1"/>
        <v>46121</v>
      </c>
      <c r="C45" s="7">
        <f t="shared" si="2"/>
        <v>46127</v>
      </c>
      <c r="D45" s="6">
        <v>3281</v>
      </c>
      <c r="E45" s="6">
        <v>337</v>
      </c>
      <c r="F45" s="6">
        <v>4</v>
      </c>
      <c r="G45" s="6">
        <v>1</v>
      </c>
      <c r="H45" s="6">
        <v>81421</v>
      </c>
      <c r="I45" s="6" t="s">
        <v>17</v>
      </c>
      <c r="J45" s="6">
        <v>67590347</v>
      </c>
      <c r="K45" s="6" t="s">
        <v>606</v>
      </c>
      <c r="L45" s="6" t="s">
        <v>607</v>
      </c>
      <c r="M45" s="8">
        <v>149900</v>
      </c>
      <c r="N45" s="35">
        <v>0.9</v>
      </c>
      <c r="O45" s="34">
        <f t="shared" si="0"/>
        <v>14990</v>
      </c>
      <c r="P45" s="6" t="s">
        <v>16</v>
      </c>
    </row>
    <row r="46" spans="1:16" x14ac:dyDescent="0.35">
      <c r="A46" s="32" t="s">
        <v>6513</v>
      </c>
      <c r="B46" s="7">
        <f t="shared" si="1"/>
        <v>46121</v>
      </c>
      <c r="C46" s="7">
        <f t="shared" si="2"/>
        <v>46127</v>
      </c>
      <c r="D46" s="6">
        <v>3281</v>
      </c>
      <c r="E46" s="6">
        <v>337</v>
      </c>
      <c r="F46" s="6">
        <v>4</v>
      </c>
      <c r="G46" s="6">
        <v>1</v>
      </c>
      <c r="H46" s="6">
        <v>81421</v>
      </c>
      <c r="I46" s="6" t="s">
        <v>17</v>
      </c>
      <c r="J46" s="6">
        <v>67590356</v>
      </c>
      <c r="K46" s="6" t="s">
        <v>606</v>
      </c>
      <c r="L46" s="6" t="s">
        <v>608</v>
      </c>
      <c r="M46" s="8">
        <v>149900</v>
      </c>
      <c r="N46" s="35">
        <v>0.9</v>
      </c>
      <c r="O46" s="34">
        <f t="shared" si="0"/>
        <v>14990</v>
      </c>
      <c r="P46" s="6" t="s">
        <v>16</v>
      </c>
    </row>
    <row r="47" spans="1:16" x14ac:dyDescent="0.35">
      <c r="A47" s="32" t="s">
        <v>6513</v>
      </c>
      <c r="B47" s="7">
        <f t="shared" si="1"/>
        <v>46121</v>
      </c>
      <c r="C47" s="7">
        <f t="shared" si="2"/>
        <v>46127</v>
      </c>
      <c r="D47" s="6">
        <v>3281</v>
      </c>
      <c r="E47" s="6">
        <v>337</v>
      </c>
      <c r="F47" s="6">
        <v>4</v>
      </c>
      <c r="G47" s="6">
        <v>1</v>
      </c>
      <c r="H47" s="6">
        <v>81421</v>
      </c>
      <c r="I47" s="6" t="s">
        <v>17</v>
      </c>
      <c r="J47" s="6">
        <v>67590365</v>
      </c>
      <c r="K47" s="6" t="s">
        <v>606</v>
      </c>
      <c r="L47" s="6" t="s">
        <v>609</v>
      </c>
      <c r="M47" s="8">
        <v>149900</v>
      </c>
      <c r="N47" s="35">
        <v>0.9</v>
      </c>
      <c r="O47" s="34">
        <f t="shared" si="0"/>
        <v>14990</v>
      </c>
      <c r="P47" s="6" t="s">
        <v>16</v>
      </c>
    </row>
    <row r="48" spans="1:16" x14ac:dyDescent="0.35">
      <c r="A48" s="32" t="s">
        <v>6513</v>
      </c>
      <c r="B48" s="7">
        <f t="shared" si="1"/>
        <v>46121</v>
      </c>
      <c r="C48" s="7">
        <f t="shared" si="2"/>
        <v>46127</v>
      </c>
      <c r="D48" s="6">
        <v>3281</v>
      </c>
      <c r="E48" s="6">
        <v>337</v>
      </c>
      <c r="F48" s="6">
        <v>4</v>
      </c>
      <c r="G48" s="6">
        <v>1</v>
      </c>
      <c r="H48" s="6">
        <v>81421</v>
      </c>
      <c r="I48" s="6" t="s">
        <v>17</v>
      </c>
      <c r="J48" s="6">
        <v>73502822</v>
      </c>
      <c r="K48" s="6" t="s">
        <v>544</v>
      </c>
      <c r="L48" s="6" t="s">
        <v>545</v>
      </c>
      <c r="M48" s="8">
        <v>139900</v>
      </c>
      <c r="N48" s="35">
        <v>0.9</v>
      </c>
      <c r="O48" s="34">
        <f t="shared" si="0"/>
        <v>13990</v>
      </c>
      <c r="P48" s="6" t="s">
        <v>16</v>
      </c>
    </row>
    <row r="49" spans="1:16" x14ac:dyDescent="0.35">
      <c r="A49" s="32" t="s">
        <v>6513</v>
      </c>
      <c r="B49" s="7">
        <f t="shared" si="1"/>
        <v>46121</v>
      </c>
      <c r="C49" s="7">
        <f t="shared" si="2"/>
        <v>46127</v>
      </c>
      <c r="D49" s="6">
        <v>3281</v>
      </c>
      <c r="E49" s="6">
        <v>337</v>
      </c>
      <c r="F49" s="6">
        <v>4</v>
      </c>
      <c r="G49" s="6">
        <v>1</v>
      </c>
      <c r="H49" s="6">
        <v>81421</v>
      </c>
      <c r="I49" s="6" t="s">
        <v>17</v>
      </c>
      <c r="J49" s="6">
        <v>75737281</v>
      </c>
      <c r="K49" s="6" t="s">
        <v>639</v>
      </c>
      <c r="L49" s="6" t="s">
        <v>640</v>
      </c>
      <c r="M49" s="8">
        <v>159900</v>
      </c>
      <c r="N49" s="35">
        <v>0.9</v>
      </c>
      <c r="O49" s="34">
        <f t="shared" si="0"/>
        <v>15990</v>
      </c>
      <c r="P49" s="6" t="s">
        <v>16</v>
      </c>
    </row>
    <row r="50" spans="1:16" x14ac:dyDescent="0.35">
      <c r="A50" s="32" t="s">
        <v>6513</v>
      </c>
      <c r="B50" s="7">
        <f t="shared" si="1"/>
        <v>46121</v>
      </c>
      <c r="C50" s="7">
        <f t="shared" si="2"/>
        <v>46127</v>
      </c>
      <c r="D50" s="6">
        <v>3281</v>
      </c>
      <c r="E50" s="6">
        <v>337</v>
      </c>
      <c r="F50" s="6">
        <v>4</v>
      </c>
      <c r="G50" s="6">
        <v>1</v>
      </c>
      <c r="H50" s="6">
        <v>81421</v>
      </c>
      <c r="I50" s="6" t="s">
        <v>17</v>
      </c>
      <c r="J50" s="6">
        <v>75737290</v>
      </c>
      <c r="K50" s="6" t="s">
        <v>639</v>
      </c>
      <c r="L50" s="6" t="s">
        <v>641</v>
      </c>
      <c r="M50" s="8">
        <v>159900</v>
      </c>
      <c r="N50" s="35">
        <v>0.9</v>
      </c>
      <c r="O50" s="34">
        <f t="shared" si="0"/>
        <v>15990</v>
      </c>
      <c r="P50" s="6" t="s">
        <v>16</v>
      </c>
    </row>
    <row r="51" spans="1:16" x14ac:dyDescent="0.35">
      <c r="A51" s="32" t="s">
        <v>6513</v>
      </c>
      <c r="B51" s="7">
        <f t="shared" si="1"/>
        <v>46121</v>
      </c>
      <c r="C51" s="7">
        <f t="shared" si="2"/>
        <v>46127</v>
      </c>
      <c r="D51" s="6">
        <v>3281</v>
      </c>
      <c r="E51" s="6">
        <v>337</v>
      </c>
      <c r="F51" s="6">
        <v>4</v>
      </c>
      <c r="G51" s="6">
        <v>1</v>
      </c>
      <c r="H51" s="6">
        <v>81421</v>
      </c>
      <c r="I51" s="6" t="s">
        <v>17</v>
      </c>
      <c r="J51" s="6">
        <v>75738959</v>
      </c>
      <c r="K51" s="6" t="s">
        <v>666</v>
      </c>
      <c r="L51" s="6" t="s">
        <v>667</v>
      </c>
      <c r="M51" s="8">
        <v>159900</v>
      </c>
      <c r="N51" s="35">
        <v>0.9</v>
      </c>
      <c r="O51" s="34">
        <f t="shared" si="0"/>
        <v>15990</v>
      </c>
      <c r="P51" s="6" t="s">
        <v>16</v>
      </c>
    </row>
    <row r="52" spans="1:16" x14ac:dyDescent="0.35">
      <c r="A52" s="32" t="s">
        <v>6513</v>
      </c>
      <c r="B52" s="7">
        <f t="shared" si="1"/>
        <v>46121</v>
      </c>
      <c r="C52" s="7">
        <f t="shared" si="2"/>
        <v>46127</v>
      </c>
      <c r="D52" s="6">
        <v>3281</v>
      </c>
      <c r="E52" s="6">
        <v>337</v>
      </c>
      <c r="F52" s="6">
        <v>4</v>
      </c>
      <c r="G52" s="6">
        <v>1</v>
      </c>
      <c r="H52" s="6">
        <v>81421</v>
      </c>
      <c r="I52" s="6" t="s">
        <v>17</v>
      </c>
      <c r="J52" s="6">
        <v>33557036</v>
      </c>
      <c r="K52" s="6" t="s">
        <v>542</v>
      </c>
      <c r="L52" s="6" t="s">
        <v>543</v>
      </c>
      <c r="M52" s="8">
        <v>139900</v>
      </c>
      <c r="N52" s="35">
        <v>0.9</v>
      </c>
      <c r="O52" s="34">
        <f t="shared" si="0"/>
        <v>13990</v>
      </c>
      <c r="P52" s="6" t="s">
        <v>16</v>
      </c>
    </row>
    <row r="53" spans="1:16" x14ac:dyDescent="0.35">
      <c r="A53" s="32" t="s">
        <v>6513</v>
      </c>
      <c r="B53" s="7">
        <f t="shared" si="1"/>
        <v>46121</v>
      </c>
      <c r="C53" s="7">
        <f t="shared" si="2"/>
        <v>46127</v>
      </c>
      <c r="D53" s="6">
        <v>3281</v>
      </c>
      <c r="E53" s="6">
        <v>337</v>
      </c>
      <c r="F53" s="6">
        <v>4</v>
      </c>
      <c r="G53" s="6">
        <v>1</v>
      </c>
      <c r="H53" s="6">
        <v>81421</v>
      </c>
      <c r="I53" s="6" t="s">
        <v>17</v>
      </c>
      <c r="J53" s="6">
        <v>66848268</v>
      </c>
      <c r="K53" s="6" t="s">
        <v>326</v>
      </c>
      <c r="L53" s="6" t="s">
        <v>327</v>
      </c>
      <c r="M53" s="8">
        <v>99900</v>
      </c>
      <c r="N53" s="35">
        <v>0.9</v>
      </c>
      <c r="O53" s="34">
        <f t="shared" si="0"/>
        <v>9990</v>
      </c>
      <c r="P53" s="6" t="s">
        <v>16</v>
      </c>
    </row>
    <row r="54" spans="1:16" x14ac:dyDescent="0.35">
      <c r="A54" s="32" t="s">
        <v>6513</v>
      </c>
      <c r="B54" s="7">
        <f t="shared" si="1"/>
        <v>46121</v>
      </c>
      <c r="C54" s="7">
        <f t="shared" si="2"/>
        <v>46127</v>
      </c>
      <c r="D54" s="6">
        <v>3281</v>
      </c>
      <c r="E54" s="6">
        <v>337</v>
      </c>
      <c r="F54" s="6">
        <v>4</v>
      </c>
      <c r="G54" s="6">
        <v>1</v>
      </c>
      <c r="H54" s="6">
        <v>81421</v>
      </c>
      <c r="I54" s="6" t="s">
        <v>17</v>
      </c>
      <c r="J54" s="6">
        <v>66848286</v>
      </c>
      <c r="K54" s="6" t="s">
        <v>326</v>
      </c>
      <c r="L54" s="6" t="s">
        <v>328</v>
      </c>
      <c r="M54" s="8">
        <v>99900</v>
      </c>
      <c r="N54" s="35">
        <v>0.9</v>
      </c>
      <c r="O54" s="34">
        <f t="shared" si="0"/>
        <v>9990</v>
      </c>
      <c r="P54" s="6" t="s">
        <v>16</v>
      </c>
    </row>
    <row r="55" spans="1:16" x14ac:dyDescent="0.35">
      <c r="A55" s="32" t="s">
        <v>6513</v>
      </c>
      <c r="B55" s="7">
        <f t="shared" si="1"/>
        <v>46121</v>
      </c>
      <c r="C55" s="7">
        <f t="shared" si="2"/>
        <v>46127</v>
      </c>
      <c r="D55" s="6">
        <v>3281</v>
      </c>
      <c r="E55" s="6">
        <v>337</v>
      </c>
      <c r="F55" s="6">
        <v>4</v>
      </c>
      <c r="G55" s="6">
        <v>1</v>
      </c>
      <c r="H55" s="6">
        <v>81421</v>
      </c>
      <c r="I55" s="6" t="s">
        <v>17</v>
      </c>
      <c r="J55" s="6">
        <v>66848295</v>
      </c>
      <c r="K55" s="6" t="s">
        <v>326</v>
      </c>
      <c r="L55" s="6" t="s">
        <v>329</v>
      </c>
      <c r="M55" s="8">
        <v>99900</v>
      </c>
      <c r="N55" s="35">
        <v>0.9</v>
      </c>
      <c r="O55" s="34">
        <f t="shared" si="0"/>
        <v>9990</v>
      </c>
      <c r="P55" s="6" t="s">
        <v>16</v>
      </c>
    </row>
    <row r="56" spans="1:16" x14ac:dyDescent="0.35">
      <c r="A56" s="32" t="s">
        <v>6513</v>
      </c>
      <c r="B56" s="7">
        <f t="shared" si="1"/>
        <v>46121</v>
      </c>
      <c r="C56" s="7">
        <f t="shared" si="2"/>
        <v>46127</v>
      </c>
      <c r="D56" s="6">
        <v>3281</v>
      </c>
      <c r="E56" s="6">
        <v>337</v>
      </c>
      <c r="F56" s="6">
        <v>4</v>
      </c>
      <c r="G56" s="6">
        <v>1</v>
      </c>
      <c r="H56" s="6">
        <v>81421</v>
      </c>
      <c r="I56" s="6" t="s">
        <v>17</v>
      </c>
      <c r="J56" s="6">
        <v>66848302</v>
      </c>
      <c r="K56" s="6" t="s">
        <v>330</v>
      </c>
      <c r="L56" s="6" t="s">
        <v>331</v>
      </c>
      <c r="M56" s="8">
        <v>99900</v>
      </c>
      <c r="N56" s="35">
        <v>0.9</v>
      </c>
      <c r="O56" s="34">
        <f t="shared" si="0"/>
        <v>9990</v>
      </c>
      <c r="P56" s="6" t="s">
        <v>16</v>
      </c>
    </row>
    <row r="57" spans="1:16" x14ac:dyDescent="0.35">
      <c r="A57" s="32" t="s">
        <v>6513</v>
      </c>
      <c r="B57" s="7">
        <f t="shared" si="1"/>
        <v>46121</v>
      </c>
      <c r="C57" s="7">
        <f t="shared" si="2"/>
        <v>46127</v>
      </c>
      <c r="D57" s="6">
        <v>3281</v>
      </c>
      <c r="E57" s="6">
        <v>337</v>
      </c>
      <c r="F57" s="6">
        <v>4</v>
      </c>
      <c r="G57" s="6">
        <v>1</v>
      </c>
      <c r="H57" s="6">
        <v>81421</v>
      </c>
      <c r="I57" s="6" t="s">
        <v>17</v>
      </c>
      <c r="J57" s="6">
        <v>66848311</v>
      </c>
      <c r="K57" s="6" t="s">
        <v>330</v>
      </c>
      <c r="L57" s="6" t="s">
        <v>418</v>
      </c>
      <c r="M57" s="8">
        <v>99900</v>
      </c>
      <c r="N57" s="35">
        <v>0.9</v>
      </c>
      <c r="O57" s="34">
        <f t="shared" si="0"/>
        <v>9990</v>
      </c>
      <c r="P57" s="6" t="s">
        <v>16</v>
      </c>
    </row>
    <row r="58" spans="1:16" x14ac:dyDescent="0.35">
      <c r="A58" s="32" t="s">
        <v>6513</v>
      </c>
      <c r="B58" s="7">
        <f t="shared" si="1"/>
        <v>46121</v>
      </c>
      <c r="C58" s="7">
        <f t="shared" si="2"/>
        <v>46127</v>
      </c>
      <c r="D58" s="6">
        <v>3281</v>
      </c>
      <c r="E58" s="6">
        <v>337</v>
      </c>
      <c r="F58" s="6">
        <v>4</v>
      </c>
      <c r="G58" s="6">
        <v>1</v>
      </c>
      <c r="H58" s="6">
        <v>81421</v>
      </c>
      <c r="I58" s="6" t="s">
        <v>17</v>
      </c>
      <c r="J58" s="6">
        <v>66848320</v>
      </c>
      <c r="K58" s="6" t="s">
        <v>330</v>
      </c>
      <c r="L58" s="6" t="s">
        <v>332</v>
      </c>
      <c r="M58" s="8">
        <v>99900</v>
      </c>
      <c r="N58" s="35">
        <v>0.9</v>
      </c>
      <c r="O58" s="34">
        <f t="shared" si="0"/>
        <v>9990</v>
      </c>
      <c r="P58" s="6" t="s">
        <v>16</v>
      </c>
    </row>
    <row r="59" spans="1:16" x14ac:dyDescent="0.35">
      <c r="A59" s="32" t="s">
        <v>6513</v>
      </c>
      <c r="B59" s="7">
        <f t="shared" si="1"/>
        <v>46121</v>
      </c>
      <c r="C59" s="7">
        <f t="shared" si="2"/>
        <v>46127</v>
      </c>
      <c r="D59" s="6">
        <v>3281</v>
      </c>
      <c r="E59" s="6">
        <v>337</v>
      </c>
      <c r="F59" s="6">
        <v>4</v>
      </c>
      <c r="G59" s="6">
        <v>1</v>
      </c>
      <c r="H59" s="6">
        <v>81421</v>
      </c>
      <c r="I59" s="6" t="s">
        <v>17</v>
      </c>
      <c r="J59" s="6">
        <v>66848339</v>
      </c>
      <c r="K59" s="6" t="s">
        <v>330</v>
      </c>
      <c r="L59" s="6" t="s">
        <v>333</v>
      </c>
      <c r="M59" s="8">
        <v>99900</v>
      </c>
      <c r="N59" s="35">
        <v>0.9</v>
      </c>
      <c r="O59" s="34">
        <f t="shared" si="0"/>
        <v>9990</v>
      </c>
      <c r="P59" s="6" t="s">
        <v>16</v>
      </c>
    </row>
    <row r="60" spans="1:16" x14ac:dyDescent="0.35">
      <c r="A60" s="32" t="s">
        <v>6513</v>
      </c>
      <c r="B60" s="7">
        <f t="shared" si="1"/>
        <v>46121</v>
      </c>
      <c r="C60" s="7">
        <f t="shared" si="2"/>
        <v>46127</v>
      </c>
      <c r="D60" s="6">
        <v>3281</v>
      </c>
      <c r="E60" s="6">
        <v>337</v>
      </c>
      <c r="F60" s="6">
        <v>4</v>
      </c>
      <c r="G60" s="6">
        <v>1</v>
      </c>
      <c r="H60" s="6">
        <v>190</v>
      </c>
      <c r="I60" s="6" t="s">
        <v>17</v>
      </c>
      <c r="J60" s="6">
        <v>65325244</v>
      </c>
      <c r="K60" s="6" t="s">
        <v>443</v>
      </c>
      <c r="L60" s="6" t="s">
        <v>444</v>
      </c>
      <c r="M60" s="8">
        <v>159900</v>
      </c>
      <c r="N60" s="35">
        <v>0.9</v>
      </c>
      <c r="O60" s="34">
        <f t="shared" si="0"/>
        <v>15990</v>
      </c>
      <c r="P60" s="6" t="s">
        <v>16</v>
      </c>
    </row>
    <row r="61" spans="1:16" x14ac:dyDescent="0.35">
      <c r="A61" s="32" t="s">
        <v>6513</v>
      </c>
      <c r="B61" s="7">
        <f t="shared" si="1"/>
        <v>46121</v>
      </c>
      <c r="C61" s="7">
        <f t="shared" si="2"/>
        <v>46127</v>
      </c>
      <c r="D61" s="6">
        <v>3281</v>
      </c>
      <c r="E61" s="6">
        <v>337</v>
      </c>
      <c r="F61" s="6">
        <v>4</v>
      </c>
      <c r="G61" s="6">
        <v>1</v>
      </c>
      <c r="H61" s="6">
        <v>190</v>
      </c>
      <c r="I61" s="6" t="s">
        <v>17</v>
      </c>
      <c r="J61" s="6">
        <v>65325253</v>
      </c>
      <c r="K61" s="6" t="s">
        <v>443</v>
      </c>
      <c r="L61" s="6" t="s">
        <v>445</v>
      </c>
      <c r="M61" s="8">
        <v>159900</v>
      </c>
      <c r="N61" s="35">
        <v>0.9</v>
      </c>
      <c r="O61" s="34">
        <f t="shared" si="0"/>
        <v>15990</v>
      </c>
      <c r="P61" s="6" t="s">
        <v>16</v>
      </c>
    </row>
    <row r="62" spans="1:16" x14ac:dyDescent="0.35">
      <c r="A62" s="32" t="s">
        <v>6513</v>
      </c>
      <c r="B62" s="7">
        <f t="shared" si="1"/>
        <v>46121</v>
      </c>
      <c r="C62" s="7">
        <f t="shared" si="2"/>
        <v>46127</v>
      </c>
      <c r="D62" s="6">
        <v>3281</v>
      </c>
      <c r="E62" s="6">
        <v>337</v>
      </c>
      <c r="F62" s="6">
        <v>4</v>
      </c>
      <c r="G62" s="6">
        <v>1</v>
      </c>
      <c r="H62" s="6">
        <v>190</v>
      </c>
      <c r="I62" s="6" t="s">
        <v>17</v>
      </c>
      <c r="J62" s="6">
        <v>65325262</v>
      </c>
      <c r="K62" s="6" t="s">
        <v>443</v>
      </c>
      <c r="L62" s="6" t="s">
        <v>446</v>
      </c>
      <c r="M62" s="8">
        <v>159900</v>
      </c>
      <c r="N62" s="35">
        <v>0.9</v>
      </c>
      <c r="O62" s="34">
        <f t="shared" si="0"/>
        <v>15990</v>
      </c>
      <c r="P62" s="6" t="s">
        <v>16</v>
      </c>
    </row>
    <row r="63" spans="1:16" x14ac:dyDescent="0.35">
      <c r="A63" s="32" t="s">
        <v>6513</v>
      </c>
      <c r="B63" s="7">
        <f t="shared" si="1"/>
        <v>46121</v>
      </c>
      <c r="C63" s="7">
        <f t="shared" si="2"/>
        <v>46127</v>
      </c>
      <c r="D63" s="6">
        <v>3281</v>
      </c>
      <c r="E63" s="6">
        <v>337</v>
      </c>
      <c r="F63" s="6">
        <v>4</v>
      </c>
      <c r="G63" s="6">
        <v>1</v>
      </c>
      <c r="H63" s="6">
        <v>190</v>
      </c>
      <c r="I63" s="6" t="s">
        <v>17</v>
      </c>
      <c r="J63" s="6">
        <v>65325271</v>
      </c>
      <c r="K63" s="6" t="s">
        <v>443</v>
      </c>
      <c r="L63" s="6" t="s">
        <v>447</v>
      </c>
      <c r="M63" s="8">
        <v>159900</v>
      </c>
      <c r="N63" s="35">
        <v>0.9</v>
      </c>
      <c r="O63" s="34">
        <f t="shared" si="0"/>
        <v>15990</v>
      </c>
      <c r="P63" s="6" t="s">
        <v>16</v>
      </c>
    </row>
    <row r="64" spans="1:16" x14ac:dyDescent="0.35">
      <c r="A64" s="32" t="s">
        <v>6513</v>
      </c>
      <c r="B64" s="7">
        <f t="shared" si="1"/>
        <v>46121</v>
      </c>
      <c r="C64" s="7">
        <f t="shared" si="2"/>
        <v>46127</v>
      </c>
      <c r="D64" s="6">
        <v>3281</v>
      </c>
      <c r="E64" s="6">
        <v>337</v>
      </c>
      <c r="F64" s="6">
        <v>4</v>
      </c>
      <c r="G64" s="6">
        <v>1</v>
      </c>
      <c r="H64" s="6">
        <v>190</v>
      </c>
      <c r="I64" s="6" t="s">
        <v>17</v>
      </c>
      <c r="J64" s="6">
        <v>67150983</v>
      </c>
      <c r="K64" s="6" t="s">
        <v>421</v>
      </c>
      <c r="L64" s="6" t="s">
        <v>422</v>
      </c>
      <c r="M64" s="8">
        <v>149900</v>
      </c>
      <c r="N64" s="35">
        <v>0.9</v>
      </c>
      <c r="O64" s="34">
        <f t="shared" si="0"/>
        <v>14990</v>
      </c>
      <c r="P64" s="6" t="s">
        <v>16</v>
      </c>
    </row>
    <row r="65" spans="1:16" x14ac:dyDescent="0.35">
      <c r="A65" s="32" t="s">
        <v>6513</v>
      </c>
      <c r="B65" s="7">
        <f t="shared" si="1"/>
        <v>46121</v>
      </c>
      <c r="C65" s="7">
        <f t="shared" si="2"/>
        <v>46127</v>
      </c>
      <c r="D65" s="6">
        <v>3281</v>
      </c>
      <c r="E65" s="6">
        <v>337</v>
      </c>
      <c r="F65" s="6">
        <v>4</v>
      </c>
      <c r="G65" s="6">
        <v>1</v>
      </c>
      <c r="H65" s="6">
        <v>190</v>
      </c>
      <c r="I65" s="6" t="s">
        <v>17</v>
      </c>
      <c r="J65" s="6">
        <v>67150992</v>
      </c>
      <c r="K65" s="6" t="s">
        <v>421</v>
      </c>
      <c r="L65" s="6" t="s">
        <v>423</v>
      </c>
      <c r="M65" s="8">
        <v>149900</v>
      </c>
      <c r="N65" s="35">
        <v>0.9</v>
      </c>
      <c r="O65" s="34">
        <f t="shared" si="0"/>
        <v>14990</v>
      </c>
      <c r="P65" s="6" t="s">
        <v>16</v>
      </c>
    </row>
    <row r="66" spans="1:16" x14ac:dyDescent="0.35">
      <c r="A66" s="32" t="s">
        <v>6513</v>
      </c>
      <c r="B66" s="7">
        <f t="shared" si="1"/>
        <v>46121</v>
      </c>
      <c r="C66" s="7">
        <f t="shared" si="2"/>
        <v>46127</v>
      </c>
      <c r="D66" s="6">
        <v>3281</v>
      </c>
      <c r="E66" s="6">
        <v>337</v>
      </c>
      <c r="F66" s="6">
        <v>4</v>
      </c>
      <c r="G66" s="6">
        <v>1</v>
      </c>
      <c r="H66" s="6">
        <v>190</v>
      </c>
      <c r="I66" s="6" t="s">
        <v>17</v>
      </c>
      <c r="J66" s="6">
        <v>67151008</v>
      </c>
      <c r="K66" s="6" t="s">
        <v>421</v>
      </c>
      <c r="L66" s="6" t="s">
        <v>424</v>
      </c>
      <c r="M66" s="8">
        <v>149900</v>
      </c>
      <c r="N66" s="35">
        <v>0.9</v>
      </c>
      <c r="O66" s="34">
        <f t="shared" si="0"/>
        <v>14990</v>
      </c>
      <c r="P66" s="6" t="s">
        <v>16</v>
      </c>
    </row>
    <row r="67" spans="1:16" x14ac:dyDescent="0.35">
      <c r="A67" s="32" t="s">
        <v>6513</v>
      </c>
      <c r="B67" s="7">
        <f t="shared" si="1"/>
        <v>46121</v>
      </c>
      <c r="C67" s="7">
        <f t="shared" si="2"/>
        <v>46127</v>
      </c>
      <c r="D67" s="6">
        <v>3281</v>
      </c>
      <c r="E67" s="6">
        <v>337</v>
      </c>
      <c r="F67" s="6">
        <v>4</v>
      </c>
      <c r="G67" s="6">
        <v>1</v>
      </c>
      <c r="H67" s="6">
        <v>190</v>
      </c>
      <c r="I67" s="6" t="s">
        <v>17</v>
      </c>
      <c r="J67" s="6">
        <v>67151017</v>
      </c>
      <c r="K67" s="6" t="s">
        <v>421</v>
      </c>
      <c r="L67" s="6" t="s">
        <v>425</v>
      </c>
      <c r="M67" s="8">
        <v>149900</v>
      </c>
      <c r="N67" s="35">
        <v>0.9</v>
      </c>
      <c r="O67" s="34">
        <f t="shared" ref="O67:O130" si="3">M67-((90*M67)/100)</f>
        <v>14990</v>
      </c>
      <c r="P67" s="6" t="s">
        <v>16</v>
      </c>
    </row>
    <row r="68" spans="1:16" x14ac:dyDescent="0.35">
      <c r="A68" s="32" t="s">
        <v>6513</v>
      </c>
      <c r="B68" s="7">
        <f t="shared" ref="B68:B131" si="4">B67</f>
        <v>46121</v>
      </c>
      <c r="C68" s="7">
        <f t="shared" ref="C68:C131" si="5">C67</f>
        <v>46127</v>
      </c>
      <c r="D68" s="6">
        <v>3281</v>
      </c>
      <c r="E68" s="6">
        <v>337</v>
      </c>
      <c r="F68" s="6">
        <v>4</v>
      </c>
      <c r="G68" s="6">
        <v>1</v>
      </c>
      <c r="H68" s="6">
        <v>80920</v>
      </c>
      <c r="I68" s="6" t="s">
        <v>17</v>
      </c>
      <c r="J68" s="6">
        <v>73502840</v>
      </c>
      <c r="K68" s="6" t="s">
        <v>546</v>
      </c>
      <c r="L68" s="6" t="s">
        <v>547</v>
      </c>
      <c r="M68" s="8">
        <v>149900</v>
      </c>
      <c r="N68" s="35">
        <v>0.9</v>
      </c>
      <c r="O68" s="34">
        <f t="shared" si="3"/>
        <v>14990</v>
      </c>
      <c r="P68" s="6" t="s">
        <v>16</v>
      </c>
    </row>
    <row r="69" spans="1:16" x14ac:dyDescent="0.35">
      <c r="A69" s="32" t="s">
        <v>6513</v>
      </c>
      <c r="B69" s="7">
        <f t="shared" si="4"/>
        <v>46121</v>
      </c>
      <c r="C69" s="7">
        <f t="shared" si="5"/>
        <v>46127</v>
      </c>
      <c r="D69" s="6">
        <v>3281</v>
      </c>
      <c r="E69" s="6">
        <v>337</v>
      </c>
      <c r="F69" s="6">
        <v>4</v>
      </c>
      <c r="G69" s="6">
        <v>1</v>
      </c>
      <c r="H69" s="6">
        <v>80920</v>
      </c>
      <c r="I69" s="6" t="s">
        <v>17</v>
      </c>
      <c r="J69" s="6">
        <v>73502859</v>
      </c>
      <c r="K69" s="6" t="s">
        <v>546</v>
      </c>
      <c r="L69" s="6" t="s">
        <v>554</v>
      </c>
      <c r="M69" s="8">
        <v>149900</v>
      </c>
      <c r="N69" s="35">
        <v>0.9</v>
      </c>
      <c r="O69" s="34">
        <f t="shared" si="3"/>
        <v>14990</v>
      </c>
      <c r="P69" s="6" t="s">
        <v>16</v>
      </c>
    </row>
    <row r="70" spans="1:16" x14ac:dyDescent="0.35">
      <c r="A70" s="32" t="s">
        <v>6513</v>
      </c>
      <c r="B70" s="7">
        <f t="shared" si="4"/>
        <v>46121</v>
      </c>
      <c r="C70" s="7">
        <f t="shared" si="5"/>
        <v>46127</v>
      </c>
      <c r="D70" s="6">
        <v>3281</v>
      </c>
      <c r="E70" s="6">
        <v>337</v>
      </c>
      <c r="F70" s="6">
        <v>4</v>
      </c>
      <c r="G70" s="6">
        <v>1</v>
      </c>
      <c r="H70" s="6">
        <v>80920</v>
      </c>
      <c r="I70" s="6" t="s">
        <v>17</v>
      </c>
      <c r="J70" s="6">
        <v>73502868</v>
      </c>
      <c r="K70" s="6" t="s">
        <v>546</v>
      </c>
      <c r="L70" s="6" t="s">
        <v>548</v>
      </c>
      <c r="M70" s="8">
        <v>149900</v>
      </c>
      <c r="N70" s="35">
        <v>0.9</v>
      </c>
      <c r="O70" s="34">
        <f t="shared" si="3"/>
        <v>14990</v>
      </c>
      <c r="P70" s="6" t="s">
        <v>16</v>
      </c>
    </row>
    <row r="71" spans="1:16" x14ac:dyDescent="0.35">
      <c r="A71" s="32" t="s">
        <v>6513</v>
      </c>
      <c r="B71" s="7">
        <f t="shared" si="4"/>
        <v>46121</v>
      </c>
      <c r="C71" s="7">
        <f t="shared" si="5"/>
        <v>46127</v>
      </c>
      <c r="D71" s="6">
        <v>3281</v>
      </c>
      <c r="E71" s="6">
        <v>337</v>
      </c>
      <c r="F71" s="6">
        <v>4</v>
      </c>
      <c r="G71" s="6">
        <v>1</v>
      </c>
      <c r="H71" s="6">
        <v>80920</v>
      </c>
      <c r="I71" s="6" t="s">
        <v>17</v>
      </c>
      <c r="J71" s="6">
        <v>73502877</v>
      </c>
      <c r="K71" s="6" t="s">
        <v>546</v>
      </c>
      <c r="L71" s="6" t="s">
        <v>549</v>
      </c>
      <c r="M71" s="8">
        <v>149900</v>
      </c>
      <c r="N71" s="35">
        <v>0.9</v>
      </c>
      <c r="O71" s="34">
        <f t="shared" si="3"/>
        <v>14990</v>
      </c>
      <c r="P71" s="6" t="s">
        <v>16</v>
      </c>
    </row>
    <row r="72" spans="1:16" x14ac:dyDescent="0.35">
      <c r="A72" s="32" t="s">
        <v>6513</v>
      </c>
      <c r="B72" s="7">
        <f t="shared" si="4"/>
        <v>46121</v>
      </c>
      <c r="C72" s="7">
        <f t="shared" si="5"/>
        <v>46127</v>
      </c>
      <c r="D72" s="6">
        <v>3281</v>
      </c>
      <c r="E72" s="6">
        <v>337</v>
      </c>
      <c r="F72" s="6">
        <v>4</v>
      </c>
      <c r="G72" s="6">
        <v>1</v>
      </c>
      <c r="H72" s="6">
        <v>80920</v>
      </c>
      <c r="I72" s="6" t="s">
        <v>17</v>
      </c>
      <c r="J72" s="6">
        <v>73503009</v>
      </c>
      <c r="K72" s="6" t="s">
        <v>550</v>
      </c>
      <c r="L72" s="6" t="s">
        <v>551</v>
      </c>
      <c r="M72" s="8">
        <v>139900</v>
      </c>
      <c r="N72" s="35">
        <v>0.9</v>
      </c>
      <c r="O72" s="34">
        <f t="shared" si="3"/>
        <v>13990</v>
      </c>
      <c r="P72" s="6" t="s">
        <v>16</v>
      </c>
    </row>
    <row r="73" spans="1:16" x14ac:dyDescent="0.35">
      <c r="A73" s="32" t="s">
        <v>6513</v>
      </c>
      <c r="B73" s="7">
        <f t="shared" si="4"/>
        <v>46121</v>
      </c>
      <c r="C73" s="7">
        <f t="shared" si="5"/>
        <v>46127</v>
      </c>
      <c r="D73" s="6">
        <v>3281</v>
      </c>
      <c r="E73" s="6">
        <v>337</v>
      </c>
      <c r="F73" s="6">
        <v>4</v>
      </c>
      <c r="G73" s="6">
        <v>1</v>
      </c>
      <c r="H73" s="6">
        <v>80920</v>
      </c>
      <c r="I73" s="6" t="s">
        <v>17</v>
      </c>
      <c r="J73" s="6">
        <v>73503018</v>
      </c>
      <c r="K73" s="6" t="s">
        <v>550</v>
      </c>
      <c r="L73" s="6" t="s">
        <v>555</v>
      </c>
      <c r="M73" s="8">
        <v>139900</v>
      </c>
      <c r="N73" s="35">
        <v>0.9</v>
      </c>
      <c r="O73" s="34">
        <f t="shared" si="3"/>
        <v>13990</v>
      </c>
      <c r="P73" s="6" t="s">
        <v>16</v>
      </c>
    </row>
    <row r="74" spans="1:16" x14ac:dyDescent="0.35">
      <c r="A74" s="32" t="s">
        <v>6513</v>
      </c>
      <c r="B74" s="7">
        <f t="shared" si="4"/>
        <v>46121</v>
      </c>
      <c r="C74" s="7">
        <f t="shared" si="5"/>
        <v>46127</v>
      </c>
      <c r="D74" s="6">
        <v>3281</v>
      </c>
      <c r="E74" s="6">
        <v>337</v>
      </c>
      <c r="F74" s="6">
        <v>4</v>
      </c>
      <c r="G74" s="6">
        <v>1</v>
      </c>
      <c r="H74" s="6">
        <v>80920</v>
      </c>
      <c r="I74" s="6" t="s">
        <v>17</v>
      </c>
      <c r="J74" s="6">
        <v>73503036</v>
      </c>
      <c r="K74" s="6" t="s">
        <v>550</v>
      </c>
      <c r="L74" s="6" t="s">
        <v>552</v>
      </c>
      <c r="M74" s="8">
        <v>139900</v>
      </c>
      <c r="N74" s="35">
        <v>0.9</v>
      </c>
      <c r="O74" s="34">
        <f t="shared" si="3"/>
        <v>13990</v>
      </c>
      <c r="P74" s="6" t="s">
        <v>16</v>
      </c>
    </row>
    <row r="75" spans="1:16" x14ac:dyDescent="0.35">
      <c r="A75" s="32" t="s">
        <v>6513</v>
      </c>
      <c r="B75" s="7">
        <f t="shared" si="4"/>
        <v>46121</v>
      </c>
      <c r="C75" s="7">
        <f t="shared" si="5"/>
        <v>46127</v>
      </c>
      <c r="D75" s="6">
        <v>3281</v>
      </c>
      <c r="E75" s="6">
        <v>337</v>
      </c>
      <c r="F75" s="6">
        <v>4</v>
      </c>
      <c r="G75" s="6">
        <v>1</v>
      </c>
      <c r="H75" s="6">
        <v>80920</v>
      </c>
      <c r="I75" s="6" t="s">
        <v>17</v>
      </c>
      <c r="J75" s="6">
        <v>65325048</v>
      </c>
      <c r="K75" s="6" t="s">
        <v>342</v>
      </c>
      <c r="L75" s="6" t="s">
        <v>343</v>
      </c>
      <c r="M75" s="8">
        <v>159900</v>
      </c>
      <c r="N75" s="35">
        <v>0.9</v>
      </c>
      <c r="O75" s="34">
        <f t="shared" si="3"/>
        <v>15990</v>
      </c>
      <c r="P75" s="6" t="s">
        <v>16</v>
      </c>
    </row>
    <row r="76" spans="1:16" x14ac:dyDescent="0.35">
      <c r="A76" s="32" t="s">
        <v>6513</v>
      </c>
      <c r="B76" s="7">
        <f t="shared" si="4"/>
        <v>46121</v>
      </c>
      <c r="C76" s="7">
        <f t="shared" si="5"/>
        <v>46127</v>
      </c>
      <c r="D76" s="6">
        <v>3281</v>
      </c>
      <c r="E76" s="6">
        <v>337</v>
      </c>
      <c r="F76" s="6">
        <v>4</v>
      </c>
      <c r="G76" s="6">
        <v>1</v>
      </c>
      <c r="H76" s="6">
        <v>80920</v>
      </c>
      <c r="I76" s="6" t="s">
        <v>17</v>
      </c>
      <c r="J76" s="6">
        <v>65325057</v>
      </c>
      <c r="K76" s="6" t="s">
        <v>342</v>
      </c>
      <c r="L76" s="6" t="s">
        <v>430</v>
      </c>
      <c r="M76" s="8">
        <v>159900</v>
      </c>
      <c r="N76" s="35">
        <v>0.9</v>
      </c>
      <c r="O76" s="34">
        <f t="shared" si="3"/>
        <v>15990</v>
      </c>
      <c r="P76" s="6" t="s">
        <v>16</v>
      </c>
    </row>
    <row r="77" spans="1:16" x14ac:dyDescent="0.35">
      <c r="A77" s="32" t="s">
        <v>6513</v>
      </c>
      <c r="B77" s="7">
        <f t="shared" si="4"/>
        <v>46121</v>
      </c>
      <c r="C77" s="7">
        <f t="shared" si="5"/>
        <v>46127</v>
      </c>
      <c r="D77" s="6">
        <v>3281</v>
      </c>
      <c r="E77" s="6">
        <v>337</v>
      </c>
      <c r="F77" s="6">
        <v>4</v>
      </c>
      <c r="G77" s="6">
        <v>1</v>
      </c>
      <c r="H77" s="6">
        <v>80920</v>
      </c>
      <c r="I77" s="6" t="s">
        <v>17</v>
      </c>
      <c r="J77" s="6">
        <v>65325066</v>
      </c>
      <c r="K77" s="6" t="s">
        <v>342</v>
      </c>
      <c r="L77" s="6" t="s">
        <v>344</v>
      </c>
      <c r="M77" s="8">
        <v>159900</v>
      </c>
      <c r="N77" s="35">
        <v>0.9</v>
      </c>
      <c r="O77" s="34">
        <f t="shared" si="3"/>
        <v>15990</v>
      </c>
      <c r="P77" s="6" t="s">
        <v>16</v>
      </c>
    </row>
    <row r="78" spans="1:16" x14ac:dyDescent="0.35">
      <c r="A78" s="32" t="s">
        <v>6513</v>
      </c>
      <c r="B78" s="7">
        <f t="shared" si="4"/>
        <v>46121</v>
      </c>
      <c r="C78" s="7">
        <f t="shared" si="5"/>
        <v>46127</v>
      </c>
      <c r="D78" s="6">
        <v>3281</v>
      </c>
      <c r="E78" s="6">
        <v>337</v>
      </c>
      <c r="F78" s="6">
        <v>4</v>
      </c>
      <c r="G78" s="6">
        <v>1</v>
      </c>
      <c r="H78" s="6">
        <v>80920</v>
      </c>
      <c r="I78" s="6" t="s">
        <v>17</v>
      </c>
      <c r="J78" s="6">
        <v>65325075</v>
      </c>
      <c r="K78" s="6" t="s">
        <v>342</v>
      </c>
      <c r="L78" s="6" t="s">
        <v>345</v>
      </c>
      <c r="M78" s="8">
        <v>159900</v>
      </c>
      <c r="N78" s="35">
        <v>0.9</v>
      </c>
      <c r="O78" s="34">
        <f t="shared" si="3"/>
        <v>15990</v>
      </c>
      <c r="P78" s="6" t="s">
        <v>16</v>
      </c>
    </row>
    <row r="79" spans="1:16" x14ac:dyDescent="0.35">
      <c r="A79" s="32" t="s">
        <v>6513</v>
      </c>
      <c r="B79" s="7">
        <f t="shared" si="4"/>
        <v>46121</v>
      </c>
      <c r="C79" s="7">
        <f t="shared" si="5"/>
        <v>46127</v>
      </c>
      <c r="D79" s="6">
        <v>3281</v>
      </c>
      <c r="E79" s="6">
        <v>337</v>
      </c>
      <c r="F79" s="6">
        <v>4</v>
      </c>
      <c r="G79" s="6">
        <v>1</v>
      </c>
      <c r="H79" s="6">
        <v>80920</v>
      </c>
      <c r="I79" s="6" t="s">
        <v>17</v>
      </c>
      <c r="J79" s="6">
        <v>65325084</v>
      </c>
      <c r="K79" s="6" t="s">
        <v>431</v>
      </c>
      <c r="L79" s="6" t="s">
        <v>432</v>
      </c>
      <c r="M79" s="8">
        <v>159900</v>
      </c>
      <c r="N79" s="35">
        <v>0.9</v>
      </c>
      <c r="O79" s="34">
        <f t="shared" si="3"/>
        <v>15990</v>
      </c>
      <c r="P79" s="6" t="s">
        <v>16</v>
      </c>
    </row>
    <row r="80" spans="1:16" x14ac:dyDescent="0.35">
      <c r="A80" s="32" t="s">
        <v>6513</v>
      </c>
      <c r="B80" s="7">
        <f t="shared" si="4"/>
        <v>46121</v>
      </c>
      <c r="C80" s="7">
        <f t="shared" si="5"/>
        <v>46127</v>
      </c>
      <c r="D80" s="6">
        <v>3281</v>
      </c>
      <c r="E80" s="6">
        <v>337</v>
      </c>
      <c r="F80" s="6">
        <v>4</v>
      </c>
      <c r="G80" s="6">
        <v>1</v>
      </c>
      <c r="H80" s="6">
        <v>80920</v>
      </c>
      <c r="I80" s="6" t="s">
        <v>17</v>
      </c>
      <c r="J80" s="6">
        <v>65325093</v>
      </c>
      <c r="K80" s="6" t="s">
        <v>431</v>
      </c>
      <c r="L80" s="6" t="s">
        <v>433</v>
      </c>
      <c r="M80" s="8">
        <v>159900</v>
      </c>
      <c r="N80" s="35">
        <v>0.9</v>
      </c>
      <c r="O80" s="34">
        <f t="shared" si="3"/>
        <v>15990</v>
      </c>
      <c r="P80" s="6" t="s">
        <v>16</v>
      </c>
    </row>
    <row r="81" spans="1:16" x14ac:dyDescent="0.35">
      <c r="A81" s="32" t="s">
        <v>6513</v>
      </c>
      <c r="B81" s="7">
        <f t="shared" si="4"/>
        <v>46121</v>
      </c>
      <c r="C81" s="7">
        <f t="shared" si="5"/>
        <v>46127</v>
      </c>
      <c r="D81" s="6">
        <v>3281</v>
      </c>
      <c r="E81" s="6">
        <v>337</v>
      </c>
      <c r="F81" s="6">
        <v>4</v>
      </c>
      <c r="G81" s="6">
        <v>1</v>
      </c>
      <c r="H81" s="6">
        <v>80920</v>
      </c>
      <c r="I81" s="6" t="s">
        <v>17</v>
      </c>
      <c r="J81" s="6">
        <v>65325100</v>
      </c>
      <c r="K81" s="6" t="s">
        <v>431</v>
      </c>
      <c r="L81" s="6" t="s">
        <v>434</v>
      </c>
      <c r="M81" s="8">
        <v>159900</v>
      </c>
      <c r="N81" s="35">
        <v>0.9</v>
      </c>
      <c r="O81" s="34">
        <f t="shared" si="3"/>
        <v>15990</v>
      </c>
      <c r="P81" s="6" t="s">
        <v>16</v>
      </c>
    </row>
    <row r="82" spans="1:16" x14ac:dyDescent="0.35">
      <c r="A82" s="32" t="s">
        <v>6513</v>
      </c>
      <c r="B82" s="7">
        <f t="shared" si="4"/>
        <v>46121</v>
      </c>
      <c r="C82" s="7">
        <f t="shared" si="5"/>
        <v>46127</v>
      </c>
      <c r="D82" s="6">
        <v>3281</v>
      </c>
      <c r="E82" s="6">
        <v>337</v>
      </c>
      <c r="F82" s="6">
        <v>4</v>
      </c>
      <c r="G82" s="6">
        <v>1</v>
      </c>
      <c r="H82" s="6">
        <v>80920</v>
      </c>
      <c r="I82" s="6" t="s">
        <v>17</v>
      </c>
      <c r="J82" s="6">
        <v>65325119</v>
      </c>
      <c r="K82" s="6" t="s">
        <v>431</v>
      </c>
      <c r="L82" s="6" t="s">
        <v>435</v>
      </c>
      <c r="M82" s="8">
        <v>159900</v>
      </c>
      <c r="N82" s="35">
        <v>0.9</v>
      </c>
      <c r="O82" s="34">
        <f t="shared" si="3"/>
        <v>15990</v>
      </c>
      <c r="P82" s="6" t="s">
        <v>16</v>
      </c>
    </row>
    <row r="83" spans="1:16" x14ac:dyDescent="0.35">
      <c r="A83" s="32" t="s">
        <v>6513</v>
      </c>
      <c r="B83" s="7">
        <f t="shared" si="4"/>
        <v>46121</v>
      </c>
      <c r="C83" s="7">
        <f t="shared" si="5"/>
        <v>46127</v>
      </c>
      <c r="D83" s="6">
        <v>3281</v>
      </c>
      <c r="E83" s="6">
        <v>337</v>
      </c>
      <c r="F83" s="6">
        <v>4</v>
      </c>
      <c r="G83" s="6">
        <v>1</v>
      </c>
      <c r="H83" s="6">
        <v>80920</v>
      </c>
      <c r="I83" s="6" t="s">
        <v>17</v>
      </c>
      <c r="J83" s="6">
        <v>65325128</v>
      </c>
      <c r="K83" s="6" t="s">
        <v>346</v>
      </c>
      <c r="L83" s="6" t="s">
        <v>347</v>
      </c>
      <c r="M83" s="8">
        <v>159900</v>
      </c>
      <c r="N83" s="35">
        <v>0.9</v>
      </c>
      <c r="O83" s="34">
        <f t="shared" si="3"/>
        <v>15990</v>
      </c>
      <c r="P83" s="6" t="s">
        <v>16</v>
      </c>
    </row>
    <row r="84" spans="1:16" x14ac:dyDescent="0.35">
      <c r="A84" s="32" t="s">
        <v>6513</v>
      </c>
      <c r="B84" s="7">
        <f t="shared" si="4"/>
        <v>46121</v>
      </c>
      <c r="C84" s="7">
        <f t="shared" si="5"/>
        <v>46127</v>
      </c>
      <c r="D84" s="6">
        <v>3281</v>
      </c>
      <c r="E84" s="6">
        <v>337</v>
      </c>
      <c r="F84" s="6">
        <v>4</v>
      </c>
      <c r="G84" s="6">
        <v>1</v>
      </c>
      <c r="H84" s="6">
        <v>80920</v>
      </c>
      <c r="I84" s="6" t="s">
        <v>17</v>
      </c>
      <c r="J84" s="6">
        <v>65325137</v>
      </c>
      <c r="K84" s="6" t="s">
        <v>346</v>
      </c>
      <c r="L84" s="6" t="s">
        <v>436</v>
      </c>
      <c r="M84" s="8">
        <v>159900</v>
      </c>
      <c r="N84" s="35">
        <v>0.9</v>
      </c>
      <c r="O84" s="34">
        <f t="shared" si="3"/>
        <v>15990</v>
      </c>
      <c r="P84" s="6" t="s">
        <v>16</v>
      </c>
    </row>
    <row r="85" spans="1:16" x14ac:dyDescent="0.35">
      <c r="A85" s="32" t="s">
        <v>6513</v>
      </c>
      <c r="B85" s="7">
        <f t="shared" si="4"/>
        <v>46121</v>
      </c>
      <c r="C85" s="7">
        <f t="shared" si="5"/>
        <v>46127</v>
      </c>
      <c r="D85" s="6">
        <v>3281</v>
      </c>
      <c r="E85" s="6">
        <v>337</v>
      </c>
      <c r="F85" s="6">
        <v>4</v>
      </c>
      <c r="G85" s="6">
        <v>1</v>
      </c>
      <c r="H85" s="6">
        <v>80920</v>
      </c>
      <c r="I85" s="6" t="s">
        <v>17</v>
      </c>
      <c r="J85" s="6">
        <v>65325146</v>
      </c>
      <c r="K85" s="6" t="s">
        <v>346</v>
      </c>
      <c r="L85" s="6" t="s">
        <v>348</v>
      </c>
      <c r="M85" s="8">
        <v>159900</v>
      </c>
      <c r="N85" s="35">
        <v>0.9</v>
      </c>
      <c r="O85" s="34">
        <f t="shared" si="3"/>
        <v>15990</v>
      </c>
      <c r="P85" s="6" t="s">
        <v>16</v>
      </c>
    </row>
    <row r="86" spans="1:16" x14ac:dyDescent="0.35">
      <c r="A86" s="32" t="s">
        <v>6513</v>
      </c>
      <c r="B86" s="7">
        <f t="shared" si="4"/>
        <v>46121</v>
      </c>
      <c r="C86" s="7">
        <f t="shared" si="5"/>
        <v>46127</v>
      </c>
      <c r="D86" s="6">
        <v>3281</v>
      </c>
      <c r="E86" s="6">
        <v>337</v>
      </c>
      <c r="F86" s="6">
        <v>4</v>
      </c>
      <c r="G86" s="6">
        <v>1</v>
      </c>
      <c r="H86" s="6">
        <v>80920</v>
      </c>
      <c r="I86" s="6" t="s">
        <v>17</v>
      </c>
      <c r="J86" s="6">
        <v>65325155</v>
      </c>
      <c r="K86" s="6" t="s">
        <v>346</v>
      </c>
      <c r="L86" s="6" t="s">
        <v>349</v>
      </c>
      <c r="M86" s="8">
        <v>159900</v>
      </c>
      <c r="N86" s="35">
        <v>0.9</v>
      </c>
      <c r="O86" s="34">
        <f t="shared" si="3"/>
        <v>15990</v>
      </c>
      <c r="P86" s="6" t="s">
        <v>16</v>
      </c>
    </row>
    <row r="87" spans="1:16" x14ac:dyDescent="0.35">
      <c r="A87" s="32" t="s">
        <v>6513</v>
      </c>
      <c r="B87" s="7">
        <f t="shared" si="4"/>
        <v>46121</v>
      </c>
      <c r="C87" s="7">
        <f t="shared" si="5"/>
        <v>46127</v>
      </c>
      <c r="D87" s="6">
        <v>3281</v>
      </c>
      <c r="E87" s="6">
        <v>337</v>
      </c>
      <c r="F87" s="6">
        <v>4</v>
      </c>
      <c r="G87" s="6">
        <v>1</v>
      </c>
      <c r="H87" s="6">
        <v>80920</v>
      </c>
      <c r="I87" s="6" t="s">
        <v>17</v>
      </c>
      <c r="J87" s="6">
        <v>65325164</v>
      </c>
      <c r="K87" s="6" t="s">
        <v>437</v>
      </c>
      <c r="L87" s="6" t="s">
        <v>438</v>
      </c>
      <c r="M87" s="8">
        <v>159900</v>
      </c>
      <c r="N87" s="35">
        <v>0.9</v>
      </c>
      <c r="O87" s="34">
        <f t="shared" si="3"/>
        <v>15990</v>
      </c>
      <c r="P87" s="6" t="s">
        <v>16</v>
      </c>
    </row>
    <row r="88" spans="1:16" x14ac:dyDescent="0.35">
      <c r="A88" s="32" t="s">
        <v>6513</v>
      </c>
      <c r="B88" s="7">
        <f t="shared" si="4"/>
        <v>46121</v>
      </c>
      <c r="C88" s="7">
        <f t="shared" si="5"/>
        <v>46127</v>
      </c>
      <c r="D88" s="6">
        <v>3281</v>
      </c>
      <c r="E88" s="6">
        <v>337</v>
      </c>
      <c r="F88" s="6">
        <v>4</v>
      </c>
      <c r="G88" s="6">
        <v>1</v>
      </c>
      <c r="H88" s="6">
        <v>80920</v>
      </c>
      <c r="I88" s="6" t="s">
        <v>17</v>
      </c>
      <c r="J88" s="6">
        <v>65325173</v>
      </c>
      <c r="K88" s="6" t="s">
        <v>437</v>
      </c>
      <c r="L88" s="6" t="s">
        <v>439</v>
      </c>
      <c r="M88" s="8">
        <v>159900</v>
      </c>
      <c r="N88" s="35">
        <v>0.9</v>
      </c>
      <c r="O88" s="34">
        <f t="shared" si="3"/>
        <v>15990</v>
      </c>
      <c r="P88" s="6" t="s">
        <v>16</v>
      </c>
    </row>
    <row r="89" spans="1:16" x14ac:dyDescent="0.35">
      <c r="A89" s="32" t="s">
        <v>6513</v>
      </c>
      <c r="B89" s="7">
        <f t="shared" si="4"/>
        <v>46121</v>
      </c>
      <c r="C89" s="7">
        <f t="shared" si="5"/>
        <v>46127</v>
      </c>
      <c r="D89" s="6">
        <v>3281</v>
      </c>
      <c r="E89" s="6">
        <v>337</v>
      </c>
      <c r="F89" s="6">
        <v>4</v>
      </c>
      <c r="G89" s="6">
        <v>1</v>
      </c>
      <c r="H89" s="6">
        <v>80920</v>
      </c>
      <c r="I89" s="6" t="s">
        <v>17</v>
      </c>
      <c r="J89" s="6">
        <v>65325182</v>
      </c>
      <c r="K89" s="6" t="s">
        <v>437</v>
      </c>
      <c r="L89" s="6" t="s">
        <v>440</v>
      </c>
      <c r="M89" s="8">
        <v>159900</v>
      </c>
      <c r="N89" s="35">
        <v>0.9</v>
      </c>
      <c r="O89" s="34">
        <f t="shared" si="3"/>
        <v>15990</v>
      </c>
      <c r="P89" s="6" t="s">
        <v>16</v>
      </c>
    </row>
    <row r="90" spans="1:16" x14ac:dyDescent="0.35">
      <c r="A90" s="32" t="s">
        <v>6513</v>
      </c>
      <c r="B90" s="7">
        <f t="shared" si="4"/>
        <v>46121</v>
      </c>
      <c r="C90" s="7">
        <f t="shared" si="5"/>
        <v>46127</v>
      </c>
      <c r="D90" s="6">
        <v>3281</v>
      </c>
      <c r="E90" s="6">
        <v>337</v>
      </c>
      <c r="F90" s="6">
        <v>4</v>
      </c>
      <c r="G90" s="6">
        <v>1</v>
      </c>
      <c r="H90" s="6">
        <v>80920</v>
      </c>
      <c r="I90" s="6" t="s">
        <v>17</v>
      </c>
      <c r="J90" s="6">
        <v>65325191</v>
      </c>
      <c r="K90" s="6" t="s">
        <v>437</v>
      </c>
      <c r="L90" s="6" t="s">
        <v>441</v>
      </c>
      <c r="M90" s="8">
        <v>159900</v>
      </c>
      <c r="N90" s="35">
        <v>0.9</v>
      </c>
      <c r="O90" s="34">
        <f t="shared" si="3"/>
        <v>15990</v>
      </c>
      <c r="P90" s="6" t="s">
        <v>16</v>
      </c>
    </row>
    <row r="91" spans="1:16" x14ac:dyDescent="0.35">
      <c r="A91" s="32" t="s">
        <v>6513</v>
      </c>
      <c r="B91" s="7">
        <f t="shared" si="4"/>
        <v>46121</v>
      </c>
      <c r="C91" s="7">
        <f t="shared" si="5"/>
        <v>46127</v>
      </c>
      <c r="D91" s="6">
        <v>3281</v>
      </c>
      <c r="E91" s="6">
        <v>337</v>
      </c>
      <c r="F91" s="6">
        <v>4</v>
      </c>
      <c r="G91" s="6">
        <v>2</v>
      </c>
      <c r="H91" s="6">
        <v>80920</v>
      </c>
      <c r="I91" s="6" t="s">
        <v>17</v>
      </c>
      <c r="J91" s="6">
        <v>65325388</v>
      </c>
      <c r="K91" s="6" t="s">
        <v>407</v>
      </c>
      <c r="L91" s="6" t="s">
        <v>408</v>
      </c>
      <c r="M91" s="8">
        <v>229900</v>
      </c>
      <c r="N91" s="35">
        <v>0.9</v>
      </c>
      <c r="O91" s="34">
        <f t="shared" si="3"/>
        <v>22990</v>
      </c>
      <c r="P91" s="6" t="s">
        <v>16</v>
      </c>
    </row>
    <row r="92" spans="1:16" x14ac:dyDescent="0.35">
      <c r="A92" s="32" t="s">
        <v>6513</v>
      </c>
      <c r="B92" s="7">
        <f t="shared" si="4"/>
        <v>46121</v>
      </c>
      <c r="C92" s="7">
        <f t="shared" si="5"/>
        <v>46127</v>
      </c>
      <c r="D92" s="6">
        <v>3281</v>
      </c>
      <c r="E92" s="6">
        <v>337</v>
      </c>
      <c r="F92" s="6">
        <v>4</v>
      </c>
      <c r="G92" s="6">
        <v>2</v>
      </c>
      <c r="H92" s="6">
        <v>80920</v>
      </c>
      <c r="I92" s="6" t="s">
        <v>17</v>
      </c>
      <c r="J92" s="6">
        <v>65325397</v>
      </c>
      <c r="K92" s="6" t="s">
        <v>407</v>
      </c>
      <c r="L92" s="6" t="s">
        <v>409</v>
      </c>
      <c r="M92" s="8">
        <v>229900</v>
      </c>
      <c r="N92" s="35">
        <v>0.9</v>
      </c>
      <c r="O92" s="34">
        <f t="shared" si="3"/>
        <v>22990</v>
      </c>
      <c r="P92" s="6" t="s">
        <v>16</v>
      </c>
    </row>
    <row r="93" spans="1:16" x14ac:dyDescent="0.35">
      <c r="A93" s="32" t="s">
        <v>6513</v>
      </c>
      <c r="B93" s="7">
        <f t="shared" si="4"/>
        <v>46121</v>
      </c>
      <c r="C93" s="7">
        <f t="shared" si="5"/>
        <v>46127</v>
      </c>
      <c r="D93" s="6">
        <v>3281</v>
      </c>
      <c r="E93" s="6">
        <v>337</v>
      </c>
      <c r="F93" s="6">
        <v>4</v>
      </c>
      <c r="G93" s="6">
        <v>2</v>
      </c>
      <c r="H93" s="6">
        <v>80920</v>
      </c>
      <c r="I93" s="6" t="s">
        <v>17</v>
      </c>
      <c r="J93" s="6">
        <v>65325404</v>
      </c>
      <c r="K93" s="6" t="s">
        <v>407</v>
      </c>
      <c r="L93" s="6" t="s">
        <v>410</v>
      </c>
      <c r="M93" s="8">
        <v>229900</v>
      </c>
      <c r="N93" s="35">
        <v>0.9</v>
      </c>
      <c r="O93" s="34">
        <f t="shared" si="3"/>
        <v>22990</v>
      </c>
      <c r="P93" s="6" t="s">
        <v>16</v>
      </c>
    </row>
    <row r="94" spans="1:16" x14ac:dyDescent="0.35">
      <c r="A94" s="32" t="s">
        <v>6513</v>
      </c>
      <c r="B94" s="7">
        <f t="shared" si="4"/>
        <v>46121</v>
      </c>
      <c r="C94" s="7">
        <f t="shared" si="5"/>
        <v>46127</v>
      </c>
      <c r="D94" s="6">
        <v>3281</v>
      </c>
      <c r="E94" s="6">
        <v>337</v>
      </c>
      <c r="F94" s="6">
        <v>4</v>
      </c>
      <c r="G94" s="6">
        <v>2</v>
      </c>
      <c r="H94" s="6">
        <v>80920</v>
      </c>
      <c r="I94" s="6" t="s">
        <v>17</v>
      </c>
      <c r="J94" s="6">
        <v>65325413</v>
      </c>
      <c r="K94" s="6" t="s">
        <v>407</v>
      </c>
      <c r="L94" s="6" t="s">
        <v>411</v>
      </c>
      <c r="M94" s="8">
        <v>229900</v>
      </c>
      <c r="N94" s="35">
        <v>0.9</v>
      </c>
      <c r="O94" s="34">
        <f t="shared" si="3"/>
        <v>22990</v>
      </c>
      <c r="P94" s="6" t="s">
        <v>16</v>
      </c>
    </row>
    <row r="95" spans="1:16" x14ac:dyDescent="0.35">
      <c r="A95" s="32" t="s">
        <v>6513</v>
      </c>
      <c r="B95" s="7">
        <f t="shared" si="4"/>
        <v>46121</v>
      </c>
      <c r="C95" s="7">
        <f t="shared" si="5"/>
        <v>46127</v>
      </c>
      <c r="D95" s="6">
        <v>3281</v>
      </c>
      <c r="E95" s="6">
        <v>337</v>
      </c>
      <c r="F95" s="6">
        <v>4</v>
      </c>
      <c r="G95" s="6">
        <v>3</v>
      </c>
      <c r="H95" s="6">
        <v>80994</v>
      </c>
      <c r="I95" s="6" t="s">
        <v>17</v>
      </c>
      <c r="J95" s="6">
        <v>75739716</v>
      </c>
      <c r="K95" s="6" t="s">
        <v>634</v>
      </c>
      <c r="L95" s="6" t="s">
        <v>635</v>
      </c>
      <c r="M95" s="8">
        <v>229900</v>
      </c>
      <c r="N95" s="35">
        <v>0.9</v>
      </c>
      <c r="O95" s="34">
        <f t="shared" si="3"/>
        <v>22990</v>
      </c>
      <c r="P95" s="6" t="s">
        <v>16</v>
      </c>
    </row>
    <row r="96" spans="1:16" x14ac:dyDescent="0.35">
      <c r="A96" s="32" t="s">
        <v>6513</v>
      </c>
      <c r="B96" s="7">
        <f t="shared" si="4"/>
        <v>46121</v>
      </c>
      <c r="C96" s="7">
        <f t="shared" si="5"/>
        <v>46127</v>
      </c>
      <c r="D96" s="6">
        <v>3281</v>
      </c>
      <c r="E96" s="6">
        <v>337</v>
      </c>
      <c r="F96" s="6">
        <v>4</v>
      </c>
      <c r="G96" s="6">
        <v>3</v>
      </c>
      <c r="H96" s="6">
        <v>80994</v>
      </c>
      <c r="I96" s="6" t="s">
        <v>17</v>
      </c>
      <c r="J96" s="6">
        <v>75739725</v>
      </c>
      <c r="K96" s="6" t="s">
        <v>634</v>
      </c>
      <c r="L96" s="6" t="s">
        <v>636</v>
      </c>
      <c r="M96" s="8">
        <v>229900</v>
      </c>
      <c r="N96" s="35">
        <v>0.9</v>
      </c>
      <c r="O96" s="34">
        <f t="shared" si="3"/>
        <v>22990</v>
      </c>
      <c r="P96" s="6" t="s">
        <v>16</v>
      </c>
    </row>
    <row r="97" spans="1:16" x14ac:dyDescent="0.35">
      <c r="A97" s="32" t="s">
        <v>6513</v>
      </c>
      <c r="B97" s="7">
        <f t="shared" si="4"/>
        <v>46121</v>
      </c>
      <c r="C97" s="7">
        <f t="shared" si="5"/>
        <v>46127</v>
      </c>
      <c r="D97" s="6">
        <v>3281</v>
      </c>
      <c r="E97" s="6">
        <v>337</v>
      </c>
      <c r="F97" s="6">
        <v>4</v>
      </c>
      <c r="G97" s="6">
        <v>3</v>
      </c>
      <c r="H97" s="6">
        <v>80994</v>
      </c>
      <c r="I97" s="6" t="s">
        <v>17</v>
      </c>
      <c r="J97" s="6">
        <v>75739734</v>
      </c>
      <c r="K97" s="6" t="s">
        <v>634</v>
      </c>
      <c r="L97" s="6" t="s">
        <v>637</v>
      </c>
      <c r="M97" s="8">
        <v>229900</v>
      </c>
      <c r="N97" s="35">
        <v>0.9</v>
      </c>
      <c r="O97" s="34">
        <f t="shared" si="3"/>
        <v>22990</v>
      </c>
      <c r="P97" s="6" t="s">
        <v>16</v>
      </c>
    </row>
    <row r="98" spans="1:16" x14ac:dyDescent="0.35">
      <c r="A98" s="32" t="s">
        <v>6513</v>
      </c>
      <c r="B98" s="7">
        <f t="shared" si="4"/>
        <v>46121</v>
      </c>
      <c r="C98" s="7">
        <f t="shared" si="5"/>
        <v>46127</v>
      </c>
      <c r="D98" s="6">
        <v>3281</v>
      </c>
      <c r="E98" s="6">
        <v>337</v>
      </c>
      <c r="F98" s="6">
        <v>4</v>
      </c>
      <c r="G98" s="6">
        <v>3</v>
      </c>
      <c r="H98" s="6">
        <v>80994</v>
      </c>
      <c r="I98" s="6" t="s">
        <v>17</v>
      </c>
      <c r="J98" s="6">
        <v>75739743</v>
      </c>
      <c r="K98" s="6" t="s">
        <v>634</v>
      </c>
      <c r="L98" s="6" t="s">
        <v>638</v>
      </c>
      <c r="M98" s="8">
        <v>229900</v>
      </c>
      <c r="N98" s="35">
        <v>0.9</v>
      </c>
      <c r="O98" s="34">
        <f t="shared" si="3"/>
        <v>22990</v>
      </c>
      <c r="P98" s="6" t="s">
        <v>16</v>
      </c>
    </row>
    <row r="99" spans="1:16" x14ac:dyDescent="0.35">
      <c r="A99" s="32" t="s">
        <v>6513</v>
      </c>
      <c r="B99" s="7">
        <f t="shared" si="4"/>
        <v>46121</v>
      </c>
      <c r="C99" s="7">
        <f t="shared" si="5"/>
        <v>46127</v>
      </c>
      <c r="D99" s="6">
        <v>3281</v>
      </c>
      <c r="E99" s="6">
        <v>337</v>
      </c>
      <c r="F99" s="6">
        <v>4</v>
      </c>
      <c r="G99" s="6">
        <v>3</v>
      </c>
      <c r="H99" s="6">
        <v>80994</v>
      </c>
      <c r="I99" s="6" t="s">
        <v>17</v>
      </c>
      <c r="J99" s="6">
        <v>75739752</v>
      </c>
      <c r="K99" s="6" t="s">
        <v>656</v>
      </c>
      <c r="L99" s="6" t="s">
        <v>657</v>
      </c>
      <c r="M99" s="8">
        <v>239900</v>
      </c>
      <c r="N99" s="35">
        <v>0.9</v>
      </c>
      <c r="O99" s="34">
        <f t="shared" si="3"/>
        <v>23990</v>
      </c>
      <c r="P99" s="6" t="s">
        <v>16</v>
      </c>
    </row>
    <row r="100" spans="1:16" x14ac:dyDescent="0.35">
      <c r="A100" s="32" t="s">
        <v>6513</v>
      </c>
      <c r="B100" s="7">
        <f t="shared" si="4"/>
        <v>46121</v>
      </c>
      <c r="C100" s="7">
        <f t="shared" si="5"/>
        <v>46127</v>
      </c>
      <c r="D100" s="6">
        <v>3281</v>
      </c>
      <c r="E100" s="6">
        <v>337</v>
      </c>
      <c r="F100" s="6">
        <v>4</v>
      </c>
      <c r="G100" s="6">
        <v>3</v>
      </c>
      <c r="H100" s="6">
        <v>80994</v>
      </c>
      <c r="I100" s="6" t="s">
        <v>17</v>
      </c>
      <c r="J100" s="6">
        <v>75739761</v>
      </c>
      <c r="K100" s="6" t="s">
        <v>656</v>
      </c>
      <c r="L100" s="6" t="s">
        <v>658</v>
      </c>
      <c r="M100" s="8">
        <v>239900</v>
      </c>
      <c r="N100" s="35">
        <v>0.9</v>
      </c>
      <c r="O100" s="34">
        <f t="shared" si="3"/>
        <v>23990</v>
      </c>
      <c r="P100" s="6" t="s">
        <v>16</v>
      </c>
    </row>
    <row r="101" spans="1:16" x14ac:dyDescent="0.35">
      <c r="A101" s="32" t="s">
        <v>6513</v>
      </c>
      <c r="B101" s="7">
        <f t="shared" si="4"/>
        <v>46121</v>
      </c>
      <c r="C101" s="7">
        <f t="shared" si="5"/>
        <v>46127</v>
      </c>
      <c r="D101" s="6">
        <v>3281</v>
      </c>
      <c r="E101" s="6">
        <v>337</v>
      </c>
      <c r="F101" s="6">
        <v>4</v>
      </c>
      <c r="G101" s="6">
        <v>3</v>
      </c>
      <c r="H101" s="6">
        <v>80994</v>
      </c>
      <c r="I101" s="6" t="s">
        <v>17</v>
      </c>
      <c r="J101" s="6">
        <v>75739770</v>
      </c>
      <c r="K101" s="6" t="s">
        <v>656</v>
      </c>
      <c r="L101" s="6" t="s">
        <v>659</v>
      </c>
      <c r="M101" s="8">
        <v>239900</v>
      </c>
      <c r="N101" s="35">
        <v>0.9</v>
      </c>
      <c r="O101" s="34">
        <f t="shared" si="3"/>
        <v>23990</v>
      </c>
      <c r="P101" s="6" t="s">
        <v>16</v>
      </c>
    </row>
    <row r="102" spans="1:16" x14ac:dyDescent="0.35">
      <c r="A102" s="32" t="s">
        <v>6513</v>
      </c>
      <c r="B102" s="7">
        <f t="shared" si="4"/>
        <v>46121</v>
      </c>
      <c r="C102" s="7">
        <f t="shared" si="5"/>
        <v>46127</v>
      </c>
      <c r="D102" s="6">
        <v>3281</v>
      </c>
      <c r="E102" s="6">
        <v>337</v>
      </c>
      <c r="F102" s="6">
        <v>4</v>
      </c>
      <c r="G102" s="6">
        <v>3</v>
      </c>
      <c r="H102" s="6">
        <v>80994</v>
      </c>
      <c r="I102" s="6" t="s">
        <v>17</v>
      </c>
      <c r="J102" s="6">
        <v>75739789</v>
      </c>
      <c r="K102" s="6" t="s">
        <v>656</v>
      </c>
      <c r="L102" s="6" t="s">
        <v>660</v>
      </c>
      <c r="M102" s="8">
        <v>239900</v>
      </c>
      <c r="N102" s="35">
        <v>0.9</v>
      </c>
      <c r="O102" s="34">
        <f t="shared" si="3"/>
        <v>23990</v>
      </c>
      <c r="P102" s="6" t="s">
        <v>16</v>
      </c>
    </row>
    <row r="103" spans="1:16" x14ac:dyDescent="0.35">
      <c r="A103" s="32" t="s">
        <v>6513</v>
      </c>
      <c r="B103" s="7">
        <f t="shared" si="4"/>
        <v>46121</v>
      </c>
      <c r="C103" s="7">
        <f t="shared" si="5"/>
        <v>46127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17</v>
      </c>
      <c r="J103" s="6">
        <v>55712684</v>
      </c>
      <c r="K103" s="6" t="s">
        <v>358</v>
      </c>
      <c r="L103" s="6" t="s">
        <v>4834</v>
      </c>
      <c r="M103" s="8">
        <v>219900</v>
      </c>
      <c r="N103" s="35">
        <v>0.9</v>
      </c>
      <c r="O103" s="34">
        <f t="shared" si="3"/>
        <v>21990</v>
      </c>
      <c r="P103" s="6" t="s">
        <v>16</v>
      </c>
    </row>
    <row r="104" spans="1:16" x14ac:dyDescent="0.35">
      <c r="A104" s="32" t="s">
        <v>6513</v>
      </c>
      <c r="B104" s="7">
        <f t="shared" si="4"/>
        <v>46121</v>
      </c>
      <c r="C104" s="7">
        <f t="shared" si="5"/>
        <v>46127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17</v>
      </c>
      <c r="J104" s="6">
        <v>63284104</v>
      </c>
      <c r="K104" s="6" t="s">
        <v>294</v>
      </c>
      <c r="L104" s="6" t="s">
        <v>295</v>
      </c>
      <c r="M104" s="8">
        <v>269900</v>
      </c>
      <c r="N104" s="35">
        <v>0.9</v>
      </c>
      <c r="O104" s="34">
        <f t="shared" si="3"/>
        <v>26990</v>
      </c>
      <c r="P104" s="6" t="s">
        <v>16</v>
      </c>
    </row>
    <row r="105" spans="1:16" x14ac:dyDescent="0.35">
      <c r="A105" s="32" t="s">
        <v>6513</v>
      </c>
      <c r="B105" s="7">
        <f t="shared" si="4"/>
        <v>46121</v>
      </c>
      <c r="C105" s="7">
        <f t="shared" si="5"/>
        <v>46127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17</v>
      </c>
      <c r="J105" s="6">
        <v>63284113</v>
      </c>
      <c r="K105" s="6" t="s">
        <v>294</v>
      </c>
      <c r="L105" s="6" t="s">
        <v>296</v>
      </c>
      <c r="M105" s="8">
        <v>269900</v>
      </c>
      <c r="N105" s="35">
        <v>0.9</v>
      </c>
      <c r="O105" s="34">
        <f t="shared" si="3"/>
        <v>26990</v>
      </c>
      <c r="P105" s="6" t="s">
        <v>16</v>
      </c>
    </row>
    <row r="106" spans="1:16" x14ac:dyDescent="0.35">
      <c r="A106" s="32" t="s">
        <v>6513</v>
      </c>
      <c r="B106" s="7">
        <f t="shared" si="4"/>
        <v>46121</v>
      </c>
      <c r="C106" s="7">
        <f t="shared" si="5"/>
        <v>46127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17</v>
      </c>
      <c r="J106" s="6">
        <v>63284122</v>
      </c>
      <c r="K106" s="6" t="s">
        <v>294</v>
      </c>
      <c r="L106" s="6" t="s">
        <v>297</v>
      </c>
      <c r="M106" s="8">
        <v>269900</v>
      </c>
      <c r="N106" s="35">
        <v>0.9</v>
      </c>
      <c r="O106" s="34">
        <f t="shared" si="3"/>
        <v>26990</v>
      </c>
      <c r="P106" s="6" t="s">
        <v>16</v>
      </c>
    </row>
    <row r="107" spans="1:16" x14ac:dyDescent="0.35">
      <c r="A107" s="32" t="s">
        <v>6513</v>
      </c>
      <c r="B107" s="7">
        <f t="shared" si="4"/>
        <v>46121</v>
      </c>
      <c r="C107" s="7">
        <f t="shared" si="5"/>
        <v>46127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17</v>
      </c>
      <c r="J107" s="6">
        <v>63284131</v>
      </c>
      <c r="K107" s="6" t="s">
        <v>294</v>
      </c>
      <c r="L107" s="6" t="s">
        <v>298</v>
      </c>
      <c r="M107" s="8">
        <v>269900</v>
      </c>
      <c r="N107" s="35">
        <v>0.9</v>
      </c>
      <c r="O107" s="34">
        <f t="shared" si="3"/>
        <v>26990</v>
      </c>
      <c r="P107" s="6" t="s">
        <v>16</v>
      </c>
    </row>
    <row r="108" spans="1:16" x14ac:dyDescent="0.35">
      <c r="A108" s="32" t="s">
        <v>6513</v>
      </c>
      <c r="B108" s="7">
        <f t="shared" si="4"/>
        <v>46121</v>
      </c>
      <c r="C108" s="7">
        <f t="shared" si="5"/>
        <v>46127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17</v>
      </c>
      <c r="J108" s="6">
        <v>63564310</v>
      </c>
      <c r="K108" s="6" t="s">
        <v>300</v>
      </c>
      <c r="L108" s="6" t="s">
        <v>301</v>
      </c>
      <c r="M108" s="8">
        <v>199900</v>
      </c>
      <c r="N108" s="35">
        <v>0.9</v>
      </c>
      <c r="O108" s="34">
        <f t="shared" si="3"/>
        <v>19990</v>
      </c>
      <c r="P108" s="6" t="s">
        <v>16</v>
      </c>
    </row>
    <row r="109" spans="1:16" x14ac:dyDescent="0.35">
      <c r="A109" s="32" t="s">
        <v>6513</v>
      </c>
      <c r="B109" s="7">
        <f t="shared" si="4"/>
        <v>46121</v>
      </c>
      <c r="C109" s="7">
        <f t="shared" si="5"/>
        <v>46127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17</v>
      </c>
      <c r="J109" s="6">
        <v>63564329</v>
      </c>
      <c r="K109" s="6" t="s">
        <v>300</v>
      </c>
      <c r="L109" s="6" t="s">
        <v>302</v>
      </c>
      <c r="M109" s="8">
        <v>199900</v>
      </c>
      <c r="N109" s="35">
        <v>0.9</v>
      </c>
      <c r="O109" s="34">
        <f t="shared" si="3"/>
        <v>19990</v>
      </c>
      <c r="P109" s="6" t="s">
        <v>16</v>
      </c>
    </row>
    <row r="110" spans="1:16" x14ac:dyDescent="0.35">
      <c r="A110" s="32" t="s">
        <v>6513</v>
      </c>
      <c r="B110" s="7">
        <f t="shared" si="4"/>
        <v>46121</v>
      </c>
      <c r="C110" s="7">
        <f t="shared" si="5"/>
        <v>46127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17</v>
      </c>
      <c r="J110" s="6">
        <v>63564338</v>
      </c>
      <c r="K110" s="6" t="s">
        <v>300</v>
      </c>
      <c r="L110" s="6" t="s">
        <v>303</v>
      </c>
      <c r="M110" s="8">
        <v>199900</v>
      </c>
      <c r="N110" s="35">
        <v>0.9</v>
      </c>
      <c r="O110" s="34">
        <f t="shared" si="3"/>
        <v>19990</v>
      </c>
      <c r="P110" s="6" t="s">
        <v>16</v>
      </c>
    </row>
    <row r="111" spans="1:16" x14ac:dyDescent="0.35">
      <c r="A111" s="32" t="s">
        <v>6513</v>
      </c>
      <c r="B111" s="7">
        <f t="shared" si="4"/>
        <v>46121</v>
      </c>
      <c r="C111" s="7">
        <f t="shared" si="5"/>
        <v>46127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17</v>
      </c>
      <c r="J111" s="6">
        <v>63564347</v>
      </c>
      <c r="K111" s="6" t="s">
        <v>300</v>
      </c>
      <c r="L111" s="6" t="s">
        <v>304</v>
      </c>
      <c r="M111" s="8">
        <v>199900</v>
      </c>
      <c r="N111" s="35">
        <v>0.9</v>
      </c>
      <c r="O111" s="34">
        <f t="shared" si="3"/>
        <v>19990</v>
      </c>
      <c r="P111" s="6" t="s">
        <v>16</v>
      </c>
    </row>
    <row r="112" spans="1:16" x14ac:dyDescent="0.35">
      <c r="A112" s="32" t="s">
        <v>6513</v>
      </c>
      <c r="B112" s="7">
        <f t="shared" si="4"/>
        <v>46121</v>
      </c>
      <c r="C112" s="7">
        <f t="shared" si="5"/>
        <v>46127</v>
      </c>
      <c r="D112" s="6">
        <v>3281</v>
      </c>
      <c r="E112" s="6">
        <v>337</v>
      </c>
      <c r="F112" s="6">
        <v>4</v>
      </c>
      <c r="G112" s="6">
        <v>3</v>
      </c>
      <c r="H112" s="6">
        <v>81419</v>
      </c>
      <c r="I112" s="6" t="s">
        <v>17</v>
      </c>
      <c r="J112" s="6">
        <v>63597035</v>
      </c>
      <c r="K112" s="6" t="s">
        <v>453</v>
      </c>
      <c r="L112" s="6" t="s">
        <v>454</v>
      </c>
      <c r="M112" s="8">
        <v>199900</v>
      </c>
      <c r="N112" s="35">
        <v>0.9</v>
      </c>
      <c r="O112" s="34">
        <f t="shared" si="3"/>
        <v>19990</v>
      </c>
      <c r="P112" s="6" t="s">
        <v>16</v>
      </c>
    </row>
    <row r="113" spans="1:16" x14ac:dyDescent="0.35">
      <c r="A113" s="32" t="s">
        <v>6513</v>
      </c>
      <c r="B113" s="7">
        <f t="shared" si="4"/>
        <v>46121</v>
      </c>
      <c r="C113" s="7">
        <f t="shared" si="5"/>
        <v>46127</v>
      </c>
      <c r="D113" s="6">
        <v>3281</v>
      </c>
      <c r="E113" s="6">
        <v>337</v>
      </c>
      <c r="F113" s="6">
        <v>4</v>
      </c>
      <c r="G113" s="6">
        <v>3</v>
      </c>
      <c r="H113" s="6">
        <v>81419</v>
      </c>
      <c r="I113" s="6" t="s">
        <v>17</v>
      </c>
      <c r="J113" s="6">
        <v>63597044</v>
      </c>
      <c r="K113" s="6" t="s">
        <v>453</v>
      </c>
      <c r="L113" s="6" t="s">
        <v>526</v>
      </c>
      <c r="M113" s="8">
        <v>199900</v>
      </c>
      <c r="N113" s="35">
        <v>0.9</v>
      </c>
      <c r="O113" s="34">
        <f t="shared" si="3"/>
        <v>19990</v>
      </c>
      <c r="P113" s="6" t="s">
        <v>16</v>
      </c>
    </row>
    <row r="114" spans="1:16" x14ac:dyDescent="0.35">
      <c r="A114" s="32" t="s">
        <v>6513</v>
      </c>
      <c r="B114" s="7">
        <f t="shared" si="4"/>
        <v>46121</v>
      </c>
      <c r="C114" s="7">
        <f t="shared" si="5"/>
        <v>46127</v>
      </c>
      <c r="D114" s="6">
        <v>3281</v>
      </c>
      <c r="E114" s="6">
        <v>337</v>
      </c>
      <c r="F114" s="6">
        <v>4</v>
      </c>
      <c r="G114" s="6">
        <v>3</v>
      </c>
      <c r="H114" s="6">
        <v>81419</v>
      </c>
      <c r="I114" s="6" t="s">
        <v>17</v>
      </c>
      <c r="J114" s="6">
        <v>63597062</v>
      </c>
      <c r="K114" s="6" t="s">
        <v>453</v>
      </c>
      <c r="L114" s="6" t="s">
        <v>455</v>
      </c>
      <c r="M114" s="8">
        <v>199900</v>
      </c>
      <c r="N114" s="35">
        <v>0.9</v>
      </c>
      <c r="O114" s="34">
        <f t="shared" si="3"/>
        <v>19990</v>
      </c>
      <c r="P114" s="6" t="s">
        <v>16</v>
      </c>
    </row>
    <row r="115" spans="1:16" x14ac:dyDescent="0.35">
      <c r="A115" s="32" t="s">
        <v>6513</v>
      </c>
      <c r="B115" s="7">
        <f t="shared" si="4"/>
        <v>46121</v>
      </c>
      <c r="C115" s="7">
        <f t="shared" si="5"/>
        <v>46127</v>
      </c>
      <c r="D115" s="6">
        <v>3281</v>
      </c>
      <c r="E115" s="6">
        <v>337</v>
      </c>
      <c r="F115" s="6">
        <v>4</v>
      </c>
      <c r="G115" s="6">
        <v>3</v>
      </c>
      <c r="H115" s="6">
        <v>81419</v>
      </c>
      <c r="I115" s="6" t="s">
        <v>17</v>
      </c>
      <c r="J115" s="6">
        <v>63597115</v>
      </c>
      <c r="K115" s="6" t="s">
        <v>305</v>
      </c>
      <c r="L115" s="6" t="s">
        <v>306</v>
      </c>
      <c r="M115" s="8">
        <v>219900</v>
      </c>
      <c r="N115" s="35">
        <v>0.9</v>
      </c>
      <c r="O115" s="34">
        <f t="shared" si="3"/>
        <v>21990</v>
      </c>
      <c r="P115" s="6" t="s">
        <v>16</v>
      </c>
    </row>
    <row r="116" spans="1:16" x14ac:dyDescent="0.35">
      <c r="A116" s="32" t="s">
        <v>6513</v>
      </c>
      <c r="B116" s="7">
        <f t="shared" si="4"/>
        <v>46121</v>
      </c>
      <c r="C116" s="7">
        <f t="shared" si="5"/>
        <v>46127</v>
      </c>
      <c r="D116" s="6">
        <v>3281</v>
      </c>
      <c r="E116" s="6">
        <v>337</v>
      </c>
      <c r="F116" s="6">
        <v>4</v>
      </c>
      <c r="G116" s="6">
        <v>3</v>
      </c>
      <c r="H116" s="6">
        <v>81419</v>
      </c>
      <c r="I116" s="6" t="s">
        <v>17</v>
      </c>
      <c r="J116" s="6">
        <v>63597124</v>
      </c>
      <c r="K116" s="6" t="s">
        <v>305</v>
      </c>
      <c r="L116" s="6" t="s">
        <v>307</v>
      </c>
      <c r="M116" s="8">
        <v>219900</v>
      </c>
      <c r="N116" s="35">
        <v>0.9</v>
      </c>
      <c r="O116" s="34">
        <f t="shared" si="3"/>
        <v>21990</v>
      </c>
      <c r="P116" s="6" t="s">
        <v>16</v>
      </c>
    </row>
    <row r="117" spans="1:16" x14ac:dyDescent="0.35">
      <c r="A117" s="32" t="s">
        <v>6513</v>
      </c>
      <c r="B117" s="7">
        <f t="shared" si="4"/>
        <v>46121</v>
      </c>
      <c r="C117" s="7">
        <f t="shared" si="5"/>
        <v>46127</v>
      </c>
      <c r="D117" s="6">
        <v>3281</v>
      </c>
      <c r="E117" s="6">
        <v>337</v>
      </c>
      <c r="F117" s="6">
        <v>4</v>
      </c>
      <c r="G117" s="6">
        <v>3</v>
      </c>
      <c r="H117" s="6">
        <v>81419</v>
      </c>
      <c r="I117" s="6" t="s">
        <v>17</v>
      </c>
      <c r="J117" s="6">
        <v>63597133</v>
      </c>
      <c r="K117" s="6" t="s">
        <v>305</v>
      </c>
      <c r="L117" s="6" t="s">
        <v>308</v>
      </c>
      <c r="M117" s="8">
        <v>219900</v>
      </c>
      <c r="N117" s="35">
        <v>0.9</v>
      </c>
      <c r="O117" s="34">
        <f t="shared" si="3"/>
        <v>21990</v>
      </c>
      <c r="P117" s="6" t="s">
        <v>16</v>
      </c>
    </row>
    <row r="118" spans="1:16" x14ac:dyDescent="0.35">
      <c r="A118" s="32" t="s">
        <v>6513</v>
      </c>
      <c r="B118" s="7">
        <f t="shared" si="4"/>
        <v>46121</v>
      </c>
      <c r="C118" s="7">
        <f t="shared" si="5"/>
        <v>46127</v>
      </c>
      <c r="D118" s="6">
        <v>3281</v>
      </c>
      <c r="E118" s="6">
        <v>337</v>
      </c>
      <c r="F118" s="6">
        <v>4</v>
      </c>
      <c r="G118" s="6">
        <v>3</v>
      </c>
      <c r="H118" s="6">
        <v>81419</v>
      </c>
      <c r="I118" s="6" t="s">
        <v>17</v>
      </c>
      <c r="J118" s="6">
        <v>63597142</v>
      </c>
      <c r="K118" s="6" t="s">
        <v>305</v>
      </c>
      <c r="L118" s="6" t="s">
        <v>309</v>
      </c>
      <c r="M118" s="8">
        <v>219900</v>
      </c>
      <c r="N118" s="35">
        <v>0.9</v>
      </c>
      <c r="O118" s="34">
        <f t="shared" si="3"/>
        <v>21990</v>
      </c>
      <c r="P118" s="6" t="s">
        <v>16</v>
      </c>
    </row>
    <row r="119" spans="1:16" x14ac:dyDescent="0.35">
      <c r="A119" s="32" t="s">
        <v>6513</v>
      </c>
      <c r="B119" s="7">
        <f t="shared" si="4"/>
        <v>46121</v>
      </c>
      <c r="C119" s="7">
        <f t="shared" si="5"/>
        <v>46127</v>
      </c>
      <c r="D119" s="6">
        <v>3281</v>
      </c>
      <c r="E119" s="6">
        <v>337</v>
      </c>
      <c r="F119" s="6">
        <v>4</v>
      </c>
      <c r="G119" s="6">
        <v>3</v>
      </c>
      <c r="H119" s="6">
        <v>81419</v>
      </c>
      <c r="I119" s="6" t="s">
        <v>17</v>
      </c>
      <c r="J119" s="6">
        <v>63597151</v>
      </c>
      <c r="K119" s="6" t="s">
        <v>502</v>
      </c>
      <c r="L119" s="6" t="s">
        <v>507</v>
      </c>
      <c r="M119" s="8">
        <v>199900</v>
      </c>
      <c r="N119" s="35">
        <v>0.9</v>
      </c>
      <c r="O119" s="34">
        <f t="shared" si="3"/>
        <v>19990</v>
      </c>
      <c r="P119" s="6" t="s">
        <v>16</v>
      </c>
    </row>
    <row r="120" spans="1:16" x14ac:dyDescent="0.35">
      <c r="A120" s="32" t="s">
        <v>6513</v>
      </c>
      <c r="B120" s="7">
        <f t="shared" si="4"/>
        <v>46121</v>
      </c>
      <c r="C120" s="7">
        <f t="shared" si="5"/>
        <v>46127</v>
      </c>
      <c r="D120" s="6">
        <v>3281</v>
      </c>
      <c r="E120" s="6">
        <v>337</v>
      </c>
      <c r="F120" s="6">
        <v>4</v>
      </c>
      <c r="G120" s="6">
        <v>3</v>
      </c>
      <c r="H120" s="6">
        <v>81419</v>
      </c>
      <c r="I120" s="6" t="s">
        <v>17</v>
      </c>
      <c r="J120" s="6">
        <v>63597160</v>
      </c>
      <c r="K120" s="6" t="s">
        <v>502</v>
      </c>
      <c r="L120" s="6" t="s">
        <v>503</v>
      </c>
      <c r="M120" s="8">
        <v>199900</v>
      </c>
      <c r="N120" s="35">
        <v>0.9</v>
      </c>
      <c r="O120" s="34">
        <f t="shared" si="3"/>
        <v>19990</v>
      </c>
      <c r="P120" s="6" t="s">
        <v>16</v>
      </c>
    </row>
    <row r="121" spans="1:16" x14ac:dyDescent="0.35">
      <c r="A121" s="32" t="s">
        <v>6513</v>
      </c>
      <c r="B121" s="7">
        <f t="shared" si="4"/>
        <v>46121</v>
      </c>
      <c r="C121" s="7">
        <f t="shared" si="5"/>
        <v>46127</v>
      </c>
      <c r="D121" s="6">
        <v>3281</v>
      </c>
      <c r="E121" s="6">
        <v>337</v>
      </c>
      <c r="F121" s="6">
        <v>4</v>
      </c>
      <c r="G121" s="6">
        <v>3</v>
      </c>
      <c r="H121" s="6">
        <v>81419</v>
      </c>
      <c r="I121" s="6" t="s">
        <v>17</v>
      </c>
      <c r="J121" s="6">
        <v>63597179</v>
      </c>
      <c r="K121" s="6" t="s">
        <v>502</v>
      </c>
      <c r="L121" s="6" t="s">
        <v>504</v>
      </c>
      <c r="M121" s="8">
        <v>199900</v>
      </c>
      <c r="N121" s="35">
        <v>0.9</v>
      </c>
      <c r="O121" s="34">
        <f t="shared" si="3"/>
        <v>19990</v>
      </c>
      <c r="P121" s="6" t="s">
        <v>16</v>
      </c>
    </row>
    <row r="122" spans="1:16" x14ac:dyDescent="0.35">
      <c r="A122" s="32" t="s">
        <v>6513</v>
      </c>
      <c r="B122" s="7">
        <f t="shared" si="4"/>
        <v>46121</v>
      </c>
      <c r="C122" s="7">
        <f t="shared" si="5"/>
        <v>46127</v>
      </c>
      <c r="D122" s="6">
        <v>3281</v>
      </c>
      <c r="E122" s="6">
        <v>337</v>
      </c>
      <c r="F122" s="6">
        <v>4</v>
      </c>
      <c r="G122" s="6">
        <v>3</v>
      </c>
      <c r="H122" s="6">
        <v>81419</v>
      </c>
      <c r="I122" s="6" t="s">
        <v>17</v>
      </c>
      <c r="J122" s="6">
        <v>63597188</v>
      </c>
      <c r="K122" s="6" t="s">
        <v>502</v>
      </c>
      <c r="L122" s="6" t="s">
        <v>510</v>
      </c>
      <c r="M122" s="8">
        <v>199900</v>
      </c>
      <c r="N122" s="35">
        <v>0.9</v>
      </c>
      <c r="O122" s="34">
        <f t="shared" si="3"/>
        <v>19990</v>
      </c>
      <c r="P122" s="6" t="s">
        <v>16</v>
      </c>
    </row>
    <row r="123" spans="1:16" x14ac:dyDescent="0.35">
      <c r="A123" s="32" t="s">
        <v>6513</v>
      </c>
      <c r="B123" s="7">
        <f t="shared" si="4"/>
        <v>46121</v>
      </c>
      <c r="C123" s="7">
        <f t="shared" si="5"/>
        <v>46127</v>
      </c>
      <c r="D123" s="6">
        <v>3281</v>
      </c>
      <c r="E123" s="6">
        <v>337</v>
      </c>
      <c r="F123" s="6">
        <v>4</v>
      </c>
      <c r="G123" s="6">
        <v>3</v>
      </c>
      <c r="H123" s="6">
        <v>81419</v>
      </c>
      <c r="I123" s="6" t="s">
        <v>17</v>
      </c>
      <c r="J123" s="6">
        <v>63597197</v>
      </c>
      <c r="K123" s="6" t="s">
        <v>359</v>
      </c>
      <c r="L123" s="6" t="s">
        <v>360</v>
      </c>
      <c r="M123" s="8">
        <v>219900</v>
      </c>
      <c r="N123" s="35">
        <v>0.9</v>
      </c>
      <c r="O123" s="34">
        <f t="shared" si="3"/>
        <v>21990</v>
      </c>
      <c r="P123" s="6" t="s">
        <v>16</v>
      </c>
    </row>
    <row r="124" spans="1:16" x14ac:dyDescent="0.35">
      <c r="A124" s="32" t="s">
        <v>6513</v>
      </c>
      <c r="B124" s="7">
        <f t="shared" si="4"/>
        <v>46121</v>
      </c>
      <c r="C124" s="7">
        <f t="shared" si="5"/>
        <v>46127</v>
      </c>
      <c r="D124" s="6">
        <v>3281</v>
      </c>
      <c r="E124" s="6">
        <v>337</v>
      </c>
      <c r="F124" s="6">
        <v>4</v>
      </c>
      <c r="G124" s="6">
        <v>3</v>
      </c>
      <c r="H124" s="6">
        <v>81419</v>
      </c>
      <c r="I124" s="6" t="s">
        <v>17</v>
      </c>
      <c r="J124" s="6">
        <v>63597204</v>
      </c>
      <c r="K124" s="6" t="s">
        <v>359</v>
      </c>
      <c r="L124" s="6" t="s">
        <v>456</v>
      </c>
      <c r="M124" s="8">
        <v>219900</v>
      </c>
      <c r="N124" s="35">
        <v>0.9</v>
      </c>
      <c r="O124" s="34">
        <f t="shared" si="3"/>
        <v>21990</v>
      </c>
      <c r="P124" s="6" t="s">
        <v>16</v>
      </c>
    </row>
    <row r="125" spans="1:16" x14ac:dyDescent="0.35">
      <c r="A125" s="32" t="s">
        <v>6513</v>
      </c>
      <c r="B125" s="7">
        <f t="shared" si="4"/>
        <v>46121</v>
      </c>
      <c r="C125" s="7">
        <f t="shared" si="5"/>
        <v>46127</v>
      </c>
      <c r="D125" s="6">
        <v>3281</v>
      </c>
      <c r="E125" s="6">
        <v>337</v>
      </c>
      <c r="F125" s="6">
        <v>4</v>
      </c>
      <c r="G125" s="6">
        <v>3</v>
      </c>
      <c r="H125" s="6">
        <v>81419</v>
      </c>
      <c r="I125" s="6" t="s">
        <v>17</v>
      </c>
      <c r="J125" s="6">
        <v>63597213</v>
      </c>
      <c r="K125" s="6" t="s">
        <v>359</v>
      </c>
      <c r="L125" s="6" t="s">
        <v>361</v>
      </c>
      <c r="M125" s="8">
        <v>219900</v>
      </c>
      <c r="N125" s="35">
        <v>0.9</v>
      </c>
      <c r="O125" s="34">
        <f t="shared" si="3"/>
        <v>21990</v>
      </c>
      <c r="P125" s="6" t="s">
        <v>16</v>
      </c>
    </row>
    <row r="126" spans="1:16" x14ac:dyDescent="0.35">
      <c r="A126" s="32" t="s">
        <v>6513</v>
      </c>
      <c r="B126" s="7">
        <f t="shared" si="4"/>
        <v>46121</v>
      </c>
      <c r="C126" s="7">
        <f t="shared" si="5"/>
        <v>46127</v>
      </c>
      <c r="D126" s="6">
        <v>3281</v>
      </c>
      <c r="E126" s="6">
        <v>337</v>
      </c>
      <c r="F126" s="6">
        <v>4</v>
      </c>
      <c r="G126" s="6">
        <v>3</v>
      </c>
      <c r="H126" s="6">
        <v>81419</v>
      </c>
      <c r="I126" s="6" t="s">
        <v>17</v>
      </c>
      <c r="J126" s="6">
        <v>63597222</v>
      </c>
      <c r="K126" s="6" t="s">
        <v>359</v>
      </c>
      <c r="L126" s="6" t="s">
        <v>362</v>
      </c>
      <c r="M126" s="8">
        <v>219900</v>
      </c>
      <c r="N126" s="35">
        <v>0.9</v>
      </c>
      <c r="O126" s="34">
        <f t="shared" si="3"/>
        <v>21990</v>
      </c>
      <c r="P126" s="6" t="s">
        <v>16</v>
      </c>
    </row>
    <row r="127" spans="1:16" x14ac:dyDescent="0.35">
      <c r="A127" s="32" t="s">
        <v>6513</v>
      </c>
      <c r="B127" s="7">
        <f t="shared" si="4"/>
        <v>46121</v>
      </c>
      <c r="C127" s="7">
        <f t="shared" si="5"/>
        <v>46127</v>
      </c>
      <c r="D127" s="6">
        <v>3281</v>
      </c>
      <c r="E127" s="6">
        <v>337</v>
      </c>
      <c r="F127" s="6">
        <v>4</v>
      </c>
      <c r="G127" s="6">
        <v>3</v>
      </c>
      <c r="H127" s="6">
        <v>81419</v>
      </c>
      <c r="I127" s="6" t="s">
        <v>17</v>
      </c>
      <c r="J127" s="6">
        <v>65325422</v>
      </c>
      <c r="K127" s="6" t="s">
        <v>457</v>
      </c>
      <c r="L127" s="6" t="s">
        <v>458</v>
      </c>
      <c r="M127" s="8">
        <v>219900</v>
      </c>
      <c r="N127" s="35">
        <v>0.9</v>
      </c>
      <c r="O127" s="34">
        <f t="shared" si="3"/>
        <v>21990</v>
      </c>
      <c r="P127" s="6" t="s">
        <v>16</v>
      </c>
    </row>
    <row r="128" spans="1:16" x14ac:dyDescent="0.35">
      <c r="A128" s="32" t="s">
        <v>6513</v>
      </c>
      <c r="B128" s="7">
        <f t="shared" si="4"/>
        <v>46121</v>
      </c>
      <c r="C128" s="7">
        <f t="shared" si="5"/>
        <v>46127</v>
      </c>
      <c r="D128" s="6">
        <v>3281</v>
      </c>
      <c r="E128" s="6">
        <v>337</v>
      </c>
      <c r="F128" s="6">
        <v>4</v>
      </c>
      <c r="G128" s="6">
        <v>3</v>
      </c>
      <c r="H128" s="6">
        <v>81419</v>
      </c>
      <c r="I128" s="6" t="s">
        <v>17</v>
      </c>
      <c r="J128" s="6">
        <v>65325431</v>
      </c>
      <c r="K128" s="6" t="s">
        <v>457</v>
      </c>
      <c r="L128" s="6" t="s">
        <v>527</v>
      </c>
      <c r="M128" s="8">
        <v>219900</v>
      </c>
      <c r="N128" s="35">
        <v>0.9</v>
      </c>
      <c r="O128" s="34">
        <f t="shared" si="3"/>
        <v>21990</v>
      </c>
      <c r="P128" s="6" t="s">
        <v>16</v>
      </c>
    </row>
    <row r="129" spans="1:16" x14ac:dyDescent="0.35">
      <c r="A129" s="32" t="s">
        <v>6513</v>
      </c>
      <c r="B129" s="7">
        <f t="shared" si="4"/>
        <v>46121</v>
      </c>
      <c r="C129" s="7">
        <f t="shared" si="5"/>
        <v>46127</v>
      </c>
      <c r="D129" s="6">
        <v>3281</v>
      </c>
      <c r="E129" s="6">
        <v>337</v>
      </c>
      <c r="F129" s="6">
        <v>4</v>
      </c>
      <c r="G129" s="6">
        <v>3</v>
      </c>
      <c r="H129" s="6">
        <v>81419</v>
      </c>
      <c r="I129" s="6" t="s">
        <v>17</v>
      </c>
      <c r="J129" s="6">
        <v>65325440</v>
      </c>
      <c r="K129" s="6" t="s">
        <v>457</v>
      </c>
      <c r="L129" s="6" t="s">
        <v>459</v>
      </c>
      <c r="M129" s="8">
        <v>219900</v>
      </c>
      <c r="N129" s="35">
        <v>0.9</v>
      </c>
      <c r="O129" s="34">
        <f t="shared" si="3"/>
        <v>21990</v>
      </c>
      <c r="P129" s="6" t="s">
        <v>16</v>
      </c>
    </row>
    <row r="130" spans="1:16" x14ac:dyDescent="0.35">
      <c r="A130" s="32" t="s">
        <v>6513</v>
      </c>
      <c r="B130" s="7">
        <f t="shared" si="4"/>
        <v>46121</v>
      </c>
      <c r="C130" s="7">
        <f t="shared" si="5"/>
        <v>46127</v>
      </c>
      <c r="D130" s="6">
        <v>3281</v>
      </c>
      <c r="E130" s="6">
        <v>337</v>
      </c>
      <c r="F130" s="6">
        <v>4</v>
      </c>
      <c r="G130" s="6">
        <v>3</v>
      </c>
      <c r="H130" s="6">
        <v>81419</v>
      </c>
      <c r="I130" s="6" t="s">
        <v>17</v>
      </c>
      <c r="J130" s="6">
        <v>65325459</v>
      </c>
      <c r="K130" s="6" t="s">
        <v>457</v>
      </c>
      <c r="L130" s="6" t="s">
        <v>460</v>
      </c>
      <c r="M130" s="8">
        <v>219900</v>
      </c>
      <c r="N130" s="35">
        <v>0.9</v>
      </c>
      <c r="O130" s="34">
        <f t="shared" si="3"/>
        <v>21990</v>
      </c>
      <c r="P130" s="6" t="s">
        <v>16</v>
      </c>
    </row>
    <row r="131" spans="1:16" x14ac:dyDescent="0.35">
      <c r="A131" s="32" t="s">
        <v>6513</v>
      </c>
      <c r="B131" s="7">
        <f t="shared" si="4"/>
        <v>46121</v>
      </c>
      <c r="C131" s="7">
        <f t="shared" si="5"/>
        <v>46127</v>
      </c>
      <c r="D131" s="6">
        <v>3281</v>
      </c>
      <c r="E131" s="6">
        <v>337</v>
      </c>
      <c r="F131" s="6">
        <v>4</v>
      </c>
      <c r="G131" s="6">
        <v>3</v>
      </c>
      <c r="H131" s="6">
        <v>81419</v>
      </c>
      <c r="I131" s="6" t="s">
        <v>17</v>
      </c>
      <c r="J131" s="6">
        <v>65516092</v>
      </c>
      <c r="K131" s="6" t="s">
        <v>505</v>
      </c>
      <c r="L131" s="6" t="s">
        <v>506</v>
      </c>
      <c r="M131" s="8">
        <v>219900</v>
      </c>
      <c r="N131" s="35">
        <v>0.9</v>
      </c>
      <c r="O131" s="34">
        <f t="shared" ref="O131:O194" si="6">M131-((90*M131)/100)</f>
        <v>21990</v>
      </c>
      <c r="P131" s="6" t="s">
        <v>16</v>
      </c>
    </row>
    <row r="132" spans="1:16" x14ac:dyDescent="0.35">
      <c r="A132" s="32" t="s">
        <v>6513</v>
      </c>
      <c r="B132" s="7">
        <f t="shared" ref="B132:B195" si="7">B131</f>
        <v>46121</v>
      </c>
      <c r="C132" s="7">
        <f t="shared" ref="C132:C195" si="8">C131</f>
        <v>46127</v>
      </c>
      <c r="D132" s="6">
        <v>3281</v>
      </c>
      <c r="E132" s="6">
        <v>337</v>
      </c>
      <c r="F132" s="6">
        <v>4</v>
      </c>
      <c r="G132" s="6">
        <v>3</v>
      </c>
      <c r="H132" s="6">
        <v>81419</v>
      </c>
      <c r="I132" s="6" t="s">
        <v>17</v>
      </c>
      <c r="J132" s="6">
        <v>65516109</v>
      </c>
      <c r="K132" s="6" t="s">
        <v>505</v>
      </c>
      <c r="L132" s="6" t="s">
        <v>509</v>
      </c>
      <c r="M132" s="8">
        <v>219900</v>
      </c>
      <c r="N132" s="35">
        <v>0.9</v>
      </c>
      <c r="O132" s="34">
        <f t="shared" si="6"/>
        <v>21990</v>
      </c>
      <c r="P132" s="6" t="s">
        <v>16</v>
      </c>
    </row>
    <row r="133" spans="1:16" x14ac:dyDescent="0.35">
      <c r="A133" s="32" t="s">
        <v>6513</v>
      </c>
      <c r="B133" s="7">
        <f t="shared" si="7"/>
        <v>46121</v>
      </c>
      <c r="C133" s="7">
        <f t="shared" si="8"/>
        <v>46127</v>
      </c>
      <c r="D133" s="6">
        <v>3281</v>
      </c>
      <c r="E133" s="6">
        <v>337</v>
      </c>
      <c r="F133" s="6">
        <v>4</v>
      </c>
      <c r="G133" s="6">
        <v>3</v>
      </c>
      <c r="H133" s="6">
        <v>81419</v>
      </c>
      <c r="I133" s="6" t="s">
        <v>17</v>
      </c>
      <c r="J133" s="6">
        <v>65516118</v>
      </c>
      <c r="K133" s="6" t="s">
        <v>505</v>
      </c>
      <c r="L133" s="6" t="s">
        <v>508</v>
      </c>
      <c r="M133" s="8">
        <v>219900</v>
      </c>
      <c r="N133" s="35">
        <v>0.9</v>
      </c>
      <c r="O133" s="34">
        <f t="shared" si="6"/>
        <v>21990</v>
      </c>
      <c r="P133" s="6" t="s">
        <v>16</v>
      </c>
    </row>
    <row r="134" spans="1:16" x14ac:dyDescent="0.35">
      <c r="A134" s="32" t="s">
        <v>6513</v>
      </c>
      <c r="B134" s="7">
        <f t="shared" si="7"/>
        <v>46121</v>
      </c>
      <c r="C134" s="7">
        <f t="shared" si="8"/>
        <v>46127</v>
      </c>
      <c r="D134" s="6">
        <v>3281</v>
      </c>
      <c r="E134" s="6">
        <v>337</v>
      </c>
      <c r="F134" s="6">
        <v>4</v>
      </c>
      <c r="G134" s="6">
        <v>3</v>
      </c>
      <c r="H134" s="6">
        <v>81419</v>
      </c>
      <c r="I134" s="6" t="s">
        <v>17</v>
      </c>
      <c r="J134" s="6">
        <v>67274804</v>
      </c>
      <c r="K134" s="6" t="s">
        <v>511</v>
      </c>
      <c r="L134" s="6" t="s">
        <v>512</v>
      </c>
      <c r="M134" s="8">
        <v>199900</v>
      </c>
      <c r="N134" s="35">
        <v>0.9</v>
      </c>
      <c r="O134" s="34">
        <f t="shared" si="6"/>
        <v>19990</v>
      </c>
      <c r="P134" s="6" t="s">
        <v>16</v>
      </c>
    </row>
    <row r="135" spans="1:16" x14ac:dyDescent="0.35">
      <c r="A135" s="32" t="s">
        <v>6513</v>
      </c>
      <c r="B135" s="7">
        <f t="shared" si="7"/>
        <v>46121</v>
      </c>
      <c r="C135" s="7">
        <f t="shared" si="8"/>
        <v>46127</v>
      </c>
      <c r="D135" s="6">
        <v>3281</v>
      </c>
      <c r="E135" s="6">
        <v>337</v>
      </c>
      <c r="F135" s="6">
        <v>4</v>
      </c>
      <c r="G135" s="6">
        <v>3</v>
      </c>
      <c r="H135" s="6">
        <v>81419</v>
      </c>
      <c r="I135" s="6" t="s">
        <v>17</v>
      </c>
      <c r="J135" s="6">
        <v>67274813</v>
      </c>
      <c r="K135" s="6" t="s">
        <v>511</v>
      </c>
      <c r="L135" s="6" t="s">
        <v>513</v>
      </c>
      <c r="M135" s="8">
        <v>199900</v>
      </c>
      <c r="N135" s="35">
        <v>0.9</v>
      </c>
      <c r="O135" s="34">
        <f t="shared" si="6"/>
        <v>19990</v>
      </c>
      <c r="P135" s="6" t="s">
        <v>16</v>
      </c>
    </row>
    <row r="136" spans="1:16" x14ac:dyDescent="0.35">
      <c r="A136" s="32" t="s">
        <v>6513</v>
      </c>
      <c r="B136" s="7">
        <f t="shared" si="7"/>
        <v>46121</v>
      </c>
      <c r="C136" s="7">
        <f t="shared" si="8"/>
        <v>46127</v>
      </c>
      <c r="D136" s="6">
        <v>3281</v>
      </c>
      <c r="E136" s="6">
        <v>337</v>
      </c>
      <c r="F136" s="6">
        <v>4</v>
      </c>
      <c r="G136" s="6">
        <v>3</v>
      </c>
      <c r="H136" s="6">
        <v>81419</v>
      </c>
      <c r="I136" s="6" t="s">
        <v>17</v>
      </c>
      <c r="J136" s="6">
        <v>67589779</v>
      </c>
      <c r="K136" s="6" t="s">
        <v>577</v>
      </c>
      <c r="L136" s="6" t="s">
        <v>578</v>
      </c>
      <c r="M136" s="8">
        <v>229900</v>
      </c>
      <c r="N136" s="35">
        <v>0.9</v>
      </c>
      <c r="O136" s="34">
        <f t="shared" si="6"/>
        <v>22990</v>
      </c>
      <c r="P136" s="6" t="s">
        <v>16</v>
      </c>
    </row>
    <row r="137" spans="1:16" x14ac:dyDescent="0.35">
      <c r="A137" s="32" t="s">
        <v>6513</v>
      </c>
      <c r="B137" s="7">
        <f t="shared" si="7"/>
        <v>46121</v>
      </c>
      <c r="C137" s="7">
        <f t="shared" si="8"/>
        <v>46127</v>
      </c>
      <c r="D137" s="6">
        <v>3281</v>
      </c>
      <c r="E137" s="6">
        <v>337</v>
      </c>
      <c r="F137" s="6">
        <v>4</v>
      </c>
      <c r="G137" s="6">
        <v>3</v>
      </c>
      <c r="H137" s="6">
        <v>81419</v>
      </c>
      <c r="I137" s="6" t="s">
        <v>17</v>
      </c>
      <c r="J137" s="6">
        <v>67589788</v>
      </c>
      <c r="K137" s="6" t="s">
        <v>577</v>
      </c>
      <c r="L137" s="6" t="s">
        <v>579</v>
      </c>
      <c r="M137" s="8">
        <v>229900</v>
      </c>
      <c r="N137" s="35">
        <v>0.9</v>
      </c>
      <c r="O137" s="34">
        <f t="shared" si="6"/>
        <v>22990</v>
      </c>
      <c r="P137" s="6" t="s">
        <v>16</v>
      </c>
    </row>
    <row r="138" spans="1:16" x14ac:dyDescent="0.35">
      <c r="A138" s="32" t="s">
        <v>6513</v>
      </c>
      <c r="B138" s="7">
        <f t="shared" si="7"/>
        <v>46121</v>
      </c>
      <c r="C138" s="7">
        <f t="shared" si="8"/>
        <v>46127</v>
      </c>
      <c r="D138" s="6">
        <v>3281</v>
      </c>
      <c r="E138" s="6">
        <v>337</v>
      </c>
      <c r="F138" s="6">
        <v>4</v>
      </c>
      <c r="G138" s="6">
        <v>3</v>
      </c>
      <c r="H138" s="6">
        <v>81419</v>
      </c>
      <c r="I138" s="6" t="s">
        <v>17</v>
      </c>
      <c r="J138" s="6">
        <v>67589797</v>
      </c>
      <c r="K138" s="6" t="s">
        <v>577</v>
      </c>
      <c r="L138" s="6" t="s">
        <v>580</v>
      </c>
      <c r="M138" s="8">
        <v>229900</v>
      </c>
      <c r="N138" s="35">
        <v>0.9</v>
      </c>
      <c r="O138" s="34">
        <f t="shared" si="6"/>
        <v>22990</v>
      </c>
      <c r="P138" s="6" t="s">
        <v>16</v>
      </c>
    </row>
    <row r="139" spans="1:16" x14ac:dyDescent="0.35">
      <c r="A139" s="32" t="s">
        <v>6513</v>
      </c>
      <c r="B139" s="7">
        <f t="shared" si="7"/>
        <v>46121</v>
      </c>
      <c r="C139" s="7">
        <f t="shared" si="8"/>
        <v>46127</v>
      </c>
      <c r="D139" s="6">
        <v>3281</v>
      </c>
      <c r="E139" s="6">
        <v>337</v>
      </c>
      <c r="F139" s="6">
        <v>4</v>
      </c>
      <c r="G139" s="6">
        <v>3</v>
      </c>
      <c r="H139" s="6">
        <v>81419</v>
      </c>
      <c r="I139" s="6" t="s">
        <v>17</v>
      </c>
      <c r="J139" s="6">
        <v>67589804</v>
      </c>
      <c r="K139" s="6" t="s">
        <v>577</v>
      </c>
      <c r="L139" s="6" t="s">
        <v>581</v>
      </c>
      <c r="M139" s="8">
        <v>229900</v>
      </c>
      <c r="N139" s="35">
        <v>0.9</v>
      </c>
      <c r="O139" s="34">
        <f t="shared" si="6"/>
        <v>22990</v>
      </c>
      <c r="P139" s="6" t="s">
        <v>16</v>
      </c>
    </row>
    <row r="140" spans="1:16" x14ac:dyDescent="0.35">
      <c r="A140" s="32" t="s">
        <v>6513</v>
      </c>
      <c r="B140" s="7">
        <f t="shared" si="7"/>
        <v>46121</v>
      </c>
      <c r="C140" s="7">
        <f t="shared" si="8"/>
        <v>46127</v>
      </c>
      <c r="D140" s="6">
        <v>3281</v>
      </c>
      <c r="E140" s="6">
        <v>337</v>
      </c>
      <c r="F140" s="6">
        <v>4</v>
      </c>
      <c r="G140" s="6">
        <v>3</v>
      </c>
      <c r="H140" s="6">
        <v>81419</v>
      </c>
      <c r="I140" s="6" t="s">
        <v>17</v>
      </c>
      <c r="J140" s="6">
        <v>67589911</v>
      </c>
      <c r="K140" s="6" t="s">
        <v>537</v>
      </c>
      <c r="L140" s="6" t="s">
        <v>538</v>
      </c>
      <c r="M140" s="8">
        <v>219900</v>
      </c>
      <c r="N140" s="35">
        <v>0.9</v>
      </c>
      <c r="O140" s="34">
        <f t="shared" si="6"/>
        <v>21990</v>
      </c>
      <c r="P140" s="6" t="s">
        <v>16</v>
      </c>
    </row>
    <row r="141" spans="1:16" x14ac:dyDescent="0.35">
      <c r="A141" s="32" t="s">
        <v>6513</v>
      </c>
      <c r="B141" s="7">
        <f t="shared" si="7"/>
        <v>46121</v>
      </c>
      <c r="C141" s="7">
        <f t="shared" si="8"/>
        <v>46127</v>
      </c>
      <c r="D141" s="6">
        <v>3281</v>
      </c>
      <c r="E141" s="6">
        <v>337</v>
      </c>
      <c r="F141" s="6">
        <v>4</v>
      </c>
      <c r="G141" s="6">
        <v>3</v>
      </c>
      <c r="H141" s="6">
        <v>81419</v>
      </c>
      <c r="I141" s="6" t="s">
        <v>17</v>
      </c>
      <c r="J141" s="6">
        <v>67589920</v>
      </c>
      <c r="K141" s="6" t="s">
        <v>537</v>
      </c>
      <c r="L141" s="6" t="s">
        <v>539</v>
      </c>
      <c r="M141" s="8">
        <v>219900</v>
      </c>
      <c r="N141" s="35">
        <v>0.9</v>
      </c>
      <c r="O141" s="34">
        <f t="shared" si="6"/>
        <v>21990</v>
      </c>
      <c r="P141" s="6" t="s">
        <v>16</v>
      </c>
    </row>
    <row r="142" spans="1:16" x14ac:dyDescent="0.35">
      <c r="A142" s="32" t="s">
        <v>6513</v>
      </c>
      <c r="B142" s="7">
        <f t="shared" si="7"/>
        <v>46121</v>
      </c>
      <c r="C142" s="7">
        <f t="shared" si="8"/>
        <v>46127</v>
      </c>
      <c r="D142" s="6">
        <v>3281</v>
      </c>
      <c r="E142" s="6">
        <v>337</v>
      </c>
      <c r="F142" s="6">
        <v>4</v>
      </c>
      <c r="G142" s="6">
        <v>3</v>
      </c>
      <c r="H142" s="6">
        <v>81419</v>
      </c>
      <c r="I142" s="6" t="s">
        <v>17</v>
      </c>
      <c r="J142" s="6">
        <v>67589939</v>
      </c>
      <c r="K142" s="6" t="s">
        <v>537</v>
      </c>
      <c r="L142" s="6" t="s">
        <v>540</v>
      </c>
      <c r="M142" s="8">
        <v>219900</v>
      </c>
      <c r="N142" s="35">
        <v>0.9</v>
      </c>
      <c r="O142" s="34">
        <f t="shared" si="6"/>
        <v>21990</v>
      </c>
      <c r="P142" s="6" t="s">
        <v>16</v>
      </c>
    </row>
    <row r="143" spans="1:16" x14ac:dyDescent="0.35">
      <c r="A143" s="32" t="s">
        <v>6513</v>
      </c>
      <c r="B143" s="7">
        <f t="shared" si="7"/>
        <v>46121</v>
      </c>
      <c r="C143" s="7">
        <f t="shared" si="8"/>
        <v>46127</v>
      </c>
      <c r="D143" s="6">
        <v>3281</v>
      </c>
      <c r="E143" s="6">
        <v>337</v>
      </c>
      <c r="F143" s="6">
        <v>4</v>
      </c>
      <c r="G143" s="6">
        <v>3</v>
      </c>
      <c r="H143" s="6">
        <v>81419</v>
      </c>
      <c r="I143" s="6" t="s">
        <v>17</v>
      </c>
      <c r="J143" s="6">
        <v>67589948</v>
      </c>
      <c r="K143" s="6" t="s">
        <v>537</v>
      </c>
      <c r="L143" s="6" t="s">
        <v>541</v>
      </c>
      <c r="M143" s="8">
        <v>219900</v>
      </c>
      <c r="N143" s="35">
        <v>0.9</v>
      </c>
      <c r="O143" s="34">
        <f t="shared" si="6"/>
        <v>21990</v>
      </c>
      <c r="P143" s="6" t="s">
        <v>16</v>
      </c>
    </row>
    <row r="144" spans="1:16" x14ac:dyDescent="0.35">
      <c r="A144" s="32" t="s">
        <v>6513</v>
      </c>
      <c r="B144" s="7">
        <f t="shared" si="7"/>
        <v>46121</v>
      </c>
      <c r="C144" s="7">
        <f t="shared" si="8"/>
        <v>46127</v>
      </c>
      <c r="D144" s="6">
        <v>3281</v>
      </c>
      <c r="E144" s="6">
        <v>337</v>
      </c>
      <c r="F144" s="6">
        <v>4</v>
      </c>
      <c r="G144" s="6">
        <v>3</v>
      </c>
      <c r="H144" s="6">
        <v>81419</v>
      </c>
      <c r="I144" s="6" t="s">
        <v>17</v>
      </c>
      <c r="J144" s="6">
        <v>67590105</v>
      </c>
      <c r="K144" s="6" t="s">
        <v>582</v>
      </c>
      <c r="L144" s="6" t="s">
        <v>583</v>
      </c>
      <c r="M144" s="8">
        <v>219900</v>
      </c>
      <c r="N144" s="35">
        <v>0.9</v>
      </c>
      <c r="O144" s="34">
        <f t="shared" si="6"/>
        <v>21990</v>
      </c>
      <c r="P144" s="6" t="s">
        <v>16</v>
      </c>
    </row>
    <row r="145" spans="1:16" x14ac:dyDescent="0.35">
      <c r="A145" s="32" t="s">
        <v>6513</v>
      </c>
      <c r="B145" s="7">
        <f t="shared" si="7"/>
        <v>46121</v>
      </c>
      <c r="C145" s="7">
        <f t="shared" si="8"/>
        <v>46127</v>
      </c>
      <c r="D145" s="6">
        <v>3281</v>
      </c>
      <c r="E145" s="6">
        <v>337</v>
      </c>
      <c r="F145" s="6">
        <v>4</v>
      </c>
      <c r="G145" s="6">
        <v>3</v>
      </c>
      <c r="H145" s="6">
        <v>81419</v>
      </c>
      <c r="I145" s="6" t="s">
        <v>17</v>
      </c>
      <c r="J145" s="6">
        <v>67590114</v>
      </c>
      <c r="K145" s="6" t="s">
        <v>582</v>
      </c>
      <c r="L145" s="6" t="s">
        <v>584</v>
      </c>
      <c r="M145" s="8">
        <v>219900</v>
      </c>
      <c r="N145" s="35">
        <v>0.9</v>
      </c>
      <c r="O145" s="34">
        <f t="shared" si="6"/>
        <v>21990</v>
      </c>
      <c r="P145" s="6" t="s">
        <v>16</v>
      </c>
    </row>
    <row r="146" spans="1:16" x14ac:dyDescent="0.35">
      <c r="A146" s="32" t="s">
        <v>6513</v>
      </c>
      <c r="B146" s="7">
        <f t="shared" si="7"/>
        <v>46121</v>
      </c>
      <c r="C146" s="7">
        <f t="shared" si="8"/>
        <v>46127</v>
      </c>
      <c r="D146" s="6">
        <v>3281</v>
      </c>
      <c r="E146" s="6">
        <v>337</v>
      </c>
      <c r="F146" s="6">
        <v>4</v>
      </c>
      <c r="G146" s="6">
        <v>3</v>
      </c>
      <c r="H146" s="6">
        <v>81419</v>
      </c>
      <c r="I146" s="6" t="s">
        <v>17</v>
      </c>
      <c r="J146" s="6">
        <v>67590123</v>
      </c>
      <c r="K146" s="6" t="s">
        <v>582</v>
      </c>
      <c r="L146" s="6" t="s">
        <v>585</v>
      </c>
      <c r="M146" s="8">
        <v>219900</v>
      </c>
      <c r="N146" s="35">
        <v>0.9</v>
      </c>
      <c r="O146" s="34">
        <f t="shared" si="6"/>
        <v>21990</v>
      </c>
      <c r="P146" s="6" t="s">
        <v>16</v>
      </c>
    </row>
    <row r="147" spans="1:16" x14ac:dyDescent="0.35">
      <c r="A147" s="32" t="s">
        <v>6513</v>
      </c>
      <c r="B147" s="7">
        <f t="shared" si="7"/>
        <v>46121</v>
      </c>
      <c r="C147" s="7">
        <f t="shared" si="8"/>
        <v>46127</v>
      </c>
      <c r="D147" s="6">
        <v>3281</v>
      </c>
      <c r="E147" s="6">
        <v>337</v>
      </c>
      <c r="F147" s="6">
        <v>4</v>
      </c>
      <c r="G147" s="6">
        <v>3</v>
      </c>
      <c r="H147" s="6">
        <v>81419</v>
      </c>
      <c r="I147" s="6" t="s">
        <v>17</v>
      </c>
      <c r="J147" s="6">
        <v>67590132</v>
      </c>
      <c r="K147" s="6" t="s">
        <v>582</v>
      </c>
      <c r="L147" s="6" t="s">
        <v>586</v>
      </c>
      <c r="M147" s="8">
        <v>219900</v>
      </c>
      <c r="N147" s="35">
        <v>0.9</v>
      </c>
      <c r="O147" s="34">
        <f t="shared" si="6"/>
        <v>21990</v>
      </c>
      <c r="P147" s="6" t="s">
        <v>16</v>
      </c>
    </row>
    <row r="148" spans="1:16" x14ac:dyDescent="0.35">
      <c r="A148" s="32" t="s">
        <v>6513</v>
      </c>
      <c r="B148" s="7">
        <f t="shared" si="7"/>
        <v>46121</v>
      </c>
      <c r="C148" s="7">
        <f t="shared" si="8"/>
        <v>46127</v>
      </c>
      <c r="D148" s="6">
        <v>3281</v>
      </c>
      <c r="E148" s="6">
        <v>337</v>
      </c>
      <c r="F148" s="6">
        <v>4</v>
      </c>
      <c r="G148" s="6">
        <v>3</v>
      </c>
      <c r="H148" s="6">
        <v>81419</v>
      </c>
      <c r="I148" s="6" t="s">
        <v>17</v>
      </c>
      <c r="J148" s="6">
        <v>72305985</v>
      </c>
      <c r="K148" s="6" t="s">
        <v>592</v>
      </c>
      <c r="L148" s="6" t="s">
        <v>593</v>
      </c>
      <c r="M148" s="8">
        <v>229900</v>
      </c>
      <c r="N148" s="35">
        <v>0.9</v>
      </c>
      <c r="O148" s="34">
        <f t="shared" si="6"/>
        <v>22990</v>
      </c>
      <c r="P148" s="6" t="s">
        <v>16</v>
      </c>
    </row>
    <row r="149" spans="1:16" x14ac:dyDescent="0.35">
      <c r="A149" s="32" t="s">
        <v>6513</v>
      </c>
      <c r="B149" s="7">
        <f t="shared" si="7"/>
        <v>46121</v>
      </c>
      <c r="C149" s="7">
        <f t="shared" si="8"/>
        <v>46127</v>
      </c>
      <c r="D149" s="6">
        <v>3281</v>
      </c>
      <c r="E149" s="6">
        <v>337</v>
      </c>
      <c r="F149" s="6">
        <v>4</v>
      </c>
      <c r="G149" s="6">
        <v>3</v>
      </c>
      <c r="H149" s="6">
        <v>81419</v>
      </c>
      <c r="I149" s="6" t="s">
        <v>17</v>
      </c>
      <c r="J149" s="6">
        <v>72305994</v>
      </c>
      <c r="K149" s="6" t="s">
        <v>592</v>
      </c>
      <c r="L149" s="6" t="s">
        <v>594</v>
      </c>
      <c r="M149" s="8">
        <v>229900</v>
      </c>
      <c r="N149" s="35">
        <v>0.9</v>
      </c>
      <c r="O149" s="34">
        <f t="shared" si="6"/>
        <v>22990</v>
      </c>
      <c r="P149" s="6" t="s">
        <v>16</v>
      </c>
    </row>
    <row r="150" spans="1:16" x14ac:dyDescent="0.35">
      <c r="A150" s="32" t="s">
        <v>6513</v>
      </c>
      <c r="B150" s="7">
        <f t="shared" si="7"/>
        <v>46121</v>
      </c>
      <c r="C150" s="7">
        <f t="shared" si="8"/>
        <v>46127</v>
      </c>
      <c r="D150" s="6">
        <v>3281</v>
      </c>
      <c r="E150" s="6">
        <v>337</v>
      </c>
      <c r="F150" s="6">
        <v>4</v>
      </c>
      <c r="G150" s="6">
        <v>3</v>
      </c>
      <c r="H150" s="6">
        <v>81419</v>
      </c>
      <c r="I150" s="6" t="s">
        <v>17</v>
      </c>
      <c r="J150" s="6">
        <v>72306000</v>
      </c>
      <c r="K150" s="6" t="s">
        <v>592</v>
      </c>
      <c r="L150" s="6" t="s">
        <v>595</v>
      </c>
      <c r="M150" s="8">
        <v>229900</v>
      </c>
      <c r="N150" s="35">
        <v>0.9</v>
      </c>
      <c r="O150" s="34">
        <f t="shared" si="6"/>
        <v>22990</v>
      </c>
      <c r="P150" s="6" t="s">
        <v>16</v>
      </c>
    </row>
    <row r="151" spans="1:16" x14ac:dyDescent="0.35">
      <c r="A151" s="32" t="s">
        <v>6513</v>
      </c>
      <c r="B151" s="7">
        <f t="shared" si="7"/>
        <v>46121</v>
      </c>
      <c r="C151" s="7">
        <f t="shared" si="8"/>
        <v>46127</v>
      </c>
      <c r="D151" s="6">
        <v>3281</v>
      </c>
      <c r="E151" s="6">
        <v>337</v>
      </c>
      <c r="F151" s="6">
        <v>4</v>
      </c>
      <c r="G151" s="6">
        <v>3</v>
      </c>
      <c r="H151" s="6">
        <v>81419</v>
      </c>
      <c r="I151" s="6" t="s">
        <v>17</v>
      </c>
      <c r="J151" s="6">
        <v>72306019</v>
      </c>
      <c r="K151" s="6" t="s">
        <v>592</v>
      </c>
      <c r="L151" s="6" t="s">
        <v>596</v>
      </c>
      <c r="M151" s="8">
        <v>229900</v>
      </c>
      <c r="N151" s="35">
        <v>0.9</v>
      </c>
      <c r="O151" s="34">
        <f t="shared" si="6"/>
        <v>22990</v>
      </c>
      <c r="P151" s="6" t="s">
        <v>16</v>
      </c>
    </row>
    <row r="152" spans="1:16" x14ac:dyDescent="0.35">
      <c r="A152" s="32" t="s">
        <v>6513</v>
      </c>
      <c r="B152" s="7">
        <f t="shared" si="7"/>
        <v>46121</v>
      </c>
      <c r="C152" s="7">
        <f t="shared" si="8"/>
        <v>46127</v>
      </c>
      <c r="D152" s="6">
        <v>3281</v>
      </c>
      <c r="E152" s="6">
        <v>337</v>
      </c>
      <c r="F152" s="6">
        <v>4</v>
      </c>
      <c r="G152" s="6">
        <v>3</v>
      </c>
      <c r="H152" s="6">
        <v>81419</v>
      </c>
      <c r="I152" s="6" t="s">
        <v>17</v>
      </c>
      <c r="J152" s="6">
        <v>75739252</v>
      </c>
      <c r="K152" s="6" t="s">
        <v>651</v>
      </c>
      <c r="L152" s="6" t="s">
        <v>652</v>
      </c>
      <c r="M152" s="8">
        <v>239900</v>
      </c>
      <c r="N152" s="35">
        <v>0.9</v>
      </c>
      <c r="O152" s="34">
        <f t="shared" si="6"/>
        <v>23990</v>
      </c>
      <c r="P152" s="6" t="s">
        <v>16</v>
      </c>
    </row>
    <row r="153" spans="1:16" x14ac:dyDescent="0.35">
      <c r="A153" s="32" t="s">
        <v>6513</v>
      </c>
      <c r="B153" s="7">
        <f t="shared" si="7"/>
        <v>46121</v>
      </c>
      <c r="C153" s="7">
        <f t="shared" si="8"/>
        <v>46127</v>
      </c>
      <c r="D153" s="6">
        <v>3281</v>
      </c>
      <c r="E153" s="6">
        <v>337</v>
      </c>
      <c r="F153" s="6">
        <v>4</v>
      </c>
      <c r="G153" s="6">
        <v>3</v>
      </c>
      <c r="H153" s="6">
        <v>81419</v>
      </c>
      <c r="I153" s="6" t="s">
        <v>17</v>
      </c>
      <c r="J153" s="6">
        <v>75739261</v>
      </c>
      <c r="K153" s="6" t="s">
        <v>651</v>
      </c>
      <c r="L153" s="6" t="s">
        <v>653</v>
      </c>
      <c r="M153" s="8">
        <v>239900</v>
      </c>
      <c r="N153" s="35">
        <v>0.9</v>
      </c>
      <c r="O153" s="34">
        <f t="shared" si="6"/>
        <v>23990</v>
      </c>
      <c r="P153" s="6" t="s">
        <v>16</v>
      </c>
    </row>
    <row r="154" spans="1:16" x14ac:dyDescent="0.35">
      <c r="A154" s="32" t="s">
        <v>6513</v>
      </c>
      <c r="B154" s="7">
        <f t="shared" si="7"/>
        <v>46121</v>
      </c>
      <c r="C154" s="7">
        <f t="shared" si="8"/>
        <v>46127</v>
      </c>
      <c r="D154" s="6">
        <v>3281</v>
      </c>
      <c r="E154" s="6">
        <v>337</v>
      </c>
      <c r="F154" s="6">
        <v>4</v>
      </c>
      <c r="G154" s="6">
        <v>3</v>
      </c>
      <c r="H154" s="6">
        <v>81419</v>
      </c>
      <c r="I154" s="6" t="s">
        <v>17</v>
      </c>
      <c r="J154" s="6">
        <v>75739270</v>
      </c>
      <c r="K154" s="6" t="s">
        <v>651</v>
      </c>
      <c r="L154" s="6" t="s">
        <v>654</v>
      </c>
      <c r="M154" s="8">
        <v>239900</v>
      </c>
      <c r="N154" s="35">
        <v>0.9</v>
      </c>
      <c r="O154" s="34">
        <f t="shared" si="6"/>
        <v>23990</v>
      </c>
      <c r="P154" s="6" t="s">
        <v>16</v>
      </c>
    </row>
    <row r="155" spans="1:16" x14ac:dyDescent="0.35">
      <c r="A155" s="32" t="s">
        <v>6513</v>
      </c>
      <c r="B155" s="7">
        <f t="shared" si="7"/>
        <v>46121</v>
      </c>
      <c r="C155" s="7">
        <f t="shared" si="8"/>
        <v>46127</v>
      </c>
      <c r="D155" s="6">
        <v>3281</v>
      </c>
      <c r="E155" s="6">
        <v>337</v>
      </c>
      <c r="F155" s="6">
        <v>4</v>
      </c>
      <c r="G155" s="6">
        <v>3</v>
      </c>
      <c r="H155" s="6">
        <v>81419</v>
      </c>
      <c r="I155" s="6" t="s">
        <v>17</v>
      </c>
      <c r="J155" s="6">
        <v>75739289</v>
      </c>
      <c r="K155" s="6" t="s">
        <v>651</v>
      </c>
      <c r="L155" s="6" t="s">
        <v>655</v>
      </c>
      <c r="M155" s="8">
        <v>239900</v>
      </c>
      <c r="N155" s="35">
        <v>0.9</v>
      </c>
      <c r="O155" s="34">
        <f t="shared" si="6"/>
        <v>23990</v>
      </c>
      <c r="P155" s="6" t="s">
        <v>16</v>
      </c>
    </row>
    <row r="156" spans="1:16" x14ac:dyDescent="0.35">
      <c r="A156" s="32" t="s">
        <v>6513</v>
      </c>
      <c r="B156" s="7">
        <f t="shared" si="7"/>
        <v>46121</v>
      </c>
      <c r="C156" s="7">
        <f t="shared" si="8"/>
        <v>46127</v>
      </c>
      <c r="D156" s="6">
        <v>3281</v>
      </c>
      <c r="E156" s="6">
        <v>337</v>
      </c>
      <c r="F156" s="6">
        <v>4</v>
      </c>
      <c r="G156" s="6">
        <v>3</v>
      </c>
      <c r="H156" s="6">
        <v>81419</v>
      </c>
      <c r="I156" s="6" t="s">
        <v>17</v>
      </c>
      <c r="J156" s="6">
        <v>55712942</v>
      </c>
      <c r="K156" s="6" t="s">
        <v>299</v>
      </c>
      <c r="L156" s="6" t="s">
        <v>4835</v>
      </c>
      <c r="M156" s="8">
        <v>199900</v>
      </c>
      <c r="N156" s="35">
        <v>0.9</v>
      </c>
      <c r="O156" s="34">
        <f t="shared" si="6"/>
        <v>19990</v>
      </c>
      <c r="P156" s="6" t="s">
        <v>16</v>
      </c>
    </row>
    <row r="157" spans="1:16" x14ac:dyDescent="0.35">
      <c r="A157" s="32" t="s">
        <v>6513</v>
      </c>
      <c r="B157" s="7">
        <f t="shared" si="7"/>
        <v>46121</v>
      </c>
      <c r="C157" s="7">
        <f t="shared" si="8"/>
        <v>46127</v>
      </c>
      <c r="D157" s="6">
        <v>3281</v>
      </c>
      <c r="E157" s="6">
        <v>337</v>
      </c>
      <c r="F157" s="6">
        <v>4</v>
      </c>
      <c r="G157" s="6">
        <v>3</v>
      </c>
      <c r="H157" s="6">
        <v>81419</v>
      </c>
      <c r="I157" s="6" t="s">
        <v>17</v>
      </c>
      <c r="J157" s="6">
        <v>55712951</v>
      </c>
      <c r="K157" s="6" t="s">
        <v>299</v>
      </c>
      <c r="L157" s="6" t="s">
        <v>4836</v>
      </c>
      <c r="M157" s="8">
        <v>199900</v>
      </c>
      <c r="N157" s="35">
        <v>0.9</v>
      </c>
      <c r="O157" s="34">
        <f t="shared" si="6"/>
        <v>19990</v>
      </c>
      <c r="P157" s="6" t="s">
        <v>16</v>
      </c>
    </row>
    <row r="158" spans="1:16" x14ac:dyDescent="0.35">
      <c r="A158" s="32" t="s">
        <v>6513</v>
      </c>
      <c r="B158" s="7">
        <f t="shared" si="7"/>
        <v>46121</v>
      </c>
      <c r="C158" s="7">
        <f t="shared" si="8"/>
        <v>46127</v>
      </c>
      <c r="D158" s="6">
        <v>3281</v>
      </c>
      <c r="E158" s="6">
        <v>337</v>
      </c>
      <c r="F158" s="6">
        <v>4</v>
      </c>
      <c r="G158" s="6">
        <v>3</v>
      </c>
      <c r="H158" s="6">
        <v>81419</v>
      </c>
      <c r="I158" s="6" t="s">
        <v>17</v>
      </c>
      <c r="J158" s="6">
        <v>55712960</v>
      </c>
      <c r="K158" s="6" t="s">
        <v>299</v>
      </c>
      <c r="L158" s="6" t="s">
        <v>4837</v>
      </c>
      <c r="M158" s="8">
        <v>199900</v>
      </c>
      <c r="N158" s="35">
        <v>0.9</v>
      </c>
      <c r="O158" s="34">
        <f t="shared" si="6"/>
        <v>19990</v>
      </c>
      <c r="P158" s="6" t="s">
        <v>16</v>
      </c>
    </row>
    <row r="159" spans="1:16" x14ac:dyDescent="0.35">
      <c r="A159" s="32" t="s">
        <v>6513</v>
      </c>
      <c r="B159" s="7">
        <f t="shared" si="7"/>
        <v>46121</v>
      </c>
      <c r="C159" s="7">
        <f t="shared" si="8"/>
        <v>46127</v>
      </c>
      <c r="D159" s="6">
        <v>3281</v>
      </c>
      <c r="E159" s="6">
        <v>337</v>
      </c>
      <c r="F159" s="6">
        <v>4</v>
      </c>
      <c r="G159" s="6">
        <v>3</v>
      </c>
      <c r="H159" s="6">
        <v>81421</v>
      </c>
      <c r="I159" s="6" t="s">
        <v>17</v>
      </c>
      <c r="J159" s="6">
        <v>67590141</v>
      </c>
      <c r="K159" s="6" t="s">
        <v>587</v>
      </c>
      <c r="L159" s="6" t="s">
        <v>588</v>
      </c>
      <c r="M159" s="8">
        <v>199900</v>
      </c>
      <c r="N159" s="35">
        <v>0.9</v>
      </c>
      <c r="O159" s="34">
        <f t="shared" si="6"/>
        <v>19990</v>
      </c>
      <c r="P159" s="6" t="s">
        <v>16</v>
      </c>
    </row>
    <row r="160" spans="1:16" x14ac:dyDescent="0.35">
      <c r="A160" s="32" t="s">
        <v>6513</v>
      </c>
      <c r="B160" s="7">
        <f t="shared" si="7"/>
        <v>46121</v>
      </c>
      <c r="C160" s="7">
        <f t="shared" si="8"/>
        <v>46127</v>
      </c>
      <c r="D160" s="6">
        <v>3281</v>
      </c>
      <c r="E160" s="6">
        <v>337</v>
      </c>
      <c r="F160" s="6">
        <v>4</v>
      </c>
      <c r="G160" s="6">
        <v>3</v>
      </c>
      <c r="H160" s="6">
        <v>81421</v>
      </c>
      <c r="I160" s="6" t="s">
        <v>17</v>
      </c>
      <c r="J160" s="6">
        <v>67590150</v>
      </c>
      <c r="K160" s="6" t="s">
        <v>587</v>
      </c>
      <c r="L160" s="6" t="s">
        <v>589</v>
      </c>
      <c r="M160" s="8">
        <v>199900</v>
      </c>
      <c r="N160" s="35">
        <v>0.9</v>
      </c>
      <c r="O160" s="34">
        <f t="shared" si="6"/>
        <v>19990</v>
      </c>
      <c r="P160" s="6" t="s">
        <v>16</v>
      </c>
    </row>
    <row r="161" spans="1:16" x14ac:dyDescent="0.35">
      <c r="A161" s="32" t="s">
        <v>6513</v>
      </c>
      <c r="B161" s="7">
        <f t="shared" si="7"/>
        <v>46121</v>
      </c>
      <c r="C161" s="7">
        <f t="shared" si="8"/>
        <v>46127</v>
      </c>
      <c r="D161" s="6">
        <v>3281</v>
      </c>
      <c r="E161" s="6">
        <v>337</v>
      </c>
      <c r="F161" s="6">
        <v>4</v>
      </c>
      <c r="G161" s="6">
        <v>3</v>
      </c>
      <c r="H161" s="6">
        <v>81421</v>
      </c>
      <c r="I161" s="6" t="s">
        <v>17</v>
      </c>
      <c r="J161" s="6">
        <v>67590169</v>
      </c>
      <c r="K161" s="6" t="s">
        <v>587</v>
      </c>
      <c r="L161" s="6" t="s">
        <v>590</v>
      </c>
      <c r="M161" s="8">
        <v>199900</v>
      </c>
      <c r="N161" s="35">
        <v>0.9</v>
      </c>
      <c r="O161" s="34">
        <f t="shared" si="6"/>
        <v>19990</v>
      </c>
      <c r="P161" s="6" t="s">
        <v>16</v>
      </c>
    </row>
    <row r="162" spans="1:16" x14ac:dyDescent="0.35">
      <c r="A162" s="32" t="s">
        <v>6513</v>
      </c>
      <c r="B162" s="7">
        <f t="shared" si="7"/>
        <v>46121</v>
      </c>
      <c r="C162" s="7">
        <f t="shared" si="8"/>
        <v>46127</v>
      </c>
      <c r="D162" s="6">
        <v>3281</v>
      </c>
      <c r="E162" s="6">
        <v>337</v>
      </c>
      <c r="F162" s="6">
        <v>4</v>
      </c>
      <c r="G162" s="6">
        <v>3</v>
      </c>
      <c r="H162" s="6">
        <v>81421</v>
      </c>
      <c r="I162" s="6" t="s">
        <v>17</v>
      </c>
      <c r="J162" s="6">
        <v>67590178</v>
      </c>
      <c r="K162" s="6" t="s">
        <v>587</v>
      </c>
      <c r="L162" s="6" t="s">
        <v>591</v>
      </c>
      <c r="M162" s="8">
        <v>199900</v>
      </c>
      <c r="N162" s="35">
        <v>0.9</v>
      </c>
      <c r="O162" s="34">
        <f t="shared" si="6"/>
        <v>19990</v>
      </c>
      <c r="P162" s="6" t="s">
        <v>16</v>
      </c>
    </row>
    <row r="163" spans="1:16" x14ac:dyDescent="0.35">
      <c r="A163" s="32" t="s">
        <v>6513</v>
      </c>
      <c r="B163" s="7">
        <f t="shared" si="7"/>
        <v>46121</v>
      </c>
      <c r="C163" s="7">
        <f t="shared" si="8"/>
        <v>46127</v>
      </c>
      <c r="D163" s="6">
        <v>3281</v>
      </c>
      <c r="E163" s="6">
        <v>337</v>
      </c>
      <c r="F163" s="6">
        <v>4</v>
      </c>
      <c r="G163" s="6">
        <v>3</v>
      </c>
      <c r="H163" s="6">
        <v>190</v>
      </c>
      <c r="I163" s="6" t="s">
        <v>17</v>
      </c>
      <c r="J163" s="6">
        <v>60927362</v>
      </c>
      <c r="K163" s="6" t="s">
        <v>449</v>
      </c>
      <c r="L163" s="6" t="s">
        <v>450</v>
      </c>
      <c r="M163" s="8">
        <v>179900</v>
      </c>
      <c r="N163" s="35">
        <v>0.9</v>
      </c>
      <c r="O163" s="34">
        <f t="shared" si="6"/>
        <v>17990</v>
      </c>
      <c r="P163" s="6" t="s">
        <v>16</v>
      </c>
    </row>
    <row r="164" spans="1:16" x14ac:dyDescent="0.35">
      <c r="A164" s="32" t="s">
        <v>6513</v>
      </c>
      <c r="B164" s="7">
        <f t="shared" si="7"/>
        <v>46121</v>
      </c>
      <c r="C164" s="7">
        <f t="shared" si="8"/>
        <v>46127</v>
      </c>
      <c r="D164" s="6">
        <v>3281</v>
      </c>
      <c r="E164" s="6">
        <v>337</v>
      </c>
      <c r="F164" s="6">
        <v>4</v>
      </c>
      <c r="G164" s="6">
        <v>3</v>
      </c>
      <c r="H164" s="6">
        <v>190</v>
      </c>
      <c r="I164" s="6" t="s">
        <v>17</v>
      </c>
      <c r="J164" s="6">
        <v>60927371</v>
      </c>
      <c r="K164" s="6" t="s">
        <v>449</v>
      </c>
      <c r="L164" s="6" t="s">
        <v>451</v>
      </c>
      <c r="M164" s="8">
        <v>179900</v>
      </c>
      <c r="N164" s="35">
        <v>0.9</v>
      </c>
      <c r="O164" s="34">
        <f t="shared" si="6"/>
        <v>17990</v>
      </c>
      <c r="P164" s="6" t="s">
        <v>16</v>
      </c>
    </row>
    <row r="165" spans="1:16" x14ac:dyDescent="0.35">
      <c r="A165" s="32" t="s">
        <v>6513</v>
      </c>
      <c r="B165" s="7">
        <f t="shared" si="7"/>
        <v>46121</v>
      </c>
      <c r="C165" s="7">
        <f t="shared" si="8"/>
        <v>46127</v>
      </c>
      <c r="D165" s="6">
        <v>3281</v>
      </c>
      <c r="E165" s="6">
        <v>337</v>
      </c>
      <c r="F165" s="6">
        <v>4</v>
      </c>
      <c r="G165" s="6">
        <v>3</v>
      </c>
      <c r="H165" s="6">
        <v>190</v>
      </c>
      <c r="I165" s="6" t="s">
        <v>17</v>
      </c>
      <c r="J165" s="6">
        <v>60927380</v>
      </c>
      <c r="K165" s="6" t="s">
        <v>449</v>
      </c>
      <c r="L165" s="6" t="s">
        <v>452</v>
      </c>
      <c r="M165" s="8">
        <v>179900</v>
      </c>
      <c r="N165" s="35">
        <v>0.9</v>
      </c>
      <c r="O165" s="34">
        <f t="shared" si="6"/>
        <v>17990</v>
      </c>
      <c r="P165" s="6" t="s">
        <v>16</v>
      </c>
    </row>
    <row r="166" spans="1:16" x14ac:dyDescent="0.35">
      <c r="A166" s="32" t="s">
        <v>6513</v>
      </c>
      <c r="B166" s="7">
        <f t="shared" si="7"/>
        <v>46121</v>
      </c>
      <c r="C166" s="7">
        <f t="shared" si="8"/>
        <v>46127</v>
      </c>
      <c r="D166" s="6">
        <v>3281</v>
      </c>
      <c r="E166" s="6">
        <v>337</v>
      </c>
      <c r="F166" s="6">
        <v>4</v>
      </c>
      <c r="G166" s="6">
        <v>3</v>
      </c>
      <c r="H166" s="6">
        <v>190</v>
      </c>
      <c r="I166" s="6" t="s">
        <v>17</v>
      </c>
      <c r="J166" s="6">
        <v>65607912</v>
      </c>
      <c r="K166" s="6" t="s">
        <v>371</v>
      </c>
      <c r="L166" s="6" t="s">
        <v>372</v>
      </c>
      <c r="M166" s="8">
        <v>179900</v>
      </c>
      <c r="N166" s="35">
        <v>0.9</v>
      </c>
      <c r="O166" s="34">
        <f t="shared" si="6"/>
        <v>17990</v>
      </c>
      <c r="P166" s="6" t="s">
        <v>16</v>
      </c>
    </row>
    <row r="167" spans="1:16" x14ac:dyDescent="0.35">
      <c r="A167" s="32" t="s">
        <v>6513</v>
      </c>
      <c r="B167" s="7">
        <f t="shared" si="7"/>
        <v>46121</v>
      </c>
      <c r="C167" s="7">
        <f t="shared" si="8"/>
        <v>46127</v>
      </c>
      <c r="D167" s="6">
        <v>3281</v>
      </c>
      <c r="E167" s="6">
        <v>337</v>
      </c>
      <c r="F167" s="6">
        <v>4</v>
      </c>
      <c r="G167" s="6">
        <v>3</v>
      </c>
      <c r="H167" s="6">
        <v>190</v>
      </c>
      <c r="I167" s="6" t="s">
        <v>17</v>
      </c>
      <c r="J167" s="6">
        <v>65607921</v>
      </c>
      <c r="K167" s="6" t="s">
        <v>371</v>
      </c>
      <c r="L167" s="6" t="s">
        <v>462</v>
      </c>
      <c r="M167" s="8">
        <v>179900</v>
      </c>
      <c r="N167" s="35">
        <v>0.9</v>
      </c>
      <c r="O167" s="34">
        <f t="shared" si="6"/>
        <v>17990</v>
      </c>
      <c r="P167" s="6" t="s">
        <v>16</v>
      </c>
    </row>
    <row r="168" spans="1:16" x14ac:dyDescent="0.35">
      <c r="A168" s="32" t="s">
        <v>6513</v>
      </c>
      <c r="B168" s="7">
        <f t="shared" si="7"/>
        <v>46121</v>
      </c>
      <c r="C168" s="7">
        <f t="shared" si="8"/>
        <v>46127</v>
      </c>
      <c r="D168" s="6">
        <v>3281</v>
      </c>
      <c r="E168" s="6">
        <v>337</v>
      </c>
      <c r="F168" s="6">
        <v>4</v>
      </c>
      <c r="G168" s="6">
        <v>3</v>
      </c>
      <c r="H168" s="6">
        <v>190</v>
      </c>
      <c r="I168" s="6" t="s">
        <v>17</v>
      </c>
      <c r="J168" s="6">
        <v>65607949</v>
      </c>
      <c r="K168" s="6" t="s">
        <v>371</v>
      </c>
      <c r="L168" s="6" t="s">
        <v>373</v>
      </c>
      <c r="M168" s="8">
        <v>179900</v>
      </c>
      <c r="N168" s="35">
        <v>0.9</v>
      </c>
      <c r="O168" s="34">
        <f t="shared" si="6"/>
        <v>17990</v>
      </c>
      <c r="P168" s="6" t="s">
        <v>16</v>
      </c>
    </row>
    <row r="169" spans="1:16" x14ac:dyDescent="0.35">
      <c r="A169" s="32" t="s">
        <v>6513</v>
      </c>
      <c r="B169" s="7">
        <f t="shared" si="7"/>
        <v>46121</v>
      </c>
      <c r="C169" s="7">
        <f t="shared" si="8"/>
        <v>46127</v>
      </c>
      <c r="D169" s="6">
        <v>3281</v>
      </c>
      <c r="E169" s="6">
        <v>337</v>
      </c>
      <c r="F169" s="6">
        <v>4</v>
      </c>
      <c r="G169" s="6">
        <v>3</v>
      </c>
      <c r="H169" s="6">
        <v>190</v>
      </c>
      <c r="I169" s="6" t="s">
        <v>17</v>
      </c>
      <c r="J169" s="6">
        <v>73503045</v>
      </c>
      <c r="K169" s="6" t="s">
        <v>631</v>
      </c>
      <c r="L169" s="6" t="s">
        <v>632</v>
      </c>
      <c r="M169" s="8">
        <v>199900</v>
      </c>
      <c r="N169" s="35">
        <v>0.9</v>
      </c>
      <c r="O169" s="34">
        <f t="shared" si="6"/>
        <v>19990</v>
      </c>
      <c r="P169" s="6" t="s">
        <v>16</v>
      </c>
    </row>
    <row r="170" spans="1:16" x14ac:dyDescent="0.35">
      <c r="A170" s="32" t="s">
        <v>6513</v>
      </c>
      <c r="B170" s="7">
        <f t="shared" si="7"/>
        <v>46121</v>
      </c>
      <c r="C170" s="7">
        <f t="shared" si="8"/>
        <v>46127</v>
      </c>
      <c r="D170" s="6">
        <v>3281</v>
      </c>
      <c r="E170" s="6">
        <v>337</v>
      </c>
      <c r="F170" s="6">
        <v>4</v>
      </c>
      <c r="G170" s="6">
        <v>3</v>
      </c>
      <c r="H170" s="6">
        <v>190</v>
      </c>
      <c r="I170" s="6" t="s">
        <v>17</v>
      </c>
      <c r="J170" s="6">
        <v>73503054</v>
      </c>
      <c r="K170" s="6" t="s">
        <v>631</v>
      </c>
      <c r="L170" s="6" t="s">
        <v>633</v>
      </c>
      <c r="M170" s="8">
        <v>199900</v>
      </c>
      <c r="N170" s="35">
        <v>0.9</v>
      </c>
      <c r="O170" s="34">
        <f t="shared" si="6"/>
        <v>19990</v>
      </c>
      <c r="P170" s="6" t="s">
        <v>16</v>
      </c>
    </row>
    <row r="171" spans="1:16" x14ac:dyDescent="0.35">
      <c r="A171" s="32" t="s">
        <v>6513</v>
      </c>
      <c r="B171" s="7">
        <f t="shared" si="7"/>
        <v>46121</v>
      </c>
      <c r="C171" s="7">
        <f t="shared" si="8"/>
        <v>46127</v>
      </c>
      <c r="D171" s="6">
        <v>3281</v>
      </c>
      <c r="E171" s="6">
        <v>337</v>
      </c>
      <c r="F171" s="6">
        <v>4</v>
      </c>
      <c r="G171" s="6">
        <v>3</v>
      </c>
      <c r="H171" s="6">
        <v>80920</v>
      </c>
      <c r="I171" s="6" t="s">
        <v>17</v>
      </c>
      <c r="J171" s="6">
        <v>65325468</v>
      </c>
      <c r="K171" s="6" t="s">
        <v>363</v>
      </c>
      <c r="L171" s="6" t="s">
        <v>364</v>
      </c>
      <c r="M171" s="8">
        <v>199900</v>
      </c>
      <c r="N171" s="35">
        <v>0.9</v>
      </c>
      <c r="O171" s="34">
        <f t="shared" si="6"/>
        <v>19990</v>
      </c>
      <c r="P171" s="6" t="s">
        <v>16</v>
      </c>
    </row>
    <row r="172" spans="1:16" x14ac:dyDescent="0.35">
      <c r="A172" s="32" t="s">
        <v>6513</v>
      </c>
      <c r="B172" s="7">
        <f t="shared" si="7"/>
        <v>46121</v>
      </c>
      <c r="C172" s="7">
        <f t="shared" si="8"/>
        <v>46127</v>
      </c>
      <c r="D172" s="6">
        <v>3281</v>
      </c>
      <c r="E172" s="6">
        <v>337</v>
      </c>
      <c r="F172" s="6">
        <v>4</v>
      </c>
      <c r="G172" s="6">
        <v>3</v>
      </c>
      <c r="H172" s="6">
        <v>80920</v>
      </c>
      <c r="I172" s="6" t="s">
        <v>17</v>
      </c>
      <c r="J172" s="6">
        <v>65325477</v>
      </c>
      <c r="K172" s="6" t="s">
        <v>363</v>
      </c>
      <c r="L172" s="6" t="s">
        <v>461</v>
      </c>
      <c r="M172" s="8">
        <v>199900</v>
      </c>
      <c r="N172" s="35">
        <v>0.9</v>
      </c>
      <c r="O172" s="34">
        <f t="shared" si="6"/>
        <v>19990</v>
      </c>
      <c r="P172" s="6" t="s">
        <v>16</v>
      </c>
    </row>
    <row r="173" spans="1:16" x14ac:dyDescent="0.35">
      <c r="A173" s="32" t="s">
        <v>6513</v>
      </c>
      <c r="B173" s="7">
        <f t="shared" si="7"/>
        <v>46121</v>
      </c>
      <c r="C173" s="7">
        <f t="shared" si="8"/>
        <v>46127</v>
      </c>
      <c r="D173" s="6">
        <v>3281</v>
      </c>
      <c r="E173" s="6">
        <v>337</v>
      </c>
      <c r="F173" s="6">
        <v>4</v>
      </c>
      <c r="G173" s="6">
        <v>3</v>
      </c>
      <c r="H173" s="6">
        <v>80920</v>
      </c>
      <c r="I173" s="6" t="s">
        <v>17</v>
      </c>
      <c r="J173" s="6">
        <v>65325486</v>
      </c>
      <c r="K173" s="6" t="s">
        <v>363</v>
      </c>
      <c r="L173" s="6" t="s">
        <v>365</v>
      </c>
      <c r="M173" s="8">
        <v>199900</v>
      </c>
      <c r="N173" s="35">
        <v>0.9</v>
      </c>
      <c r="O173" s="34">
        <f t="shared" si="6"/>
        <v>19990</v>
      </c>
      <c r="P173" s="6" t="s">
        <v>16</v>
      </c>
    </row>
    <row r="174" spans="1:16" x14ac:dyDescent="0.35">
      <c r="A174" s="32" t="s">
        <v>6513</v>
      </c>
      <c r="B174" s="7">
        <f t="shared" si="7"/>
        <v>46121</v>
      </c>
      <c r="C174" s="7">
        <f t="shared" si="8"/>
        <v>46127</v>
      </c>
      <c r="D174" s="6">
        <v>3281</v>
      </c>
      <c r="E174" s="6">
        <v>337</v>
      </c>
      <c r="F174" s="6">
        <v>4</v>
      </c>
      <c r="G174" s="6">
        <v>3</v>
      </c>
      <c r="H174" s="6">
        <v>80920</v>
      </c>
      <c r="I174" s="6" t="s">
        <v>17</v>
      </c>
      <c r="J174" s="6">
        <v>65325495</v>
      </c>
      <c r="K174" s="6" t="s">
        <v>363</v>
      </c>
      <c r="L174" s="6" t="s">
        <v>366</v>
      </c>
      <c r="M174" s="8">
        <v>199900</v>
      </c>
      <c r="N174" s="35">
        <v>0.9</v>
      </c>
      <c r="O174" s="34">
        <f t="shared" si="6"/>
        <v>19990</v>
      </c>
      <c r="P174" s="6" t="s">
        <v>16</v>
      </c>
    </row>
    <row r="175" spans="1:16" x14ac:dyDescent="0.35">
      <c r="A175" s="32" t="s">
        <v>6513</v>
      </c>
      <c r="B175" s="7">
        <f t="shared" si="7"/>
        <v>46121</v>
      </c>
      <c r="C175" s="7">
        <f t="shared" si="8"/>
        <v>46127</v>
      </c>
      <c r="D175" s="6">
        <v>3281</v>
      </c>
      <c r="E175" s="6">
        <v>337</v>
      </c>
      <c r="F175" s="6">
        <v>4</v>
      </c>
      <c r="G175" s="6">
        <v>3</v>
      </c>
      <c r="H175" s="6">
        <v>80920</v>
      </c>
      <c r="I175" s="6" t="s">
        <v>17</v>
      </c>
      <c r="J175" s="6">
        <v>65325502</v>
      </c>
      <c r="K175" s="6" t="s">
        <v>367</v>
      </c>
      <c r="L175" s="6" t="s">
        <v>368</v>
      </c>
      <c r="M175" s="8">
        <v>199900</v>
      </c>
      <c r="N175" s="35">
        <v>0.9</v>
      </c>
      <c r="O175" s="34">
        <f t="shared" si="6"/>
        <v>19990</v>
      </c>
      <c r="P175" s="6" t="s">
        <v>16</v>
      </c>
    </row>
    <row r="176" spans="1:16" x14ac:dyDescent="0.35">
      <c r="A176" s="32" t="s">
        <v>6513</v>
      </c>
      <c r="B176" s="7">
        <f t="shared" si="7"/>
        <v>46121</v>
      </c>
      <c r="C176" s="7">
        <f t="shared" si="8"/>
        <v>46127</v>
      </c>
      <c r="D176" s="6">
        <v>3281</v>
      </c>
      <c r="E176" s="6">
        <v>337</v>
      </c>
      <c r="F176" s="6">
        <v>4</v>
      </c>
      <c r="G176" s="6">
        <v>3</v>
      </c>
      <c r="H176" s="6">
        <v>80920</v>
      </c>
      <c r="I176" s="6" t="s">
        <v>17</v>
      </c>
      <c r="J176" s="6">
        <v>65325511</v>
      </c>
      <c r="K176" s="6" t="s">
        <v>367</v>
      </c>
      <c r="L176" s="6" t="s">
        <v>369</v>
      </c>
      <c r="M176" s="8">
        <v>199900</v>
      </c>
      <c r="N176" s="35">
        <v>0.9</v>
      </c>
      <c r="O176" s="34">
        <f t="shared" si="6"/>
        <v>19990</v>
      </c>
      <c r="P176" s="6" t="s">
        <v>16</v>
      </c>
    </row>
    <row r="177" spans="1:16" x14ac:dyDescent="0.35">
      <c r="A177" s="32" t="s">
        <v>6513</v>
      </c>
      <c r="B177" s="7">
        <f t="shared" si="7"/>
        <v>46121</v>
      </c>
      <c r="C177" s="7">
        <f t="shared" si="8"/>
        <v>46127</v>
      </c>
      <c r="D177" s="6">
        <v>3281</v>
      </c>
      <c r="E177" s="6">
        <v>337</v>
      </c>
      <c r="F177" s="6">
        <v>4</v>
      </c>
      <c r="G177" s="6">
        <v>3</v>
      </c>
      <c r="H177" s="6">
        <v>80920</v>
      </c>
      <c r="I177" s="6" t="s">
        <v>17</v>
      </c>
      <c r="J177" s="6">
        <v>65325520</v>
      </c>
      <c r="K177" s="6" t="s">
        <v>367</v>
      </c>
      <c r="L177" s="6" t="s">
        <v>370</v>
      </c>
      <c r="M177" s="8">
        <v>199900</v>
      </c>
      <c r="N177" s="35">
        <v>0.9</v>
      </c>
      <c r="O177" s="34">
        <f t="shared" si="6"/>
        <v>19990</v>
      </c>
      <c r="P177" s="6" t="s">
        <v>16</v>
      </c>
    </row>
    <row r="178" spans="1:16" x14ac:dyDescent="0.35">
      <c r="A178" s="32" t="s">
        <v>6513</v>
      </c>
      <c r="B178" s="7">
        <f t="shared" si="7"/>
        <v>46121</v>
      </c>
      <c r="C178" s="7">
        <f t="shared" si="8"/>
        <v>46127</v>
      </c>
      <c r="D178" s="6">
        <v>3281</v>
      </c>
      <c r="E178" s="6">
        <v>337</v>
      </c>
      <c r="F178" s="6">
        <v>4</v>
      </c>
      <c r="G178" s="6">
        <v>4</v>
      </c>
      <c r="H178" s="6">
        <v>81419</v>
      </c>
      <c r="I178" s="6" t="s">
        <v>17</v>
      </c>
      <c r="J178" s="6">
        <v>63597991</v>
      </c>
      <c r="K178" s="6" t="s">
        <v>514</v>
      </c>
      <c r="L178" s="6" t="s">
        <v>515</v>
      </c>
      <c r="M178" s="8">
        <v>219900</v>
      </c>
      <c r="N178" s="35">
        <v>0.9</v>
      </c>
      <c r="O178" s="34">
        <f t="shared" si="6"/>
        <v>21990</v>
      </c>
      <c r="P178" s="6" t="s">
        <v>16</v>
      </c>
    </row>
    <row r="179" spans="1:16" x14ac:dyDescent="0.35">
      <c r="A179" s="32" t="s">
        <v>6513</v>
      </c>
      <c r="B179" s="7">
        <f t="shared" si="7"/>
        <v>46121</v>
      </c>
      <c r="C179" s="7">
        <f t="shared" si="8"/>
        <v>46127</v>
      </c>
      <c r="D179" s="6">
        <v>3281</v>
      </c>
      <c r="E179" s="6">
        <v>337</v>
      </c>
      <c r="F179" s="6">
        <v>4</v>
      </c>
      <c r="G179" s="6">
        <v>4</v>
      </c>
      <c r="H179" s="6">
        <v>81419</v>
      </c>
      <c r="I179" s="6" t="s">
        <v>17</v>
      </c>
      <c r="J179" s="6">
        <v>63598007</v>
      </c>
      <c r="K179" s="6" t="s">
        <v>514</v>
      </c>
      <c r="L179" s="6" t="s">
        <v>517</v>
      </c>
      <c r="M179" s="8">
        <v>219900</v>
      </c>
      <c r="N179" s="35">
        <v>0.9</v>
      </c>
      <c r="O179" s="34">
        <f t="shared" si="6"/>
        <v>21990</v>
      </c>
      <c r="P179" s="6" t="s">
        <v>16</v>
      </c>
    </row>
    <row r="180" spans="1:16" x14ac:dyDescent="0.35">
      <c r="A180" s="32" t="s">
        <v>6513</v>
      </c>
      <c r="B180" s="7">
        <f t="shared" si="7"/>
        <v>46121</v>
      </c>
      <c r="C180" s="7">
        <f t="shared" si="8"/>
        <v>46127</v>
      </c>
      <c r="D180" s="6">
        <v>3281</v>
      </c>
      <c r="E180" s="6">
        <v>337</v>
      </c>
      <c r="F180" s="6">
        <v>4</v>
      </c>
      <c r="G180" s="6">
        <v>4</v>
      </c>
      <c r="H180" s="6">
        <v>81419</v>
      </c>
      <c r="I180" s="6" t="s">
        <v>17</v>
      </c>
      <c r="J180" s="6">
        <v>63598016</v>
      </c>
      <c r="K180" s="6" t="s">
        <v>514</v>
      </c>
      <c r="L180" s="6" t="s">
        <v>516</v>
      </c>
      <c r="M180" s="8">
        <v>219900</v>
      </c>
      <c r="N180" s="35">
        <v>0.9</v>
      </c>
      <c r="O180" s="34">
        <f t="shared" si="6"/>
        <v>21990</v>
      </c>
      <c r="P180" s="6" t="s">
        <v>16</v>
      </c>
    </row>
    <row r="181" spans="1:16" x14ac:dyDescent="0.35">
      <c r="A181" s="32" t="s">
        <v>6513</v>
      </c>
      <c r="B181" s="7">
        <f t="shared" si="7"/>
        <v>46121</v>
      </c>
      <c r="C181" s="7">
        <f t="shared" si="8"/>
        <v>46127</v>
      </c>
      <c r="D181" s="6">
        <v>3281</v>
      </c>
      <c r="E181" s="6">
        <v>337</v>
      </c>
      <c r="F181" s="6">
        <v>4</v>
      </c>
      <c r="G181" s="6">
        <v>4</v>
      </c>
      <c r="H181" s="6">
        <v>81419</v>
      </c>
      <c r="I181" s="6" t="s">
        <v>17</v>
      </c>
      <c r="J181" s="6">
        <v>67274582</v>
      </c>
      <c r="K181" s="6" t="s">
        <v>518</v>
      </c>
      <c r="L181" s="6" t="s">
        <v>520</v>
      </c>
      <c r="M181" s="8">
        <v>199900</v>
      </c>
      <c r="N181" s="35">
        <v>0.9</v>
      </c>
      <c r="O181" s="34">
        <f t="shared" si="6"/>
        <v>19990</v>
      </c>
      <c r="P181" s="6" t="s">
        <v>16</v>
      </c>
    </row>
    <row r="182" spans="1:16" x14ac:dyDescent="0.35">
      <c r="A182" s="32" t="s">
        <v>6513</v>
      </c>
      <c r="B182" s="7">
        <f t="shared" si="7"/>
        <v>46121</v>
      </c>
      <c r="C182" s="7">
        <f t="shared" si="8"/>
        <v>46127</v>
      </c>
      <c r="D182" s="6">
        <v>3281</v>
      </c>
      <c r="E182" s="6">
        <v>337</v>
      </c>
      <c r="F182" s="6">
        <v>4</v>
      </c>
      <c r="G182" s="6">
        <v>4</v>
      </c>
      <c r="H182" s="6">
        <v>81419</v>
      </c>
      <c r="I182" s="6" t="s">
        <v>17</v>
      </c>
      <c r="J182" s="6">
        <v>67274591</v>
      </c>
      <c r="K182" s="6" t="s">
        <v>518</v>
      </c>
      <c r="L182" s="6" t="s">
        <v>521</v>
      </c>
      <c r="M182" s="8">
        <v>199900</v>
      </c>
      <c r="N182" s="35">
        <v>0.9</v>
      </c>
      <c r="O182" s="34">
        <f t="shared" si="6"/>
        <v>19990</v>
      </c>
      <c r="P182" s="6" t="s">
        <v>16</v>
      </c>
    </row>
    <row r="183" spans="1:16" x14ac:dyDescent="0.35">
      <c r="A183" s="32" t="s">
        <v>6513</v>
      </c>
      <c r="B183" s="7">
        <f t="shared" si="7"/>
        <v>46121</v>
      </c>
      <c r="C183" s="7">
        <f t="shared" si="8"/>
        <v>46127</v>
      </c>
      <c r="D183" s="6">
        <v>3281</v>
      </c>
      <c r="E183" s="6">
        <v>337</v>
      </c>
      <c r="F183" s="6">
        <v>4</v>
      </c>
      <c r="G183" s="6">
        <v>4</v>
      </c>
      <c r="H183" s="6">
        <v>81419</v>
      </c>
      <c r="I183" s="6" t="s">
        <v>17</v>
      </c>
      <c r="J183" s="6">
        <v>67274608</v>
      </c>
      <c r="K183" s="6" t="s">
        <v>518</v>
      </c>
      <c r="L183" s="6" t="s">
        <v>519</v>
      </c>
      <c r="M183" s="8">
        <v>199900</v>
      </c>
      <c r="N183" s="35">
        <v>0.9</v>
      </c>
      <c r="O183" s="34">
        <f t="shared" si="6"/>
        <v>19990</v>
      </c>
      <c r="P183" s="6" t="s">
        <v>16</v>
      </c>
    </row>
    <row r="184" spans="1:16" x14ac:dyDescent="0.35">
      <c r="A184" s="32" t="s">
        <v>6513</v>
      </c>
      <c r="B184" s="7">
        <f t="shared" si="7"/>
        <v>46121</v>
      </c>
      <c r="C184" s="7">
        <f t="shared" si="8"/>
        <v>46127</v>
      </c>
      <c r="D184" s="6">
        <v>3281</v>
      </c>
      <c r="E184" s="6">
        <v>337</v>
      </c>
      <c r="F184" s="6">
        <v>4</v>
      </c>
      <c r="G184" s="6">
        <v>4</v>
      </c>
      <c r="H184" s="6">
        <v>81419</v>
      </c>
      <c r="I184" s="6" t="s">
        <v>17</v>
      </c>
      <c r="J184" s="6">
        <v>67274617</v>
      </c>
      <c r="K184" s="6" t="s">
        <v>518</v>
      </c>
      <c r="L184" s="6" t="s">
        <v>522</v>
      </c>
      <c r="M184" s="8">
        <v>199900</v>
      </c>
      <c r="N184" s="35">
        <v>0.9</v>
      </c>
      <c r="O184" s="34">
        <f t="shared" si="6"/>
        <v>19990</v>
      </c>
      <c r="P184" s="6" t="s">
        <v>16</v>
      </c>
    </row>
    <row r="185" spans="1:16" x14ac:dyDescent="0.35">
      <c r="A185" s="32" t="s">
        <v>6513</v>
      </c>
      <c r="B185" s="7">
        <f t="shared" si="7"/>
        <v>46121</v>
      </c>
      <c r="C185" s="7">
        <f t="shared" si="8"/>
        <v>46127</v>
      </c>
      <c r="D185" s="6">
        <v>3281</v>
      </c>
      <c r="E185" s="6">
        <v>337</v>
      </c>
      <c r="F185" s="6">
        <v>4</v>
      </c>
      <c r="G185" s="6">
        <v>4</v>
      </c>
      <c r="H185" s="6">
        <v>81419</v>
      </c>
      <c r="I185" s="6" t="s">
        <v>17</v>
      </c>
      <c r="J185" s="6">
        <v>67591097</v>
      </c>
      <c r="K185" s="6" t="s">
        <v>621</v>
      </c>
      <c r="L185" s="6" t="s">
        <v>622</v>
      </c>
      <c r="M185" s="8">
        <v>219900</v>
      </c>
      <c r="N185" s="35">
        <v>0.9</v>
      </c>
      <c r="O185" s="34">
        <f t="shared" si="6"/>
        <v>21990</v>
      </c>
      <c r="P185" s="6" t="s">
        <v>16</v>
      </c>
    </row>
    <row r="186" spans="1:16" x14ac:dyDescent="0.35">
      <c r="A186" s="32" t="s">
        <v>6513</v>
      </c>
      <c r="B186" s="7">
        <f t="shared" si="7"/>
        <v>46121</v>
      </c>
      <c r="C186" s="7">
        <f t="shared" si="8"/>
        <v>46127</v>
      </c>
      <c r="D186" s="6">
        <v>3281</v>
      </c>
      <c r="E186" s="6">
        <v>337</v>
      </c>
      <c r="F186" s="6">
        <v>4</v>
      </c>
      <c r="G186" s="6">
        <v>4</v>
      </c>
      <c r="H186" s="6">
        <v>81419</v>
      </c>
      <c r="I186" s="6" t="s">
        <v>17</v>
      </c>
      <c r="J186" s="6">
        <v>67591104</v>
      </c>
      <c r="K186" s="6" t="s">
        <v>621</v>
      </c>
      <c r="L186" s="6" t="s">
        <v>623</v>
      </c>
      <c r="M186" s="8">
        <v>219900</v>
      </c>
      <c r="N186" s="35">
        <v>0.9</v>
      </c>
      <c r="O186" s="34">
        <f t="shared" si="6"/>
        <v>21990</v>
      </c>
      <c r="P186" s="6" t="s">
        <v>16</v>
      </c>
    </row>
    <row r="187" spans="1:16" x14ac:dyDescent="0.35">
      <c r="A187" s="32" t="s">
        <v>6513</v>
      </c>
      <c r="B187" s="7">
        <f t="shared" si="7"/>
        <v>46121</v>
      </c>
      <c r="C187" s="7">
        <f t="shared" si="8"/>
        <v>46127</v>
      </c>
      <c r="D187" s="6">
        <v>3281</v>
      </c>
      <c r="E187" s="6">
        <v>337</v>
      </c>
      <c r="F187" s="6">
        <v>4</v>
      </c>
      <c r="G187" s="6">
        <v>4</v>
      </c>
      <c r="H187" s="6">
        <v>81419</v>
      </c>
      <c r="I187" s="6" t="s">
        <v>17</v>
      </c>
      <c r="J187" s="6">
        <v>67591113</v>
      </c>
      <c r="K187" s="6" t="s">
        <v>621</v>
      </c>
      <c r="L187" s="6" t="s">
        <v>624</v>
      </c>
      <c r="M187" s="8">
        <v>219900</v>
      </c>
      <c r="N187" s="35">
        <v>0.9</v>
      </c>
      <c r="O187" s="34">
        <f t="shared" si="6"/>
        <v>21990</v>
      </c>
      <c r="P187" s="6" t="s">
        <v>16</v>
      </c>
    </row>
    <row r="188" spans="1:16" x14ac:dyDescent="0.35">
      <c r="A188" s="32" t="s">
        <v>6513</v>
      </c>
      <c r="B188" s="7">
        <f t="shared" si="7"/>
        <v>46121</v>
      </c>
      <c r="C188" s="7">
        <f t="shared" si="8"/>
        <v>46127</v>
      </c>
      <c r="D188" s="6">
        <v>3281</v>
      </c>
      <c r="E188" s="6">
        <v>337</v>
      </c>
      <c r="F188" s="6">
        <v>4</v>
      </c>
      <c r="G188" s="6">
        <v>4</v>
      </c>
      <c r="H188" s="6">
        <v>81419</v>
      </c>
      <c r="I188" s="6" t="s">
        <v>17</v>
      </c>
      <c r="J188" s="6">
        <v>67591122</v>
      </c>
      <c r="K188" s="6" t="s">
        <v>621</v>
      </c>
      <c r="L188" s="6" t="s">
        <v>625</v>
      </c>
      <c r="M188" s="8">
        <v>219900</v>
      </c>
      <c r="N188" s="35">
        <v>0.9</v>
      </c>
      <c r="O188" s="34">
        <f t="shared" si="6"/>
        <v>21990</v>
      </c>
      <c r="P188" s="6" t="s">
        <v>16</v>
      </c>
    </row>
    <row r="189" spans="1:16" x14ac:dyDescent="0.35">
      <c r="A189" s="32" t="s">
        <v>6513</v>
      </c>
      <c r="B189" s="7">
        <f t="shared" si="7"/>
        <v>46121</v>
      </c>
      <c r="C189" s="7">
        <f t="shared" si="8"/>
        <v>46127</v>
      </c>
      <c r="D189" s="6">
        <v>3281</v>
      </c>
      <c r="E189" s="6">
        <v>337</v>
      </c>
      <c r="F189" s="6">
        <v>4</v>
      </c>
      <c r="G189" s="6">
        <v>4</v>
      </c>
      <c r="H189" s="6">
        <v>81419</v>
      </c>
      <c r="I189" s="6" t="s">
        <v>17</v>
      </c>
      <c r="J189" s="6">
        <v>72306028</v>
      </c>
      <c r="K189" s="6" t="s">
        <v>626</v>
      </c>
      <c r="L189" s="6" t="s">
        <v>627</v>
      </c>
      <c r="M189" s="8">
        <v>219900</v>
      </c>
      <c r="N189" s="35">
        <v>0.9</v>
      </c>
      <c r="O189" s="34">
        <f t="shared" si="6"/>
        <v>21990</v>
      </c>
      <c r="P189" s="6" t="s">
        <v>16</v>
      </c>
    </row>
    <row r="190" spans="1:16" x14ac:dyDescent="0.35">
      <c r="A190" s="32" t="s">
        <v>6513</v>
      </c>
      <c r="B190" s="7">
        <f t="shared" si="7"/>
        <v>46121</v>
      </c>
      <c r="C190" s="7">
        <f t="shared" si="8"/>
        <v>46127</v>
      </c>
      <c r="D190" s="6">
        <v>3281</v>
      </c>
      <c r="E190" s="6">
        <v>337</v>
      </c>
      <c r="F190" s="6">
        <v>4</v>
      </c>
      <c r="G190" s="6">
        <v>4</v>
      </c>
      <c r="H190" s="6">
        <v>81419</v>
      </c>
      <c r="I190" s="6" t="s">
        <v>17</v>
      </c>
      <c r="J190" s="6">
        <v>72306037</v>
      </c>
      <c r="K190" s="6" t="s">
        <v>626</v>
      </c>
      <c r="L190" s="6" t="s">
        <v>628</v>
      </c>
      <c r="M190" s="8">
        <v>219900</v>
      </c>
      <c r="N190" s="35">
        <v>0.9</v>
      </c>
      <c r="O190" s="34">
        <f t="shared" si="6"/>
        <v>21990</v>
      </c>
      <c r="P190" s="6" t="s">
        <v>16</v>
      </c>
    </row>
    <row r="191" spans="1:16" x14ac:dyDescent="0.35">
      <c r="A191" s="32" t="s">
        <v>6513</v>
      </c>
      <c r="B191" s="7">
        <f t="shared" si="7"/>
        <v>46121</v>
      </c>
      <c r="C191" s="7">
        <f t="shared" si="8"/>
        <v>46127</v>
      </c>
      <c r="D191" s="6">
        <v>3281</v>
      </c>
      <c r="E191" s="6">
        <v>337</v>
      </c>
      <c r="F191" s="6">
        <v>4</v>
      </c>
      <c r="G191" s="6">
        <v>4</v>
      </c>
      <c r="H191" s="6">
        <v>81419</v>
      </c>
      <c r="I191" s="6" t="s">
        <v>17</v>
      </c>
      <c r="J191" s="6">
        <v>72306046</v>
      </c>
      <c r="K191" s="6" t="s">
        <v>626</v>
      </c>
      <c r="L191" s="6" t="s">
        <v>629</v>
      </c>
      <c r="M191" s="8">
        <v>219900</v>
      </c>
      <c r="N191" s="35">
        <v>0.9</v>
      </c>
      <c r="O191" s="34">
        <f t="shared" si="6"/>
        <v>21990</v>
      </c>
      <c r="P191" s="6" t="s">
        <v>16</v>
      </c>
    </row>
    <row r="192" spans="1:16" x14ac:dyDescent="0.35">
      <c r="A192" s="32" t="s">
        <v>6513</v>
      </c>
      <c r="B192" s="7">
        <f t="shared" si="7"/>
        <v>46121</v>
      </c>
      <c r="C192" s="7">
        <f t="shared" si="8"/>
        <v>46127</v>
      </c>
      <c r="D192" s="6">
        <v>3281</v>
      </c>
      <c r="E192" s="6">
        <v>337</v>
      </c>
      <c r="F192" s="6">
        <v>4</v>
      </c>
      <c r="G192" s="6">
        <v>4</v>
      </c>
      <c r="H192" s="6">
        <v>81419</v>
      </c>
      <c r="I192" s="6" t="s">
        <v>17</v>
      </c>
      <c r="J192" s="6">
        <v>72306055</v>
      </c>
      <c r="K192" s="6" t="s">
        <v>626</v>
      </c>
      <c r="L192" s="6" t="s">
        <v>630</v>
      </c>
      <c r="M192" s="8">
        <v>219900</v>
      </c>
      <c r="N192" s="35">
        <v>0.9</v>
      </c>
      <c r="O192" s="34">
        <f t="shared" si="6"/>
        <v>21990</v>
      </c>
      <c r="P192" s="6" t="s">
        <v>16</v>
      </c>
    </row>
    <row r="193" spans="1:16" x14ac:dyDescent="0.35">
      <c r="A193" s="32" t="s">
        <v>6513</v>
      </c>
      <c r="B193" s="7">
        <f t="shared" si="7"/>
        <v>46121</v>
      </c>
      <c r="C193" s="7">
        <f t="shared" si="8"/>
        <v>46127</v>
      </c>
      <c r="D193" s="6">
        <v>3281</v>
      </c>
      <c r="E193" s="6">
        <v>337</v>
      </c>
      <c r="F193" s="6">
        <v>4</v>
      </c>
      <c r="G193" s="6">
        <v>4</v>
      </c>
      <c r="H193" s="6">
        <v>81419</v>
      </c>
      <c r="I193" s="6" t="s">
        <v>17</v>
      </c>
      <c r="J193" s="6">
        <v>55712979</v>
      </c>
      <c r="K193" s="6" t="s">
        <v>374</v>
      </c>
      <c r="L193" s="6" t="s">
        <v>4838</v>
      </c>
      <c r="M193" s="8">
        <v>199900</v>
      </c>
      <c r="N193" s="35">
        <v>0.9</v>
      </c>
      <c r="O193" s="34">
        <f t="shared" si="6"/>
        <v>19990</v>
      </c>
      <c r="P193" s="6" t="s">
        <v>16</v>
      </c>
    </row>
    <row r="194" spans="1:16" x14ac:dyDescent="0.35">
      <c r="A194" s="32" t="s">
        <v>6513</v>
      </c>
      <c r="B194" s="7">
        <f t="shared" si="7"/>
        <v>46121</v>
      </c>
      <c r="C194" s="7">
        <f t="shared" si="8"/>
        <v>46127</v>
      </c>
      <c r="D194" s="6">
        <v>3281</v>
      </c>
      <c r="E194" s="6">
        <v>337</v>
      </c>
      <c r="F194" s="6">
        <v>4</v>
      </c>
      <c r="G194" s="6">
        <v>4</v>
      </c>
      <c r="H194" s="6">
        <v>81419</v>
      </c>
      <c r="I194" s="6" t="s">
        <v>17</v>
      </c>
      <c r="J194" s="6">
        <v>55712988</v>
      </c>
      <c r="K194" s="6" t="s">
        <v>374</v>
      </c>
      <c r="L194" s="6" t="s">
        <v>4839</v>
      </c>
      <c r="M194" s="8">
        <v>199900</v>
      </c>
      <c r="N194" s="35">
        <v>0.9</v>
      </c>
      <c r="O194" s="34">
        <f t="shared" si="6"/>
        <v>19990</v>
      </c>
      <c r="P194" s="6" t="s">
        <v>16</v>
      </c>
    </row>
    <row r="195" spans="1:16" x14ac:dyDescent="0.35">
      <c r="A195" s="32" t="s">
        <v>6513</v>
      </c>
      <c r="B195" s="7">
        <f t="shared" si="7"/>
        <v>46121</v>
      </c>
      <c r="C195" s="7">
        <f t="shared" si="8"/>
        <v>46127</v>
      </c>
      <c r="D195" s="6">
        <v>3281</v>
      </c>
      <c r="E195" s="6">
        <v>337</v>
      </c>
      <c r="F195" s="6">
        <v>4</v>
      </c>
      <c r="G195" s="6">
        <v>4</v>
      </c>
      <c r="H195" s="6">
        <v>81419</v>
      </c>
      <c r="I195" s="6" t="s">
        <v>17</v>
      </c>
      <c r="J195" s="6">
        <v>55713003</v>
      </c>
      <c r="K195" s="6" t="s">
        <v>374</v>
      </c>
      <c r="L195" s="6" t="s">
        <v>4840</v>
      </c>
      <c r="M195" s="8">
        <v>199900</v>
      </c>
      <c r="N195" s="35">
        <v>0.9</v>
      </c>
      <c r="O195" s="34">
        <f t="shared" ref="O195:O258" si="9">M195-((90*M195)/100)</f>
        <v>19990</v>
      </c>
      <c r="P195" s="6" t="s">
        <v>16</v>
      </c>
    </row>
    <row r="196" spans="1:16" x14ac:dyDescent="0.35">
      <c r="A196" s="32" t="s">
        <v>6513</v>
      </c>
      <c r="B196" s="7">
        <f t="shared" ref="B196:B259" si="10">B195</f>
        <v>46121</v>
      </c>
      <c r="C196" s="7">
        <f t="shared" ref="C196:C259" si="11">C195</f>
        <v>46127</v>
      </c>
      <c r="D196" s="6">
        <v>3281</v>
      </c>
      <c r="E196" s="6">
        <v>337</v>
      </c>
      <c r="F196" s="6">
        <v>4</v>
      </c>
      <c r="G196" s="6">
        <v>4</v>
      </c>
      <c r="H196" s="6">
        <v>81421</v>
      </c>
      <c r="I196" s="6" t="s">
        <v>17</v>
      </c>
      <c r="J196" s="6">
        <v>67274662</v>
      </c>
      <c r="K196" s="6" t="s">
        <v>463</v>
      </c>
      <c r="L196" s="6" t="s">
        <v>464</v>
      </c>
      <c r="M196" s="8">
        <v>149900</v>
      </c>
      <c r="N196" s="35">
        <v>0.9</v>
      </c>
      <c r="O196" s="34">
        <f t="shared" si="9"/>
        <v>14990</v>
      </c>
      <c r="P196" s="6" t="s">
        <v>16</v>
      </c>
    </row>
    <row r="197" spans="1:16" x14ac:dyDescent="0.35">
      <c r="A197" s="32" t="s">
        <v>6513</v>
      </c>
      <c r="B197" s="7">
        <f t="shared" si="10"/>
        <v>46121</v>
      </c>
      <c r="C197" s="7">
        <f t="shared" si="11"/>
        <v>46127</v>
      </c>
      <c r="D197" s="6">
        <v>3281</v>
      </c>
      <c r="E197" s="6">
        <v>337</v>
      </c>
      <c r="F197" s="6">
        <v>4</v>
      </c>
      <c r="G197" s="6">
        <v>4</v>
      </c>
      <c r="H197" s="6">
        <v>81421</v>
      </c>
      <c r="I197" s="6" t="s">
        <v>17</v>
      </c>
      <c r="J197" s="6">
        <v>67274680</v>
      </c>
      <c r="K197" s="6" t="s">
        <v>463</v>
      </c>
      <c r="L197" s="6" t="s">
        <v>465</v>
      </c>
      <c r="M197" s="8">
        <v>149900</v>
      </c>
      <c r="N197" s="35">
        <v>0.9</v>
      </c>
      <c r="O197" s="34">
        <f t="shared" si="9"/>
        <v>14990</v>
      </c>
      <c r="P197" s="6" t="s">
        <v>16</v>
      </c>
    </row>
    <row r="198" spans="1:16" x14ac:dyDescent="0.35">
      <c r="A198" s="32" t="s">
        <v>6513</v>
      </c>
      <c r="B198" s="7">
        <f t="shared" si="10"/>
        <v>46121</v>
      </c>
      <c r="C198" s="7">
        <f t="shared" si="11"/>
        <v>46127</v>
      </c>
      <c r="D198" s="6">
        <v>3281</v>
      </c>
      <c r="E198" s="6">
        <v>337</v>
      </c>
      <c r="F198" s="6">
        <v>4</v>
      </c>
      <c r="G198" s="6">
        <v>4</v>
      </c>
      <c r="H198" s="6">
        <v>81421</v>
      </c>
      <c r="I198" s="6" t="s">
        <v>17</v>
      </c>
      <c r="J198" s="6">
        <v>67274699</v>
      </c>
      <c r="K198" s="6" t="s">
        <v>463</v>
      </c>
      <c r="L198" s="6" t="s">
        <v>466</v>
      </c>
      <c r="M198" s="8">
        <v>149900</v>
      </c>
      <c r="N198" s="35">
        <v>0.9</v>
      </c>
      <c r="O198" s="34">
        <f t="shared" si="9"/>
        <v>14990</v>
      </c>
      <c r="P198" s="6" t="s">
        <v>16</v>
      </c>
    </row>
    <row r="199" spans="1:16" x14ac:dyDescent="0.35">
      <c r="A199" s="32" t="s">
        <v>6513</v>
      </c>
      <c r="B199" s="7">
        <f t="shared" si="10"/>
        <v>46121</v>
      </c>
      <c r="C199" s="7">
        <f t="shared" si="11"/>
        <v>46127</v>
      </c>
      <c r="D199" s="6">
        <v>3281</v>
      </c>
      <c r="E199" s="6">
        <v>337</v>
      </c>
      <c r="F199" s="6">
        <v>4</v>
      </c>
      <c r="G199" s="6">
        <v>4</v>
      </c>
      <c r="H199" s="6">
        <v>81421</v>
      </c>
      <c r="I199" s="6" t="s">
        <v>17</v>
      </c>
      <c r="J199" s="6">
        <v>67591131</v>
      </c>
      <c r="K199" s="6" t="s">
        <v>597</v>
      </c>
      <c r="L199" s="6" t="s">
        <v>598</v>
      </c>
      <c r="M199" s="8">
        <v>199900</v>
      </c>
      <c r="N199" s="35">
        <v>0.9</v>
      </c>
      <c r="O199" s="34">
        <f t="shared" si="9"/>
        <v>19990</v>
      </c>
      <c r="P199" s="6" t="s">
        <v>16</v>
      </c>
    </row>
    <row r="200" spans="1:16" x14ac:dyDescent="0.35">
      <c r="A200" s="32" t="s">
        <v>6513</v>
      </c>
      <c r="B200" s="7">
        <f t="shared" si="10"/>
        <v>46121</v>
      </c>
      <c r="C200" s="7">
        <f t="shared" si="11"/>
        <v>46127</v>
      </c>
      <c r="D200" s="6">
        <v>3281</v>
      </c>
      <c r="E200" s="6">
        <v>337</v>
      </c>
      <c r="F200" s="6">
        <v>4</v>
      </c>
      <c r="G200" s="6">
        <v>4</v>
      </c>
      <c r="H200" s="6">
        <v>81421</v>
      </c>
      <c r="I200" s="6" t="s">
        <v>17</v>
      </c>
      <c r="J200" s="6">
        <v>67591140</v>
      </c>
      <c r="K200" s="6" t="s">
        <v>597</v>
      </c>
      <c r="L200" s="6" t="s">
        <v>599</v>
      </c>
      <c r="M200" s="8">
        <v>199900</v>
      </c>
      <c r="N200" s="35">
        <v>0.9</v>
      </c>
      <c r="O200" s="34">
        <f t="shared" si="9"/>
        <v>19990</v>
      </c>
      <c r="P200" s="6" t="s">
        <v>16</v>
      </c>
    </row>
    <row r="201" spans="1:16" x14ac:dyDescent="0.35">
      <c r="A201" s="32" t="s">
        <v>6513</v>
      </c>
      <c r="B201" s="7">
        <f t="shared" si="10"/>
        <v>46121</v>
      </c>
      <c r="C201" s="7">
        <f t="shared" si="11"/>
        <v>46127</v>
      </c>
      <c r="D201" s="6">
        <v>3281</v>
      </c>
      <c r="E201" s="6">
        <v>337</v>
      </c>
      <c r="F201" s="6">
        <v>4</v>
      </c>
      <c r="G201" s="6">
        <v>4</v>
      </c>
      <c r="H201" s="6">
        <v>81421</v>
      </c>
      <c r="I201" s="6" t="s">
        <v>17</v>
      </c>
      <c r="J201" s="6">
        <v>67591159</v>
      </c>
      <c r="K201" s="6" t="s">
        <v>597</v>
      </c>
      <c r="L201" s="6" t="s">
        <v>600</v>
      </c>
      <c r="M201" s="8">
        <v>199900</v>
      </c>
      <c r="N201" s="35">
        <v>0.9</v>
      </c>
      <c r="O201" s="34">
        <f t="shared" si="9"/>
        <v>19990</v>
      </c>
      <c r="P201" s="6" t="s">
        <v>16</v>
      </c>
    </row>
    <row r="202" spans="1:16" x14ac:dyDescent="0.35">
      <c r="A202" s="32" t="s">
        <v>6513</v>
      </c>
      <c r="B202" s="7">
        <f t="shared" si="10"/>
        <v>46121</v>
      </c>
      <c r="C202" s="7">
        <f t="shared" si="11"/>
        <v>46127</v>
      </c>
      <c r="D202" s="6">
        <v>3281</v>
      </c>
      <c r="E202" s="6">
        <v>337</v>
      </c>
      <c r="F202" s="6">
        <v>4</v>
      </c>
      <c r="G202" s="6">
        <v>4</v>
      </c>
      <c r="H202" s="6">
        <v>81421</v>
      </c>
      <c r="I202" s="6" t="s">
        <v>17</v>
      </c>
      <c r="J202" s="6">
        <v>67591168</v>
      </c>
      <c r="K202" s="6" t="s">
        <v>597</v>
      </c>
      <c r="L202" s="6" t="s">
        <v>601</v>
      </c>
      <c r="M202" s="8">
        <v>199900</v>
      </c>
      <c r="N202" s="35">
        <v>0.9</v>
      </c>
      <c r="O202" s="34">
        <f t="shared" si="9"/>
        <v>19990</v>
      </c>
      <c r="P202" s="6" t="s">
        <v>16</v>
      </c>
    </row>
    <row r="203" spans="1:16" x14ac:dyDescent="0.35">
      <c r="A203" s="32" t="s">
        <v>6513</v>
      </c>
      <c r="B203" s="7">
        <f t="shared" si="10"/>
        <v>46121</v>
      </c>
      <c r="C203" s="7">
        <f t="shared" si="11"/>
        <v>46127</v>
      </c>
      <c r="D203" s="6">
        <v>3281</v>
      </c>
      <c r="E203" s="6">
        <v>337</v>
      </c>
      <c r="F203" s="6">
        <v>4</v>
      </c>
      <c r="G203" s="6">
        <v>4</v>
      </c>
      <c r="H203" s="6">
        <v>190</v>
      </c>
      <c r="I203" s="6" t="s">
        <v>17</v>
      </c>
      <c r="J203" s="6">
        <v>67274760</v>
      </c>
      <c r="K203" s="6" t="s">
        <v>467</v>
      </c>
      <c r="L203" s="6" t="s">
        <v>468</v>
      </c>
      <c r="M203" s="8">
        <v>169900</v>
      </c>
      <c r="N203" s="35">
        <v>0.9</v>
      </c>
      <c r="O203" s="34">
        <f t="shared" si="9"/>
        <v>16990</v>
      </c>
      <c r="P203" s="6" t="s">
        <v>16</v>
      </c>
    </row>
    <row r="204" spans="1:16" x14ac:dyDescent="0.35">
      <c r="A204" s="32" t="s">
        <v>6513</v>
      </c>
      <c r="B204" s="7">
        <f t="shared" si="10"/>
        <v>46121</v>
      </c>
      <c r="C204" s="7">
        <f t="shared" si="11"/>
        <v>46127</v>
      </c>
      <c r="D204" s="6">
        <v>3281</v>
      </c>
      <c r="E204" s="6">
        <v>337</v>
      </c>
      <c r="F204" s="6">
        <v>4</v>
      </c>
      <c r="G204" s="6">
        <v>4</v>
      </c>
      <c r="H204" s="6">
        <v>190</v>
      </c>
      <c r="I204" s="6" t="s">
        <v>17</v>
      </c>
      <c r="J204" s="6">
        <v>67274779</v>
      </c>
      <c r="K204" s="6" t="s">
        <v>467</v>
      </c>
      <c r="L204" s="6" t="s">
        <v>469</v>
      </c>
      <c r="M204" s="8">
        <v>169900</v>
      </c>
      <c r="N204" s="35">
        <v>0.9</v>
      </c>
      <c r="O204" s="34">
        <f t="shared" si="9"/>
        <v>16990</v>
      </c>
      <c r="P204" s="6" t="s">
        <v>16</v>
      </c>
    </row>
    <row r="205" spans="1:16" x14ac:dyDescent="0.35">
      <c r="A205" s="32" t="s">
        <v>6513</v>
      </c>
      <c r="B205" s="7">
        <f t="shared" si="10"/>
        <v>46121</v>
      </c>
      <c r="C205" s="7">
        <f t="shared" si="11"/>
        <v>46127</v>
      </c>
      <c r="D205" s="6">
        <v>3281</v>
      </c>
      <c r="E205" s="6">
        <v>337</v>
      </c>
      <c r="F205" s="6">
        <v>4</v>
      </c>
      <c r="G205" s="6">
        <v>4</v>
      </c>
      <c r="H205" s="6">
        <v>190</v>
      </c>
      <c r="I205" s="6" t="s">
        <v>17</v>
      </c>
      <c r="J205" s="6">
        <v>67274788</v>
      </c>
      <c r="K205" s="6" t="s">
        <v>467</v>
      </c>
      <c r="L205" s="6" t="s">
        <v>470</v>
      </c>
      <c r="M205" s="8">
        <v>169900</v>
      </c>
      <c r="N205" s="35">
        <v>0.9</v>
      </c>
      <c r="O205" s="34">
        <f t="shared" si="9"/>
        <v>16990</v>
      </c>
      <c r="P205" s="6" t="s">
        <v>16</v>
      </c>
    </row>
    <row r="206" spans="1:16" x14ac:dyDescent="0.35">
      <c r="A206" s="32" t="s">
        <v>6513</v>
      </c>
      <c r="B206" s="7">
        <f t="shared" si="10"/>
        <v>46121</v>
      </c>
      <c r="C206" s="7">
        <f t="shared" si="11"/>
        <v>46127</v>
      </c>
      <c r="D206" s="6">
        <v>3281</v>
      </c>
      <c r="E206" s="6">
        <v>337</v>
      </c>
      <c r="F206" s="6">
        <v>4</v>
      </c>
      <c r="G206" s="6">
        <v>4</v>
      </c>
      <c r="H206" s="6">
        <v>190</v>
      </c>
      <c r="I206" s="6" t="s">
        <v>17</v>
      </c>
      <c r="J206" s="6">
        <v>67274797</v>
      </c>
      <c r="K206" s="6" t="s">
        <v>467</v>
      </c>
      <c r="L206" s="6" t="s">
        <v>471</v>
      </c>
      <c r="M206" s="8">
        <v>169900</v>
      </c>
      <c r="N206" s="35">
        <v>0.9</v>
      </c>
      <c r="O206" s="34">
        <f t="shared" si="9"/>
        <v>16990</v>
      </c>
      <c r="P206" s="6" t="s">
        <v>16</v>
      </c>
    </row>
    <row r="207" spans="1:16" x14ac:dyDescent="0.35">
      <c r="A207" s="32" t="s">
        <v>6513</v>
      </c>
      <c r="B207" s="7">
        <f t="shared" si="10"/>
        <v>46121</v>
      </c>
      <c r="C207" s="7">
        <f t="shared" si="11"/>
        <v>46127</v>
      </c>
      <c r="D207" s="6">
        <v>3281</v>
      </c>
      <c r="E207" s="6">
        <v>337</v>
      </c>
      <c r="F207" s="6">
        <v>4</v>
      </c>
      <c r="G207" s="6">
        <v>4</v>
      </c>
      <c r="H207" s="6">
        <v>190</v>
      </c>
      <c r="I207" s="6" t="s">
        <v>17</v>
      </c>
      <c r="J207" s="6">
        <v>78873360</v>
      </c>
      <c r="K207" s="6" t="s">
        <v>661</v>
      </c>
      <c r="L207" s="6" t="s">
        <v>662</v>
      </c>
      <c r="M207" s="8">
        <v>199900</v>
      </c>
      <c r="N207" s="35">
        <v>0.9</v>
      </c>
      <c r="O207" s="34">
        <f t="shared" si="9"/>
        <v>19990</v>
      </c>
      <c r="P207" s="6" t="s">
        <v>16</v>
      </c>
    </row>
    <row r="208" spans="1:16" x14ac:dyDescent="0.35">
      <c r="A208" s="32" t="s">
        <v>6513</v>
      </c>
      <c r="B208" s="7">
        <f t="shared" si="10"/>
        <v>46121</v>
      </c>
      <c r="C208" s="7">
        <f t="shared" si="11"/>
        <v>46127</v>
      </c>
      <c r="D208" s="6">
        <v>3281</v>
      </c>
      <c r="E208" s="6">
        <v>337</v>
      </c>
      <c r="F208" s="6">
        <v>4</v>
      </c>
      <c r="G208" s="6">
        <v>4</v>
      </c>
      <c r="H208" s="6">
        <v>190</v>
      </c>
      <c r="I208" s="6" t="s">
        <v>17</v>
      </c>
      <c r="J208" s="6">
        <v>78873379</v>
      </c>
      <c r="K208" s="6" t="s">
        <v>661</v>
      </c>
      <c r="L208" s="6" t="s">
        <v>663</v>
      </c>
      <c r="M208" s="8">
        <v>199900</v>
      </c>
      <c r="N208" s="35">
        <v>0.9</v>
      </c>
      <c r="O208" s="34">
        <f t="shared" si="9"/>
        <v>19990</v>
      </c>
      <c r="P208" s="6" t="s">
        <v>16</v>
      </c>
    </row>
    <row r="209" spans="1:16" x14ac:dyDescent="0.35">
      <c r="A209" s="32" t="s">
        <v>6513</v>
      </c>
      <c r="B209" s="7">
        <f t="shared" si="10"/>
        <v>46121</v>
      </c>
      <c r="C209" s="7">
        <f t="shared" si="11"/>
        <v>46127</v>
      </c>
      <c r="D209" s="6">
        <v>3281</v>
      </c>
      <c r="E209" s="6">
        <v>337</v>
      </c>
      <c r="F209" s="6">
        <v>4</v>
      </c>
      <c r="G209" s="6">
        <v>4</v>
      </c>
      <c r="H209" s="6">
        <v>190</v>
      </c>
      <c r="I209" s="6" t="s">
        <v>17</v>
      </c>
      <c r="J209" s="6">
        <v>78873388</v>
      </c>
      <c r="K209" s="6" t="s">
        <v>661</v>
      </c>
      <c r="L209" s="6" t="s">
        <v>664</v>
      </c>
      <c r="M209" s="8">
        <v>199900</v>
      </c>
      <c r="N209" s="35">
        <v>0.9</v>
      </c>
      <c r="O209" s="34">
        <f t="shared" si="9"/>
        <v>19990</v>
      </c>
      <c r="P209" s="6" t="s">
        <v>16</v>
      </c>
    </row>
    <row r="210" spans="1:16" x14ac:dyDescent="0.35">
      <c r="A210" s="32" t="s">
        <v>6513</v>
      </c>
      <c r="B210" s="7">
        <f t="shared" si="10"/>
        <v>46121</v>
      </c>
      <c r="C210" s="7">
        <f t="shared" si="11"/>
        <v>46127</v>
      </c>
      <c r="D210" s="6">
        <v>3281</v>
      </c>
      <c r="E210" s="6">
        <v>337</v>
      </c>
      <c r="F210" s="6">
        <v>4</v>
      </c>
      <c r="G210" s="6">
        <v>4</v>
      </c>
      <c r="H210" s="6">
        <v>190</v>
      </c>
      <c r="I210" s="6" t="s">
        <v>17</v>
      </c>
      <c r="J210" s="6">
        <v>78873397</v>
      </c>
      <c r="K210" s="6" t="s">
        <v>661</v>
      </c>
      <c r="L210" s="6" t="s">
        <v>665</v>
      </c>
      <c r="M210" s="8">
        <v>199900</v>
      </c>
      <c r="N210" s="35">
        <v>0.9</v>
      </c>
      <c r="O210" s="34">
        <f t="shared" si="9"/>
        <v>19990</v>
      </c>
      <c r="P210" s="6" t="s">
        <v>16</v>
      </c>
    </row>
    <row r="211" spans="1:16" x14ac:dyDescent="0.35">
      <c r="A211" s="32" t="s">
        <v>6513</v>
      </c>
      <c r="B211" s="7">
        <f t="shared" si="10"/>
        <v>46121</v>
      </c>
      <c r="C211" s="7">
        <f t="shared" si="11"/>
        <v>46127</v>
      </c>
      <c r="D211" s="6">
        <v>3281</v>
      </c>
      <c r="E211" s="6">
        <v>337</v>
      </c>
      <c r="F211" s="6">
        <v>4</v>
      </c>
      <c r="G211" s="6">
        <v>4</v>
      </c>
      <c r="H211" s="6">
        <v>80920</v>
      </c>
      <c r="I211" s="6" t="s">
        <v>17</v>
      </c>
      <c r="J211" s="6">
        <v>65325708</v>
      </c>
      <c r="K211" s="6" t="s">
        <v>399</v>
      </c>
      <c r="L211" s="6" t="s">
        <v>400</v>
      </c>
      <c r="M211" s="8">
        <v>249900</v>
      </c>
      <c r="N211" s="35">
        <v>0.9</v>
      </c>
      <c r="O211" s="34">
        <f t="shared" si="9"/>
        <v>24990</v>
      </c>
      <c r="P211" s="6" t="s">
        <v>16</v>
      </c>
    </row>
    <row r="212" spans="1:16" x14ac:dyDescent="0.35">
      <c r="A212" s="32" t="s">
        <v>6513</v>
      </c>
      <c r="B212" s="7">
        <f t="shared" si="10"/>
        <v>46121</v>
      </c>
      <c r="C212" s="7">
        <f t="shared" si="11"/>
        <v>46127</v>
      </c>
      <c r="D212" s="6">
        <v>3281</v>
      </c>
      <c r="E212" s="6">
        <v>337</v>
      </c>
      <c r="F212" s="6">
        <v>4</v>
      </c>
      <c r="G212" s="6">
        <v>4</v>
      </c>
      <c r="H212" s="6">
        <v>80920</v>
      </c>
      <c r="I212" s="6" t="s">
        <v>17</v>
      </c>
      <c r="J212" s="6">
        <v>65325717</v>
      </c>
      <c r="K212" s="6" t="s">
        <v>399</v>
      </c>
      <c r="L212" s="6" t="s">
        <v>401</v>
      </c>
      <c r="M212" s="8">
        <v>249900</v>
      </c>
      <c r="N212" s="35">
        <v>0.9</v>
      </c>
      <c r="O212" s="34">
        <f t="shared" si="9"/>
        <v>24990</v>
      </c>
      <c r="P212" s="6" t="s">
        <v>16</v>
      </c>
    </row>
    <row r="213" spans="1:16" x14ac:dyDescent="0.35">
      <c r="A213" s="32" t="s">
        <v>6513</v>
      </c>
      <c r="B213" s="7">
        <f t="shared" si="10"/>
        <v>46121</v>
      </c>
      <c r="C213" s="7">
        <f t="shared" si="11"/>
        <v>46127</v>
      </c>
      <c r="D213" s="6">
        <v>3281</v>
      </c>
      <c r="E213" s="6">
        <v>337</v>
      </c>
      <c r="F213" s="6">
        <v>4</v>
      </c>
      <c r="G213" s="6">
        <v>4</v>
      </c>
      <c r="H213" s="6">
        <v>80920</v>
      </c>
      <c r="I213" s="6" t="s">
        <v>17</v>
      </c>
      <c r="J213" s="6">
        <v>65325833</v>
      </c>
      <c r="K213" s="6" t="s">
        <v>402</v>
      </c>
      <c r="L213" s="6" t="s">
        <v>490</v>
      </c>
      <c r="M213" s="8">
        <v>249900</v>
      </c>
      <c r="N213" s="35">
        <v>0.9</v>
      </c>
      <c r="O213" s="34">
        <f t="shared" si="9"/>
        <v>24990</v>
      </c>
      <c r="P213" s="6" t="s">
        <v>16</v>
      </c>
    </row>
    <row r="214" spans="1:16" x14ac:dyDescent="0.35">
      <c r="A214" s="32" t="s">
        <v>6513</v>
      </c>
      <c r="B214" s="7">
        <f t="shared" si="10"/>
        <v>46121</v>
      </c>
      <c r="C214" s="7">
        <f t="shared" si="11"/>
        <v>46127</v>
      </c>
      <c r="D214" s="6">
        <v>3281</v>
      </c>
      <c r="E214" s="6">
        <v>337</v>
      </c>
      <c r="F214" s="6">
        <v>4</v>
      </c>
      <c r="G214" s="6">
        <v>4</v>
      </c>
      <c r="H214" s="6">
        <v>80920</v>
      </c>
      <c r="I214" s="6" t="s">
        <v>17</v>
      </c>
      <c r="J214" s="6">
        <v>65325851</v>
      </c>
      <c r="K214" s="6" t="s">
        <v>402</v>
      </c>
      <c r="L214" s="6" t="s">
        <v>403</v>
      </c>
      <c r="M214" s="8">
        <v>249900</v>
      </c>
      <c r="N214" s="35">
        <v>0.9</v>
      </c>
      <c r="O214" s="34">
        <f t="shared" si="9"/>
        <v>24990</v>
      </c>
      <c r="P214" s="6" t="s">
        <v>16</v>
      </c>
    </row>
    <row r="215" spans="1:16" x14ac:dyDescent="0.35">
      <c r="A215" s="32" t="s">
        <v>6513</v>
      </c>
      <c r="B215" s="7">
        <f t="shared" si="10"/>
        <v>46121</v>
      </c>
      <c r="C215" s="7">
        <f t="shared" si="11"/>
        <v>46127</v>
      </c>
      <c r="D215" s="6">
        <v>3281</v>
      </c>
      <c r="E215" s="6">
        <v>337</v>
      </c>
      <c r="F215" s="6">
        <v>4</v>
      </c>
      <c r="G215" s="6">
        <v>4</v>
      </c>
      <c r="H215" s="6">
        <v>81574</v>
      </c>
      <c r="I215" s="6" t="s">
        <v>17</v>
      </c>
      <c r="J215" s="6">
        <v>65325646</v>
      </c>
      <c r="K215" s="6" t="s">
        <v>404</v>
      </c>
      <c r="L215" s="6" t="s">
        <v>492</v>
      </c>
      <c r="M215" s="8">
        <v>289900</v>
      </c>
      <c r="N215" s="35">
        <v>0.9</v>
      </c>
      <c r="O215" s="34">
        <f t="shared" si="9"/>
        <v>28990</v>
      </c>
      <c r="P215" s="6" t="s">
        <v>16</v>
      </c>
    </row>
    <row r="216" spans="1:16" x14ac:dyDescent="0.35">
      <c r="A216" s="32" t="s">
        <v>6513</v>
      </c>
      <c r="B216" s="7">
        <f t="shared" si="10"/>
        <v>46121</v>
      </c>
      <c r="C216" s="7">
        <f t="shared" si="11"/>
        <v>46127</v>
      </c>
      <c r="D216" s="6">
        <v>3281</v>
      </c>
      <c r="E216" s="6">
        <v>337</v>
      </c>
      <c r="F216" s="6">
        <v>4</v>
      </c>
      <c r="G216" s="6">
        <v>4</v>
      </c>
      <c r="H216" s="6">
        <v>81574</v>
      </c>
      <c r="I216" s="6" t="s">
        <v>17</v>
      </c>
      <c r="J216" s="6">
        <v>65325655</v>
      </c>
      <c r="K216" s="6" t="s">
        <v>404</v>
      </c>
      <c r="L216" s="6" t="s">
        <v>491</v>
      </c>
      <c r="M216" s="8">
        <v>289900</v>
      </c>
      <c r="N216" s="35">
        <v>0.9</v>
      </c>
      <c r="O216" s="34">
        <f t="shared" si="9"/>
        <v>28990</v>
      </c>
      <c r="P216" s="6" t="s">
        <v>16</v>
      </c>
    </row>
    <row r="217" spans="1:16" x14ac:dyDescent="0.35">
      <c r="A217" s="32" t="s">
        <v>6513</v>
      </c>
      <c r="B217" s="7">
        <f t="shared" si="10"/>
        <v>46121</v>
      </c>
      <c r="C217" s="7">
        <f t="shared" si="11"/>
        <v>46127</v>
      </c>
      <c r="D217" s="6">
        <v>3281</v>
      </c>
      <c r="E217" s="6">
        <v>337</v>
      </c>
      <c r="F217" s="6">
        <v>4</v>
      </c>
      <c r="G217" s="6">
        <v>4</v>
      </c>
      <c r="H217" s="6">
        <v>81574</v>
      </c>
      <c r="I217" s="6" t="s">
        <v>17</v>
      </c>
      <c r="J217" s="6">
        <v>66329891</v>
      </c>
      <c r="K217" s="6" t="s">
        <v>404</v>
      </c>
      <c r="L217" s="6" t="s">
        <v>405</v>
      </c>
      <c r="M217" s="8">
        <v>289900</v>
      </c>
      <c r="N217" s="35">
        <v>0.9</v>
      </c>
      <c r="O217" s="34">
        <f t="shared" si="9"/>
        <v>28990</v>
      </c>
      <c r="P217" s="6" t="s">
        <v>16</v>
      </c>
    </row>
    <row r="218" spans="1:16" x14ac:dyDescent="0.35">
      <c r="A218" s="32" t="s">
        <v>6513</v>
      </c>
      <c r="B218" s="7">
        <f t="shared" si="10"/>
        <v>46121</v>
      </c>
      <c r="C218" s="7">
        <f t="shared" si="11"/>
        <v>46127</v>
      </c>
      <c r="D218" s="6">
        <v>3281</v>
      </c>
      <c r="E218" s="6">
        <v>337</v>
      </c>
      <c r="F218" s="6">
        <v>4</v>
      </c>
      <c r="G218" s="6">
        <v>4</v>
      </c>
      <c r="H218" s="6">
        <v>81574</v>
      </c>
      <c r="I218" s="6" t="s">
        <v>17</v>
      </c>
      <c r="J218" s="6">
        <v>66329908</v>
      </c>
      <c r="K218" s="6" t="s">
        <v>404</v>
      </c>
      <c r="L218" s="6" t="s">
        <v>406</v>
      </c>
      <c r="M218" s="8">
        <v>289900</v>
      </c>
      <c r="N218" s="35">
        <v>0.9</v>
      </c>
      <c r="O218" s="34">
        <f t="shared" si="9"/>
        <v>28990</v>
      </c>
      <c r="P218" s="6" t="s">
        <v>16</v>
      </c>
    </row>
    <row r="219" spans="1:16" x14ac:dyDescent="0.35">
      <c r="A219" s="32" t="s">
        <v>6513</v>
      </c>
      <c r="B219" s="7">
        <f t="shared" si="10"/>
        <v>46121</v>
      </c>
      <c r="C219" s="7">
        <f t="shared" si="11"/>
        <v>46127</v>
      </c>
      <c r="D219" s="6">
        <v>3281</v>
      </c>
      <c r="E219" s="6">
        <v>337</v>
      </c>
      <c r="F219" s="6">
        <v>4</v>
      </c>
      <c r="G219" s="6">
        <v>5</v>
      </c>
      <c r="H219" s="6">
        <v>80994</v>
      </c>
      <c r="I219" s="6" t="s">
        <v>17</v>
      </c>
      <c r="J219" s="6">
        <v>73366597</v>
      </c>
      <c r="K219" s="6" t="s">
        <v>570</v>
      </c>
      <c r="L219" s="6" t="s">
        <v>571</v>
      </c>
      <c r="M219" s="8">
        <v>239900</v>
      </c>
      <c r="N219" s="35">
        <v>0.9</v>
      </c>
      <c r="O219" s="34">
        <f t="shared" si="9"/>
        <v>23990</v>
      </c>
      <c r="P219" s="6" t="s">
        <v>16</v>
      </c>
    </row>
    <row r="220" spans="1:16" x14ac:dyDescent="0.35">
      <c r="A220" s="32" t="s">
        <v>6513</v>
      </c>
      <c r="B220" s="7">
        <f t="shared" si="10"/>
        <v>46121</v>
      </c>
      <c r="C220" s="7">
        <f t="shared" si="11"/>
        <v>46127</v>
      </c>
      <c r="D220" s="6">
        <v>3281</v>
      </c>
      <c r="E220" s="6">
        <v>337</v>
      </c>
      <c r="F220" s="6">
        <v>4</v>
      </c>
      <c r="G220" s="6">
        <v>5</v>
      </c>
      <c r="H220" s="6">
        <v>80994</v>
      </c>
      <c r="I220" s="6" t="s">
        <v>17</v>
      </c>
      <c r="J220" s="6">
        <v>73366604</v>
      </c>
      <c r="K220" s="6" t="s">
        <v>570</v>
      </c>
      <c r="L220" s="6" t="s">
        <v>572</v>
      </c>
      <c r="M220" s="8">
        <v>239900</v>
      </c>
      <c r="N220" s="35">
        <v>0.9</v>
      </c>
      <c r="O220" s="34">
        <f t="shared" si="9"/>
        <v>23990</v>
      </c>
      <c r="P220" s="6" t="s">
        <v>16</v>
      </c>
    </row>
    <row r="221" spans="1:16" x14ac:dyDescent="0.35">
      <c r="A221" s="32" t="s">
        <v>6513</v>
      </c>
      <c r="B221" s="7">
        <f t="shared" si="10"/>
        <v>46121</v>
      </c>
      <c r="C221" s="7">
        <f t="shared" si="11"/>
        <v>46127</v>
      </c>
      <c r="D221" s="6">
        <v>3281</v>
      </c>
      <c r="E221" s="6">
        <v>337</v>
      </c>
      <c r="F221" s="6">
        <v>4</v>
      </c>
      <c r="G221" s="6">
        <v>5</v>
      </c>
      <c r="H221" s="6">
        <v>80994</v>
      </c>
      <c r="I221" s="6" t="s">
        <v>17</v>
      </c>
      <c r="J221" s="6">
        <v>73366613</v>
      </c>
      <c r="K221" s="6" t="s">
        <v>570</v>
      </c>
      <c r="L221" s="6" t="s">
        <v>573</v>
      </c>
      <c r="M221" s="8">
        <v>239900</v>
      </c>
      <c r="N221" s="35">
        <v>0.9</v>
      </c>
      <c r="O221" s="34">
        <f t="shared" si="9"/>
        <v>23990</v>
      </c>
      <c r="P221" s="6" t="s">
        <v>16</v>
      </c>
    </row>
    <row r="222" spans="1:16" x14ac:dyDescent="0.35">
      <c r="A222" s="32" t="s">
        <v>6513</v>
      </c>
      <c r="B222" s="7">
        <f t="shared" si="10"/>
        <v>46121</v>
      </c>
      <c r="C222" s="7">
        <f t="shared" si="11"/>
        <v>46127</v>
      </c>
      <c r="D222" s="6">
        <v>3281</v>
      </c>
      <c r="E222" s="6">
        <v>337</v>
      </c>
      <c r="F222" s="6">
        <v>4</v>
      </c>
      <c r="G222" s="6">
        <v>5</v>
      </c>
      <c r="H222" s="6">
        <v>81419</v>
      </c>
      <c r="I222" s="6" t="s">
        <v>17</v>
      </c>
      <c r="J222" s="6">
        <v>64787300</v>
      </c>
      <c r="K222" s="6" t="s">
        <v>378</v>
      </c>
      <c r="L222" s="6" t="s">
        <v>379</v>
      </c>
      <c r="M222" s="8">
        <v>229900</v>
      </c>
      <c r="N222" s="35">
        <v>0.9</v>
      </c>
      <c r="O222" s="34">
        <f t="shared" si="9"/>
        <v>22990</v>
      </c>
      <c r="P222" s="6" t="s">
        <v>16</v>
      </c>
    </row>
    <row r="223" spans="1:16" x14ac:dyDescent="0.35">
      <c r="A223" s="32" t="s">
        <v>6513</v>
      </c>
      <c r="B223" s="7">
        <f t="shared" si="10"/>
        <v>46121</v>
      </c>
      <c r="C223" s="7">
        <f t="shared" si="11"/>
        <v>46127</v>
      </c>
      <c r="D223" s="6">
        <v>3281</v>
      </c>
      <c r="E223" s="6">
        <v>337</v>
      </c>
      <c r="F223" s="6">
        <v>4</v>
      </c>
      <c r="G223" s="6">
        <v>5</v>
      </c>
      <c r="H223" s="6">
        <v>81419</v>
      </c>
      <c r="I223" s="6" t="s">
        <v>17</v>
      </c>
      <c r="J223" s="6">
        <v>64787319</v>
      </c>
      <c r="K223" s="6" t="s">
        <v>378</v>
      </c>
      <c r="L223" s="6" t="s">
        <v>380</v>
      </c>
      <c r="M223" s="8">
        <v>229900</v>
      </c>
      <c r="N223" s="35">
        <v>0.9</v>
      </c>
      <c r="O223" s="34">
        <f t="shared" si="9"/>
        <v>22990</v>
      </c>
      <c r="P223" s="6" t="s">
        <v>16</v>
      </c>
    </row>
    <row r="224" spans="1:16" x14ac:dyDescent="0.35">
      <c r="A224" s="32" t="s">
        <v>6513</v>
      </c>
      <c r="B224" s="7">
        <f t="shared" si="10"/>
        <v>46121</v>
      </c>
      <c r="C224" s="7">
        <f t="shared" si="11"/>
        <v>46127</v>
      </c>
      <c r="D224" s="6">
        <v>3281</v>
      </c>
      <c r="E224" s="6">
        <v>337</v>
      </c>
      <c r="F224" s="6">
        <v>4</v>
      </c>
      <c r="G224" s="6">
        <v>5</v>
      </c>
      <c r="H224" s="6">
        <v>81419</v>
      </c>
      <c r="I224" s="6" t="s">
        <v>17</v>
      </c>
      <c r="J224" s="6">
        <v>67275054</v>
      </c>
      <c r="K224" s="6" t="s">
        <v>610</v>
      </c>
      <c r="L224" s="6" t="s">
        <v>611</v>
      </c>
      <c r="M224" s="8">
        <v>229900</v>
      </c>
      <c r="N224" s="35">
        <v>0.9</v>
      </c>
      <c r="O224" s="34">
        <f t="shared" si="9"/>
        <v>22990</v>
      </c>
      <c r="P224" s="6" t="s">
        <v>16</v>
      </c>
    </row>
    <row r="225" spans="1:16" x14ac:dyDescent="0.35">
      <c r="A225" s="32" t="s">
        <v>6513</v>
      </c>
      <c r="B225" s="7">
        <f t="shared" si="10"/>
        <v>46121</v>
      </c>
      <c r="C225" s="7">
        <f t="shared" si="11"/>
        <v>46127</v>
      </c>
      <c r="D225" s="6">
        <v>3281</v>
      </c>
      <c r="E225" s="6">
        <v>337</v>
      </c>
      <c r="F225" s="6">
        <v>4</v>
      </c>
      <c r="G225" s="6">
        <v>5</v>
      </c>
      <c r="H225" s="6">
        <v>81419</v>
      </c>
      <c r="I225" s="6" t="s">
        <v>17</v>
      </c>
      <c r="J225" s="6">
        <v>67275063</v>
      </c>
      <c r="K225" s="6" t="s">
        <v>610</v>
      </c>
      <c r="L225" s="6" t="s">
        <v>612</v>
      </c>
      <c r="M225" s="8">
        <v>229900</v>
      </c>
      <c r="N225" s="35">
        <v>0.9</v>
      </c>
      <c r="O225" s="34">
        <f t="shared" si="9"/>
        <v>22990</v>
      </c>
      <c r="P225" s="6" t="s">
        <v>16</v>
      </c>
    </row>
    <row r="226" spans="1:16" x14ac:dyDescent="0.35">
      <c r="A226" s="32" t="s">
        <v>6513</v>
      </c>
      <c r="B226" s="7">
        <f t="shared" si="10"/>
        <v>46121</v>
      </c>
      <c r="C226" s="7">
        <f t="shared" si="11"/>
        <v>46127</v>
      </c>
      <c r="D226" s="6">
        <v>3281</v>
      </c>
      <c r="E226" s="6">
        <v>337</v>
      </c>
      <c r="F226" s="6">
        <v>4</v>
      </c>
      <c r="G226" s="6">
        <v>5</v>
      </c>
      <c r="H226" s="6">
        <v>81419</v>
      </c>
      <c r="I226" s="6" t="s">
        <v>17</v>
      </c>
      <c r="J226" s="6">
        <v>67275072</v>
      </c>
      <c r="K226" s="6" t="s">
        <v>610</v>
      </c>
      <c r="L226" s="6" t="s">
        <v>613</v>
      </c>
      <c r="M226" s="8">
        <v>229900</v>
      </c>
      <c r="N226" s="35">
        <v>0.9</v>
      </c>
      <c r="O226" s="34">
        <f t="shared" si="9"/>
        <v>22990</v>
      </c>
      <c r="P226" s="6" t="s">
        <v>16</v>
      </c>
    </row>
    <row r="227" spans="1:16" x14ac:dyDescent="0.35">
      <c r="A227" s="32" t="s">
        <v>6513</v>
      </c>
      <c r="B227" s="7">
        <f t="shared" si="10"/>
        <v>46121</v>
      </c>
      <c r="C227" s="7">
        <f t="shared" si="11"/>
        <v>46127</v>
      </c>
      <c r="D227" s="6">
        <v>3281</v>
      </c>
      <c r="E227" s="6">
        <v>337</v>
      </c>
      <c r="F227" s="6">
        <v>4</v>
      </c>
      <c r="G227" s="6">
        <v>5</v>
      </c>
      <c r="H227" s="6">
        <v>81419</v>
      </c>
      <c r="I227" s="6" t="s">
        <v>17</v>
      </c>
      <c r="J227" s="6">
        <v>67275161</v>
      </c>
      <c r="K227" s="6" t="s">
        <v>556</v>
      </c>
      <c r="L227" s="6" t="s">
        <v>557</v>
      </c>
      <c r="M227" s="8">
        <v>239900</v>
      </c>
      <c r="N227" s="35">
        <v>0.9</v>
      </c>
      <c r="O227" s="34">
        <f t="shared" si="9"/>
        <v>23990</v>
      </c>
      <c r="P227" s="6" t="s">
        <v>16</v>
      </c>
    </row>
    <row r="228" spans="1:16" x14ac:dyDescent="0.35">
      <c r="A228" s="32" t="s">
        <v>6513</v>
      </c>
      <c r="B228" s="7">
        <f t="shared" si="10"/>
        <v>46121</v>
      </c>
      <c r="C228" s="7">
        <f t="shared" si="11"/>
        <v>46127</v>
      </c>
      <c r="D228" s="6">
        <v>3281</v>
      </c>
      <c r="E228" s="6">
        <v>337</v>
      </c>
      <c r="F228" s="6">
        <v>4</v>
      </c>
      <c r="G228" s="6">
        <v>5</v>
      </c>
      <c r="H228" s="6">
        <v>81419</v>
      </c>
      <c r="I228" s="6" t="s">
        <v>17</v>
      </c>
      <c r="J228" s="6">
        <v>67275170</v>
      </c>
      <c r="K228" s="6" t="s">
        <v>556</v>
      </c>
      <c r="L228" s="6" t="s">
        <v>558</v>
      </c>
      <c r="M228" s="8">
        <v>239900</v>
      </c>
      <c r="N228" s="35">
        <v>0.9</v>
      </c>
      <c r="O228" s="34">
        <f t="shared" si="9"/>
        <v>23990</v>
      </c>
      <c r="P228" s="6" t="s">
        <v>16</v>
      </c>
    </row>
    <row r="229" spans="1:16" x14ac:dyDescent="0.35">
      <c r="A229" s="32" t="s">
        <v>6513</v>
      </c>
      <c r="B229" s="7">
        <f t="shared" si="10"/>
        <v>46121</v>
      </c>
      <c r="C229" s="7">
        <f t="shared" si="11"/>
        <v>46127</v>
      </c>
      <c r="D229" s="6">
        <v>3281</v>
      </c>
      <c r="E229" s="6">
        <v>337</v>
      </c>
      <c r="F229" s="6">
        <v>4</v>
      </c>
      <c r="G229" s="6">
        <v>5</v>
      </c>
      <c r="H229" s="6">
        <v>81419</v>
      </c>
      <c r="I229" s="6" t="s">
        <v>17</v>
      </c>
      <c r="J229" s="6">
        <v>67275189</v>
      </c>
      <c r="K229" s="6" t="s">
        <v>556</v>
      </c>
      <c r="L229" s="6" t="s">
        <v>559</v>
      </c>
      <c r="M229" s="8">
        <v>239900</v>
      </c>
      <c r="N229" s="35">
        <v>0.9</v>
      </c>
      <c r="O229" s="34">
        <f t="shared" si="9"/>
        <v>23990</v>
      </c>
      <c r="P229" s="6" t="s">
        <v>16</v>
      </c>
    </row>
    <row r="230" spans="1:16" x14ac:dyDescent="0.35">
      <c r="A230" s="32" t="s">
        <v>6513</v>
      </c>
      <c r="B230" s="7">
        <f t="shared" si="10"/>
        <v>46121</v>
      </c>
      <c r="C230" s="7">
        <f t="shared" si="11"/>
        <v>46127</v>
      </c>
      <c r="D230" s="6">
        <v>3281</v>
      </c>
      <c r="E230" s="6">
        <v>337</v>
      </c>
      <c r="F230" s="6">
        <v>4</v>
      </c>
      <c r="G230" s="6">
        <v>5</v>
      </c>
      <c r="H230" s="6">
        <v>81419</v>
      </c>
      <c r="I230" s="6" t="s">
        <v>17</v>
      </c>
      <c r="J230" s="6">
        <v>67275198</v>
      </c>
      <c r="K230" s="6" t="s">
        <v>556</v>
      </c>
      <c r="L230" s="6" t="s">
        <v>560</v>
      </c>
      <c r="M230" s="8">
        <v>239900</v>
      </c>
      <c r="N230" s="35">
        <v>0.9</v>
      </c>
      <c r="O230" s="34">
        <f t="shared" si="9"/>
        <v>23990</v>
      </c>
      <c r="P230" s="6" t="s">
        <v>16</v>
      </c>
    </row>
    <row r="231" spans="1:16" x14ac:dyDescent="0.35">
      <c r="A231" s="32" t="s">
        <v>6513</v>
      </c>
      <c r="B231" s="7">
        <f t="shared" si="10"/>
        <v>46121</v>
      </c>
      <c r="C231" s="7">
        <f t="shared" si="11"/>
        <v>46127</v>
      </c>
      <c r="D231" s="6">
        <v>3281</v>
      </c>
      <c r="E231" s="6">
        <v>337</v>
      </c>
      <c r="F231" s="6">
        <v>4</v>
      </c>
      <c r="G231" s="6">
        <v>5</v>
      </c>
      <c r="H231" s="6">
        <v>81419</v>
      </c>
      <c r="I231" s="6" t="s">
        <v>17</v>
      </c>
      <c r="J231" s="6">
        <v>67591346</v>
      </c>
      <c r="K231" s="6" t="s">
        <v>617</v>
      </c>
      <c r="L231" s="6" t="s">
        <v>618</v>
      </c>
      <c r="M231" s="8">
        <v>249900</v>
      </c>
      <c r="N231" s="35">
        <v>0.9</v>
      </c>
      <c r="O231" s="34">
        <f t="shared" si="9"/>
        <v>24990</v>
      </c>
      <c r="P231" s="6" t="s">
        <v>16</v>
      </c>
    </row>
    <row r="232" spans="1:16" x14ac:dyDescent="0.35">
      <c r="A232" s="32" t="s">
        <v>6513</v>
      </c>
      <c r="B232" s="7">
        <f t="shared" si="10"/>
        <v>46121</v>
      </c>
      <c r="C232" s="7">
        <f t="shared" si="11"/>
        <v>46127</v>
      </c>
      <c r="D232" s="6">
        <v>3281</v>
      </c>
      <c r="E232" s="6">
        <v>337</v>
      </c>
      <c r="F232" s="6">
        <v>4</v>
      </c>
      <c r="G232" s="6">
        <v>5</v>
      </c>
      <c r="H232" s="6">
        <v>81419</v>
      </c>
      <c r="I232" s="6" t="s">
        <v>17</v>
      </c>
      <c r="J232" s="6">
        <v>67591355</v>
      </c>
      <c r="K232" s="6" t="s">
        <v>617</v>
      </c>
      <c r="L232" s="6" t="s">
        <v>619</v>
      </c>
      <c r="M232" s="8">
        <v>249900</v>
      </c>
      <c r="N232" s="35">
        <v>0.9</v>
      </c>
      <c r="O232" s="34">
        <f t="shared" si="9"/>
        <v>24990</v>
      </c>
      <c r="P232" s="6" t="s">
        <v>16</v>
      </c>
    </row>
    <row r="233" spans="1:16" x14ac:dyDescent="0.35">
      <c r="A233" s="32" t="s">
        <v>6513</v>
      </c>
      <c r="B233" s="7">
        <f t="shared" si="10"/>
        <v>46121</v>
      </c>
      <c r="C233" s="7">
        <f t="shared" si="11"/>
        <v>46127</v>
      </c>
      <c r="D233" s="6">
        <v>3281</v>
      </c>
      <c r="E233" s="6">
        <v>337</v>
      </c>
      <c r="F233" s="6">
        <v>4</v>
      </c>
      <c r="G233" s="6">
        <v>5</v>
      </c>
      <c r="H233" s="6">
        <v>81419</v>
      </c>
      <c r="I233" s="6" t="s">
        <v>17</v>
      </c>
      <c r="J233" s="6">
        <v>67591364</v>
      </c>
      <c r="K233" s="6" t="s">
        <v>617</v>
      </c>
      <c r="L233" s="6" t="s">
        <v>620</v>
      </c>
      <c r="M233" s="8">
        <v>249900</v>
      </c>
      <c r="N233" s="35">
        <v>0.9</v>
      </c>
      <c r="O233" s="34">
        <f t="shared" si="9"/>
        <v>24990</v>
      </c>
      <c r="P233" s="6" t="s">
        <v>16</v>
      </c>
    </row>
    <row r="234" spans="1:16" x14ac:dyDescent="0.35">
      <c r="A234" s="32" t="s">
        <v>6513</v>
      </c>
      <c r="B234" s="7">
        <f t="shared" si="10"/>
        <v>46121</v>
      </c>
      <c r="C234" s="7">
        <f t="shared" si="11"/>
        <v>46127</v>
      </c>
      <c r="D234" s="6">
        <v>3281</v>
      </c>
      <c r="E234" s="6">
        <v>337</v>
      </c>
      <c r="F234" s="6">
        <v>4</v>
      </c>
      <c r="G234" s="6">
        <v>5</v>
      </c>
      <c r="H234" s="6">
        <v>81419</v>
      </c>
      <c r="I234" s="6" t="s">
        <v>17</v>
      </c>
      <c r="J234" s="6">
        <v>70230327</v>
      </c>
      <c r="K234" s="6" t="s">
        <v>642</v>
      </c>
      <c r="L234" s="6" t="s">
        <v>643</v>
      </c>
      <c r="M234" s="8">
        <v>229900</v>
      </c>
      <c r="N234" s="35">
        <v>0.9</v>
      </c>
      <c r="O234" s="34">
        <f t="shared" si="9"/>
        <v>22990</v>
      </c>
      <c r="P234" s="6" t="s">
        <v>16</v>
      </c>
    </row>
    <row r="235" spans="1:16" x14ac:dyDescent="0.35">
      <c r="A235" s="32" t="s">
        <v>6513</v>
      </c>
      <c r="B235" s="7">
        <f t="shared" si="10"/>
        <v>46121</v>
      </c>
      <c r="C235" s="7">
        <f t="shared" si="11"/>
        <v>46127</v>
      </c>
      <c r="D235" s="6">
        <v>3281</v>
      </c>
      <c r="E235" s="6">
        <v>337</v>
      </c>
      <c r="F235" s="6">
        <v>4</v>
      </c>
      <c r="G235" s="6">
        <v>5</v>
      </c>
      <c r="H235" s="6">
        <v>81419</v>
      </c>
      <c r="I235" s="6" t="s">
        <v>17</v>
      </c>
      <c r="J235" s="6">
        <v>70230336</v>
      </c>
      <c r="K235" s="6" t="s">
        <v>642</v>
      </c>
      <c r="L235" s="6" t="s">
        <v>644</v>
      </c>
      <c r="M235" s="8">
        <v>229900</v>
      </c>
      <c r="N235" s="35">
        <v>0.9</v>
      </c>
      <c r="O235" s="34">
        <f t="shared" si="9"/>
        <v>22990</v>
      </c>
      <c r="P235" s="6" t="s">
        <v>16</v>
      </c>
    </row>
    <row r="236" spans="1:16" x14ac:dyDescent="0.35">
      <c r="A236" s="32" t="s">
        <v>6513</v>
      </c>
      <c r="B236" s="7">
        <f t="shared" si="10"/>
        <v>46121</v>
      </c>
      <c r="C236" s="7">
        <f t="shared" si="11"/>
        <v>46127</v>
      </c>
      <c r="D236" s="6">
        <v>3281</v>
      </c>
      <c r="E236" s="6">
        <v>337</v>
      </c>
      <c r="F236" s="6">
        <v>4</v>
      </c>
      <c r="G236" s="6">
        <v>5</v>
      </c>
      <c r="H236" s="6">
        <v>81419</v>
      </c>
      <c r="I236" s="6" t="s">
        <v>17</v>
      </c>
      <c r="J236" s="6">
        <v>70230345</v>
      </c>
      <c r="K236" s="6" t="s">
        <v>642</v>
      </c>
      <c r="L236" s="6" t="s">
        <v>645</v>
      </c>
      <c r="M236" s="8">
        <v>229900</v>
      </c>
      <c r="N236" s="35">
        <v>0.9</v>
      </c>
      <c r="O236" s="34">
        <f t="shared" si="9"/>
        <v>22990</v>
      </c>
      <c r="P236" s="6" t="s">
        <v>16</v>
      </c>
    </row>
    <row r="237" spans="1:16" x14ac:dyDescent="0.35">
      <c r="A237" s="32" t="s">
        <v>6513</v>
      </c>
      <c r="B237" s="7">
        <f t="shared" si="10"/>
        <v>46121</v>
      </c>
      <c r="C237" s="7">
        <f t="shared" si="11"/>
        <v>46127</v>
      </c>
      <c r="D237" s="6">
        <v>3281</v>
      </c>
      <c r="E237" s="6">
        <v>337</v>
      </c>
      <c r="F237" s="6">
        <v>4</v>
      </c>
      <c r="G237" s="6">
        <v>5</v>
      </c>
      <c r="H237" s="6">
        <v>81419</v>
      </c>
      <c r="I237" s="6" t="s">
        <v>17</v>
      </c>
      <c r="J237" s="6">
        <v>72306064</v>
      </c>
      <c r="K237" s="6" t="s">
        <v>561</v>
      </c>
      <c r="L237" s="6" t="s">
        <v>562</v>
      </c>
      <c r="M237" s="8">
        <v>239900</v>
      </c>
      <c r="N237" s="35">
        <v>0.9</v>
      </c>
      <c r="O237" s="34">
        <f t="shared" si="9"/>
        <v>23990</v>
      </c>
      <c r="P237" s="6" t="s">
        <v>16</v>
      </c>
    </row>
    <row r="238" spans="1:16" x14ac:dyDescent="0.35">
      <c r="A238" s="32" t="s">
        <v>6513</v>
      </c>
      <c r="B238" s="7">
        <f t="shared" si="10"/>
        <v>46121</v>
      </c>
      <c r="C238" s="7">
        <f t="shared" si="11"/>
        <v>46127</v>
      </c>
      <c r="D238" s="6">
        <v>3281</v>
      </c>
      <c r="E238" s="6">
        <v>337</v>
      </c>
      <c r="F238" s="6">
        <v>4</v>
      </c>
      <c r="G238" s="6">
        <v>5</v>
      </c>
      <c r="H238" s="6">
        <v>81419</v>
      </c>
      <c r="I238" s="6" t="s">
        <v>17</v>
      </c>
      <c r="J238" s="6">
        <v>72306073</v>
      </c>
      <c r="K238" s="6" t="s">
        <v>561</v>
      </c>
      <c r="L238" s="6" t="s">
        <v>563</v>
      </c>
      <c r="M238" s="8">
        <v>239900</v>
      </c>
      <c r="N238" s="35">
        <v>0.9</v>
      </c>
      <c r="O238" s="34">
        <f t="shared" si="9"/>
        <v>23990</v>
      </c>
      <c r="P238" s="6" t="s">
        <v>16</v>
      </c>
    </row>
    <row r="239" spans="1:16" x14ac:dyDescent="0.35">
      <c r="A239" s="32" t="s">
        <v>6513</v>
      </c>
      <c r="B239" s="7">
        <f t="shared" si="10"/>
        <v>46121</v>
      </c>
      <c r="C239" s="7">
        <f t="shared" si="11"/>
        <v>46127</v>
      </c>
      <c r="D239" s="6">
        <v>3281</v>
      </c>
      <c r="E239" s="6">
        <v>337</v>
      </c>
      <c r="F239" s="6">
        <v>4</v>
      </c>
      <c r="G239" s="6">
        <v>5</v>
      </c>
      <c r="H239" s="6">
        <v>81419</v>
      </c>
      <c r="I239" s="6" t="s">
        <v>17</v>
      </c>
      <c r="J239" s="6">
        <v>72306082</v>
      </c>
      <c r="K239" s="6" t="s">
        <v>561</v>
      </c>
      <c r="L239" s="6" t="s">
        <v>564</v>
      </c>
      <c r="M239" s="8">
        <v>239900</v>
      </c>
      <c r="N239" s="35">
        <v>0.9</v>
      </c>
      <c r="O239" s="34">
        <f t="shared" si="9"/>
        <v>23990</v>
      </c>
      <c r="P239" s="6" t="s">
        <v>16</v>
      </c>
    </row>
    <row r="240" spans="1:16" x14ac:dyDescent="0.35">
      <c r="A240" s="32" t="s">
        <v>6513</v>
      </c>
      <c r="B240" s="7">
        <f t="shared" si="10"/>
        <v>46121</v>
      </c>
      <c r="C240" s="7">
        <f t="shared" si="11"/>
        <v>46127</v>
      </c>
      <c r="D240" s="6">
        <v>3281</v>
      </c>
      <c r="E240" s="6">
        <v>337</v>
      </c>
      <c r="F240" s="6">
        <v>4</v>
      </c>
      <c r="G240" s="6">
        <v>5</v>
      </c>
      <c r="H240" s="6">
        <v>81419</v>
      </c>
      <c r="I240" s="6" t="s">
        <v>17</v>
      </c>
      <c r="J240" s="6">
        <v>72306091</v>
      </c>
      <c r="K240" s="6" t="s">
        <v>561</v>
      </c>
      <c r="L240" s="6" t="s">
        <v>565</v>
      </c>
      <c r="M240" s="8">
        <v>239900</v>
      </c>
      <c r="N240" s="35">
        <v>0.9</v>
      </c>
      <c r="O240" s="34">
        <f t="shared" si="9"/>
        <v>23990</v>
      </c>
      <c r="P240" s="6" t="s">
        <v>16</v>
      </c>
    </row>
    <row r="241" spans="1:16" x14ac:dyDescent="0.35">
      <c r="A241" s="32" t="s">
        <v>6513</v>
      </c>
      <c r="B241" s="7">
        <f t="shared" si="10"/>
        <v>46121</v>
      </c>
      <c r="C241" s="7">
        <f t="shared" si="11"/>
        <v>46127</v>
      </c>
      <c r="D241" s="6">
        <v>3281</v>
      </c>
      <c r="E241" s="6">
        <v>337</v>
      </c>
      <c r="F241" s="6">
        <v>4</v>
      </c>
      <c r="G241" s="6">
        <v>5</v>
      </c>
      <c r="H241" s="6">
        <v>81419</v>
      </c>
      <c r="I241" s="6" t="s">
        <v>17</v>
      </c>
      <c r="J241" s="6">
        <v>73366551</v>
      </c>
      <c r="K241" s="6" t="s">
        <v>566</v>
      </c>
      <c r="L241" s="6" t="s">
        <v>567</v>
      </c>
      <c r="M241" s="8">
        <v>249900</v>
      </c>
      <c r="N241" s="35">
        <v>0.9</v>
      </c>
      <c r="O241" s="34">
        <f t="shared" si="9"/>
        <v>24990</v>
      </c>
      <c r="P241" s="6" t="s">
        <v>16</v>
      </c>
    </row>
    <row r="242" spans="1:16" x14ac:dyDescent="0.35">
      <c r="A242" s="32" t="s">
        <v>6513</v>
      </c>
      <c r="B242" s="7">
        <f t="shared" si="10"/>
        <v>46121</v>
      </c>
      <c r="C242" s="7">
        <f t="shared" si="11"/>
        <v>46127</v>
      </c>
      <c r="D242" s="6">
        <v>3281</v>
      </c>
      <c r="E242" s="6">
        <v>337</v>
      </c>
      <c r="F242" s="6">
        <v>4</v>
      </c>
      <c r="G242" s="6">
        <v>5</v>
      </c>
      <c r="H242" s="6">
        <v>81419</v>
      </c>
      <c r="I242" s="6" t="s">
        <v>17</v>
      </c>
      <c r="J242" s="6">
        <v>73366560</v>
      </c>
      <c r="K242" s="6" t="s">
        <v>566</v>
      </c>
      <c r="L242" s="6" t="s">
        <v>568</v>
      </c>
      <c r="M242" s="8">
        <v>249900</v>
      </c>
      <c r="N242" s="35">
        <v>0.9</v>
      </c>
      <c r="O242" s="34">
        <f t="shared" si="9"/>
        <v>24990</v>
      </c>
      <c r="P242" s="6" t="s">
        <v>16</v>
      </c>
    </row>
    <row r="243" spans="1:16" x14ac:dyDescent="0.35">
      <c r="A243" s="32" t="s">
        <v>6513</v>
      </c>
      <c r="B243" s="7">
        <f t="shared" si="10"/>
        <v>46121</v>
      </c>
      <c r="C243" s="7">
        <f t="shared" si="11"/>
        <v>46127</v>
      </c>
      <c r="D243" s="6">
        <v>3281</v>
      </c>
      <c r="E243" s="6">
        <v>337</v>
      </c>
      <c r="F243" s="6">
        <v>4</v>
      </c>
      <c r="G243" s="6">
        <v>5</v>
      </c>
      <c r="H243" s="6">
        <v>81419</v>
      </c>
      <c r="I243" s="6" t="s">
        <v>17</v>
      </c>
      <c r="J243" s="6">
        <v>73366579</v>
      </c>
      <c r="K243" s="6" t="s">
        <v>566</v>
      </c>
      <c r="L243" s="6" t="s">
        <v>569</v>
      </c>
      <c r="M243" s="8">
        <v>249900</v>
      </c>
      <c r="N243" s="35">
        <v>0.9</v>
      </c>
      <c r="O243" s="34">
        <f t="shared" si="9"/>
        <v>24990</v>
      </c>
      <c r="P243" s="6" t="s">
        <v>16</v>
      </c>
    </row>
    <row r="244" spans="1:16" x14ac:dyDescent="0.35">
      <c r="A244" s="32" t="s">
        <v>6513</v>
      </c>
      <c r="B244" s="7">
        <f t="shared" si="10"/>
        <v>46121</v>
      </c>
      <c r="C244" s="7">
        <f t="shared" si="11"/>
        <v>46127</v>
      </c>
      <c r="D244" s="6">
        <v>3281</v>
      </c>
      <c r="E244" s="6">
        <v>337</v>
      </c>
      <c r="F244" s="6">
        <v>4</v>
      </c>
      <c r="G244" s="6">
        <v>5</v>
      </c>
      <c r="H244" s="6">
        <v>81419</v>
      </c>
      <c r="I244" s="6" t="s">
        <v>17</v>
      </c>
      <c r="J244" s="6">
        <v>55713192</v>
      </c>
      <c r="K244" s="6" t="s">
        <v>310</v>
      </c>
      <c r="L244" s="6" t="s">
        <v>4841</v>
      </c>
      <c r="M244" s="8">
        <v>229900</v>
      </c>
      <c r="N244" s="35">
        <v>0.9</v>
      </c>
      <c r="O244" s="34">
        <f t="shared" si="9"/>
        <v>22990</v>
      </c>
      <c r="P244" s="6" t="s">
        <v>16</v>
      </c>
    </row>
    <row r="245" spans="1:16" x14ac:dyDescent="0.35">
      <c r="A245" s="32" t="s">
        <v>6513</v>
      </c>
      <c r="B245" s="7">
        <f t="shared" si="10"/>
        <v>46121</v>
      </c>
      <c r="C245" s="7">
        <f t="shared" si="11"/>
        <v>46127</v>
      </c>
      <c r="D245" s="6">
        <v>3281</v>
      </c>
      <c r="E245" s="6">
        <v>337</v>
      </c>
      <c r="F245" s="6">
        <v>4</v>
      </c>
      <c r="G245" s="6">
        <v>5</v>
      </c>
      <c r="H245" s="6">
        <v>81419</v>
      </c>
      <c r="I245" s="6" t="s">
        <v>17</v>
      </c>
      <c r="J245" s="6">
        <v>55713209</v>
      </c>
      <c r="K245" s="6" t="s">
        <v>310</v>
      </c>
      <c r="L245" s="6" t="s">
        <v>4842</v>
      </c>
      <c r="M245" s="8">
        <v>229900</v>
      </c>
      <c r="N245" s="35">
        <v>0.9</v>
      </c>
      <c r="O245" s="34">
        <f t="shared" si="9"/>
        <v>22990</v>
      </c>
      <c r="P245" s="6" t="s">
        <v>16</v>
      </c>
    </row>
    <row r="246" spans="1:16" x14ac:dyDescent="0.35">
      <c r="A246" s="32" t="s">
        <v>6513</v>
      </c>
      <c r="B246" s="7">
        <f t="shared" si="10"/>
        <v>46121</v>
      </c>
      <c r="C246" s="7">
        <f t="shared" si="11"/>
        <v>46127</v>
      </c>
      <c r="D246" s="6">
        <v>3281</v>
      </c>
      <c r="E246" s="6">
        <v>337</v>
      </c>
      <c r="F246" s="6">
        <v>4</v>
      </c>
      <c r="G246" s="6">
        <v>5</v>
      </c>
      <c r="H246" s="6">
        <v>81419</v>
      </c>
      <c r="I246" s="6" t="s">
        <v>17</v>
      </c>
      <c r="J246" s="6">
        <v>55713218</v>
      </c>
      <c r="K246" s="6" t="s">
        <v>310</v>
      </c>
      <c r="L246" s="6" t="s">
        <v>4843</v>
      </c>
      <c r="M246" s="8">
        <v>229900</v>
      </c>
      <c r="N246" s="35">
        <v>0.9</v>
      </c>
      <c r="O246" s="34">
        <f t="shared" si="9"/>
        <v>22990</v>
      </c>
      <c r="P246" s="6" t="s">
        <v>16</v>
      </c>
    </row>
    <row r="247" spans="1:16" x14ac:dyDescent="0.35">
      <c r="A247" s="32" t="s">
        <v>6513</v>
      </c>
      <c r="B247" s="7">
        <f t="shared" si="10"/>
        <v>46121</v>
      </c>
      <c r="C247" s="7">
        <f t="shared" si="11"/>
        <v>46127</v>
      </c>
      <c r="D247" s="6">
        <v>3281</v>
      </c>
      <c r="E247" s="6">
        <v>337</v>
      </c>
      <c r="F247" s="6">
        <v>4</v>
      </c>
      <c r="G247" s="6">
        <v>5</v>
      </c>
      <c r="H247" s="6">
        <v>81419</v>
      </c>
      <c r="I247" s="6" t="s">
        <v>17</v>
      </c>
      <c r="J247" s="6">
        <v>55713227</v>
      </c>
      <c r="K247" s="6" t="s">
        <v>310</v>
      </c>
      <c r="L247" s="6" t="s">
        <v>4844</v>
      </c>
      <c r="M247" s="8">
        <v>229900</v>
      </c>
      <c r="N247" s="35">
        <v>0.9</v>
      </c>
      <c r="O247" s="34">
        <f t="shared" si="9"/>
        <v>22990</v>
      </c>
      <c r="P247" s="6" t="s">
        <v>16</v>
      </c>
    </row>
    <row r="248" spans="1:16" x14ac:dyDescent="0.35">
      <c r="A248" s="32" t="s">
        <v>6513</v>
      </c>
      <c r="B248" s="7">
        <f t="shared" si="10"/>
        <v>46121</v>
      </c>
      <c r="C248" s="7">
        <f t="shared" si="11"/>
        <v>46127</v>
      </c>
      <c r="D248" s="6">
        <v>3281</v>
      </c>
      <c r="E248" s="6">
        <v>337</v>
      </c>
      <c r="F248" s="6">
        <v>4</v>
      </c>
      <c r="G248" s="6">
        <v>5</v>
      </c>
      <c r="H248" s="6">
        <v>81419</v>
      </c>
      <c r="I248" s="6" t="s">
        <v>17</v>
      </c>
      <c r="J248" s="6">
        <v>55719114</v>
      </c>
      <c r="K248" s="6" t="s">
        <v>389</v>
      </c>
      <c r="L248" s="6" t="s">
        <v>476</v>
      </c>
      <c r="M248" s="8">
        <v>249900</v>
      </c>
      <c r="N248" s="35">
        <v>0.9</v>
      </c>
      <c r="O248" s="34">
        <f t="shared" si="9"/>
        <v>24990</v>
      </c>
      <c r="P248" s="6" t="s">
        <v>16</v>
      </c>
    </row>
    <row r="249" spans="1:16" x14ac:dyDescent="0.35">
      <c r="A249" s="32" t="s">
        <v>6513</v>
      </c>
      <c r="B249" s="7">
        <f t="shared" si="10"/>
        <v>46121</v>
      </c>
      <c r="C249" s="7">
        <f t="shared" si="11"/>
        <v>46127</v>
      </c>
      <c r="D249" s="6">
        <v>3281</v>
      </c>
      <c r="E249" s="6">
        <v>337</v>
      </c>
      <c r="F249" s="6">
        <v>4</v>
      </c>
      <c r="G249" s="6">
        <v>5</v>
      </c>
      <c r="H249" s="6">
        <v>81419</v>
      </c>
      <c r="I249" s="6" t="s">
        <v>17</v>
      </c>
      <c r="J249" s="6">
        <v>55719123</v>
      </c>
      <c r="K249" s="6" t="s">
        <v>389</v>
      </c>
      <c r="L249" s="6" t="s">
        <v>390</v>
      </c>
      <c r="M249" s="8">
        <v>249900</v>
      </c>
      <c r="N249" s="35">
        <v>0.9</v>
      </c>
      <c r="O249" s="34">
        <f t="shared" si="9"/>
        <v>24990</v>
      </c>
      <c r="P249" s="6" t="s">
        <v>16</v>
      </c>
    </row>
    <row r="250" spans="1:16" x14ac:dyDescent="0.35">
      <c r="A250" s="32" t="s">
        <v>6513</v>
      </c>
      <c r="B250" s="7">
        <f t="shared" si="10"/>
        <v>46121</v>
      </c>
      <c r="C250" s="7">
        <f t="shared" si="11"/>
        <v>46127</v>
      </c>
      <c r="D250" s="6">
        <v>3281</v>
      </c>
      <c r="E250" s="6">
        <v>337</v>
      </c>
      <c r="F250" s="6">
        <v>4</v>
      </c>
      <c r="G250" s="6">
        <v>5</v>
      </c>
      <c r="H250" s="6">
        <v>81419</v>
      </c>
      <c r="I250" s="6" t="s">
        <v>17</v>
      </c>
      <c r="J250" s="6">
        <v>63597955</v>
      </c>
      <c r="K250" s="6" t="s">
        <v>529</v>
      </c>
      <c r="L250" s="6" t="s">
        <v>530</v>
      </c>
      <c r="M250" s="8">
        <v>239900</v>
      </c>
      <c r="N250" s="35">
        <v>0.9</v>
      </c>
      <c r="O250" s="34">
        <f t="shared" si="9"/>
        <v>23990</v>
      </c>
      <c r="P250" s="6" t="s">
        <v>16</v>
      </c>
    </row>
    <row r="251" spans="1:16" x14ac:dyDescent="0.35">
      <c r="A251" s="32" t="s">
        <v>6513</v>
      </c>
      <c r="B251" s="7">
        <f t="shared" si="10"/>
        <v>46121</v>
      </c>
      <c r="C251" s="7">
        <f t="shared" si="11"/>
        <v>46127</v>
      </c>
      <c r="D251" s="6">
        <v>3281</v>
      </c>
      <c r="E251" s="6">
        <v>337</v>
      </c>
      <c r="F251" s="6">
        <v>4</v>
      </c>
      <c r="G251" s="6">
        <v>5</v>
      </c>
      <c r="H251" s="6">
        <v>81419</v>
      </c>
      <c r="I251" s="6" t="s">
        <v>17</v>
      </c>
      <c r="J251" s="6">
        <v>63597964</v>
      </c>
      <c r="K251" s="6" t="s">
        <v>529</v>
      </c>
      <c r="L251" s="6" t="s">
        <v>532</v>
      </c>
      <c r="M251" s="8">
        <v>239900</v>
      </c>
      <c r="N251" s="35">
        <v>0.9</v>
      </c>
      <c r="O251" s="34">
        <f t="shared" si="9"/>
        <v>23990</v>
      </c>
      <c r="P251" s="6" t="s">
        <v>16</v>
      </c>
    </row>
    <row r="252" spans="1:16" x14ac:dyDescent="0.35">
      <c r="A252" s="32" t="s">
        <v>6513</v>
      </c>
      <c r="B252" s="7">
        <f t="shared" si="10"/>
        <v>46121</v>
      </c>
      <c r="C252" s="7">
        <f t="shared" si="11"/>
        <v>46127</v>
      </c>
      <c r="D252" s="6">
        <v>3281</v>
      </c>
      <c r="E252" s="6">
        <v>337</v>
      </c>
      <c r="F252" s="6">
        <v>4</v>
      </c>
      <c r="G252" s="6">
        <v>5</v>
      </c>
      <c r="H252" s="6">
        <v>81419</v>
      </c>
      <c r="I252" s="6" t="s">
        <v>17</v>
      </c>
      <c r="J252" s="6">
        <v>63597973</v>
      </c>
      <c r="K252" s="6" t="s">
        <v>529</v>
      </c>
      <c r="L252" s="6" t="s">
        <v>531</v>
      </c>
      <c r="M252" s="8">
        <v>239900</v>
      </c>
      <c r="N252" s="35">
        <v>0.9</v>
      </c>
      <c r="O252" s="34">
        <f t="shared" si="9"/>
        <v>23990</v>
      </c>
      <c r="P252" s="6" t="s">
        <v>16</v>
      </c>
    </row>
    <row r="253" spans="1:16" x14ac:dyDescent="0.35">
      <c r="A253" s="32" t="s">
        <v>6513</v>
      </c>
      <c r="B253" s="7">
        <f t="shared" si="10"/>
        <v>46121</v>
      </c>
      <c r="C253" s="7">
        <f t="shared" si="11"/>
        <v>46127</v>
      </c>
      <c r="D253" s="6">
        <v>3281</v>
      </c>
      <c r="E253" s="6">
        <v>337</v>
      </c>
      <c r="F253" s="6">
        <v>4</v>
      </c>
      <c r="G253" s="6">
        <v>5</v>
      </c>
      <c r="H253" s="6">
        <v>81419</v>
      </c>
      <c r="I253" s="6" t="s">
        <v>17</v>
      </c>
      <c r="J253" s="6">
        <v>64787373</v>
      </c>
      <c r="K253" s="6" t="s">
        <v>523</v>
      </c>
      <c r="L253" s="6" t="s">
        <v>525</v>
      </c>
      <c r="M253" s="8">
        <v>239900</v>
      </c>
      <c r="N253" s="35">
        <v>0.9</v>
      </c>
      <c r="O253" s="34">
        <f t="shared" si="9"/>
        <v>23990</v>
      </c>
      <c r="P253" s="6" t="s">
        <v>16</v>
      </c>
    </row>
    <row r="254" spans="1:16" x14ac:dyDescent="0.35">
      <c r="A254" s="32" t="s">
        <v>6513</v>
      </c>
      <c r="B254" s="7">
        <f t="shared" si="10"/>
        <v>46121</v>
      </c>
      <c r="C254" s="7">
        <f t="shared" si="11"/>
        <v>46127</v>
      </c>
      <c r="D254" s="6">
        <v>3281</v>
      </c>
      <c r="E254" s="6">
        <v>337</v>
      </c>
      <c r="F254" s="6">
        <v>4</v>
      </c>
      <c r="G254" s="6">
        <v>5</v>
      </c>
      <c r="H254" s="6">
        <v>81419</v>
      </c>
      <c r="I254" s="6" t="s">
        <v>17</v>
      </c>
      <c r="J254" s="6">
        <v>64787391</v>
      </c>
      <c r="K254" s="6" t="s">
        <v>523</v>
      </c>
      <c r="L254" s="6" t="s">
        <v>524</v>
      </c>
      <c r="M254" s="8">
        <v>239900</v>
      </c>
      <c r="N254" s="35">
        <v>0.9</v>
      </c>
      <c r="O254" s="34">
        <f t="shared" si="9"/>
        <v>23990</v>
      </c>
      <c r="P254" s="6" t="s">
        <v>16</v>
      </c>
    </row>
    <row r="255" spans="1:16" x14ac:dyDescent="0.35">
      <c r="A255" s="32" t="s">
        <v>6513</v>
      </c>
      <c r="B255" s="7">
        <f t="shared" si="10"/>
        <v>46121</v>
      </c>
      <c r="C255" s="7">
        <f t="shared" si="11"/>
        <v>46127</v>
      </c>
      <c r="D255" s="6">
        <v>3281</v>
      </c>
      <c r="E255" s="6">
        <v>337</v>
      </c>
      <c r="F255" s="6">
        <v>4</v>
      </c>
      <c r="G255" s="6">
        <v>5</v>
      </c>
      <c r="H255" s="6">
        <v>81419</v>
      </c>
      <c r="I255" s="6" t="s">
        <v>17</v>
      </c>
      <c r="J255" s="6">
        <v>65327215</v>
      </c>
      <c r="K255" s="6" t="s">
        <v>493</v>
      </c>
      <c r="L255" s="6" t="s">
        <v>494</v>
      </c>
      <c r="M255" s="8">
        <v>239900</v>
      </c>
      <c r="N255" s="35">
        <v>0.9</v>
      </c>
      <c r="O255" s="34">
        <f t="shared" si="9"/>
        <v>23990</v>
      </c>
      <c r="P255" s="6" t="s">
        <v>16</v>
      </c>
    </row>
    <row r="256" spans="1:16" x14ac:dyDescent="0.35">
      <c r="A256" s="32" t="s">
        <v>6513</v>
      </c>
      <c r="B256" s="7">
        <f t="shared" si="10"/>
        <v>46121</v>
      </c>
      <c r="C256" s="7">
        <f t="shared" si="11"/>
        <v>46127</v>
      </c>
      <c r="D256" s="6">
        <v>3281</v>
      </c>
      <c r="E256" s="6">
        <v>337</v>
      </c>
      <c r="F256" s="6">
        <v>4</v>
      </c>
      <c r="G256" s="6">
        <v>5</v>
      </c>
      <c r="H256" s="6">
        <v>81419</v>
      </c>
      <c r="I256" s="6" t="s">
        <v>17</v>
      </c>
      <c r="J256" s="6">
        <v>67274966</v>
      </c>
      <c r="K256" s="6" t="s">
        <v>483</v>
      </c>
      <c r="L256" s="6" t="s">
        <v>484</v>
      </c>
      <c r="M256" s="8">
        <v>229900</v>
      </c>
      <c r="N256" s="35">
        <v>0.9</v>
      </c>
      <c r="O256" s="34">
        <f t="shared" si="9"/>
        <v>22990</v>
      </c>
      <c r="P256" s="6" t="s">
        <v>16</v>
      </c>
    </row>
    <row r="257" spans="1:16" x14ac:dyDescent="0.35">
      <c r="A257" s="32" t="s">
        <v>6513</v>
      </c>
      <c r="B257" s="7">
        <f t="shared" si="10"/>
        <v>46121</v>
      </c>
      <c r="C257" s="7">
        <f t="shared" si="11"/>
        <v>46127</v>
      </c>
      <c r="D257" s="6">
        <v>3281</v>
      </c>
      <c r="E257" s="6">
        <v>337</v>
      </c>
      <c r="F257" s="6">
        <v>4</v>
      </c>
      <c r="G257" s="6">
        <v>5</v>
      </c>
      <c r="H257" s="6">
        <v>81419</v>
      </c>
      <c r="I257" s="6" t="s">
        <v>17</v>
      </c>
      <c r="J257" s="6">
        <v>67274975</v>
      </c>
      <c r="K257" s="6" t="s">
        <v>483</v>
      </c>
      <c r="L257" s="6" t="s">
        <v>528</v>
      </c>
      <c r="M257" s="8">
        <v>229900</v>
      </c>
      <c r="N257" s="35">
        <v>0.9</v>
      </c>
      <c r="O257" s="34">
        <f t="shared" si="9"/>
        <v>22990</v>
      </c>
      <c r="P257" s="6" t="s">
        <v>16</v>
      </c>
    </row>
    <row r="258" spans="1:16" x14ac:dyDescent="0.35">
      <c r="A258" s="32" t="s">
        <v>6513</v>
      </c>
      <c r="B258" s="7">
        <f t="shared" si="10"/>
        <v>46121</v>
      </c>
      <c r="C258" s="7">
        <f t="shared" si="11"/>
        <v>46127</v>
      </c>
      <c r="D258" s="6">
        <v>3281</v>
      </c>
      <c r="E258" s="6">
        <v>337</v>
      </c>
      <c r="F258" s="6">
        <v>4</v>
      </c>
      <c r="G258" s="6">
        <v>5</v>
      </c>
      <c r="H258" s="6">
        <v>81419</v>
      </c>
      <c r="I258" s="6" t="s">
        <v>17</v>
      </c>
      <c r="J258" s="6">
        <v>67274984</v>
      </c>
      <c r="K258" s="6" t="s">
        <v>483</v>
      </c>
      <c r="L258" s="6" t="s">
        <v>485</v>
      </c>
      <c r="M258" s="8">
        <v>229900</v>
      </c>
      <c r="N258" s="35">
        <v>0.9</v>
      </c>
      <c r="O258" s="34">
        <f t="shared" si="9"/>
        <v>22990</v>
      </c>
      <c r="P258" s="6" t="s">
        <v>16</v>
      </c>
    </row>
    <row r="259" spans="1:16" x14ac:dyDescent="0.35">
      <c r="A259" s="32" t="s">
        <v>6513</v>
      </c>
      <c r="B259" s="7">
        <f t="shared" si="10"/>
        <v>46121</v>
      </c>
      <c r="C259" s="7">
        <f t="shared" si="11"/>
        <v>46127</v>
      </c>
      <c r="D259" s="6">
        <v>3281</v>
      </c>
      <c r="E259" s="6">
        <v>337</v>
      </c>
      <c r="F259" s="6">
        <v>4</v>
      </c>
      <c r="G259" s="6">
        <v>5</v>
      </c>
      <c r="H259" s="6">
        <v>81419</v>
      </c>
      <c r="I259" s="6" t="s">
        <v>17</v>
      </c>
      <c r="J259" s="6">
        <v>67274993</v>
      </c>
      <c r="K259" s="6" t="s">
        <v>483</v>
      </c>
      <c r="L259" s="6" t="s">
        <v>486</v>
      </c>
      <c r="M259" s="8">
        <v>229900</v>
      </c>
      <c r="N259" s="35">
        <v>0.9</v>
      </c>
      <c r="O259" s="34">
        <f t="shared" ref="O259:O297" si="12">M259-((90*M259)/100)</f>
        <v>22990</v>
      </c>
      <c r="P259" s="6" t="s">
        <v>16</v>
      </c>
    </row>
    <row r="260" spans="1:16" x14ac:dyDescent="0.35">
      <c r="A260" s="32" t="s">
        <v>6513</v>
      </c>
      <c r="B260" s="7">
        <f t="shared" ref="B260:B297" si="13">B259</f>
        <v>46121</v>
      </c>
      <c r="C260" s="7">
        <f t="shared" ref="C260:C297" si="14">C259</f>
        <v>46127</v>
      </c>
      <c r="D260" s="6">
        <v>3281</v>
      </c>
      <c r="E260" s="6">
        <v>337</v>
      </c>
      <c r="F260" s="6">
        <v>4</v>
      </c>
      <c r="G260" s="6">
        <v>5</v>
      </c>
      <c r="H260" s="6">
        <v>81421</v>
      </c>
      <c r="I260" s="6" t="s">
        <v>17</v>
      </c>
      <c r="J260" s="6">
        <v>63597400</v>
      </c>
      <c r="K260" s="6" t="s">
        <v>375</v>
      </c>
      <c r="L260" s="6" t="s">
        <v>376</v>
      </c>
      <c r="M260" s="8">
        <v>229900</v>
      </c>
      <c r="N260" s="35">
        <v>0.9</v>
      </c>
      <c r="O260" s="34">
        <f t="shared" si="12"/>
        <v>22990</v>
      </c>
      <c r="P260" s="6" t="s">
        <v>16</v>
      </c>
    </row>
    <row r="261" spans="1:16" x14ac:dyDescent="0.35">
      <c r="A261" s="32" t="s">
        <v>6513</v>
      </c>
      <c r="B261" s="7">
        <f t="shared" si="13"/>
        <v>46121</v>
      </c>
      <c r="C261" s="7">
        <f t="shared" si="14"/>
        <v>46127</v>
      </c>
      <c r="D261" s="6">
        <v>3281</v>
      </c>
      <c r="E261" s="6">
        <v>337</v>
      </c>
      <c r="F261" s="6">
        <v>4</v>
      </c>
      <c r="G261" s="6">
        <v>5</v>
      </c>
      <c r="H261" s="6">
        <v>81421</v>
      </c>
      <c r="I261" s="6" t="s">
        <v>17</v>
      </c>
      <c r="J261" s="6">
        <v>63597428</v>
      </c>
      <c r="K261" s="6" t="s">
        <v>375</v>
      </c>
      <c r="L261" s="6" t="s">
        <v>377</v>
      </c>
      <c r="M261" s="8">
        <v>229900</v>
      </c>
      <c r="N261" s="35">
        <v>0.9</v>
      </c>
      <c r="O261" s="34">
        <f t="shared" si="12"/>
        <v>22990</v>
      </c>
      <c r="P261" s="6" t="s">
        <v>16</v>
      </c>
    </row>
    <row r="262" spans="1:16" x14ac:dyDescent="0.35">
      <c r="A262" s="32" t="s">
        <v>6513</v>
      </c>
      <c r="B262" s="7">
        <f t="shared" si="13"/>
        <v>46121</v>
      </c>
      <c r="C262" s="7">
        <f t="shared" si="14"/>
        <v>46127</v>
      </c>
      <c r="D262" s="6">
        <v>3281</v>
      </c>
      <c r="E262" s="6">
        <v>337</v>
      </c>
      <c r="F262" s="6">
        <v>4</v>
      </c>
      <c r="G262" s="6">
        <v>5</v>
      </c>
      <c r="H262" s="6">
        <v>81421</v>
      </c>
      <c r="I262" s="6" t="s">
        <v>17</v>
      </c>
      <c r="J262" s="6">
        <v>63597526</v>
      </c>
      <c r="K262" s="6" t="s">
        <v>391</v>
      </c>
      <c r="L262" s="6" t="s">
        <v>477</v>
      </c>
      <c r="M262" s="8">
        <v>239900</v>
      </c>
      <c r="N262" s="35">
        <v>0.9</v>
      </c>
      <c r="O262" s="34">
        <f t="shared" si="12"/>
        <v>23990</v>
      </c>
      <c r="P262" s="6" t="s">
        <v>16</v>
      </c>
    </row>
    <row r="263" spans="1:16" x14ac:dyDescent="0.35">
      <c r="A263" s="32" t="s">
        <v>6513</v>
      </c>
      <c r="B263" s="7">
        <f t="shared" si="13"/>
        <v>46121</v>
      </c>
      <c r="C263" s="7">
        <f t="shared" si="14"/>
        <v>46127</v>
      </c>
      <c r="D263" s="6">
        <v>3281</v>
      </c>
      <c r="E263" s="6">
        <v>337</v>
      </c>
      <c r="F263" s="6">
        <v>4</v>
      </c>
      <c r="G263" s="6">
        <v>5</v>
      </c>
      <c r="H263" s="6">
        <v>81421</v>
      </c>
      <c r="I263" s="6" t="s">
        <v>17</v>
      </c>
      <c r="J263" s="6">
        <v>63597535</v>
      </c>
      <c r="K263" s="6" t="s">
        <v>391</v>
      </c>
      <c r="L263" s="6" t="s">
        <v>392</v>
      </c>
      <c r="M263" s="8">
        <v>239900</v>
      </c>
      <c r="N263" s="35">
        <v>0.9</v>
      </c>
      <c r="O263" s="34">
        <f t="shared" si="12"/>
        <v>23990</v>
      </c>
      <c r="P263" s="6" t="s">
        <v>16</v>
      </c>
    </row>
    <row r="264" spans="1:16" x14ac:dyDescent="0.35">
      <c r="A264" s="32" t="s">
        <v>6513</v>
      </c>
      <c r="B264" s="7">
        <f t="shared" si="13"/>
        <v>46121</v>
      </c>
      <c r="C264" s="7">
        <f t="shared" si="14"/>
        <v>46127</v>
      </c>
      <c r="D264" s="6">
        <v>3281</v>
      </c>
      <c r="E264" s="6">
        <v>337</v>
      </c>
      <c r="F264" s="6">
        <v>4</v>
      </c>
      <c r="G264" s="6">
        <v>5</v>
      </c>
      <c r="H264" s="6">
        <v>81421</v>
      </c>
      <c r="I264" s="6" t="s">
        <v>17</v>
      </c>
      <c r="J264" s="6">
        <v>63597544</v>
      </c>
      <c r="K264" s="6" t="s">
        <v>391</v>
      </c>
      <c r="L264" s="6" t="s">
        <v>393</v>
      </c>
      <c r="M264" s="8">
        <v>239900</v>
      </c>
      <c r="N264" s="35">
        <v>0.9</v>
      </c>
      <c r="O264" s="34">
        <f t="shared" si="12"/>
        <v>23990</v>
      </c>
      <c r="P264" s="6" t="s">
        <v>16</v>
      </c>
    </row>
    <row r="265" spans="1:16" x14ac:dyDescent="0.35">
      <c r="A265" s="32" t="s">
        <v>6513</v>
      </c>
      <c r="B265" s="7">
        <f t="shared" si="13"/>
        <v>46121</v>
      </c>
      <c r="C265" s="7">
        <f t="shared" si="14"/>
        <v>46127</v>
      </c>
      <c r="D265" s="6">
        <v>3281</v>
      </c>
      <c r="E265" s="6">
        <v>337</v>
      </c>
      <c r="F265" s="6">
        <v>4</v>
      </c>
      <c r="G265" s="6">
        <v>5</v>
      </c>
      <c r="H265" s="6">
        <v>81421</v>
      </c>
      <c r="I265" s="6" t="s">
        <v>17</v>
      </c>
      <c r="J265" s="6">
        <v>63597866</v>
      </c>
      <c r="K265" s="6" t="s">
        <v>394</v>
      </c>
      <c r="L265" s="6" t="s">
        <v>395</v>
      </c>
      <c r="M265" s="8">
        <v>239900</v>
      </c>
      <c r="N265" s="35">
        <v>0.9</v>
      </c>
      <c r="O265" s="34">
        <f t="shared" si="12"/>
        <v>23990</v>
      </c>
      <c r="P265" s="6" t="s">
        <v>16</v>
      </c>
    </row>
    <row r="266" spans="1:16" x14ac:dyDescent="0.35">
      <c r="A266" s="32" t="s">
        <v>6513</v>
      </c>
      <c r="B266" s="7">
        <f t="shared" si="13"/>
        <v>46121</v>
      </c>
      <c r="C266" s="7">
        <f t="shared" si="14"/>
        <v>46127</v>
      </c>
      <c r="D266" s="6">
        <v>3281</v>
      </c>
      <c r="E266" s="6">
        <v>337</v>
      </c>
      <c r="F266" s="6">
        <v>4</v>
      </c>
      <c r="G266" s="6">
        <v>5</v>
      </c>
      <c r="H266" s="6">
        <v>81421</v>
      </c>
      <c r="I266" s="6" t="s">
        <v>17</v>
      </c>
      <c r="J266" s="6">
        <v>63597884</v>
      </c>
      <c r="K266" s="6" t="s">
        <v>394</v>
      </c>
      <c r="L266" s="6" t="s">
        <v>396</v>
      </c>
      <c r="M266" s="8">
        <v>239900</v>
      </c>
      <c r="N266" s="35">
        <v>0.9</v>
      </c>
      <c r="O266" s="34">
        <f t="shared" si="12"/>
        <v>23990</v>
      </c>
      <c r="P266" s="6" t="s">
        <v>16</v>
      </c>
    </row>
    <row r="267" spans="1:16" x14ac:dyDescent="0.35">
      <c r="A267" s="32" t="s">
        <v>6513</v>
      </c>
      <c r="B267" s="7">
        <f t="shared" si="13"/>
        <v>46121</v>
      </c>
      <c r="C267" s="7">
        <f t="shared" si="14"/>
        <v>46127</v>
      </c>
      <c r="D267" s="6">
        <v>3281</v>
      </c>
      <c r="E267" s="6">
        <v>337</v>
      </c>
      <c r="F267" s="6">
        <v>4</v>
      </c>
      <c r="G267" s="6">
        <v>5</v>
      </c>
      <c r="H267" s="6">
        <v>81421</v>
      </c>
      <c r="I267" s="6" t="s">
        <v>17</v>
      </c>
      <c r="J267" s="6">
        <v>65518063</v>
      </c>
      <c r="K267" s="6" t="s">
        <v>397</v>
      </c>
      <c r="L267" s="6" t="s">
        <v>398</v>
      </c>
      <c r="M267" s="8">
        <v>229900</v>
      </c>
      <c r="N267" s="35">
        <v>0.9</v>
      </c>
      <c r="O267" s="34">
        <f t="shared" si="12"/>
        <v>22990</v>
      </c>
      <c r="P267" s="6" t="s">
        <v>16</v>
      </c>
    </row>
    <row r="268" spans="1:16" x14ac:dyDescent="0.35">
      <c r="A268" s="32" t="s">
        <v>6513</v>
      </c>
      <c r="B268" s="7">
        <f t="shared" si="13"/>
        <v>46121</v>
      </c>
      <c r="C268" s="7">
        <f t="shared" si="14"/>
        <v>46127</v>
      </c>
      <c r="D268" s="6">
        <v>3281</v>
      </c>
      <c r="E268" s="6">
        <v>337</v>
      </c>
      <c r="F268" s="6">
        <v>4</v>
      </c>
      <c r="G268" s="6">
        <v>5</v>
      </c>
      <c r="H268" s="6">
        <v>81421</v>
      </c>
      <c r="I268" s="6" t="s">
        <v>17</v>
      </c>
      <c r="J268" s="6">
        <v>67150607</v>
      </c>
      <c r="K268" s="6" t="s">
        <v>386</v>
      </c>
      <c r="L268" s="6" t="s">
        <v>387</v>
      </c>
      <c r="M268" s="8">
        <v>139900</v>
      </c>
      <c r="N268" s="35">
        <v>0.9</v>
      </c>
      <c r="O268" s="34">
        <f t="shared" si="12"/>
        <v>13990</v>
      </c>
      <c r="P268" s="6" t="s">
        <v>16</v>
      </c>
    </row>
    <row r="269" spans="1:16" x14ac:dyDescent="0.35">
      <c r="A269" s="32" t="s">
        <v>6513</v>
      </c>
      <c r="B269" s="7">
        <f t="shared" si="13"/>
        <v>46121</v>
      </c>
      <c r="C269" s="7">
        <f t="shared" si="14"/>
        <v>46127</v>
      </c>
      <c r="D269" s="6">
        <v>3281</v>
      </c>
      <c r="E269" s="6">
        <v>337</v>
      </c>
      <c r="F269" s="6">
        <v>4</v>
      </c>
      <c r="G269" s="6">
        <v>5</v>
      </c>
      <c r="H269" s="6">
        <v>81421</v>
      </c>
      <c r="I269" s="6" t="s">
        <v>17</v>
      </c>
      <c r="J269" s="6">
        <v>67150625</v>
      </c>
      <c r="K269" s="6" t="s">
        <v>386</v>
      </c>
      <c r="L269" s="6" t="s">
        <v>388</v>
      </c>
      <c r="M269" s="8">
        <v>139900</v>
      </c>
      <c r="N269" s="35">
        <v>0.9</v>
      </c>
      <c r="O269" s="34">
        <f t="shared" si="12"/>
        <v>13990</v>
      </c>
      <c r="P269" s="6" t="s">
        <v>16</v>
      </c>
    </row>
    <row r="270" spans="1:16" x14ac:dyDescent="0.35">
      <c r="A270" s="32" t="s">
        <v>6513</v>
      </c>
      <c r="B270" s="7">
        <f t="shared" si="13"/>
        <v>46121</v>
      </c>
      <c r="C270" s="7">
        <f t="shared" si="14"/>
        <v>46127</v>
      </c>
      <c r="D270" s="6">
        <v>3281</v>
      </c>
      <c r="E270" s="6">
        <v>337</v>
      </c>
      <c r="F270" s="6">
        <v>4</v>
      </c>
      <c r="G270" s="6">
        <v>5</v>
      </c>
      <c r="H270" s="6">
        <v>81421</v>
      </c>
      <c r="I270" s="6" t="s">
        <v>17</v>
      </c>
      <c r="J270" s="6">
        <v>67564929</v>
      </c>
      <c r="K270" s="6" t="s">
        <v>487</v>
      </c>
      <c r="L270" s="6" t="s">
        <v>488</v>
      </c>
      <c r="M270" s="8">
        <v>239900</v>
      </c>
      <c r="N270" s="35">
        <v>0.9</v>
      </c>
      <c r="O270" s="34">
        <f t="shared" si="12"/>
        <v>23990</v>
      </c>
      <c r="P270" s="6" t="s">
        <v>16</v>
      </c>
    </row>
    <row r="271" spans="1:16" x14ac:dyDescent="0.35">
      <c r="A271" s="32" t="s">
        <v>6513</v>
      </c>
      <c r="B271" s="7">
        <f t="shared" si="13"/>
        <v>46121</v>
      </c>
      <c r="C271" s="7">
        <f t="shared" si="14"/>
        <v>46127</v>
      </c>
      <c r="D271" s="6">
        <v>3281</v>
      </c>
      <c r="E271" s="6">
        <v>337</v>
      </c>
      <c r="F271" s="6">
        <v>4</v>
      </c>
      <c r="G271" s="6">
        <v>5</v>
      </c>
      <c r="H271" s="6">
        <v>81421</v>
      </c>
      <c r="I271" s="6" t="s">
        <v>17</v>
      </c>
      <c r="J271" s="6">
        <v>67564956</v>
      </c>
      <c r="K271" s="6" t="s">
        <v>487</v>
      </c>
      <c r="L271" s="6" t="s">
        <v>489</v>
      </c>
      <c r="M271" s="8">
        <v>239900</v>
      </c>
      <c r="N271" s="35">
        <v>0.9</v>
      </c>
      <c r="O271" s="34">
        <f t="shared" si="12"/>
        <v>23990</v>
      </c>
      <c r="P271" s="6" t="s">
        <v>16</v>
      </c>
    </row>
    <row r="272" spans="1:16" x14ac:dyDescent="0.35">
      <c r="A272" s="32" t="s">
        <v>6513</v>
      </c>
      <c r="B272" s="7">
        <f t="shared" si="13"/>
        <v>46121</v>
      </c>
      <c r="C272" s="7">
        <f t="shared" si="14"/>
        <v>46127</v>
      </c>
      <c r="D272" s="6">
        <v>3281</v>
      </c>
      <c r="E272" s="6">
        <v>337</v>
      </c>
      <c r="F272" s="6">
        <v>4</v>
      </c>
      <c r="G272" s="6">
        <v>5</v>
      </c>
      <c r="H272" s="6">
        <v>81421</v>
      </c>
      <c r="I272" s="6" t="s">
        <v>17</v>
      </c>
      <c r="J272" s="6">
        <v>67591195</v>
      </c>
      <c r="K272" s="6" t="s">
        <v>614</v>
      </c>
      <c r="L272" s="6" t="s">
        <v>615</v>
      </c>
      <c r="M272" s="8">
        <v>169900</v>
      </c>
      <c r="N272" s="35">
        <v>0.9</v>
      </c>
      <c r="O272" s="34">
        <f t="shared" si="12"/>
        <v>16990</v>
      </c>
      <c r="P272" s="6" t="s">
        <v>16</v>
      </c>
    </row>
    <row r="273" spans="1:16" x14ac:dyDescent="0.35">
      <c r="A273" s="32" t="s">
        <v>6513</v>
      </c>
      <c r="B273" s="7">
        <f t="shared" si="13"/>
        <v>46121</v>
      </c>
      <c r="C273" s="7">
        <f t="shared" si="14"/>
        <v>46127</v>
      </c>
      <c r="D273" s="6">
        <v>3281</v>
      </c>
      <c r="E273" s="6">
        <v>337</v>
      </c>
      <c r="F273" s="6">
        <v>4</v>
      </c>
      <c r="G273" s="6">
        <v>5</v>
      </c>
      <c r="H273" s="6">
        <v>81421</v>
      </c>
      <c r="I273" s="6" t="s">
        <v>17</v>
      </c>
      <c r="J273" s="6">
        <v>67591202</v>
      </c>
      <c r="K273" s="6" t="s">
        <v>614</v>
      </c>
      <c r="L273" s="6" t="s">
        <v>616</v>
      </c>
      <c r="M273" s="8">
        <v>169900</v>
      </c>
      <c r="N273" s="35">
        <v>0.9</v>
      </c>
      <c r="O273" s="34">
        <f t="shared" si="12"/>
        <v>16990</v>
      </c>
      <c r="P273" s="6" t="s">
        <v>16</v>
      </c>
    </row>
    <row r="274" spans="1:16" x14ac:dyDescent="0.35">
      <c r="A274" s="32" t="s">
        <v>6513</v>
      </c>
      <c r="B274" s="7">
        <f t="shared" si="13"/>
        <v>46121</v>
      </c>
      <c r="C274" s="7">
        <f t="shared" si="14"/>
        <v>46127</v>
      </c>
      <c r="D274" s="6">
        <v>3281</v>
      </c>
      <c r="E274" s="6">
        <v>337</v>
      </c>
      <c r="F274" s="6">
        <v>4</v>
      </c>
      <c r="G274" s="6">
        <v>5</v>
      </c>
      <c r="H274" s="6">
        <v>81421</v>
      </c>
      <c r="I274" s="6" t="s">
        <v>17</v>
      </c>
      <c r="J274" s="6">
        <v>67591257</v>
      </c>
      <c r="K274" s="6" t="s">
        <v>533</v>
      </c>
      <c r="L274" s="6" t="s">
        <v>534</v>
      </c>
      <c r="M274" s="8">
        <v>169900</v>
      </c>
      <c r="N274" s="35">
        <v>0.9</v>
      </c>
      <c r="O274" s="34">
        <f t="shared" si="12"/>
        <v>16990</v>
      </c>
      <c r="P274" s="6" t="s">
        <v>16</v>
      </c>
    </row>
    <row r="275" spans="1:16" x14ac:dyDescent="0.35">
      <c r="A275" s="32" t="s">
        <v>6513</v>
      </c>
      <c r="B275" s="7">
        <f t="shared" si="13"/>
        <v>46121</v>
      </c>
      <c r="C275" s="7">
        <f t="shared" si="14"/>
        <v>46127</v>
      </c>
      <c r="D275" s="6">
        <v>3281</v>
      </c>
      <c r="E275" s="6">
        <v>337</v>
      </c>
      <c r="F275" s="6">
        <v>4</v>
      </c>
      <c r="G275" s="6">
        <v>5</v>
      </c>
      <c r="H275" s="6">
        <v>81421</v>
      </c>
      <c r="I275" s="6" t="s">
        <v>17</v>
      </c>
      <c r="J275" s="6">
        <v>67591266</v>
      </c>
      <c r="K275" s="6" t="s">
        <v>533</v>
      </c>
      <c r="L275" s="6" t="s">
        <v>535</v>
      </c>
      <c r="M275" s="8">
        <v>169900</v>
      </c>
      <c r="N275" s="35">
        <v>0.9</v>
      </c>
      <c r="O275" s="34">
        <f t="shared" si="12"/>
        <v>16990</v>
      </c>
      <c r="P275" s="6" t="s">
        <v>16</v>
      </c>
    </row>
    <row r="276" spans="1:16" x14ac:dyDescent="0.35">
      <c r="A276" s="32" t="s">
        <v>6513</v>
      </c>
      <c r="B276" s="7">
        <f t="shared" si="13"/>
        <v>46121</v>
      </c>
      <c r="C276" s="7">
        <f t="shared" si="14"/>
        <v>46127</v>
      </c>
      <c r="D276" s="6">
        <v>3281</v>
      </c>
      <c r="E276" s="6">
        <v>337</v>
      </c>
      <c r="F276" s="6">
        <v>4</v>
      </c>
      <c r="G276" s="6">
        <v>5</v>
      </c>
      <c r="H276" s="6">
        <v>81421</v>
      </c>
      <c r="I276" s="6" t="s">
        <v>17</v>
      </c>
      <c r="J276" s="6">
        <v>67591275</v>
      </c>
      <c r="K276" s="6" t="s">
        <v>533</v>
      </c>
      <c r="L276" s="6" t="s">
        <v>536</v>
      </c>
      <c r="M276" s="8">
        <v>169900</v>
      </c>
      <c r="N276" s="35">
        <v>0.9</v>
      </c>
      <c r="O276" s="34">
        <f t="shared" si="12"/>
        <v>16990</v>
      </c>
      <c r="P276" s="6" t="s">
        <v>16</v>
      </c>
    </row>
    <row r="277" spans="1:16" x14ac:dyDescent="0.35">
      <c r="A277" s="32" t="s">
        <v>6513</v>
      </c>
      <c r="B277" s="7">
        <f t="shared" si="13"/>
        <v>46121</v>
      </c>
      <c r="C277" s="7">
        <f t="shared" si="14"/>
        <v>46127</v>
      </c>
      <c r="D277" s="6">
        <v>3281</v>
      </c>
      <c r="E277" s="6">
        <v>337</v>
      </c>
      <c r="F277" s="6">
        <v>4</v>
      </c>
      <c r="G277" s="6">
        <v>5</v>
      </c>
      <c r="H277" s="6">
        <v>81421</v>
      </c>
      <c r="I277" s="6" t="s">
        <v>17</v>
      </c>
      <c r="J277" s="6">
        <v>67591284</v>
      </c>
      <c r="K277" s="6" t="s">
        <v>533</v>
      </c>
      <c r="L277" s="6" t="s">
        <v>553</v>
      </c>
      <c r="M277" s="8">
        <v>169900</v>
      </c>
      <c r="N277" s="35">
        <v>0.9</v>
      </c>
      <c r="O277" s="34">
        <f t="shared" si="12"/>
        <v>16990</v>
      </c>
      <c r="P277" s="6" t="s">
        <v>16</v>
      </c>
    </row>
    <row r="278" spans="1:16" x14ac:dyDescent="0.35">
      <c r="A278" s="32" t="s">
        <v>6513</v>
      </c>
      <c r="B278" s="7">
        <f t="shared" si="13"/>
        <v>46121</v>
      </c>
      <c r="C278" s="7">
        <f t="shared" si="14"/>
        <v>46127</v>
      </c>
      <c r="D278" s="6">
        <v>3281</v>
      </c>
      <c r="E278" s="6">
        <v>337</v>
      </c>
      <c r="F278" s="6">
        <v>4</v>
      </c>
      <c r="G278" s="6">
        <v>5</v>
      </c>
      <c r="H278" s="6">
        <v>81421</v>
      </c>
      <c r="I278" s="6" t="s">
        <v>17</v>
      </c>
      <c r="J278" s="6">
        <v>73502653</v>
      </c>
      <c r="K278" s="6" t="s">
        <v>574</v>
      </c>
      <c r="L278" s="6" t="s">
        <v>575</v>
      </c>
      <c r="M278" s="8">
        <v>239900</v>
      </c>
      <c r="N278" s="35">
        <v>0.9</v>
      </c>
      <c r="O278" s="34">
        <f t="shared" si="12"/>
        <v>23990</v>
      </c>
      <c r="P278" s="6" t="s">
        <v>16</v>
      </c>
    </row>
    <row r="279" spans="1:16" x14ac:dyDescent="0.35">
      <c r="A279" s="32" t="s">
        <v>6513</v>
      </c>
      <c r="B279" s="7">
        <f t="shared" si="13"/>
        <v>46121</v>
      </c>
      <c r="C279" s="7">
        <f t="shared" si="14"/>
        <v>46127</v>
      </c>
      <c r="D279" s="6">
        <v>3281</v>
      </c>
      <c r="E279" s="6">
        <v>337</v>
      </c>
      <c r="F279" s="6">
        <v>4</v>
      </c>
      <c r="G279" s="6">
        <v>5</v>
      </c>
      <c r="H279" s="6">
        <v>81421</v>
      </c>
      <c r="I279" s="6" t="s">
        <v>17</v>
      </c>
      <c r="J279" s="6">
        <v>73502662</v>
      </c>
      <c r="K279" s="6" t="s">
        <v>574</v>
      </c>
      <c r="L279" s="6" t="s">
        <v>576</v>
      </c>
      <c r="M279" s="8">
        <v>239900</v>
      </c>
      <c r="N279" s="35">
        <v>0.9</v>
      </c>
      <c r="O279" s="34">
        <f t="shared" si="12"/>
        <v>23990</v>
      </c>
      <c r="P279" s="6" t="s">
        <v>16</v>
      </c>
    </row>
    <row r="280" spans="1:16" x14ac:dyDescent="0.35">
      <c r="A280" s="32" t="s">
        <v>6513</v>
      </c>
      <c r="B280" s="7">
        <f t="shared" si="13"/>
        <v>46121</v>
      </c>
      <c r="C280" s="7">
        <f t="shared" si="14"/>
        <v>46127</v>
      </c>
      <c r="D280" s="6">
        <v>3281</v>
      </c>
      <c r="E280" s="6">
        <v>337</v>
      </c>
      <c r="F280" s="6">
        <v>4</v>
      </c>
      <c r="G280" s="6">
        <v>5</v>
      </c>
      <c r="H280" s="6">
        <v>81421</v>
      </c>
      <c r="I280" s="6" t="s">
        <v>17</v>
      </c>
      <c r="J280" s="6">
        <v>56046778</v>
      </c>
      <c r="K280" s="6" t="s">
        <v>311</v>
      </c>
      <c r="L280" s="6" t="s">
        <v>312</v>
      </c>
      <c r="M280" s="8">
        <v>139900</v>
      </c>
      <c r="N280" s="35">
        <v>0.9</v>
      </c>
      <c r="O280" s="34">
        <f t="shared" si="12"/>
        <v>13990</v>
      </c>
      <c r="P280" s="6" t="s">
        <v>16</v>
      </c>
    </row>
    <row r="281" spans="1:16" x14ac:dyDescent="0.35">
      <c r="A281" s="32" t="s">
        <v>6513</v>
      </c>
      <c r="B281" s="7">
        <f t="shared" si="13"/>
        <v>46121</v>
      </c>
      <c r="C281" s="7">
        <f t="shared" si="14"/>
        <v>46127</v>
      </c>
      <c r="D281" s="6">
        <v>3281</v>
      </c>
      <c r="E281" s="6">
        <v>337</v>
      </c>
      <c r="F281" s="6">
        <v>4</v>
      </c>
      <c r="G281" s="6">
        <v>5</v>
      </c>
      <c r="H281" s="6">
        <v>81421</v>
      </c>
      <c r="I281" s="6" t="s">
        <v>17</v>
      </c>
      <c r="J281" s="6">
        <v>56046787</v>
      </c>
      <c r="K281" s="6" t="s">
        <v>311</v>
      </c>
      <c r="L281" s="6" t="s">
        <v>313</v>
      </c>
      <c r="M281" s="8">
        <v>139900</v>
      </c>
      <c r="N281" s="35">
        <v>0.9</v>
      </c>
      <c r="O281" s="34">
        <f t="shared" si="12"/>
        <v>13990</v>
      </c>
      <c r="P281" s="6" t="s">
        <v>16</v>
      </c>
    </row>
    <row r="282" spans="1:16" x14ac:dyDescent="0.35">
      <c r="A282" s="32" t="s">
        <v>6513</v>
      </c>
      <c r="B282" s="7">
        <f t="shared" si="13"/>
        <v>46121</v>
      </c>
      <c r="C282" s="7">
        <f t="shared" si="14"/>
        <v>46127</v>
      </c>
      <c r="D282" s="6">
        <v>3281</v>
      </c>
      <c r="E282" s="6">
        <v>337</v>
      </c>
      <c r="F282" s="6">
        <v>4</v>
      </c>
      <c r="G282" s="6">
        <v>5</v>
      </c>
      <c r="H282" s="6">
        <v>81421</v>
      </c>
      <c r="I282" s="6" t="s">
        <v>17</v>
      </c>
      <c r="J282" s="6">
        <v>60818864</v>
      </c>
      <c r="K282" s="6" t="s">
        <v>311</v>
      </c>
      <c r="L282" s="6" t="s">
        <v>314</v>
      </c>
      <c r="M282" s="8">
        <v>139900</v>
      </c>
      <c r="N282" s="35">
        <v>0.9</v>
      </c>
      <c r="O282" s="34">
        <f t="shared" si="12"/>
        <v>13990</v>
      </c>
      <c r="P282" s="6" t="s">
        <v>16</v>
      </c>
    </row>
    <row r="283" spans="1:16" x14ac:dyDescent="0.35">
      <c r="A283" s="32" t="s">
        <v>6513</v>
      </c>
      <c r="B283" s="7">
        <f t="shared" si="13"/>
        <v>46121</v>
      </c>
      <c r="C283" s="7">
        <f t="shared" si="14"/>
        <v>46127</v>
      </c>
      <c r="D283" s="6">
        <v>3281</v>
      </c>
      <c r="E283" s="6">
        <v>337</v>
      </c>
      <c r="F283" s="6">
        <v>4</v>
      </c>
      <c r="G283" s="6">
        <v>5</v>
      </c>
      <c r="H283" s="6">
        <v>190</v>
      </c>
      <c r="I283" s="6" t="s">
        <v>17</v>
      </c>
      <c r="J283" s="6">
        <v>65515655</v>
      </c>
      <c r="K283" s="6" t="s">
        <v>478</v>
      </c>
      <c r="L283" s="6" t="s">
        <v>479</v>
      </c>
      <c r="M283" s="8">
        <v>229900</v>
      </c>
      <c r="N283" s="35">
        <v>0.9</v>
      </c>
      <c r="O283" s="34">
        <f t="shared" si="12"/>
        <v>22990</v>
      </c>
      <c r="P283" s="6" t="s">
        <v>16</v>
      </c>
    </row>
    <row r="284" spans="1:16" x14ac:dyDescent="0.35">
      <c r="A284" s="32" t="s">
        <v>6513</v>
      </c>
      <c r="B284" s="7">
        <f t="shared" si="13"/>
        <v>46121</v>
      </c>
      <c r="C284" s="7">
        <f t="shared" si="14"/>
        <v>46127</v>
      </c>
      <c r="D284" s="6">
        <v>3281</v>
      </c>
      <c r="E284" s="6">
        <v>337</v>
      </c>
      <c r="F284" s="6">
        <v>4</v>
      </c>
      <c r="G284" s="6">
        <v>5</v>
      </c>
      <c r="H284" s="6">
        <v>190</v>
      </c>
      <c r="I284" s="6" t="s">
        <v>17</v>
      </c>
      <c r="J284" s="6">
        <v>65515664</v>
      </c>
      <c r="K284" s="6" t="s">
        <v>478</v>
      </c>
      <c r="L284" s="6" t="s">
        <v>480</v>
      </c>
      <c r="M284" s="8">
        <v>229900</v>
      </c>
      <c r="N284" s="35">
        <v>0.9</v>
      </c>
      <c r="O284" s="34">
        <f t="shared" si="12"/>
        <v>22990</v>
      </c>
      <c r="P284" s="6" t="s">
        <v>16</v>
      </c>
    </row>
    <row r="285" spans="1:16" x14ac:dyDescent="0.35">
      <c r="A285" s="32" t="s">
        <v>6513</v>
      </c>
      <c r="B285" s="7">
        <f t="shared" si="13"/>
        <v>46121</v>
      </c>
      <c r="C285" s="7">
        <f t="shared" si="14"/>
        <v>46127</v>
      </c>
      <c r="D285" s="6">
        <v>3281</v>
      </c>
      <c r="E285" s="6">
        <v>337</v>
      </c>
      <c r="F285" s="6">
        <v>4</v>
      </c>
      <c r="G285" s="6">
        <v>5</v>
      </c>
      <c r="H285" s="6">
        <v>190</v>
      </c>
      <c r="I285" s="6" t="s">
        <v>17</v>
      </c>
      <c r="J285" s="6">
        <v>65515673</v>
      </c>
      <c r="K285" s="6" t="s">
        <v>478</v>
      </c>
      <c r="L285" s="6" t="s">
        <v>481</v>
      </c>
      <c r="M285" s="8">
        <v>229900</v>
      </c>
      <c r="N285" s="35">
        <v>0.9</v>
      </c>
      <c r="O285" s="34">
        <f t="shared" si="12"/>
        <v>22990</v>
      </c>
      <c r="P285" s="6" t="s">
        <v>16</v>
      </c>
    </row>
    <row r="286" spans="1:16" x14ac:dyDescent="0.35">
      <c r="A286" s="32" t="s">
        <v>6513</v>
      </c>
      <c r="B286" s="7">
        <f t="shared" si="13"/>
        <v>46121</v>
      </c>
      <c r="C286" s="7">
        <f t="shared" si="14"/>
        <v>46127</v>
      </c>
      <c r="D286" s="6">
        <v>3281</v>
      </c>
      <c r="E286" s="6">
        <v>337</v>
      </c>
      <c r="F286" s="6">
        <v>4</v>
      </c>
      <c r="G286" s="6">
        <v>5</v>
      </c>
      <c r="H286" s="6">
        <v>190</v>
      </c>
      <c r="I286" s="6" t="s">
        <v>17</v>
      </c>
      <c r="J286" s="6">
        <v>65515682</v>
      </c>
      <c r="K286" s="6" t="s">
        <v>478</v>
      </c>
      <c r="L286" s="6" t="s">
        <v>482</v>
      </c>
      <c r="M286" s="8">
        <v>229900</v>
      </c>
      <c r="N286" s="35">
        <v>0.9</v>
      </c>
      <c r="O286" s="34">
        <f t="shared" si="12"/>
        <v>22990</v>
      </c>
      <c r="P286" s="6" t="s">
        <v>16</v>
      </c>
    </row>
    <row r="287" spans="1:16" x14ac:dyDescent="0.35">
      <c r="A287" s="32" t="s">
        <v>6513</v>
      </c>
      <c r="B287" s="7">
        <f t="shared" si="13"/>
        <v>46121</v>
      </c>
      <c r="C287" s="7">
        <f t="shared" si="14"/>
        <v>46127</v>
      </c>
      <c r="D287" s="6">
        <v>3281</v>
      </c>
      <c r="E287" s="6">
        <v>337</v>
      </c>
      <c r="F287" s="6">
        <v>4</v>
      </c>
      <c r="G287" s="6">
        <v>5</v>
      </c>
      <c r="H287" s="6">
        <v>190</v>
      </c>
      <c r="I287" s="6" t="s">
        <v>17</v>
      </c>
      <c r="J287" s="6">
        <v>73503447</v>
      </c>
      <c r="K287" s="6" t="s">
        <v>646</v>
      </c>
      <c r="L287" s="6" t="s">
        <v>647</v>
      </c>
      <c r="M287" s="8">
        <v>239900</v>
      </c>
      <c r="N287" s="35">
        <v>0.9</v>
      </c>
      <c r="O287" s="34">
        <f t="shared" si="12"/>
        <v>23990</v>
      </c>
      <c r="P287" s="6" t="s">
        <v>16</v>
      </c>
    </row>
    <row r="288" spans="1:16" x14ac:dyDescent="0.35">
      <c r="A288" s="32" t="s">
        <v>6513</v>
      </c>
      <c r="B288" s="7">
        <f t="shared" si="13"/>
        <v>46121</v>
      </c>
      <c r="C288" s="7">
        <f t="shared" si="14"/>
        <v>46127</v>
      </c>
      <c r="D288" s="6">
        <v>3281</v>
      </c>
      <c r="E288" s="6">
        <v>337</v>
      </c>
      <c r="F288" s="6">
        <v>4</v>
      </c>
      <c r="G288" s="6">
        <v>5</v>
      </c>
      <c r="H288" s="6">
        <v>190</v>
      </c>
      <c r="I288" s="6" t="s">
        <v>17</v>
      </c>
      <c r="J288" s="6">
        <v>73503456</v>
      </c>
      <c r="K288" s="6" t="s">
        <v>646</v>
      </c>
      <c r="L288" s="6" t="s">
        <v>648</v>
      </c>
      <c r="M288" s="8">
        <v>239900</v>
      </c>
      <c r="N288" s="35">
        <v>0.9</v>
      </c>
      <c r="O288" s="34">
        <f t="shared" si="12"/>
        <v>23990</v>
      </c>
      <c r="P288" s="6" t="s">
        <v>16</v>
      </c>
    </row>
    <row r="289" spans="1:16" x14ac:dyDescent="0.35">
      <c r="A289" s="32" t="s">
        <v>6513</v>
      </c>
      <c r="B289" s="7">
        <f t="shared" si="13"/>
        <v>46121</v>
      </c>
      <c r="C289" s="7">
        <f t="shared" si="14"/>
        <v>46127</v>
      </c>
      <c r="D289" s="6">
        <v>3281</v>
      </c>
      <c r="E289" s="6">
        <v>337</v>
      </c>
      <c r="F289" s="6">
        <v>4</v>
      </c>
      <c r="G289" s="6">
        <v>5</v>
      </c>
      <c r="H289" s="6">
        <v>190</v>
      </c>
      <c r="I289" s="6" t="s">
        <v>17</v>
      </c>
      <c r="J289" s="6">
        <v>73503465</v>
      </c>
      <c r="K289" s="6" t="s">
        <v>646</v>
      </c>
      <c r="L289" s="6" t="s">
        <v>649</v>
      </c>
      <c r="M289" s="8">
        <v>239900</v>
      </c>
      <c r="N289" s="35">
        <v>0.9</v>
      </c>
      <c r="O289" s="34">
        <f t="shared" si="12"/>
        <v>23990</v>
      </c>
      <c r="P289" s="6" t="s">
        <v>16</v>
      </c>
    </row>
    <row r="290" spans="1:16" x14ac:dyDescent="0.35">
      <c r="A290" s="32" t="s">
        <v>6513</v>
      </c>
      <c r="B290" s="7">
        <f t="shared" si="13"/>
        <v>46121</v>
      </c>
      <c r="C290" s="7">
        <f t="shared" si="14"/>
        <v>46127</v>
      </c>
      <c r="D290" s="6">
        <v>3281</v>
      </c>
      <c r="E290" s="6">
        <v>337</v>
      </c>
      <c r="F290" s="6">
        <v>4</v>
      </c>
      <c r="G290" s="6">
        <v>5</v>
      </c>
      <c r="H290" s="6">
        <v>190</v>
      </c>
      <c r="I290" s="6" t="s">
        <v>17</v>
      </c>
      <c r="J290" s="6">
        <v>73503474</v>
      </c>
      <c r="K290" s="6" t="s">
        <v>646</v>
      </c>
      <c r="L290" s="6" t="s">
        <v>650</v>
      </c>
      <c r="M290" s="8">
        <v>239900</v>
      </c>
      <c r="N290" s="35">
        <v>0.9</v>
      </c>
      <c r="O290" s="34">
        <f t="shared" si="12"/>
        <v>23990</v>
      </c>
      <c r="P290" s="6" t="s">
        <v>16</v>
      </c>
    </row>
    <row r="291" spans="1:16" x14ac:dyDescent="0.35">
      <c r="A291" s="32" t="s">
        <v>6513</v>
      </c>
      <c r="B291" s="7">
        <f t="shared" si="13"/>
        <v>46121</v>
      </c>
      <c r="C291" s="7">
        <f t="shared" si="14"/>
        <v>46127</v>
      </c>
      <c r="D291" s="6">
        <v>3281</v>
      </c>
      <c r="E291" s="6">
        <v>337</v>
      </c>
      <c r="F291" s="6">
        <v>4</v>
      </c>
      <c r="G291" s="6">
        <v>5</v>
      </c>
      <c r="H291" s="6">
        <v>80920</v>
      </c>
      <c r="I291" s="6" t="s">
        <v>17</v>
      </c>
      <c r="J291" s="6">
        <v>65515815</v>
      </c>
      <c r="K291" s="6" t="s">
        <v>381</v>
      </c>
      <c r="L291" s="6" t="s">
        <v>382</v>
      </c>
      <c r="M291" s="8">
        <v>239900</v>
      </c>
      <c r="N291" s="35">
        <v>0.9</v>
      </c>
      <c r="O291" s="34">
        <f t="shared" si="12"/>
        <v>23990</v>
      </c>
      <c r="P291" s="6" t="s">
        <v>16</v>
      </c>
    </row>
    <row r="292" spans="1:16" x14ac:dyDescent="0.35">
      <c r="A292" s="32" t="s">
        <v>6513</v>
      </c>
      <c r="B292" s="7">
        <f t="shared" si="13"/>
        <v>46121</v>
      </c>
      <c r="C292" s="7">
        <f t="shared" si="14"/>
        <v>46127</v>
      </c>
      <c r="D292" s="6">
        <v>3281</v>
      </c>
      <c r="E292" s="6">
        <v>337</v>
      </c>
      <c r="F292" s="6">
        <v>4</v>
      </c>
      <c r="G292" s="6">
        <v>5</v>
      </c>
      <c r="H292" s="6">
        <v>80920</v>
      </c>
      <c r="I292" s="6" t="s">
        <v>17</v>
      </c>
      <c r="J292" s="6">
        <v>65515824</v>
      </c>
      <c r="K292" s="6" t="s">
        <v>381</v>
      </c>
      <c r="L292" s="6" t="s">
        <v>383</v>
      </c>
      <c r="M292" s="8">
        <v>239900</v>
      </c>
      <c r="N292" s="35">
        <v>0.9</v>
      </c>
      <c r="O292" s="34">
        <f t="shared" si="12"/>
        <v>23990</v>
      </c>
      <c r="P292" s="6" t="s">
        <v>16</v>
      </c>
    </row>
    <row r="293" spans="1:16" x14ac:dyDescent="0.35">
      <c r="A293" s="32" t="s">
        <v>6513</v>
      </c>
      <c r="B293" s="7">
        <f t="shared" si="13"/>
        <v>46121</v>
      </c>
      <c r="C293" s="7">
        <f t="shared" si="14"/>
        <v>46127</v>
      </c>
      <c r="D293" s="6">
        <v>3281</v>
      </c>
      <c r="E293" s="6">
        <v>337</v>
      </c>
      <c r="F293" s="6">
        <v>4</v>
      </c>
      <c r="G293" s="6">
        <v>5</v>
      </c>
      <c r="H293" s="6">
        <v>80920</v>
      </c>
      <c r="I293" s="6" t="s">
        <v>17</v>
      </c>
      <c r="J293" s="6">
        <v>65515833</v>
      </c>
      <c r="K293" s="6" t="s">
        <v>381</v>
      </c>
      <c r="L293" s="6" t="s">
        <v>384</v>
      </c>
      <c r="M293" s="8">
        <v>239900</v>
      </c>
      <c r="N293" s="35">
        <v>0.9</v>
      </c>
      <c r="O293" s="34">
        <f t="shared" si="12"/>
        <v>23990</v>
      </c>
      <c r="P293" s="6" t="s">
        <v>16</v>
      </c>
    </row>
    <row r="294" spans="1:16" x14ac:dyDescent="0.35">
      <c r="A294" s="32" t="s">
        <v>6513</v>
      </c>
      <c r="B294" s="7">
        <f t="shared" si="13"/>
        <v>46121</v>
      </c>
      <c r="C294" s="7">
        <f t="shared" si="14"/>
        <v>46127</v>
      </c>
      <c r="D294" s="6">
        <v>3281</v>
      </c>
      <c r="E294" s="6">
        <v>337</v>
      </c>
      <c r="F294" s="6">
        <v>4</v>
      </c>
      <c r="G294" s="6">
        <v>5</v>
      </c>
      <c r="H294" s="6">
        <v>80920</v>
      </c>
      <c r="I294" s="6" t="s">
        <v>17</v>
      </c>
      <c r="J294" s="6">
        <v>65515842</v>
      </c>
      <c r="K294" s="6" t="s">
        <v>381</v>
      </c>
      <c r="L294" s="6" t="s">
        <v>385</v>
      </c>
      <c r="M294" s="8">
        <v>239900</v>
      </c>
      <c r="N294" s="35">
        <v>0.9</v>
      </c>
      <c r="O294" s="34">
        <f t="shared" si="12"/>
        <v>23990</v>
      </c>
      <c r="P294" s="6" t="s">
        <v>16</v>
      </c>
    </row>
    <row r="295" spans="1:16" x14ac:dyDescent="0.35">
      <c r="A295" s="32" t="s">
        <v>6513</v>
      </c>
      <c r="B295" s="7">
        <f t="shared" si="13"/>
        <v>46121</v>
      </c>
      <c r="C295" s="7">
        <f t="shared" si="14"/>
        <v>46127</v>
      </c>
      <c r="D295" s="6">
        <v>3281</v>
      </c>
      <c r="E295" s="6">
        <v>337</v>
      </c>
      <c r="F295" s="6">
        <v>4</v>
      </c>
      <c r="G295" s="6">
        <v>5</v>
      </c>
      <c r="H295" s="6">
        <v>80920</v>
      </c>
      <c r="I295" s="6" t="s">
        <v>17</v>
      </c>
      <c r="J295" s="6">
        <v>67275018</v>
      </c>
      <c r="K295" s="6" t="s">
        <v>472</v>
      </c>
      <c r="L295" s="6" t="s">
        <v>473</v>
      </c>
      <c r="M295" s="8">
        <v>239900</v>
      </c>
      <c r="N295" s="35">
        <v>0.9</v>
      </c>
      <c r="O295" s="34">
        <f t="shared" si="12"/>
        <v>23990</v>
      </c>
      <c r="P295" s="6" t="s">
        <v>16</v>
      </c>
    </row>
    <row r="296" spans="1:16" x14ac:dyDescent="0.35">
      <c r="A296" s="32" t="s">
        <v>6513</v>
      </c>
      <c r="B296" s="7">
        <f t="shared" si="13"/>
        <v>46121</v>
      </c>
      <c r="C296" s="7">
        <f t="shared" si="14"/>
        <v>46127</v>
      </c>
      <c r="D296" s="6">
        <v>3281</v>
      </c>
      <c r="E296" s="6">
        <v>337</v>
      </c>
      <c r="F296" s="6">
        <v>4</v>
      </c>
      <c r="G296" s="6">
        <v>5</v>
      </c>
      <c r="H296" s="6">
        <v>80920</v>
      </c>
      <c r="I296" s="6" t="s">
        <v>17</v>
      </c>
      <c r="J296" s="6">
        <v>67275027</v>
      </c>
      <c r="K296" s="6" t="s">
        <v>472</v>
      </c>
      <c r="L296" s="6" t="s">
        <v>474</v>
      </c>
      <c r="M296" s="8">
        <v>239900</v>
      </c>
      <c r="N296" s="35">
        <v>0.9</v>
      </c>
      <c r="O296" s="34">
        <f t="shared" si="12"/>
        <v>23990</v>
      </c>
      <c r="P296" s="6" t="s">
        <v>16</v>
      </c>
    </row>
    <row r="297" spans="1:16" x14ac:dyDescent="0.35">
      <c r="A297" s="32" t="s">
        <v>6513</v>
      </c>
      <c r="B297" s="7">
        <f t="shared" si="13"/>
        <v>46121</v>
      </c>
      <c r="C297" s="7">
        <f t="shared" si="14"/>
        <v>46127</v>
      </c>
      <c r="D297" s="6">
        <v>3281</v>
      </c>
      <c r="E297" s="6">
        <v>337</v>
      </c>
      <c r="F297" s="6">
        <v>4</v>
      </c>
      <c r="G297" s="6">
        <v>5</v>
      </c>
      <c r="H297" s="6">
        <v>80920</v>
      </c>
      <c r="I297" s="6" t="s">
        <v>17</v>
      </c>
      <c r="J297" s="6">
        <v>67275036</v>
      </c>
      <c r="K297" s="6" t="s">
        <v>472</v>
      </c>
      <c r="L297" s="6" t="s">
        <v>475</v>
      </c>
      <c r="M297" s="8">
        <v>239900</v>
      </c>
      <c r="N297" s="35">
        <v>0.9</v>
      </c>
      <c r="O297" s="34">
        <f t="shared" si="12"/>
        <v>23990</v>
      </c>
      <c r="P297" s="6" t="s">
        <v>16</v>
      </c>
    </row>
  </sheetData>
  <autoFilter ref="A1:P1" xr:uid="{00000000-0009-0000-0000-00000B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57"/>
  <sheetViews>
    <sheetView zoomScale="91" zoomScaleNormal="100" workbookViewId="0">
      <pane ySplit="1" topLeftCell="A2" activePane="bottomLeft" state="frozen"/>
      <selection activeCell="B2" sqref="B2"/>
      <selection pane="bottomLeft" activeCell="C251" sqref="C251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2" bestFit="1" customWidth="1"/>
    <col min="14" max="14" width="12.453125" style="2" bestFit="1" customWidth="1"/>
    <col min="15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6512</v>
      </c>
      <c r="B2" s="7">
        <f>'2025 HILITE D80 - 3321'!B2</f>
        <v>46121</v>
      </c>
      <c r="C2" s="7">
        <f>'2025 HILITE D80 - 3321'!C2</f>
        <v>46127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17</v>
      </c>
      <c r="J2" s="6">
        <v>33473288</v>
      </c>
      <c r="K2" s="6" t="s">
        <v>668</v>
      </c>
      <c r="L2" s="6" t="s">
        <v>669</v>
      </c>
      <c r="M2" s="8">
        <v>139900</v>
      </c>
      <c r="N2" s="9">
        <v>0.9</v>
      </c>
      <c r="O2" s="8">
        <f>M2-((90*M2)/100)</f>
        <v>13990</v>
      </c>
      <c r="P2" s="6" t="s">
        <v>16</v>
      </c>
    </row>
    <row r="3" spans="1:16" x14ac:dyDescent="0.35">
      <c r="A3" s="32" t="s">
        <v>6512</v>
      </c>
      <c r="B3" s="7">
        <f>B2</f>
        <v>46121</v>
      </c>
      <c r="C3" s="7">
        <f>C2</f>
        <v>46127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17</v>
      </c>
      <c r="J3" s="6">
        <v>33473297</v>
      </c>
      <c r="K3" s="6" t="s">
        <v>668</v>
      </c>
      <c r="L3" s="6" t="s">
        <v>670</v>
      </c>
      <c r="M3" s="8">
        <v>139900</v>
      </c>
      <c r="N3" s="35">
        <v>0.9</v>
      </c>
      <c r="O3" s="34">
        <f t="shared" ref="O3:O66" si="0">M3-((90*M3)/100)</f>
        <v>13990</v>
      </c>
      <c r="P3" s="6" t="s">
        <v>16</v>
      </c>
    </row>
    <row r="4" spans="1:16" x14ac:dyDescent="0.35">
      <c r="A4" s="32" t="s">
        <v>6512</v>
      </c>
      <c r="B4" s="7">
        <f t="shared" ref="B4:B67" si="1">B3</f>
        <v>46121</v>
      </c>
      <c r="C4" s="7">
        <f t="shared" ref="C4:C67" si="2">C3</f>
        <v>46127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17</v>
      </c>
      <c r="J4" s="6">
        <v>33473304</v>
      </c>
      <c r="K4" s="6" t="s">
        <v>668</v>
      </c>
      <c r="L4" s="6" t="s">
        <v>671</v>
      </c>
      <c r="M4" s="8">
        <v>139900</v>
      </c>
      <c r="N4" s="35">
        <v>0.9</v>
      </c>
      <c r="O4" s="34">
        <f t="shared" si="0"/>
        <v>13990</v>
      </c>
      <c r="P4" s="6" t="s">
        <v>16</v>
      </c>
    </row>
    <row r="5" spans="1:16" x14ac:dyDescent="0.35">
      <c r="A5" s="32" t="s">
        <v>6512</v>
      </c>
      <c r="B5" s="7">
        <f t="shared" si="1"/>
        <v>46121</v>
      </c>
      <c r="C5" s="7">
        <f t="shared" si="2"/>
        <v>46127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17</v>
      </c>
      <c r="J5" s="6">
        <v>33473313</v>
      </c>
      <c r="K5" s="6" t="s">
        <v>668</v>
      </c>
      <c r="L5" s="6" t="s">
        <v>672</v>
      </c>
      <c r="M5" s="8">
        <v>139900</v>
      </c>
      <c r="N5" s="35">
        <v>0.9</v>
      </c>
      <c r="O5" s="34">
        <f t="shared" si="0"/>
        <v>13990</v>
      </c>
      <c r="P5" s="6" t="s">
        <v>16</v>
      </c>
    </row>
    <row r="6" spans="1:16" x14ac:dyDescent="0.35">
      <c r="A6" s="32" t="s">
        <v>6512</v>
      </c>
      <c r="B6" s="7">
        <f t="shared" si="1"/>
        <v>46121</v>
      </c>
      <c r="C6" s="7">
        <f t="shared" si="2"/>
        <v>46127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17</v>
      </c>
      <c r="J6" s="6">
        <v>33416527</v>
      </c>
      <c r="K6" s="6" t="s">
        <v>735</v>
      </c>
      <c r="L6" s="6" t="s">
        <v>736</v>
      </c>
      <c r="M6" s="8">
        <v>139900</v>
      </c>
      <c r="N6" s="35">
        <v>0.9</v>
      </c>
      <c r="O6" s="34">
        <f t="shared" si="0"/>
        <v>13990</v>
      </c>
      <c r="P6" s="6" t="s">
        <v>16</v>
      </c>
    </row>
    <row r="7" spans="1:16" x14ac:dyDescent="0.35">
      <c r="A7" s="32" t="s">
        <v>6512</v>
      </c>
      <c r="B7" s="7">
        <f t="shared" si="1"/>
        <v>46121</v>
      </c>
      <c r="C7" s="7">
        <f t="shared" si="2"/>
        <v>46127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17</v>
      </c>
      <c r="J7" s="6">
        <v>33416536</v>
      </c>
      <c r="K7" s="6" t="s">
        <v>735</v>
      </c>
      <c r="L7" s="6" t="s">
        <v>737</v>
      </c>
      <c r="M7" s="8">
        <v>139900</v>
      </c>
      <c r="N7" s="35">
        <v>0.9</v>
      </c>
      <c r="O7" s="34">
        <f t="shared" si="0"/>
        <v>13990</v>
      </c>
      <c r="P7" s="6" t="s">
        <v>16</v>
      </c>
    </row>
    <row r="8" spans="1:16" x14ac:dyDescent="0.35">
      <c r="A8" s="32" t="s">
        <v>6512</v>
      </c>
      <c r="B8" s="7">
        <f t="shared" si="1"/>
        <v>46121</v>
      </c>
      <c r="C8" s="7">
        <f t="shared" si="2"/>
        <v>46127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17</v>
      </c>
      <c r="J8" s="6">
        <v>33416545</v>
      </c>
      <c r="K8" s="6" t="s">
        <v>735</v>
      </c>
      <c r="L8" s="6" t="s">
        <v>738</v>
      </c>
      <c r="M8" s="8">
        <v>139900</v>
      </c>
      <c r="N8" s="35">
        <v>0.9</v>
      </c>
      <c r="O8" s="34">
        <f t="shared" si="0"/>
        <v>13990</v>
      </c>
      <c r="P8" s="6" t="s">
        <v>16</v>
      </c>
    </row>
    <row r="9" spans="1:16" x14ac:dyDescent="0.35">
      <c r="A9" s="32" t="s">
        <v>6512</v>
      </c>
      <c r="B9" s="7">
        <f t="shared" si="1"/>
        <v>46121</v>
      </c>
      <c r="C9" s="7">
        <f t="shared" si="2"/>
        <v>46127</v>
      </c>
      <c r="D9" s="6">
        <v>3281</v>
      </c>
      <c r="E9" s="6">
        <v>337</v>
      </c>
      <c r="F9" s="6">
        <v>4</v>
      </c>
      <c r="G9" s="6">
        <v>1</v>
      </c>
      <c r="H9" s="6">
        <v>81146</v>
      </c>
      <c r="I9" s="6" t="s">
        <v>17</v>
      </c>
      <c r="J9" s="6">
        <v>26269585</v>
      </c>
      <c r="K9" s="6" t="s">
        <v>906</v>
      </c>
      <c r="L9" s="6" t="s">
        <v>907</v>
      </c>
      <c r="M9" s="8">
        <v>129900</v>
      </c>
      <c r="N9" s="35">
        <v>0.9</v>
      </c>
      <c r="O9" s="34">
        <f t="shared" si="0"/>
        <v>12990</v>
      </c>
      <c r="P9" s="6" t="s">
        <v>16</v>
      </c>
    </row>
    <row r="10" spans="1:16" x14ac:dyDescent="0.35">
      <c r="A10" s="32" t="s">
        <v>6512</v>
      </c>
      <c r="B10" s="7">
        <f t="shared" si="1"/>
        <v>46121</v>
      </c>
      <c r="C10" s="7">
        <f t="shared" si="2"/>
        <v>46127</v>
      </c>
      <c r="D10" s="6">
        <v>3281</v>
      </c>
      <c r="E10" s="6">
        <v>337</v>
      </c>
      <c r="F10" s="6">
        <v>4</v>
      </c>
      <c r="G10" s="6">
        <v>1</v>
      </c>
      <c r="H10" s="6">
        <v>81146</v>
      </c>
      <c r="I10" s="6" t="s">
        <v>17</v>
      </c>
      <c r="J10" s="6">
        <v>26269594</v>
      </c>
      <c r="K10" s="6" t="s">
        <v>906</v>
      </c>
      <c r="L10" s="6" t="s">
        <v>908</v>
      </c>
      <c r="M10" s="8">
        <v>129900</v>
      </c>
      <c r="N10" s="35">
        <v>0.9</v>
      </c>
      <c r="O10" s="34">
        <f t="shared" si="0"/>
        <v>12990</v>
      </c>
      <c r="P10" s="6" t="s">
        <v>16</v>
      </c>
    </row>
    <row r="11" spans="1:16" x14ac:dyDescent="0.35">
      <c r="A11" s="32" t="s">
        <v>6512</v>
      </c>
      <c r="B11" s="7">
        <f t="shared" si="1"/>
        <v>46121</v>
      </c>
      <c r="C11" s="7">
        <f t="shared" si="2"/>
        <v>46127</v>
      </c>
      <c r="D11" s="6">
        <v>3281</v>
      </c>
      <c r="E11" s="6">
        <v>337</v>
      </c>
      <c r="F11" s="6">
        <v>4</v>
      </c>
      <c r="G11" s="6">
        <v>1</v>
      </c>
      <c r="H11" s="6">
        <v>81146</v>
      </c>
      <c r="I11" s="6" t="s">
        <v>17</v>
      </c>
      <c r="J11" s="6">
        <v>26269610</v>
      </c>
      <c r="K11" s="6" t="s">
        <v>906</v>
      </c>
      <c r="L11" s="6" t="s">
        <v>909</v>
      </c>
      <c r="M11" s="8">
        <v>129900</v>
      </c>
      <c r="N11" s="35">
        <v>0.9</v>
      </c>
      <c r="O11" s="34">
        <f t="shared" si="0"/>
        <v>12990</v>
      </c>
      <c r="P11" s="6" t="s">
        <v>16</v>
      </c>
    </row>
    <row r="12" spans="1:16" x14ac:dyDescent="0.35">
      <c r="A12" s="32" t="s">
        <v>6512</v>
      </c>
      <c r="B12" s="7">
        <f t="shared" si="1"/>
        <v>46121</v>
      </c>
      <c r="C12" s="7">
        <f t="shared" si="2"/>
        <v>46127</v>
      </c>
      <c r="D12" s="6">
        <v>3281</v>
      </c>
      <c r="E12" s="6">
        <v>337</v>
      </c>
      <c r="F12" s="6">
        <v>4</v>
      </c>
      <c r="G12" s="6">
        <v>1</v>
      </c>
      <c r="H12" s="6">
        <v>81146</v>
      </c>
      <c r="I12" s="6" t="s">
        <v>17</v>
      </c>
      <c r="J12" s="6">
        <v>26269629</v>
      </c>
      <c r="K12" s="6" t="s">
        <v>906</v>
      </c>
      <c r="L12" s="6" t="s">
        <v>910</v>
      </c>
      <c r="M12" s="8">
        <v>129900</v>
      </c>
      <c r="N12" s="35">
        <v>0.9</v>
      </c>
      <c r="O12" s="34">
        <f t="shared" si="0"/>
        <v>12990</v>
      </c>
      <c r="P12" s="6" t="s">
        <v>16</v>
      </c>
    </row>
    <row r="13" spans="1:16" x14ac:dyDescent="0.35">
      <c r="A13" s="32" t="s">
        <v>6512</v>
      </c>
      <c r="B13" s="7">
        <f t="shared" si="1"/>
        <v>46121</v>
      </c>
      <c r="C13" s="7">
        <f t="shared" si="2"/>
        <v>46127</v>
      </c>
      <c r="D13" s="6">
        <v>3281</v>
      </c>
      <c r="E13" s="6">
        <v>337</v>
      </c>
      <c r="F13" s="6">
        <v>4</v>
      </c>
      <c r="G13" s="6">
        <v>1</v>
      </c>
      <c r="H13" s="6">
        <v>81146</v>
      </c>
      <c r="I13" s="6" t="s">
        <v>17</v>
      </c>
      <c r="J13" s="6">
        <v>26334601</v>
      </c>
      <c r="K13" s="6" t="s">
        <v>911</v>
      </c>
      <c r="L13" s="6" t="s">
        <v>912</v>
      </c>
      <c r="M13" s="8">
        <v>129900</v>
      </c>
      <c r="N13" s="35">
        <v>0.9</v>
      </c>
      <c r="O13" s="34">
        <f t="shared" si="0"/>
        <v>12990</v>
      </c>
      <c r="P13" s="6" t="s">
        <v>16</v>
      </c>
    </row>
    <row r="14" spans="1:16" x14ac:dyDescent="0.35">
      <c r="A14" s="32" t="s">
        <v>6512</v>
      </c>
      <c r="B14" s="7">
        <f t="shared" si="1"/>
        <v>46121</v>
      </c>
      <c r="C14" s="7">
        <f t="shared" si="2"/>
        <v>46127</v>
      </c>
      <c r="D14" s="6">
        <v>3281</v>
      </c>
      <c r="E14" s="6">
        <v>337</v>
      </c>
      <c r="F14" s="6">
        <v>4</v>
      </c>
      <c r="G14" s="6">
        <v>1</v>
      </c>
      <c r="H14" s="6">
        <v>81146</v>
      </c>
      <c r="I14" s="6" t="s">
        <v>17</v>
      </c>
      <c r="J14" s="6">
        <v>26334638</v>
      </c>
      <c r="K14" s="6" t="s">
        <v>911</v>
      </c>
      <c r="L14" s="6" t="s">
        <v>913</v>
      </c>
      <c r="M14" s="8">
        <v>129900</v>
      </c>
      <c r="N14" s="35">
        <v>0.9</v>
      </c>
      <c r="O14" s="34">
        <f t="shared" si="0"/>
        <v>12990</v>
      </c>
      <c r="P14" s="6" t="s">
        <v>16</v>
      </c>
    </row>
    <row r="15" spans="1:16" x14ac:dyDescent="0.35">
      <c r="A15" s="32" t="s">
        <v>6512</v>
      </c>
      <c r="B15" s="7">
        <f t="shared" si="1"/>
        <v>46121</v>
      </c>
      <c r="C15" s="7">
        <f t="shared" si="2"/>
        <v>46127</v>
      </c>
      <c r="D15" s="6">
        <v>3281</v>
      </c>
      <c r="E15" s="6">
        <v>337</v>
      </c>
      <c r="F15" s="6">
        <v>4</v>
      </c>
      <c r="G15" s="6">
        <v>1</v>
      </c>
      <c r="H15" s="6">
        <v>81146</v>
      </c>
      <c r="I15" s="6" t="s">
        <v>17</v>
      </c>
      <c r="J15" s="6">
        <v>26490362</v>
      </c>
      <c r="K15" s="6" t="s">
        <v>914</v>
      </c>
      <c r="L15" s="6" t="s">
        <v>915</v>
      </c>
      <c r="M15" s="8">
        <v>129900</v>
      </c>
      <c r="N15" s="35">
        <v>0.9</v>
      </c>
      <c r="O15" s="34">
        <f t="shared" si="0"/>
        <v>12990</v>
      </c>
      <c r="P15" s="6" t="s">
        <v>16</v>
      </c>
    </row>
    <row r="16" spans="1:16" x14ac:dyDescent="0.35">
      <c r="A16" s="32" t="s">
        <v>6512</v>
      </c>
      <c r="B16" s="7">
        <f t="shared" si="1"/>
        <v>46121</v>
      </c>
      <c r="C16" s="7">
        <f t="shared" si="2"/>
        <v>46127</v>
      </c>
      <c r="D16" s="6">
        <v>3281</v>
      </c>
      <c r="E16" s="6">
        <v>337</v>
      </c>
      <c r="F16" s="6">
        <v>4</v>
      </c>
      <c r="G16" s="6">
        <v>1</v>
      </c>
      <c r="H16" s="6">
        <v>81146</v>
      </c>
      <c r="I16" s="6" t="s">
        <v>17</v>
      </c>
      <c r="J16" s="6">
        <v>26490371</v>
      </c>
      <c r="K16" s="6" t="s">
        <v>914</v>
      </c>
      <c r="L16" s="6" t="s">
        <v>916</v>
      </c>
      <c r="M16" s="8">
        <v>129900</v>
      </c>
      <c r="N16" s="35">
        <v>0.9</v>
      </c>
      <c r="O16" s="34">
        <f t="shared" si="0"/>
        <v>12990</v>
      </c>
      <c r="P16" s="6" t="s">
        <v>16</v>
      </c>
    </row>
    <row r="17" spans="1:16" x14ac:dyDescent="0.35">
      <c r="A17" s="32" t="s">
        <v>6512</v>
      </c>
      <c r="B17" s="7">
        <f t="shared" si="1"/>
        <v>46121</v>
      </c>
      <c r="C17" s="7">
        <f t="shared" si="2"/>
        <v>46127</v>
      </c>
      <c r="D17" s="6">
        <v>3281</v>
      </c>
      <c r="E17" s="6">
        <v>337</v>
      </c>
      <c r="F17" s="6">
        <v>4</v>
      </c>
      <c r="G17" s="6">
        <v>1</v>
      </c>
      <c r="H17" s="6">
        <v>81146</v>
      </c>
      <c r="I17" s="6" t="s">
        <v>17</v>
      </c>
      <c r="J17" s="6">
        <v>26490406</v>
      </c>
      <c r="K17" s="6" t="s">
        <v>914</v>
      </c>
      <c r="L17" s="6" t="s">
        <v>917</v>
      </c>
      <c r="M17" s="8">
        <v>129900</v>
      </c>
      <c r="N17" s="35">
        <v>0.9</v>
      </c>
      <c r="O17" s="34">
        <f t="shared" si="0"/>
        <v>12990</v>
      </c>
      <c r="P17" s="6" t="s">
        <v>16</v>
      </c>
    </row>
    <row r="18" spans="1:16" x14ac:dyDescent="0.35">
      <c r="A18" s="32" t="s">
        <v>6512</v>
      </c>
      <c r="B18" s="7">
        <f t="shared" si="1"/>
        <v>46121</v>
      </c>
      <c r="C18" s="7">
        <f t="shared" si="2"/>
        <v>46127</v>
      </c>
      <c r="D18" s="6">
        <v>3281</v>
      </c>
      <c r="E18" s="6">
        <v>337</v>
      </c>
      <c r="F18" s="6">
        <v>4</v>
      </c>
      <c r="G18" s="6">
        <v>1</v>
      </c>
      <c r="H18" s="6">
        <v>81146</v>
      </c>
      <c r="I18" s="6" t="s">
        <v>17</v>
      </c>
      <c r="J18" s="6">
        <v>26490424</v>
      </c>
      <c r="K18" s="6" t="s">
        <v>914</v>
      </c>
      <c r="L18" s="6" t="s">
        <v>918</v>
      </c>
      <c r="M18" s="8">
        <v>129900</v>
      </c>
      <c r="N18" s="35">
        <v>0.9</v>
      </c>
      <c r="O18" s="34">
        <f t="shared" si="0"/>
        <v>12990</v>
      </c>
      <c r="P18" s="6" t="s">
        <v>16</v>
      </c>
    </row>
    <row r="19" spans="1:16" x14ac:dyDescent="0.35">
      <c r="A19" s="32" t="s">
        <v>6512</v>
      </c>
      <c r="B19" s="7">
        <f t="shared" si="1"/>
        <v>46121</v>
      </c>
      <c r="C19" s="7">
        <f t="shared" si="2"/>
        <v>46127</v>
      </c>
      <c r="D19" s="6">
        <v>3281</v>
      </c>
      <c r="E19" s="6">
        <v>337</v>
      </c>
      <c r="F19" s="6">
        <v>4</v>
      </c>
      <c r="G19" s="6">
        <v>1</v>
      </c>
      <c r="H19" s="6">
        <v>81421</v>
      </c>
      <c r="I19" s="6" t="s">
        <v>17</v>
      </c>
      <c r="J19" s="6">
        <v>24376178</v>
      </c>
      <c r="K19" s="6" t="s">
        <v>919</v>
      </c>
      <c r="L19" s="6" t="s">
        <v>920</v>
      </c>
      <c r="M19" s="8">
        <v>129900</v>
      </c>
      <c r="N19" s="35">
        <v>0.9</v>
      </c>
      <c r="O19" s="34">
        <f t="shared" si="0"/>
        <v>12990</v>
      </c>
      <c r="P19" s="6" t="s">
        <v>16</v>
      </c>
    </row>
    <row r="20" spans="1:16" x14ac:dyDescent="0.35">
      <c r="A20" s="32" t="s">
        <v>6512</v>
      </c>
      <c r="B20" s="7">
        <f t="shared" si="1"/>
        <v>46121</v>
      </c>
      <c r="C20" s="7">
        <f t="shared" si="2"/>
        <v>46127</v>
      </c>
      <c r="D20" s="6">
        <v>3281</v>
      </c>
      <c r="E20" s="6">
        <v>337</v>
      </c>
      <c r="F20" s="6">
        <v>4</v>
      </c>
      <c r="G20" s="6">
        <v>1</v>
      </c>
      <c r="H20" s="6">
        <v>81421</v>
      </c>
      <c r="I20" s="6" t="s">
        <v>17</v>
      </c>
      <c r="J20" s="6">
        <v>24376374</v>
      </c>
      <c r="K20" s="6" t="s">
        <v>921</v>
      </c>
      <c r="L20" s="6" t="s">
        <v>922</v>
      </c>
      <c r="M20" s="8">
        <v>159900</v>
      </c>
      <c r="N20" s="35">
        <v>0.9</v>
      </c>
      <c r="O20" s="34">
        <f t="shared" si="0"/>
        <v>15990</v>
      </c>
      <c r="P20" s="6" t="s">
        <v>16</v>
      </c>
    </row>
    <row r="21" spans="1:16" x14ac:dyDescent="0.35">
      <c r="A21" s="32" t="s">
        <v>6512</v>
      </c>
      <c r="B21" s="7">
        <f t="shared" si="1"/>
        <v>46121</v>
      </c>
      <c r="C21" s="7">
        <f t="shared" si="2"/>
        <v>46127</v>
      </c>
      <c r="D21" s="6">
        <v>3281</v>
      </c>
      <c r="E21" s="6">
        <v>337</v>
      </c>
      <c r="F21" s="6">
        <v>4</v>
      </c>
      <c r="G21" s="6">
        <v>1</v>
      </c>
      <c r="H21" s="6">
        <v>81421</v>
      </c>
      <c r="I21" s="6" t="s">
        <v>17</v>
      </c>
      <c r="J21" s="6">
        <v>26334718</v>
      </c>
      <c r="K21" s="6" t="s">
        <v>923</v>
      </c>
      <c r="L21" s="6" t="s">
        <v>924</v>
      </c>
      <c r="M21" s="8">
        <v>119900</v>
      </c>
      <c r="N21" s="35">
        <v>0.9</v>
      </c>
      <c r="O21" s="34">
        <f t="shared" si="0"/>
        <v>11990</v>
      </c>
      <c r="P21" s="6" t="s">
        <v>16</v>
      </c>
    </row>
    <row r="22" spans="1:16" x14ac:dyDescent="0.35">
      <c r="A22" s="32" t="s">
        <v>6512</v>
      </c>
      <c r="B22" s="7">
        <f t="shared" si="1"/>
        <v>46121</v>
      </c>
      <c r="C22" s="7">
        <f t="shared" si="2"/>
        <v>46127</v>
      </c>
      <c r="D22" s="6">
        <v>3281</v>
      </c>
      <c r="E22" s="6">
        <v>337</v>
      </c>
      <c r="F22" s="6">
        <v>4</v>
      </c>
      <c r="G22" s="6">
        <v>1</v>
      </c>
      <c r="H22" s="6">
        <v>81421</v>
      </c>
      <c r="I22" s="6" t="s">
        <v>17</v>
      </c>
      <c r="J22" s="6">
        <v>33416572</v>
      </c>
      <c r="K22" s="6" t="s">
        <v>676</v>
      </c>
      <c r="L22" s="6" t="s">
        <v>677</v>
      </c>
      <c r="M22" s="8">
        <v>139900</v>
      </c>
      <c r="N22" s="35">
        <v>0.9</v>
      </c>
      <c r="O22" s="34">
        <f t="shared" si="0"/>
        <v>13990</v>
      </c>
      <c r="P22" s="6" t="s">
        <v>16</v>
      </c>
    </row>
    <row r="23" spans="1:16" x14ac:dyDescent="0.35">
      <c r="A23" s="32" t="s">
        <v>6512</v>
      </c>
      <c r="B23" s="7">
        <f t="shared" si="1"/>
        <v>46121</v>
      </c>
      <c r="C23" s="7">
        <f t="shared" si="2"/>
        <v>46127</v>
      </c>
      <c r="D23" s="6">
        <v>3281</v>
      </c>
      <c r="E23" s="6">
        <v>337</v>
      </c>
      <c r="F23" s="6">
        <v>4</v>
      </c>
      <c r="G23" s="6">
        <v>1</v>
      </c>
      <c r="H23" s="6">
        <v>81421</v>
      </c>
      <c r="I23" s="6" t="s">
        <v>17</v>
      </c>
      <c r="J23" s="6">
        <v>31286609</v>
      </c>
      <c r="K23" s="6" t="s">
        <v>673</v>
      </c>
      <c r="L23" s="6" t="s">
        <v>674</v>
      </c>
      <c r="M23" s="8">
        <v>149900</v>
      </c>
      <c r="N23" s="35">
        <v>0.9</v>
      </c>
      <c r="O23" s="34">
        <f t="shared" si="0"/>
        <v>14990</v>
      </c>
      <c r="P23" s="6" t="s">
        <v>16</v>
      </c>
    </row>
    <row r="24" spans="1:16" x14ac:dyDescent="0.35">
      <c r="A24" s="32" t="s">
        <v>6512</v>
      </c>
      <c r="B24" s="7">
        <f t="shared" si="1"/>
        <v>46121</v>
      </c>
      <c r="C24" s="7">
        <f t="shared" si="2"/>
        <v>46127</v>
      </c>
      <c r="D24" s="6">
        <v>3281</v>
      </c>
      <c r="E24" s="6">
        <v>337</v>
      </c>
      <c r="F24" s="6">
        <v>4</v>
      </c>
      <c r="G24" s="6">
        <v>1</v>
      </c>
      <c r="H24" s="6">
        <v>81421</v>
      </c>
      <c r="I24" s="6" t="s">
        <v>17</v>
      </c>
      <c r="J24" s="6">
        <v>31286627</v>
      </c>
      <c r="K24" s="6" t="s">
        <v>673</v>
      </c>
      <c r="L24" s="6" t="s">
        <v>675</v>
      </c>
      <c r="M24" s="8">
        <v>149900</v>
      </c>
      <c r="N24" s="35">
        <v>0.9</v>
      </c>
      <c r="O24" s="34">
        <f t="shared" si="0"/>
        <v>14990</v>
      </c>
      <c r="P24" s="6" t="s">
        <v>16</v>
      </c>
    </row>
    <row r="25" spans="1:16" x14ac:dyDescent="0.35">
      <c r="A25" s="32" t="s">
        <v>6512</v>
      </c>
      <c r="B25" s="7">
        <f t="shared" si="1"/>
        <v>46121</v>
      </c>
      <c r="C25" s="7">
        <f t="shared" si="2"/>
        <v>46127</v>
      </c>
      <c r="D25" s="6">
        <v>3281</v>
      </c>
      <c r="E25" s="6">
        <v>337</v>
      </c>
      <c r="F25" s="6">
        <v>4</v>
      </c>
      <c r="G25" s="6">
        <v>1</v>
      </c>
      <c r="H25" s="6">
        <v>190</v>
      </c>
      <c r="I25" s="6" t="s">
        <v>17</v>
      </c>
      <c r="J25" s="6">
        <v>26495296</v>
      </c>
      <c r="K25" s="6" t="s">
        <v>925</v>
      </c>
      <c r="L25" s="6" t="s">
        <v>926</v>
      </c>
      <c r="M25" s="8">
        <v>129900</v>
      </c>
      <c r="N25" s="35">
        <v>0.9</v>
      </c>
      <c r="O25" s="34">
        <f t="shared" si="0"/>
        <v>12990</v>
      </c>
      <c r="P25" s="6" t="s">
        <v>16</v>
      </c>
    </row>
    <row r="26" spans="1:16" x14ac:dyDescent="0.35">
      <c r="A26" s="32" t="s">
        <v>6512</v>
      </c>
      <c r="B26" s="7">
        <f t="shared" si="1"/>
        <v>46121</v>
      </c>
      <c r="C26" s="7">
        <f t="shared" si="2"/>
        <v>46127</v>
      </c>
      <c r="D26" s="6">
        <v>3281</v>
      </c>
      <c r="E26" s="6">
        <v>337</v>
      </c>
      <c r="F26" s="6">
        <v>4</v>
      </c>
      <c r="G26" s="6">
        <v>1</v>
      </c>
      <c r="H26" s="6">
        <v>190</v>
      </c>
      <c r="I26" s="6" t="s">
        <v>17</v>
      </c>
      <c r="J26" s="6">
        <v>33557063</v>
      </c>
      <c r="K26" s="6" t="s">
        <v>678</v>
      </c>
      <c r="L26" s="6" t="s">
        <v>679</v>
      </c>
      <c r="M26" s="8">
        <v>129900</v>
      </c>
      <c r="N26" s="35">
        <v>0.9</v>
      </c>
      <c r="O26" s="34">
        <f t="shared" si="0"/>
        <v>12990</v>
      </c>
      <c r="P26" s="6" t="s">
        <v>16</v>
      </c>
    </row>
    <row r="27" spans="1:16" x14ac:dyDescent="0.35">
      <c r="A27" s="32" t="s">
        <v>6512</v>
      </c>
      <c r="B27" s="7">
        <f t="shared" si="1"/>
        <v>46121</v>
      </c>
      <c r="C27" s="7">
        <f t="shared" si="2"/>
        <v>46127</v>
      </c>
      <c r="D27" s="6">
        <v>3281</v>
      </c>
      <c r="E27" s="6">
        <v>337</v>
      </c>
      <c r="F27" s="6">
        <v>4</v>
      </c>
      <c r="G27" s="6">
        <v>1</v>
      </c>
      <c r="H27" s="6">
        <v>190</v>
      </c>
      <c r="I27" s="6" t="s">
        <v>17</v>
      </c>
      <c r="J27" s="6">
        <v>33557081</v>
      </c>
      <c r="K27" s="6" t="s">
        <v>680</v>
      </c>
      <c r="L27" s="6" t="s">
        <v>681</v>
      </c>
      <c r="M27" s="8">
        <v>129900</v>
      </c>
      <c r="N27" s="35">
        <v>0.9</v>
      </c>
      <c r="O27" s="34">
        <f t="shared" si="0"/>
        <v>12990</v>
      </c>
      <c r="P27" s="6" t="s">
        <v>16</v>
      </c>
    </row>
    <row r="28" spans="1:16" x14ac:dyDescent="0.35">
      <c r="A28" s="32" t="s">
        <v>6512</v>
      </c>
      <c r="B28" s="7">
        <f t="shared" si="1"/>
        <v>46121</v>
      </c>
      <c r="C28" s="7">
        <f t="shared" si="2"/>
        <v>46127</v>
      </c>
      <c r="D28" s="6">
        <v>3281</v>
      </c>
      <c r="E28" s="6">
        <v>337</v>
      </c>
      <c r="F28" s="6">
        <v>4</v>
      </c>
      <c r="G28" s="6">
        <v>1</v>
      </c>
      <c r="H28" s="6">
        <v>190</v>
      </c>
      <c r="I28" s="6" t="s">
        <v>17</v>
      </c>
      <c r="J28" s="6">
        <v>33557116</v>
      </c>
      <c r="K28" s="6" t="s">
        <v>680</v>
      </c>
      <c r="L28" s="6" t="s">
        <v>682</v>
      </c>
      <c r="M28" s="8">
        <v>129900</v>
      </c>
      <c r="N28" s="35">
        <v>0.9</v>
      </c>
      <c r="O28" s="34">
        <f t="shared" si="0"/>
        <v>12990</v>
      </c>
      <c r="P28" s="6" t="s">
        <v>16</v>
      </c>
    </row>
    <row r="29" spans="1:16" x14ac:dyDescent="0.35">
      <c r="A29" s="32" t="s">
        <v>6512</v>
      </c>
      <c r="B29" s="7">
        <f t="shared" si="1"/>
        <v>46121</v>
      </c>
      <c r="C29" s="7">
        <f t="shared" si="2"/>
        <v>46127</v>
      </c>
      <c r="D29" s="6">
        <v>3281</v>
      </c>
      <c r="E29" s="6">
        <v>337</v>
      </c>
      <c r="F29" s="6">
        <v>4</v>
      </c>
      <c r="G29" s="6">
        <v>1</v>
      </c>
      <c r="H29" s="6">
        <v>80920</v>
      </c>
      <c r="I29" s="6" t="s">
        <v>17</v>
      </c>
      <c r="J29" s="6">
        <v>26267032</v>
      </c>
      <c r="K29" s="6" t="s">
        <v>927</v>
      </c>
      <c r="L29" s="6" t="s">
        <v>928</v>
      </c>
      <c r="M29" s="8">
        <v>69900</v>
      </c>
      <c r="N29" s="35">
        <v>0.9</v>
      </c>
      <c r="O29" s="34">
        <f t="shared" si="0"/>
        <v>6990</v>
      </c>
      <c r="P29" s="6" t="s">
        <v>16</v>
      </c>
    </row>
    <row r="30" spans="1:16" x14ac:dyDescent="0.35">
      <c r="A30" s="32" t="s">
        <v>6512</v>
      </c>
      <c r="B30" s="7">
        <f t="shared" si="1"/>
        <v>46121</v>
      </c>
      <c r="C30" s="7">
        <f t="shared" si="2"/>
        <v>46127</v>
      </c>
      <c r="D30" s="6">
        <v>3281</v>
      </c>
      <c r="E30" s="6">
        <v>337</v>
      </c>
      <c r="F30" s="6">
        <v>4</v>
      </c>
      <c r="G30" s="6">
        <v>1</v>
      </c>
      <c r="H30" s="6">
        <v>80920</v>
      </c>
      <c r="I30" s="6" t="s">
        <v>17</v>
      </c>
      <c r="J30" s="6">
        <v>26359657</v>
      </c>
      <c r="K30" s="6" t="s">
        <v>941</v>
      </c>
      <c r="L30" s="6" t="s">
        <v>942</v>
      </c>
      <c r="M30" s="8">
        <v>99900</v>
      </c>
      <c r="N30" s="35">
        <v>0.9</v>
      </c>
      <c r="O30" s="34">
        <f t="shared" si="0"/>
        <v>9990</v>
      </c>
      <c r="P30" s="6" t="s">
        <v>16</v>
      </c>
    </row>
    <row r="31" spans="1:16" x14ac:dyDescent="0.35">
      <c r="A31" s="32" t="s">
        <v>6512</v>
      </c>
      <c r="B31" s="7">
        <f t="shared" si="1"/>
        <v>46121</v>
      </c>
      <c r="C31" s="7">
        <f t="shared" si="2"/>
        <v>46127</v>
      </c>
      <c r="D31" s="6">
        <v>3281</v>
      </c>
      <c r="E31" s="6">
        <v>337</v>
      </c>
      <c r="F31" s="6">
        <v>4</v>
      </c>
      <c r="G31" s="6">
        <v>1</v>
      </c>
      <c r="H31" s="6">
        <v>80920</v>
      </c>
      <c r="I31" s="6" t="s">
        <v>17</v>
      </c>
      <c r="J31" s="6">
        <v>26359666</v>
      </c>
      <c r="K31" s="6" t="s">
        <v>941</v>
      </c>
      <c r="L31" s="6" t="s">
        <v>943</v>
      </c>
      <c r="M31" s="8">
        <v>99900</v>
      </c>
      <c r="N31" s="35">
        <v>0.9</v>
      </c>
      <c r="O31" s="34">
        <f t="shared" si="0"/>
        <v>9990</v>
      </c>
      <c r="P31" s="6" t="s">
        <v>16</v>
      </c>
    </row>
    <row r="32" spans="1:16" x14ac:dyDescent="0.35">
      <c r="A32" s="32" t="s">
        <v>6512</v>
      </c>
      <c r="B32" s="7">
        <f t="shared" si="1"/>
        <v>46121</v>
      </c>
      <c r="C32" s="7">
        <f t="shared" si="2"/>
        <v>46127</v>
      </c>
      <c r="D32" s="6">
        <v>3281</v>
      </c>
      <c r="E32" s="6">
        <v>337</v>
      </c>
      <c r="F32" s="6">
        <v>4</v>
      </c>
      <c r="G32" s="6">
        <v>1</v>
      </c>
      <c r="H32" s="6">
        <v>80920</v>
      </c>
      <c r="I32" s="6" t="s">
        <v>17</v>
      </c>
      <c r="J32" s="6">
        <v>26482184</v>
      </c>
      <c r="K32" s="6" t="s">
        <v>944</v>
      </c>
      <c r="L32" s="6" t="s">
        <v>945</v>
      </c>
      <c r="M32" s="8">
        <v>139900</v>
      </c>
      <c r="N32" s="35">
        <v>0.9</v>
      </c>
      <c r="O32" s="34">
        <f t="shared" si="0"/>
        <v>13990</v>
      </c>
      <c r="P32" s="6" t="s">
        <v>16</v>
      </c>
    </row>
    <row r="33" spans="1:16" x14ac:dyDescent="0.35">
      <c r="A33" s="32" t="s">
        <v>6512</v>
      </c>
      <c r="B33" s="7">
        <f t="shared" si="1"/>
        <v>46121</v>
      </c>
      <c r="C33" s="7">
        <f t="shared" si="2"/>
        <v>46127</v>
      </c>
      <c r="D33" s="6">
        <v>3281</v>
      </c>
      <c r="E33" s="6">
        <v>337</v>
      </c>
      <c r="F33" s="6">
        <v>4</v>
      </c>
      <c r="G33" s="6">
        <v>1</v>
      </c>
      <c r="H33" s="6">
        <v>80920</v>
      </c>
      <c r="I33" s="6" t="s">
        <v>17</v>
      </c>
      <c r="J33" s="6">
        <v>26482193</v>
      </c>
      <c r="K33" s="6" t="s">
        <v>944</v>
      </c>
      <c r="L33" s="6" t="s">
        <v>946</v>
      </c>
      <c r="M33" s="8">
        <v>139900</v>
      </c>
      <c r="N33" s="35">
        <v>0.9</v>
      </c>
      <c r="O33" s="34">
        <f t="shared" si="0"/>
        <v>13990</v>
      </c>
      <c r="P33" s="6" t="s">
        <v>16</v>
      </c>
    </row>
    <row r="34" spans="1:16" x14ac:dyDescent="0.35">
      <c r="A34" s="32" t="s">
        <v>6512</v>
      </c>
      <c r="B34" s="7">
        <f t="shared" si="1"/>
        <v>46121</v>
      </c>
      <c r="C34" s="7">
        <f t="shared" si="2"/>
        <v>46127</v>
      </c>
      <c r="D34" s="6">
        <v>3281</v>
      </c>
      <c r="E34" s="6">
        <v>337</v>
      </c>
      <c r="F34" s="6">
        <v>4</v>
      </c>
      <c r="G34" s="6">
        <v>1</v>
      </c>
      <c r="H34" s="6">
        <v>80920</v>
      </c>
      <c r="I34" s="6" t="s">
        <v>17</v>
      </c>
      <c r="J34" s="6">
        <v>26482200</v>
      </c>
      <c r="K34" s="6" t="s">
        <v>944</v>
      </c>
      <c r="L34" s="6" t="s">
        <v>947</v>
      </c>
      <c r="M34" s="8">
        <v>139900</v>
      </c>
      <c r="N34" s="35">
        <v>0.9</v>
      </c>
      <c r="O34" s="34">
        <f t="shared" si="0"/>
        <v>13990</v>
      </c>
      <c r="P34" s="6" t="s">
        <v>16</v>
      </c>
    </row>
    <row r="35" spans="1:16" x14ac:dyDescent="0.35">
      <c r="A35" s="32" t="s">
        <v>6512</v>
      </c>
      <c r="B35" s="7">
        <f t="shared" si="1"/>
        <v>46121</v>
      </c>
      <c r="C35" s="7">
        <f t="shared" si="2"/>
        <v>46127</v>
      </c>
      <c r="D35" s="6">
        <v>3281</v>
      </c>
      <c r="E35" s="6">
        <v>337</v>
      </c>
      <c r="F35" s="6">
        <v>4</v>
      </c>
      <c r="G35" s="6">
        <v>1</v>
      </c>
      <c r="H35" s="6">
        <v>80920</v>
      </c>
      <c r="I35" s="6" t="s">
        <v>17</v>
      </c>
      <c r="J35" s="6">
        <v>27075747</v>
      </c>
      <c r="K35" s="6" t="s">
        <v>929</v>
      </c>
      <c r="L35" s="6" t="s">
        <v>930</v>
      </c>
      <c r="M35" s="8">
        <v>69900</v>
      </c>
      <c r="N35" s="35">
        <v>0.9</v>
      </c>
      <c r="O35" s="34">
        <f t="shared" si="0"/>
        <v>6990</v>
      </c>
      <c r="P35" s="6" t="s">
        <v>16</v>
      </c>
    </row>
    <row r="36" spans="1:16" x14ac:dyDescent="0.35">
      <c r="A36" s="32" t="s">
        <v>6512</v>
      </c>
      <c r="B36" s="7">
        <f t="shared" si="1"/>
        <v>46121</v>
      </c>
      <c r="C36" s="7">
        <f t="shared" si="2"/>
        <v>46127</v>
      </c>
      <c r="D36" s="6">
        <v>3281</v>
      </c>
      <c r="E36" s="6">
        <v>337</v>
      </c>
      <c r="F36" s="6">
        <v>4</v>
      </c>
      <c r="G36" s="6">
        <v>1</v>
      </c>
      <c r="H36" s="6">
        <v>80920</v>
      </c>
      <c r="I36" s="6" t="s">
        <v>17</v>
      </c>
      <c r="J36" s="6">
        <v>28035074</v>
      </c>
      <c r="K36" s="6" t="s">
        <v>683</v>
      </c>
      <c r="L36" s="6" t="s">
        <v>684</v>
      </c>
      <c r="M36" s="8">
        <v>69900</v>
      </c>
      <c r="N36" s="35">
        <v>0.9</v>
      </c>
      <c r="O36" s="34">
        <f t="shared" si="0"/>
        <v>6990</v>
      </c>
      <c r="P36" s="6" t="s">
        <v>16</v>
      </c>
    </row>
    <row r="37" spans="1:16" x14ac:dyDescent="0.35">
      <c r="A37" s="32" t="s">
        <v>6512</v>
      </c>
      <c r="B37" s="7">
        <f t="shared" si="1"/>
        <v>46121</v>
      </c>
      <c r="C37" s="7">
        <f t="shared" si="2"/>
        <v>46127</v>
      </c>
      <c r="D37" s="6">
        <v>3281</v>
      </c>
      <c r="E37" s="6">
        <v>337</v>
      </c>
      <c r="F37" s="6">
        <v>4</v>
      </c>
      <c r="G37" s="6">
        <v>1</v>
      </c>
      <c r="H37" s="6">
        <v>80920</v>
      </c>
      <c r="I37" s="6" t="s">
        <v>17</v>
      </c>
      <c r="J37" s="6">
        <v>28937242</v>
      </c>
      <c r="K37" s="6" t="s">
        <v>685</v>
      </c>
      <c r="L37" s="6" t="s">
        <v>686</v>
      </c>
      <c r="M37" s="8">
        <v>69900</v>
      </c>
      <c r="N37" s="35">
        <v>0.9</v>
      </c>
      <c r="O37" s="34">
        <f t="shared" si="0"/>
        <v>6990</v>
      </c>
      <c r="P37" s="6" t="s">
        <v>16</v>
      </c>
    </row>
    <row r="38" spans="1:16" x14ac:dyDescent="0.35">
      <c r="A38" s="32" t="s">
        <v>6512</v>
      </c>
      <c r="B38" s="7">
        <f t="shared" si="1"/>
        <v>46121</v>
      </c>
      <c r="C38" s="7">
        <f t="shared" si="2"/>
        <v>46127</v>
      </c>
      <c r="D38" s="6">
        <v>3281</v>
      </c>
      <c r="E38" s="6">
        <v>337</v>
      </c>
      <c r="F38" s="6">
        <v>4</v>
      </c>
      <c r="G38" s="6">
        <v>1</v>
      </c>
      <c r="H38" s="6">
        <v>80920</v>
      </c>
      <c r="I38" s="6" t="s">
        <v>17</v>
      </c>
      <c r="J38" s="6">
        <v>28937279</v>
      </c>
      <c r="K38" s="6" t="s">
        <v>685</v>
      </c>
      <c r="L38" s="6" t="s">
        <v>687</v>
      </c>
      <c r="M38" s="8">
        <v>69900</v>
      </c>
      <c r="N38" s="35">
        <v>0.9</v>
      </c>
      <c r="O38" s="34">
        <f t="shared" si="0"/>
        <v>6990</v>
      </c>
      <c r="P38" s="6" t="s">
        <v>16</v>
      </c>
    </row>
    <row r="39" spans="1:16" x14ac:dyDescent="0.35">
      <c r="A39" s="32" t="s">
        <v>6512</v>
      </c>
      <c r="B39" s="7">
        <f t="shared" si="1"/>
        <v>46121</v>
      </c>
      <c r="C39" s="7">
        <f t="shared" si="2"/>
        <v>46127</v>
      </c>
      <c r="D39" s="6">
        <v>3281</v>
      </c>
      <c r="E39" s="6">
        <v>337</v>
      </c>
      <c r="F39" s="6">
        <v>4</v>
      </c>
      <c r="G39" s="6">
        <v>1</v>
      </c>
      <c r="H39" s="6">
        <v>80920</v>
      </c>
      <c r="I39" s="6" t="s">
        <v>17</v>
      </c>
      <c r="J39" s="6">
        <v>28937475</v>
      </c>
      <c r="K39" s="6" t="s">
        <v>688</v>
      </c>
      <c r="L39" s="6" t="s">
        <v>689</v>
      </c>
      <c r="M39" s="8">
        <v>69900</v>
      </c>
      <c r="N39" s="35">
        <v>0.9</v>
      </c>
      <c r="O39" s="34">
        <f t="shared" si="0"/>
        <v>6990</v>
      </c>
      <c r="P39" s="6" t="s">
        <v>16</v>
      </c>
    </row>
    <row r="40" spans="1:16" x14ac:dyDescent="0.35">
      <c r="A40" s="32" t="s">
        <v>6512</v>
      </c>
      <c r="B40" s="7">
        <f t="shared" si="1"/>
        <v>46121</v>
      </c>
      <c r="C40" s="7">
        <f t="shared" si="2"/>
        <v>46127</v>
      </c>
      <c r="D40" s="6">
        <v>3281</v>
      </c>
      <c r="E40" s="6">
        <v>337</v>
      </c>
      <c r="F40" s="6">
        <v>4</v>
      </c>
      <c r="G40" s="6">
        <v>1</v>
      </c>
      <c r="H40" s="6">
        <v>80920</v>
      </c>
      <c r="I40" s="6" t="s">
        <v>17</v>
      </c>
      <c r="J40" s="6">
        <v>28937484</v>
      </c>
      <c r="K40" s="6" t="s">
        <v>688</v>
      </c>
      <c r="L40" s="6" t="s">
        <v>690</v>
      </c>
      <c r="M40" s="8">
        <v>69900</v>
      </c>
      <c r="N40" s="35">
        <v>0.9</v>
      </c>
      <c r="O40" s="34">
        <f t="shared" si="0"/>
        <v>6990</v>
      </c>
      <c r="P40" s="6" t="s">
        <v>16</v>
      </c>
    </row>
    <row r="41" spans="1:16" x14ac:dyDescent="0.35">
      <c r="A41" s="32" t="s">
        <v>6512</v>
      </c>
      <c r="B41" s="7">
        <f t="shared" si="1"/>
        <v>46121</v>
      </c>
      <c r="C41" s="7">
        <f t="shared" si="2"/>
        <v>46127</v>
      </c>
      <c r="D41" s="6">
        <v>3281</v>
      </c>
      <c r="E41" s="6">
        <v>337</v>
      </c>
      <c r="F41" s="6">
        <v>4</v>
      </c>
      <c r="G41" s="6">
        <v>1</v>
      </c>
      <c r="H41" s="6">
        <v>80920</v>
      </c>
      <c r="I41" s="6" t="s">
        <v>17</v>
      </c>
      <c r="J41" s="6">
        <v>29591980</v>
      </c>
      <c r="K41" s="6" t="s">
        <v>691</v>
      </c>
      <c r="L41" s="6" t="s">
        <v>692</v>
      </c>
      <c r="M41" s="8">
        <v>69900</v>
      </c>
      <c r="N41" s="35">
        <v>0.9</v>
      </c>
      <c r="O41" s="34">
        <f t="shared" si="0"/>
        <v>6990</v>
      </c>
      <c r="P41" s="6" t="s">
        <v>16</v>
      </c>
    </row>
    <row r="42" spans="1:16" x14ac:dyDescent="0.35">
      <c r="A42" s="32" t="s">
        <v>6512</v>
      </c>
      <c r="B42" s="7">
        <f t="shared" si="1"/>
        <v>46121</v>
      </c>
      <c r="C42" s="7">
        <f t="shared" si="2"/>
        <v>46127</v>
      </c>
      <c r="D42" s="6">
        <v>3281</v>
      </c>
      <c r="E42" s="6">
        <v>337</v>
      </c>
      <c r="F42" s="6">
        <v>4</v>
      </c>
      <c r="G42" s="6">
        <v>1</v>
      </c>
      <c r="H42" s="6">
        <v>80920</v>
      </c>
      <c r="I42" s="6" t="s">
        <v>17</v>
      </c>
      <c r="J42" s="6">
        <v>30574586</v>
      </c>
      <c r="K42" s="6" t="s">
        <v>693</v>
      </c>
      <c r="L42" s="6" t="s">
        <v>694</v>
      </c>
      <c r="M42" s="8">
        <v>69900</v>
      </c>
      <c r="N42" s="35">
        <v>0.9</v>
      </c>
      <c r="O42" s="34">
        <f t="shared" si="0"/>
        <v>6990</v>
      </c>
      <c r="P42" s="6" t="s">
        <v>16</v>
      </c>
    </row>
    <row r="43" spans="1:16" x14ac:dyDescent="0.35">
      <c r="A43" s="32" t="s">
        <v>6512</v>
      </c>
      <c r="B43" s="7">
        <f t="shared" si="1"/>
        <v>46121</v>
      </c>
      <c r="C43" s="7">
        <f t="shared" si="2"/>
        <v>46127</v>
      </c>
      <c r="D43" s="6">
        <v>3281</v>
      </c>
      <c r="E43" s="6">
        <v>337</v>
      </c>
      <c r="F43" s="6">
        <v>4</v>
      </c>
      <c r="G43" s="6">
        <v>1</v>
      </c>
      <c r="H43" s="6">
        <v>80920</v>
      </c>
      <c r="I43" s="6" t="s">
        <v>17</v>
      </c>
      <c r="J43" s="6">
        <v>30574595</v>
      </c>
      <c r="K43" s="6" t="s">
        <v>695</v>
      </c>
      <c r="L43" s="6" t="s">
        <v>696</v>
      </c>
      <c r="M43" s="8">
        <v>69900</v>
      </c>
      <c r="N43" s="35">
        <v>0.9</v>
      </c>
      <c r="O43" s="34">
        <f t="shared" si="0"/>
        <v>6990</v>
      </c>
      <c r="P43" s="6" t="s">
        <v>16</v>
      </c>
    </row>
    <row r="44" spans="1:16" x14ac:dyDescent="0.35">
      <c r="A44" s="32" t="s">
        <v>6512</v>
      </c>
      <c r="B44" s="7">
        <f t="shared" si="1"/>
        <v>46121</v>
      </c>
      <c r="C44" s="7">
        <f t="shared" si="2"/>
        <v>46127</v>
      </c>
      <c r="D44" s="6">
        <v>3281</v>
      </c>
      <c r="E44" s="6">
        <v>337</v>
      </c>
      <c r="F44" s="6">
        <v>4</v>
      </c>
      <c r="G44" s="6">
        <v>1</v>
      </c>
      <c r="H44" s="6">
        <v>80920</v>
      </c>
      <c r="I44" s="6" t="s">
        <v>17</v>
      </c>
      <c r="J44" s="6">
        <v>30574611</v>
      </c>
      <c r="K44" s="6" t="s">
        <v>695</v>
      </c>
      <c r="L44" s="6" t="s">
        <v>697</v>
      </c>
      <c r="M44" s="8">
        <v>69900</v>
      </c>
      <c r="N44" s="35">
        <v>0.9</v>
      </c>
      <c r="O44" s="34">
        <f t="shared" si="0"/>
        <v>6990</v>
      </c>
      <c r="P44" s="6" t="s">
        <v>16</v>
      </c>
    </row>
    <row r="45" spans="1:16" x14ac:dyDescent="0.35">
      <c r="A45" s="32" t="s">
        <v>6512</v>
      </c>
      <c r="B45" s="7">
        <f t="shared" si="1"/>
        <v>46121</v>
      </c>
      <c r="C45" s="7">
        <f t="shared" si="2"/>
        <v>46127</v>
      </c>
      <c r="D45" s="6">
        <v>3281</v>
      </c>
      <c r="E45" s="6">
        <v>337</v>
      </c>
      <c r="F45" s="6">
        <v>4</v>
      </c>
      <c r="G45" s="6">
        <v>1</v>
      </c>
      <c r="H45" s="6">
        <v>80920</v>
      </c>
      <c r="I45" s="6" t="s">
        <v>17</v>
      </c>
      <c r="J45" s="6">
        <v>30574620</v>
      </c>
      <c r="K45" s="6" t="s">
        <v>695</v>
      </c>
      <c r="L45" s="6" t="s">
        <v>698</v>
      </c>
      <c r="M45" s="8">
        <v>69900</v>
      </c>
      <c r="N45" s="35">
        <v>0.9</v>
      </c>
      <c r="O45" s="34">
        <f t="shared" si="0"/>
        <v>6990</v>
      </c>
      <c r="P45" s="6" t="s">
        <v>16</v>
      </c>
    </row>
    <row r="46" spans="1:16" x14ac:dyDescent="0.35">
      <c r="A46" s="32" t="s">
        <v>6512</v>
      </c>
      <c r="B46" s="7">
        <f t="shared" si="1"/>
        <v>46121</v>
      </c>
      <c r="C46" s="7">
        <f t="shared" si="2"/>
        <v>46127</v>
      </c>
      <c r="D46" s="6">
        <v>3281</v>
      </c>
      <c r="E46" s="6">
        <v>337</v>
      </c>
      <c r="F46" s="6">
        <v>4</v>
      </c>
      <c r="G46" s="6">
        <v>1</v>
      </c>
      <c r="H46" s="6">
        <v>80920</v>
      </c>
      <c r="I46" s="6" t="s">
        <v>17</v>
      </c>
      <c r="J46" s="6">
        <v>32755154</v>
      </c>
      <c r="K46" s="6" t="s">
        <v>742</v>
      </c>
      <c r="L46" s="6" t="s">
        <v>743</v>
      </c>
      <c r="M46" s="8">
        <v>99900</v>
      </c>
      <c r="N46" s="35">
        <v>0.9</v>
      </c>
      <c r="O46" s="34">
        <f t="shared" si="0"/>
        <v>9990</v>
      </c>
      <c r="P46" s="6" t="s">
        <v>16</v>
      </c>
    </row>
    <row r="47" spans="1:16" x14ac:dyDescent="0.35">
      <c r="A47" s="32" t="s">
        <v>6512</v>
      </c>
      <c r="B47" s="7">
        <f t="shared" si="1"/>
        <v>46121</v>
      </c>
      <c r="C47" s="7">
        <f t="shared" si="2"/>
        <v>46127</v>
      </c>
      <c r="D47" s="6">
        <v>3281</v>
      </c>
      <c r="E47" s="6">
        <v>337</v>
      </c>
      <c r="F47" s="6">
        <v>4</v>
      </c>
      <c r="G47" s="6">
        <v>1</v>
      </c>
      <c r="H47" s="6">
        <v>80920</v>
      </c>
      <c r="I47" s="6" t="s">
        <v>17</v>
      </c>
      <c r="J47" s="6">
        <v>32755163</v>
      </c>
      <c r="K47" s="6" t="s">
        <v>742</v>
      </c>
      <c r="L47" s="6" t="s">
        <v>744</v>
      </c>
      <c r="M47" s="8">
        <v>99900</v>
      </c>
      <c r="N47" s="35">
        <v>0.9</v>
      </c>
      <c r="O47" s="34">
        <f t="shared" si="0"/>
        <v>9990</v>
      </c>
      <c r="P47" s="6" t="s">
        <v>16</v>
      </c>
    </row>
    <row r="48" spans="1:16" x14ac:dyDescent="0.35">
      <c r="A48" s="32" t="s">
        <v>6512</v>
      </c>
      <c r="B48" s="7">
        <f t="shared" si="1"/>
        <v>46121</v>
      </c>
      <c r="C48" s="7">
        <f t="shared" si="2"/>
        <v>46127</v>
      </c>
      <c r="D48" s="6">
        <v>3281</v>
      </c>
      <c r="E48" s="6">
        <v>337</v>
      </c>
      <c r="F48" s="6">
        <v>4</v>
      </c>
      <c r="G48" s="6">
        <v>1</v>
      </c>
      <c r="H48" s="6">
        <v>80920</v>
      </c>
      <c r="I48" s="6" t="s">
        <v>17</v>
      </c>
      <c r="J48" s="6">
        <v>33260267</v>
      </c>
      <c r="K48" s="6" t="s">
        <v>703</v>
      </c>
      <c r="L48" s="6" t="s">
        <v>704</v>
      </c>
      <c r="M48" s="8">
        <v>89900</v>
      </c>
      <c r="N48" s="35">
        <v>0.9</v>
      </c>
      <c r="O48" s="34">
        <f t="shared" si="0"/>
        <v>8990</v>
      </c>
      <c r="P48" s="6" t="s">
        <v>16</v>
      </c>
    </row>
    <row r="49" spans="1:16" x14ac:dyDescent="0.35">
      <c r="A49" s="32" t="s">
        <v>6512</v>
      </c>
      <c r="B49" s="7">
        <f t="shared" si="1"/>
        <v>46121</v>
      </c>
      <c r="C49" s="7">
        <f t="shared" si="2"/>
        <v>46127</v>
      </c>
      <c r="D49" s="6">
        <v>3281</v>
      </c>
      <c r="E49" s="6">
        <v>337</v>
      </c>
      <c r="F49" s="6">
        <v>4</v>
      </c>
      <c r="G49" s="6">
        <v>1</v>
      </c>
      <c r="H49" s="6">
        <v>80920</v>
      </c>
      <c r="I49" s="6" t="s">
        <v>17</v>
      </c>
      <c r="J49" s="6">
        <v>33260294</v>
      </c>
      <c r="K49" s="6" t="s">
        <v>712</v>
      </c>
      <c r="L49" s="6" t="s">
        <v>4845</v>
      </c>
      <c r="M49" s="8">
        <v>89900</v>
      </c>
      <c r="N49" s="35">
        <v>0.9</v>
      </c>
      <c r="O49" s="34">
        <f t="shared" si="0"/>
        <v>8990</v>
      </c>
      <c r="P49" s="6" t="s">
        <v>16</v>
      </c>
    </row>
    <row r="50" spans="1:16" x14ac:dyDescent="0.35">
      <c r="A50" s="32" t="s">
        <v>6512</v>
      </c>
      <c r="B50" s="7">
        <f t="shared" si="1"/>
        <v>46121</v>
      </c>
      <c r="C50" s="7">
        <f t="shared" si="2"/>
        <v>46127</v>
      </c>
      <c r="D50" s="6">
        <v>3281</v>
      </c>
      <c r="E50" s="6">
        <v>337</v>
      </c>
      <c r="F50" s="6">
        <v>4</v>
      </c>
      <c r="G50" s="6">
        <v>1</v>
      </c>
      <c r="H50" s="6">
        <v>80920</v>
      </c>
      <c r="I50" s="6" t="s">
        <v>17</v>
      </c>
      <c r="J50" s="6">
        <v>33260338</v>
      </c>
      <c r="K50" s="6" t="s">
        <v>705</v>
      </c>
      <c r="L50" s="6" t="s">
        <v>706</v>
      </c>
      <c r="M50" s="8">
        <v>89900</v>
      </c>
      <c r="N50" s="35">
        <v>0.9</v>
      </c>
      <c r="O50" s="34">
        <f t="shared" si="0"/>
        <v>8990</v>
      </c>
      <c r="P50" s="6" t="s">
        <v>16</v>
      </c>
    </row>
    <row r="51" spans="1:16" x14ac:dyDescent="0.35">
      <c r="A51" s="32" t="s">
        <v>6512</v>
      </c>
      <c r="B51" s="7">
        <f t="shared" si="1"/>
        <v>46121</v>
      </c>
      <c r="C51" s="7">
        <f t="shared" si="2"/>
        <v>46127</v>
      </c>
      <c r="D51" s="6">
        <v>3281</v>
      </c>
      <c r="E51" s="6">
        <v>337</v>
      </c>
      <c r="F51" s="6">
        <v>4</v>
      </c>
      <c r="G51" s="6">
        <v>1</v>
      </c>
      <c r="H51" s="6">
        <v>80920</v>
      </c>
      <c r="I51" s="6" t="s">
        <v>17</v>
      </c>
      <c r="J51" s="6">
        <v>33260347</v>
      </c>
      <c r="K51" s="6" t="s">
        <v>705</v>
      </c>
      <c r="L51" s="6" t="s">
        <v>707</v>
      </c>
      <c r="M51" s="8">
        <v>89900</v>
      </c>
      <c r="N51" s="35">
        <v>0.9</v>
      </c>
      <c r="O51" s="34">
        <f t="shared" si="0"/>
        <v>8990</v>
      </c>
      <c r="P51" s="6" t="s">
        <v>16</v>
      </c>
    </row>
    <row r="52" spans="1:16" x14ac:dyDescent="0.35">
      <c r="A52" s="32" t="s">
        <v>6512</v>
      </c>
      <c r="B52" s="7">
        <f t="shared" si="1"/>
        <v>46121</v>
      </c>
      <c r="C52" s="7">
        <f t="shared" si="2"/>
        <v>46127</v>
      </c>
      <c r="D52" s="6">
        <v>3281</v>
      </c>
      <c r="E52" s="6">
        <v>337</v>
      </c>
      <c r="F52" s="6">
        <v>4</v>
      </c>
      <c r="G52" s="6">
        <v>1</v>
      </c>
      <c r="H52" s="6">
        <v>80920</v>
      </c>
      <c r="I52" s="6" t="s">
        <v>17</v>
      </c>
      <c r="J52" s="6">
        <v>33260365</v>
      </c>
      <c r="K52" s="6" t="s">
        <v>708</v>
      </c>
      <c r="L52" s="6" t="s">
        <v>709</v>
      </c>
      <c r="M52" s="8">
        <v>89900</v>
      </c>
      <c r="N52" s="35">
        <v>0.9</v>
      </c>
      <c r="O52" s="34">
        <f t="shared" si="0"/>
        <v>8990</v>
      </c>
      <c r="P52" s="6" t="s">
        <v>16</v>
      </c>
    </row>
    <row r="53" spans="1:16" x14ac:dyDescent="0.35">
      <c r="A53" s="32" t="s">
        <v>6512</v>
      </c>
      <c r="B53" s="7">
        <f t="shared" si="1"/>
        <v>46121</v>
      </c>
      <c r="C53" s="7">
        <f t="shared" si="2"/>
        <v>46127</v>
      </c>
      <c r="D53" s="6">
        <v>3281</v>
      </c>
      <c r="E53" s="6">
        <v>337</v>
      </c>
      <c r="F53" s="6">
        <v>4</v>
      </c>
      <c r="G53" s="6">
        <v>1</v>
      </c>
      <c r="H53" s="6">
        <v>80920</v>
      </c>
      <c r="I53" s="6" t="s">
        <v>17</v>
      </c>
      <c r="J53" s="6">
        <v>33260383</v>
      </c>
      <c r="K53" s="6" t="s">
        <v>708</v>
      </c>
      <c r="L53" s="6" t="s">
        <v>710</v>
      </c>
      <c r="M53" s="8">
        <v>89900</v>
      </c>
      <c r="N53" s="35">
        <v>0.9</v>
      </c>
      <c r="O53" s="34">
        <f t="shared" si="0"/>
        <v>8990</v>
      </c>
      <c r="P53" s="6" t="s">
        <v>16</v>
      </c>
    </row>
    <row r="54" spans="1:16" x14ac:dyDescent="0.35">
      <c r="A54" s="32" t="s">
        <v>6512</v>
      </c>
      <c r="B54" s="7">
        <f t="shared" si="1"/>
        <v>46121</v>
      </c>
      <c r="C54" s="7">
        <f t="shared" si="2"/>
        <v>46127</v>
      </c>
      <c r="D54" s="6">
        <v>3281</v>
      </c>
      <c r="E54" s="6">
        <v>337</v>
      </c>
      <c r="F54" s="6">
        <v>4</v>
      </c>
      <c r="G54" s="6">
        <v>1</v>
      </c>
      <c r="H54" s="6">
        <v>80920</v>
      </c>
      <c r="I54" s="6" t="s">
        <v>17</v>
      </c>
      <c r="J54" s="6">
        <v>33450507</v>
      </c>
      <c r="K54" s="6" t="s">
        <v>703</v>
      </c>
      <c r="L54" s="6" t="s">
        <v>711</v>
      </c>
      <c r="M54" s="8">
        <v>89900</v>
      </c>
      <c r="N54" s="35">
        <v>0.9</v>
      </c>
      <c r="O54" s="34">
        <f t="shared" si="0"/>
        <v>8990</v>
      </c>
      <c r="P54" s="6" t="s">
        <v>16</v>
      </c>
    </row>
    <row r="55" spans="1:16" x14ac:dyDescent="0.35">
      <c r="A55" s="32" t="s">
        <v>6512</v>
      </c>
      <c r="B55" s="7">
        <f t="shared" si="1"/>
        <v>46121</v>
      </c>
      <c r="C55" s="7">
        <f t="shared" si="2"/>
        <v>46127</v>
      </c>
      <c r="D55" s="6">
        <v>3281</v>
      </c>
      <c r="E55" s="6">
        <v>337</v>
      </c>
      <c r="F55" s="6">
        <v>4</v>
      </c>
      <c r="G55" s="6">
        <v>1</v>
      </c>
      <c r="H55" s="6">
        <v>80920</v>
      </c>
      <c r="I55" s="6" t="s">
        <v>17</v>
      </c>
      <c r="J55" s="6">
        <v>33450534</v>
      </c>
      <c r="K55" s="6" t="s">
        <v>708</v>
      </c>
      <c r="L55" s="6" t="s">
        <v>713</v>
      </c>
      <c r="M55" s="8">
        <v>89900</v>
      </c>
      <c r="N55" s="35">
        <v>0.9</v>
      </c>
      <c r="O55" s="34">
        <f t="shared" si="0"/>
        <v>8990</v>
      </c>
      <c r="P55" s="6" t="s">
        <v>16</v>
      </c>
    </row>
    <row r="56" spans="1:16" x14ac:dyDescent="0.35">
      <c r="A56" s="32" t="s">
        <v>6512</v>
      </c>
      <c r="B56" s="7">
        <f t="shared" si="1"/>
        <v>46121</v>
      </c>
      <c r="C56" s="7">
        <f t="shared" si="2"/>
        <v>46127</v>
      </c>
      <c r="D56" s="6">
        <v>3281</v>
      </c>
      <c r="E56" s="6">
        <v>337</v>
      </c>
      <c r="F56" s="6">
        <v>4</v>
      </c>
      <c r="G56" s="6">
        <v>1</v>
      </c>
      <c r="H56" s="6">
        <v>80920</v>
      </c>
      <c r="I56" s="6" t="s">
        <v>17</v>
      </c>
      <c r="J56" s="6">
        <v>33473224</v>
      </c>
      <c r="K56" s="6" t="s">
        <v>714</v>
      </c>
      <c r="L56" s="6" t="s">
        <v>715</v>
      </c>
      <c r="M56" s="8">
        <v>119900</v>
      </c>
      <c r="N56" s="35">
        <v>0.9</v>
      </c>
      <c r="O56" s="34">
        <f t="shared" si="0"/>
        <v>11990</v>
      </c>
      <c r="P56" s="6" t="s">
        <v>16</v>
      </c>
    </row>
    <row r="57" spans="1:16" x14ac:dyDescent="0.35">
      <c r="A57" s="32" t="s">
        <v>6512</v>
      </c>
      <c r="B57" s="7">
        <f t="shared" si="1"/>
        <v>46121</v>
      </c>
      <c r="C57" s="7">
        <f t="shared" si="2"/>
        <v>46127</v>
      </c>
      <c r="D57" s="6">
        <v>3281</v>
      </c>
      <c r="E57" s="6">
        <v>337</v>
      </c>
      <c r="F57" s="6">
        <v>4</v>
      </c>
      <c r="G57" s="6">
        <v>1</v>
      </c>
      <c r="H57" s="6">
        <v>80920</v>
      </c>
      <c r="I57" s="6" t="s">
        <v>17</v>
      </c>
      <c r="J57" s="6">
        <v>33473233</v>
      </c>
      <c r="K57" s="6" t="s">
        <v>714</v>
      </c>
      <c r="L57" s="6" t="s">
        <v>716</v>
      </c>
      <c r="M57" s="8">
        <v>119900</v>
      </c>
      <c r="N57" s="35">
        <v>0.9</v>
      </c>
      <c r="O57" s="34">
        <f t="shared" si="0"/>
        <v>11990</v>
      </c>
      <c r="P57" s="6" t="s">
        <v>16</v>
      </c>
    </row>
    <row r="58" spans="1:16" x14ac:dyDescent="0.35">
      <c r="A58" s="32" t="s">
        <v>6512</v>
      </c>
      <c r="B58" s="7">
        <f t="shared" si="1"/>
        <v>46121</v>
      </c>
      <c r="C58" s="7">
        <f t="shared" si="2"/>
        <v>46127</v>
      </c>
      <c r="D58" s="6">
        <v>3281</v>
      </c>
      <c r="E58" s="6">
        <v>337</v>
      </c>
      <c r="F58" s="6">
        <v>4</v>
      </c>
      <c r="G58" s="6">
        <v>1</v>
      </c>
      <c r="H58" s="6">
        <v>80920</v>
      </c>
      <c r="I58" s="6" t="s">
        <v>17</v>
      </c>
      <c r="J58" s="6">
        <v>32755127</v>
      </c>
      <c r="K58" s="6" t="s">
        <v>739</v>
      </c>
      <c r="L58" s="6" t="s">
        <v>740</v>
      </c>
      <c r="M58" s="8">
        <v>99900</v>
      </c>
      <c r="N58" s="35">
        <v>0.9</v>
      </c>
      <c r="O58" s="34">
        <f t="shared" si="0"/>
        <v>9990</v>
      </c>
      <c r="P58" s="6" t="s">
        <v>16</v>
      </c>
    </row>
    <row r="59" spans="1:16" x14ac:dyDescent="0.35">
      <c r="A59" s="32" t="s">
        <v>6512</v>
      </c>
      <c r="B59" s="7">
        <f t="shared" si="1"/>
        <v>46121</v>
      </c>
      <c r="C59" s="7">
        <f t="shared" si="2"/>
        <v>46127</v>
      </c>
      <c r="D59" s="6">
        <v>3281</v>
      </c>
      <c r="E59" s="6">
        <v>337</v>
      </c>
      <c r="F59" s="6">
        <v>4</v>
      </c>
      <c r="G59" s="6">
        <v>1</v>
      </c>
      <c r="H59" s="6">
        <v>80920</v>
      </c>
      <c r="I59" s="6" t="s">
        <v>17</v>
      </c>
      <c r="J59" s="6">
        <v>32755136</v>
      </c>
      <c r="K59" s="6" t="s">
        <v>739</v>
      </c>
      <c r="L59" s="6" t="s">
        <v>741</v>
      </c>
      <c r="M59" s="8">
        <v>99900</v>
      </c>
      <c r="N59" s="35">
        <v>0.9</v>
      </c>
      <c r="O59" s="34">
        <f t="shared" si="0"/>
        <v>9990</v>
      </c>
      <c r="P59" s="6" t="s">
        <v>16</v>
      </c>
    </row>
    <row r="60" spans="1:16" x14ac:dyDescent="0.35">
      <c r="A60" s="32" t="s">
        <v>6512</v>
      </c>
      <c r="B60" s="7">
        <f t="shared" si="1"/>
        <v>46121</v>
      </c>
      <c r="C60" s="7">
        <f t="shared" si="2"/>
        <v>46127</v>
      </c>
      <c r="D60" s="6">
        <v>3281</v>
      </c>
      <c r="E60" s="6">
        <v>337</v>
      </c>
      <c r="F60" s="6">
        <v>4</v>
      </c>
      <c r="G60" s="6">
        <v>1</v>
      </c>
      <c r="H60" s="6">
        <v>80920</v>
      </c>
      <c r="I60" s="6" t="s">
        <v>17</v>
      </c>
      <c r="J60" s="6">
        <v>33218394</v>
      </c>
      <c r="K60" s="6" t="s">
        <v>699</v>
      </c>
      <c r="L60" s="6" t="s">
        <v>700</v>
      </c>
      <c r="M60" s="8">
        <v>89900</v>
      </c>
      <c r="N60" s="35">
        <v>0.9</v>
      </c>
      <c r="O60" s="34">
        <f t="shared" si="0"/>
        <v>8990</v>
      </c>
      <c r="P60" s="6" t="s">
        <v>16</v>
      </c>
    </row>
    <row r="61" spans="1:16" x14ac:dyDescent="0.35">
      <c r="A61" s="32" t="s">
        <v>6512</v>
      </c>
      <c r="B61" s="7">
        <f t="shared" si="1"/>
        <v>46121</v>
      </c>
      <c r="C61" s="7">
        <f t="shared" si="2"/>
        <v>46127</v>
      </c>
      <c r="D61" s="6">
        <v>3281</v>
      </c>
      <c r="E61" s="6">
        <v>337</v>
      </c>
      <c r="F61" s="6">
        <v>4</v>
      </c>
      <c r="G61" s="6">
        <v>1</v>
      </c>
      <c r="H61" s="6">
        <v>80920</v>
      </c>
      <c r="I61" s="6" t="s">
        <v>17</v>
      </c>
      <c r="J61" s="6">
        <v>33218438</v>
      </c>
      <c r="K61" s="6" t="s">
        <v>701</v>
      </c>
      <c r="L61" s="6" t="s">
        <v>702</v>
      </c>
      <c r="M61" s="8">
        <v>89900</v>
      </c>
      <c r="N61" s="35">
        <v>0.9</v>
      </c>
      <c r="O61" s="34">
        <f t="shared" si="0"/>
        <v>8990</v>
      </c>
      <c r="P61" s="6" t="s">
        <v>16</v>
      </c>
    </row>
    <row r="62" spans="1:16" x14ac:dyDescent="0.35">
      <c r="A62" s="32" t="s">
        <v>6512</v>
      </c>
      <c r="B62" s="7">
        <f t="shared" si="1"/>
        <v>46121</v>
      </c>
      <c r="C62" s="7">
        <f t="shared" si="2"/>
        <v>46127</v>
      </c>
      <c r="D62" s="6">
        <v>3281</v>
      </c>
      <c r="E62" s="6">
        <v>337</v>
      </c>
      <c r="F62" s="6">
        <v>4</v>
      </c>
      <c r="G62" s="6">
        <v>1</v>
      </c>
      <c r="H62" s="6">
        <v>81676</v>
      </c>
      <c r="I62" s="6" t="s">
        <v>17</v>
      </c>
      <c r="J62" s="6">
        <v>27049329</v>
      </c>
      <c r="K62" s="6" t="s">
        <v>717</v>
      </c>
      <c r="L62" s="6" t="s">
        <v>718</v>
      </c>
      <c r="M62" s="8">
        <v>79900</v>
      </c>
      <c r="N62" s="35">
        <v>0.9</v>
      </c>
      <c r="O62" s="34">
        <f t="shared" si="0"/>
        <v>7990</v>
      </c>
      <c r="P62" s="6" t="s">
        <v>16</v>
      </c>
    </row>
    <row r="63" spans="1:16" x14ac:dyDescent="0.35">
      <c r="A63" s="32" t="s">
        <v>6512</v>
      </c>
      <c r="B63" s="7">
        <f t="shared" si="1"/>
        <v>46121</v>
      </c>
      <c r="C63" s="7">
        <f t="shared" si="2"/>
        <v>46127</v>
      </c>
      <c r="D63" s="6">
        <v>3281</v>
      </c>
      <c r="E63" s="6">
        <v>337</v>
      </c>
      <c r="F63" s="6">
        <v>4</v>
      </c>
      <c r="G63" s="6">
        <v>1</v>
      </c>
      <c r="H63" s="6">
        <v>81676</v>
      </c>
      <c r="I63" s="6" t="s">
        <v>17</v>
      </c>
      <c r="J63" s="6">
        <v>27049365</v>
      </c>
      <c r="K63" s="6" t="s">
        <v>719</v>
      </c>
      <c r="L63" s="6" t="s">
        <v>720</v>
      </c>
      <c r="M63" s="8">
        <v>79900</v>
      </c>
      <c r="N63" s="35">
        <v>0.9</v>
      </c>
      <c r="O63" s="34">
        <f t="shared" si="0"/>
        <v>7990</v>
      </c>
      <c r="P63" s="6" t="s">
        <v>16</v>
      </c>
    </row>
    <row r="64" spans="1:16" x14ac:dyDescent="0.35">
      <c r="A64" s="32" t="s">
        <v>6512</v>
      </c>
      <c r="B64" s="7">
        <f t="shared" si="1"/>
        <v>46121</v>
      </c>
      <c r="C64" s="7">
        <f t="shared" si="2"/>
        <v>46127</v>
      </c>
      <c r="D64" s="6">
        <v>3281</v>
      </c>
      <c r="E64" s="6">
        <v>337</v>
      </c>
      <c r="F64" s="6">
        <v>4</v>
      </c>
      <c r="G64" s="6">
        <v>1</v>
      </c>
      <c r="H64" s="6">
        <v>81676</v>
      </c>
      <c r="I64" s="6" t="s">
        <v>17</v>
      </c>
      <c r="J64" s="6">
        <v>27049392</v>
      </c>
      <c r="K64" s="6" t="s">
        <v>719</v>
      </c>
      <c r="L64" s="6" t="s">
        <v>721</v>
      </c>
      <c r="M64" s="8">
        <v>79900</v>
      </c>
      <c r="N64" s="35">
        <v>0.9</v>
      </c>
      <c r="O64" s="34">
        <f t="shared" si="0"/>
        <v>7990</v>
      </c>
      <c r="P64" s="6" t="s">
        <v>16</v>
      </c>
    </row>
    <row r="65" spans="1:16" x14ac:dyDescent="0.35">
      <c r="A65" s="32" t="s">
        <v>6512</v>
      </c>
      <c r="B65" s="7">
        <f t="shared" si="1"/>
        <v>46121</v>
      </c>
      <c r="C65" s="7">
        <f t="shared" si="2"/>
        <v>46127</v>
      </c>
      <c r="D65" s="6">
        <v>3281</v>
      </c>
      <c r="E65" s="6">
        <v>337</v>
      </c>
      <c r="F65" s="6">
        <v>4</v>
      </c>
      <c r="G65" s="6">
        <v>1</v>
      </c>
      <c r="H65" s="6">
        <v>81676</v>
      </c>
      <c r="I65" s="6" t="s">
        <v>17</v>
      </c>
      <c r="J65" s="6">
        <v>27049409</v>
      </c>
      <c r="K65" s="6" t="s">
        <v>719</v>
      </c>
      <c r="L65" s="6" t="s">
        <v>722</v>
      </c>
      <c r="M65" s="8">
        <v>79900</v>
      </c>
      <c r="N65" s="35">
        <v>0.9</v>
      </c>
      <c r="O65" s="34">
        <f t="shared" si="0"/>
        <v>7990</v>
      </c>
      <c r="P65" s="6" t="s">
        <v>16</v>
      </c>
    </row>
    <row r="66" spans="1:16" x14ac:dyDescent="0.35">
      <c r="A66" s="32" t="s">
        <v>6512</v>
      </c>
      <c r="B66" s="7">
        <f t="shared" si="1"/>
        <v>46121</v>
      </c>
      <c r="C66" s="7">
        <f t="shared" si="2"/>
        <v>46127</v>
      </c>
      <c r="D66" s="6">
        <v>3281</v>
      </c>
      <c r="E66" s="6">
        <v>337</v>
      </c>
      <c r="F66" s="6">
        <v>4</v>
      </c>
      <c r="G66" s="6">
        <v>1</v>
      </c>
      <c r="H66" s="6">
        <v>81676</v>
      </c>
      <c r="I66" s="6" t="s">
        <v>17</v>
      </c>
      <c r="J66" s="6">
        <v>27049418</v>
      </c>
      <c r="K66" s="6" t="s">
        <v>723</v>
      </c>
      <c r="L66" s="6" t="s">
        <v>724</v>
      </c>
      <c r="M66" s="8">
        <v>79900</v>
      </c>
      <c r="N66" s="35">
        <v>0.9</v>
      </c>
      <c r="O66" s="34">
        <f t="shared" si="0"/>
        <v>7990</v>
      </c>
      <c r="P66" s="6" t="s">
        <v>16</v>
      </c>
    </row>
    <row r="67" spans="1:16" x14ac:dyDescent="0.35">
      <c r="A67" s="32" t="s">
        <v>6512</v>
      </c>
      <c r="B67" s="7">
        <f t="shared" si="1"/>
        <v>46121</v>
      </c>
      <c r="C67" s="7">
        <f t="shared" si="2"/>
        <v>46127</v>
      </c>
      <c r="D67" s="6">
        <v>3281</v>
      </c>
      <c r="E67" s="6">
        <v>337</v>
      </c>
      <c r="F67" s="6">
        <v>4</v>
      </c>
      <c r="G67" s="6">
        <v>1</v>
      </c>
      <c r="H67" s="6">
        <v>81676</v>
      </c>
      <c r="I67" s="6" t="s">
        <v>17</v>
      </c>
      <c r="J67" s="6">
        <v>27049427</v>
      </c>
      <c r="K67" s="6" t="s">
        <v>723</v>
      </c>
      <c r="L67" s="6" t="s">
        <v>725</v>
      </c>
      <c r="M67" s="8">
        <v>79900</v>
      </c>
      <c r="N67" s="35">
        <v>0.9</v>
      </c>
      <c r="O67" s="34">
        <f t="shared" ref="O67:O130" si="3">M67-((90*M67)/100)</f>
        <v>7990</v>
      </c>
      <c r="P67" s="6" t="s">
        <v>16</v>
      </c>
    </row>
    <row r="68" spans="1:16" x14ac:dyDescent="0.35">
      <c r="A68" s="32" t="s">
        <v>6512</v>
      </c>
      <c r="B68" s="7">
        <f t="shared" ref="B68:B131" si="4">B67</f>
        <v>46121</v>
      </c>
      <c r="C68" s="7">
        <f t="shared" ref="C68:C131" si="5">C67</f>
        <v>46127</v>
      </c>
      <c r="D68" s="6">
        <v>3281</v>
      </c>
      <c r="E68" s="6">
        <v>337</v>
      </c>
      <c r="F68" s="6">
        <v>4</v>
      </c>
      <c r="G68" s="6">
        <v>1</v>
      </c>
      <c r="H68" s="6">
        <v>81676</v>
      </c>
      <c r="I68" s="6" t="s">
        <v>17</v>
      </c>
      <c r="J68" s="6">
        <v>27049454</v>
      </c>
      <c r="K68" s="6" t="s">
        <v>723</v>
      </c>
      <c r="L68" s="6" t="s">
        <v>726</v>
      </c>
      <c r="M68" s="8">
        <v>79900</v>
      </c>
      <c r="N68" s="35">
        <v>0.9</v>
      </c>
      <c r="O68" s="34">
        <f t="shared" si="3"/>
        <v>7990</v>
      </c>
      <c r="P68" s="6" t="s">
        <v>16</v>
      </c>
    </row>
    <row r="69" spans="1:16" x14ac:dyDescent="0.35">
      <c r="A69" s="32" t="s">
        <v>6512</v>
      </c>
      <c r="B69" s="7">
        <f t="shared" si="4"/>
        <v>46121</v>
      </c>
      <c r="C69" s="7">
        <f t="shared" si="5"/>
        <v>46127</v>
      </c>
      <c r="D69" s="6">
        <v>3281</v>
      </c>
      <c r="E69" s="6">
        <v>337</v>
      </c>
      <c r="F69" s="6">
        <v>4</v>
      </c>
      <c r="G69" s="6">
        <v>1</v>
      </c>
      <c r="H69" s="6">
        <v>81676</v>
      </c>
      <c r="I69" s="6" t="s">
        <v>17</v>
      </c>
      <c r="J69" s="6">
        <v>28521762</v>
      </c>
      <c r="K69" s="6" t="s">
        <v>727</v>
      </c>
      <c r="L69" s="6" t="s">
        <v>728</v>
      </c>
      <c r="M69" s="8">
        <v>119900</v>
      </c>
      <c r="N69" s="35">
        <v>0.9</v>
      </c>
      <c r="O69" s="34">
        <f t="shared" si="3"/>
        <v>11990</v>
      </c>
      <c r="P69" s="6" t="s">
        <v>16</v>
      </c>
    </row>
    <row r="70" spans="1:16" x14ac:dyDescent="0.35">
      <c r="A70" s="32" t="s">
        <v>6512</v>
      </c>
      <c r="B70" s="7">
        <f t="shared" si="4"/>
        <v>46121</v>
      </c>
      <c r="C70" s="7">
        <f t="shared" si="5"/>
        <v>46127</v>
      </c>
      <c r="D70" s="6">
        <v>3281</v>
      </c>
      <c r="E70" s="6">
        <v>337</v>
      </c>
      <c r="F70" s="6">
        <v>4</v>
      </c>
      <c r="G70" s="6">
        <v>1</v>
      </c>
      <c r="H70" s="6">
        <v>81736</v>
      </c>
      <c r="I70" s="6" t="s">
        <v>17</v>
      </c>
      <c r="J70" s="6">
        <v>32295615</v>
      </c>
      <c r="K70" s="6" t="s">
        <v>729</v>
      </c>
      <c r="L70" s="6" t="s">
        <v>730</v>
      </c>
      <c r="M70" s="8">
        <v>159900</v>
      </c>
      <c r="N70" s="35">
        <v>0.9</v>
      </c>
      <c r="O70" s="34">
        <f t="shared" si="3"/>
        <v>15990</v>
      </c>
      <c r="P70" s="6" t="s">
        <v>16</v>
      </c>
    </row>
    <row r="71" spans="1:16" x14ac:dyDescent="0.35">
      <c r="A71" s="32" t="s">
        <v>6512</v>
      </c>
      <c r="B71" s="7">
        <f t="shared" si="4"/>
        <v>46121</v>
      </c>
      <c r="C71" s="7">
        <f t="shared" si="5"/>
        <v>46127</v>
      </c>
      <c r="D71" s="6">
        <v>3281</v>
      </c>
      <c r="E71" s="6">
        <v>337</v>
      </c>
      <c r="F71" s="6">
        <v>4</v>
      </c>
      <c r="G71" s="6">
        <v>1</v>
      </c>
      <c r="H71" s="6">
        <v>81736</v>
      </c>
      <c r="I71" s="6" t="s">
        <v>17</v>
      </c>
      <c r="J71" s="6">
        <v>32295642</v>
      </c>
      <c r="K71" s="6" t="s">
        <v>729</v>
      </c>
      <c r="L71" s="6" t="s">
        <v>731</v>
      </c>
      <c r="M71" s="8">
        <v>159900</v>
      </c>
      <c r="N71" s="35">
        <v>0.9</v>
      </c>
      <c r="O71" s="34">
        <f t="shared" si="3"/>
        <v>15990</v>
      </c>
      <c r="P71" s="6" t="s">
        <v>16</v>
      </c>
    </row>
    <row r="72" spans="1:16" x14ac:dyDescent="0.35">
      <c r="A72" s="32" t="s">
        <v>6512</v>
      </c>
      <c r="B72" s="7">
        <f t="shared" si="4"/>
        <v>46121</v>
      </c>
      <c r="C72" s="7">
        <f t="shared" si="5"/>
        <v>46127</v>
      </c>
      <c r="D72" s="6">
        <v>3281</v>
      </c>
      <c r="E72" s="6">
        <v>337</v>
      </c>
      <c r="F72" s="6">
        <v>4</v>
      </c>
      <c r="G72" s="6">
        <v>1</v>
      </c>
      <c r="H72" s="6">
        <v>81736</v>
      </c>
      <c r="I72" s="6" t="s">
        <v>17</v>
      </c>
      <c r="J72" s="6">
        <v>32295660</v>
      </c>
      <c r="K72" s="6" t="s">
        <v>732</v>
      </c>
      <c r="L72" s="6" t="s">
        <v>733</v>
      </c>
      <c r="M72" s="8">
        <v>159900</v>
      </c>
      <c r="N72" s="35">
        <v>0.9</v>
      </c>
      <c r="O72" s="34">
        <f t="shared" si="3"/>
        <v>15990</v>
      </c>
      <c r="P72" s="6" t="s">
        <v>16</v>
      </c>
    </row>
    <row r="73" spans="1:16" x14ac:dyDescent="0.35">
      <c r="A73" s="32" t="s">
        <v>6512</v>
      </c>
      <c r="B73" s="7">
        <f t="shared" si="4"/>
        <v>46121</v>
      </c>
      <c r="C73" s="7">
        <f t="shared" si="5"/>
        <v>46127</v>
      </c>
      <c r="D73" s="6">
        <v>3281</v>
      </c>
      <c r="E73" s="6">
        <v>337</v>
      </c>
      <c r="F73" s="6">
        <v>4</v>
      </c>
      <c r="G73" s="6">
        <v>1</v>
      </c>
      <c r="H73" s="6">
        <v>81736</v>
      </c>
      <c r="I73" s="6" t="s">
        <v>17</v>
      </c>
      <c r="J73" s="6">
        <v>32295688</v>
      </c>
      <c r="K73" s="6" t="s">
        <v>732</v>
      </c>
      <c r="L73" s="6" t="s">
        <v>734</v>
      </c>
      <c r="M73" s="8">
        <v>159900</v>
      </c>
      <c r="N73" s="35">
        <v>0.9</v>
      </c>
      <c r="O73" s="34">
        <f t="shared" si="3"/>
        <v>15990</v>
      </c>
      <c r="P73" s="6" t="s">
        <v>16</v>
      </c>
    </row>
    <row r="74" spans="1:16" x14ac:dyDescent="0.35">
      <c r="A74" s="32" t="s">
        <v>6512</v>
      </c>
      <c r="B74" s="7">
        <f t="shared" si="4"/>
        <v>46121</v>
      </c>
      <c r="C74" s="7">
        <f t="shared" si="5"/>
        <v>46127</v>
      </c>
      <c r="D74" s="6">
        <v>3281</v>
      </c>
      <c r="E74" s="6">
        <v>337</v>
      </c>
      <c r="F74" s="6">
        <v>4</v>
      </c>
      <c r="G74" s="6">
        <v>1</v>
      </c>
      <c r="H74" s="6">
        <v>81427</v>
      </c>
      <c r="I74" s="6" t="s">
        <v>17</v>
      </c>
      <c r="J74" s="6">
        <v>26481667</v>
      </c>
      <c r="K74" s="6" t="s">
        <v>948</v>
      </c>
      <c r="L74" s="6" t="s">
        <v>949</v>
      </c>
      <c r="M74" s="8">
        <v>169900</v>
      </c>
      <c r="N74" s="35">
        <v>0.9</v>
      </c>
      <c r="O74" s="34">
        <f t="shared" si="3"/>
        <v>16990</v>
      </c>
      <c r="P74" s="6" t="s">
        <v>16</v>
      </c>
    </row>
    <row r="75" spans="1:16" x14ac:dyDescent="0.35">
      <c r="A75" s="32" t="s">
        <v>6512</v>
      </c>
      <c r="B75" s="7">
        <f t="shared" si="4"/>
        <v>46121</v>
      </c>
      <c r="C75" s="7">
        <f t="shared" si="5"/>
        <v>46127</v>
      </c>
      <c r="D75" s="6">
        <v>3281</v>
      </c>
      <c r="E75" s="6">
        <v>337</v>
      </c>
      <c r="F75" s="6">
        <v>4</v>
      </c>
      <c r="G75" s="6">
        <v>1</v>
      </c>
      <c r="H75" s="6">
        <v>81427</v>
      </c>
      <c r="I75" s="6" t="s">
        <v>17</v>
      </c>
      <c r="J75" s="6">
        <v>26481676</v>
      </c>
      <c r="K75" s="6" t="s">
        <v>948</v>
      </c>
      <c r="L75" s="6" t="s">
        <v>950</v>
      </c>
      <c r="M75" s="8">
        <v>169900</v>
      </c>
      <c r="N75" s="35">
        <v>0.9</v>
      </c>
      <c r="O75" s="34">
        <f t="shared" si="3"/>
        <v>16990</v>
      </c>
      <c r="P75" s="6" t="s">
        <v>16</v>
      </c>
    </row>
    <row r="76" spans="1:16" x14ac:dyDescent="0.35">
      <c r="A76" s="32" t="s">
        <v>6512</v>
      </c>
      <c r="B76" s="7">
        <f t="shared" si="4"/>
        <v>46121</v>
      </c>
      <c r="C76" s="7">
        <f t="shared" si="5"/>
        <v>46127</v>
      </c>
      <c r="D76" s="6">
        <v>3281</v>
      </c>
      <c r="E76" s="6">
        <v>337</v>
      </c>
      <c r="F76" s="6">
        <v>4</v>
      </c>
      <c r="G76" s="6">
        <v>1</v>
      </c>
      <c r="H76" s="6">
        <v>81427</v>
      </c>
      <c r="I76" s="6" t="s">
        <v>17</v>
      </c>
      <c r="J76" s="6">
        <v>26481685</v>
      </c>
      <c r="K76" s="6" t="s">
        <v>948</v>
      </c>
      <c r="L76" s="6" t="s">
        <v>951</v>
      </c>
      <c r="M76" s="8">
        <v>169900</v>
      </c>
      <c r="N76" s="35">
        <v>0.9</v>
      </c>
      <c r="O76" s="34">
        <f t="shared" si="3"/>
        <v>16990</v>
      </c>
      <c r="P76" s="6" t="s">
        <v>16</v>
      </c>
    </row>
    <row r="77" spans="1:16" x14ac:dyDescent="0.35">
      <c r="A77" s="32" t="s">
        <v>6512</v>
      </c>
      <c r="B77" s="7">
        <f t="shared" si="4"/>
        <v>46121</v>
      </c>
      <c r="C77" s="7">
        <f t="shared" si="5"/>
        <v>46127</v>
      </c>
      <c r="D77" s="6">
        <v>3281</v>
      </c>
      <c r="E77" s="6">
        <v>337</v>
      </c>
      <c r="F77" s="6">
        <v>4</v>
      </c>
      <c r="G77" s="6">
        <v>1</v>
      </c>
      <c r="H77" s="6">
        <v>81427</v>
      </c>
      <c r="I77" s="6" t="s">
        <v>17</v>
      </c>
      <c r="J77" s="6">
        <v>26481694</v>
      </c>
      <c r="K77" s="6" t="s">
        <v>948</v>
      </c>
      <c r="L77" s="6" t="s">
        <v>952</v>
      </c>
      <c r="M77" s="8">
        <v>169900</v>
      </c>
      <c r="N77" s="35">
        <v>0.9</v>
      </c>
      <c r="O77" s="34">
        <f t="shared" si="3"/>
        <v>16990</v>
      </c>
      <c r="P77" s="6" t="s">
        <v>16</v>
      </c>
    </row>
    <row r="78" spans="1:16" x14ac:dyDescent="0.35">
      <c r="A78" s="32" t="s">
        <v>6512</v>
      </c>
      <c r="B78" s="7">
        <f t="shared" si="4"/>
        <v>46121</v>
      </c>
      <c r="C78" s="7">
        <f t="shared" si="5"/>
        <v>46127</v>
      </c>
      <c r="D78" s="6">
        <v>3281</v>
      </c>
      <c r="E78" s="6">
        <v>337</v>
      </c>
      <c r="F78" s="6">
        <v>4</v>
      </c>
      <c r="G78" s="6">
        <v>1</v>
      </c>
      <c r="H78" s="6">
        <v>81427</v>
      </c>
      <c r="I78" s="6" t="s">
        <v>17</v>
      </c>
      <c r="J78" s="6">
        <v>26481701</v>
      </c>
      <c r="K78" s="6" t="s">
        <v>948</v>
      </c>
      <c r="L78" s="6" t="s">
        <v>953</v>
      </c>
      <c r="M78" s="8">
        <v>169900</v>
      </c>
      <c r="N78" s="35">
        <v>0.9</v>
      </c>
      <c r="O78" s="34">
        <f t="shared" si="3"/>
        <v>16990</v>
      </c>
      <c r="P78" s="6" t="s">
        <v>16</v>
      </c>
    </row>
    <row r="79" spans="1:16" x14ac:dyDescent="0.35">
      <c r="A79" s="32" t="s">
        <v>6512</v>
      </c>
      <c r="B79" s="7">
        <f t="shared" si="4"/>
        <v>46121</v>
      </c>
      <c r="C79" s="7">
        <f t="shared" si="5"/>
        <v>46127</v>
      </c>
      <c r="D79" s="6">
        <v>3281</v>
      </c>
      <c r="E79" s="6">
        <v>337</v>
      </c>
      <c r="F79" s="6">
        <v>4</v>
      </c>
      <c r="G79" s="6">
        <v>1</v>
      </c>
      <c r="H79" s="6">
        <v>81427</v>
      </c>
      <c r="I79" s="6" t="s">
        <v>17</v>
      </c>
      <c r="J79" s="6">
        <v>26481881</v>
      </c>
      <c r="K79" s="6" t="s">
        <v>931</v>
      </c>
      <c r="L79" s="6" t="s">
        <v>932</v>
      </c>
      <c r="M79" s="8">
        <v>149900</v>
      </c>
      <c r="N79" s="35">
        <v>0.9</v>
      </c>
      <c r="O79" s="34">
        <f t="shared" si="3"/>
        <v>14990</v>
      </c>
      <c r="P79" s="6" t="s">
        <v>16</v>
      </c>
    </row>
    <row r="80" spans="1:16" x14ac:dyDescent="0.35">
      <c r="A80" s="32" t="s">
        <v>6512</v>
      </c>
      <c r="B80" s="7">
        <f t="shared" si="4"/>
        <v>46121</v>
      </c>
      <c r="C80" s="7">
        <f t="shared" si="5"/>
        <v>46127</v>
      </c>
      <c r="D80" s="6">
        <v>3281</v>
      </c>
      <c r="E80" s="6">
        <v>337</v>
      </c>
      <c r="F80" s="6">
        <v>4</v>
      </c>
      <c r="G80" s="6">
        <v>1</v>
      </c>
      <c r="H80" s="6">
        <v>81427</v>
      </c>
      <c r="I80" s="6" t="s">
        <v>17</v>
      </c>
      <c r="J80" s="6">
        <v>26481890</v>
      </c>
      <c r="K80" s="6" t="s">
        <v>931</v>
      </c>
      <c r="L80" s="6" t="s">
        <v>933</v>
      </c>
      <c r="M80" s="8">
        <v>149900</v>
      </c>
      <c r="N80" s="35">
        <v>0.9</v>
      </c>
      <c r="O80" s="34">
        <f t="shared" si="3"/>
        <v>14990</v>
      </c>
      <c r="P80" s="6" t="s">
        <v>16</v>
      </c>
    </row>
    <row r="81" spans="1:16" x14ac:dyDescent="0.35">
      <c r="A81" s="32" t="s">
        <v>6512</v>
      </c>
      <c r="B81" s="7">
        <f t="shared" si="4"/>
        <v>46121</v>
      </c>
      <c r="C81" s="7">
        <f t="shared" si="5"/>
        <v>46127</v>
      </c>
      <c r="D81" s="6">
        <v>3281</v>
      </c>
      <c r="E81" s="6">
        <v>337</v>
      </c>
      <c r="F81" s="6">
        <v>4</v>
      </c>
      <c r="G81" s="6">
        <v>1</v>
      </c>
      <c r="H81" s="6">
        <v>81427</v>
      </c>
      <c r="I81" s="6" t="s">
        <v>17</v>
      </c>
      <c r="J81" s="6">
        <v>26481907</v>
      </c>
      <c r="K81" s="6" t="s">
        <v>931</v>
      </c>
      <c r="L81" s="6" t="s">
        <v>934</v>
      </c>
      <c r="M81" s="8">
        <v>149900</v>
      </c>
      <c r="N81" s="35">
        <v>0.9</v>
      </c>
      <c r="O81" s="34">
        <f t="shared" si="3"/>
        <v>14990</v>
      </c>
      <c r="P81" s="6" t="s">
        <v>16</v>
      </c>
    </row>
    <row r="82" spans="1:16" x14ac:dyDescent="0.35">
      <c r="A82" s="32" t="s">
        <v>6512</v>
      </c>
      <c r="B82" s="7">
        <f t="shared" si="4"/>
        <v>46121</v>
      </c>
      <c r="C82" s="7">
        <f t="shared" si="5"/>
        <v>46127</v>
      </c>
      <c r="D82" s="6">
        <v>3281</v>
      </c>
      <c r="E82" s="6">
        <v>337</v>
      </c>
      <c r="F82" s="6">
        <v>4</v>
      </c>
      <c r="G82" s="6">
        <v>1</v>
      </c>
      <c r="H82" s="6">
        <v>81427</v>
      </c>
      <c r="I82" s="6" t="s">
        <v>17</v>
      </c>
      <c r="J82" s="6">
        <v>26481916</v>
      </c>
      <c r="K82" s="6" t="s">
        <v>931</v>
      </c>
      <c r="L82" s="6" t="s">
        <v>935</v>
      </c>
      <c r="M82" s="8">
        <v>149900</v>
      </c>
      <c r="N82" s="35">
        <v>0.9</v>
      </c>
      <c r="O82" s="34">
        <f t="shared" si="3"/>
        <v>14990</v>
      </c>
      <c r="P82" s="6" t="s">
        <v>16</v>
      </c>
    </row>
    <row r="83" spans="1:16" x14ac:dyDescent="0.35">
      <c r="A83" s="32" t="s">
        <v>6512</v>
      </c>
      <c r="B83" s="7">
        <f t="shared" si="4"/>
        <v>46121</v>
      </c>
      <c r="C83" s="7">
        <f t="shared" si="5"/>
        <v>46127</v>
      </c>
      <c r="D83" s="6">
        <v>3281</v>
      </c>
      <c r="E83" s="6">
        <v>337</v>
      </c>
      <c r="F83" s="6">
        <v>4</v>
      </c>
      <c r="G83" s="6">
        <v>1</v>
      </c>
      <c r="H83" s="6">
        <v>81427</v>
      </c>
      <c r="I83" s="6" t="s">
        <v>17</v>
      </c>
      <c r="J83" s="6">
        <v>26481970</v>
      </c>
      <c r="K83" s="6" t="s">
        <v>936</v>
      </c>
      <c r="L83" s="6" t="s">
        <v>937</v>
      </c>
      <c r="M83" s="8">
        <v>149900</v>
      </c>
      <c r="N83" s="35">
        <v>0.9</v>
      </c>
      <c r="O83" s="34">
        <f t="shared" si="3"/>
        <v>14990</v>
      </c>
      <c r="P83" s="6" t="s">
        <v>16</v>
      </c>
    </row>
    <row r="84" spans="1:16" x14ac:dyDescent="0.35">
      <c r="A84" s="32" t="s">
        <v>6512</v>
      </c>
      <c r="B84" s="7">
        <f t="shared" si="4"/>
        <v>46121</v>
      </c>
      <c r="C84" s="7">
        <f t="shared" si="5"/>
        <v>46127</v>
      </c>
      <c r="D84" s="6">
        <v>3281</v>
      </c>
      <c r="E84" s="6">
        <v>337</v>
      </c>
      <c r="F84" s="6">
        <v>4</v>
      </c>
      <c r="G84" s="6">
        <v>1</v>
      </c>
      <c r="H84" s="6">
        <v>81427</v>
      </c>
      <c r="I84" s="6" t="s">
        <v>17</v>
      </c>
      <c r="J84" s="6">
        <v>26481989</v>
      </c>
      <c r="K84" s="6" t="s">
        <v>936</v>
      </c>
      <c r="L84" s="6" t="s">
        <v>938</v>
      </c>
      <c r="M84" s="8">
        <v>149900</v>
      </c>
      <c r="N84" s="35">
        <v>0.9</v>
      </c>
      <c r="O84" s="34">
        <f t="shared" si="3"/>
        <v>14990</v>
      </c>
      <c r="P84" s="6" t="s">
        <v>16</v>
      </c>
    </row>
    <row r="85" spans="1:16" x14ac:dyDescent="0.35">
      <c r="A85" s="32" t="s">
        <v>6512</v>
      </c>
      <c r="B85" s="7">
        <f t="shared" si="4"/>
        <v>46121</v>
      </c>
      <c r="C85" s="7">
        <f t="shared" si="5"/>
        <v>46127</v>
      </c>
      <c r="D85" s="6">
        <v>3281</v>
      </c>
      <c r="E85" s="6">
        <v>337</v>
      </c>
      <c r="F85" s="6">
        <v>4</v>
      </c>
      <c r="G85" s="6">
        <v>1</v>
      </c>
      <c r="H85" s="6">
        <v>81427</v>
      </c>
      <c r="I85" s="6" t="s">
        <v>17</v>
      </c>
      <c r="J85" s="6">
        <v>26481998</v>
      </c>
      <c r="K85" s="6" t="s">
        <v>936</v>
      </c>
      <c r="L85" s="6" t="s">
        <v>939</v>
      </c>
      <c r="M85" s="8">
        <v>149900</v>
      </c>
      <c r="N85" s="35">
        <v>0.9</v>
      </c>
      <c r="O85" s="34">
        <f t="shared" si="3"/>
        <v>14990</v>
      </c>
      <c r="P85" s="6" t="s">
        <v>16</v>
      </c>
    </row>
    <row r="86" spans="1:16" x14ac:dyDescent="0.35">
      <c r="A86" s="32" t="s">
        <v>6512</v>
      </c>
      <c r="B86" s="7">
        <f t="shared" si="4"/>
        <v>46121</v>
      </c>
      <c r="C86" s="7">
        <f t="shared" si="5"/>
        <v>46127</v>
      </c>
      <c r="D86" s="6">
        <v>3281</v>
      </c>
      <c r="E86" s="6">
        <v>337</v>
      </c>
      <c r="F86" s="6">
        <v>4</v>
      </c>
      <c r="G86" s="6">
        <v>1</v>
      </c>
      <c r="H86" s="6">
        <v>81427</v>
      </c>
      <c r="I86" s="6" t="s">
        <v>17</v>
      </c>
      <c r="J86" s="6">
        <v>26482013</v>
      </c>
      <c r="K86" s="6" t="s">
        <v>936</v>
      </c>
      <c r="L86" s="6" t="s">
        <v>940</v>
      </c>
      <c r="M86" s="8">
        <v>149900</v>
      </c>
      <c r="N86" s="35">
        <v>0.9</v>
      </c>
      <c r="O86" s="34">
        <f t="shared" si="3"/>
        <v>14990</v>
      </c>
      <c r="P86" s="6" t="s">
        <v>16</v>
      </c>
    </row>
    <row r="87" spans="1:16" x14ac:dyDescent="0.35">
      <c r="A87" s="32" t="s">
        <v>6512</v>
      </c>
      <c r="B87" s="7">
        <f t="shared" si="4"/>
        <v>46121</v>
      </c>
      <c r="C87" s="7">
        <f t="shared" si="5"/>
        <v>46127</v>
      </c>
      <c r="D87" s="6">
        <v>3281</v>
      </c>
      <c r="E87" s="6">
        <v>337</v>
      </c>
      <c r="F87" s="6">
        <v>4</v>
      </c>
      <c r="G87" s="6">
        <v>2</v>
      </c>
      <c r="H87" s="6">
        <v>81421</v>
      </c>
      <c r="I87" s="6" t="s">
        <v>17</v>
      </c>
      <c r="J87" s="6">
        <v>26492306</v>
      </c>
      <c r="K87" s="6" t="s">
        <v>954</v>
      </c>
      <c r="L87" s="6" t="s">
        <v>955</v>
      </c>
      <c r="M87" s="8">
        <v>219900</v>
      </c>
      <c r="N87" s="35">
        <v>0.9</v>
      </c>
      <c r="O87" s="34">
        <f t="shared" si="3"/>
        <v>21990</v>
      </c>
      <c r="P87" s="6" t="s">
        <v>16</v>
      </c>
    </row>
    <row r="88" spans="1:16" x14ac:dyDescent="0.35">
      <c r="A88" s="32" t="s">
        <v>6512</v>
      </c>
      <c r="B88" s="7">
        <f t="shared" si="4"/>
        <v>46121</v>
      </c>
      <c r="C88" s="7">
        <f t="shared" si="5"/>
        <v>46127</v>
      </c>
      <c r="D88" s="6">
        <v>3281</v>
      </c>
      <c r="E88" s="6">
        <v>337</v>
      </c>
      <c r="F88" s="6">
        <v>4</v>
      </c>
      <c r="G88" s="6">
        <v>2</v>
      </c>
      <c r="H88" s="6">
        <v>81490</v>
      </c>
      <c r="I88" s="6" t="s">
        <v>17</v>
      </c>
      <c r="J88" s="6">
        <v>26862317</v>
      </c>
      <c r="K88" s="6" t="s">
        <v>745</v>
      </c>
      <c r="L88" s="6" t="s">
        <v>746</v>
      </c>
      <c r="M88" s="8">
        <v>229900</v>
      </c>
      <c r="N88" s="35">
        <v>0.9</v>
      </c>
      <c r="O88" s="34">
        <f t="shared" si="3"/>
        <v>22990</v>
      </c>
      <c r="P88" s="6" t="s">
        <v>16</v>
      </c>
    </row>
    <row r="89" spans="1:16" x14ac:dyDescent="0.35">
      <c r="A89" s="32" t="s">
        <v>6512</v>
      </c>
      <c r="B89" s="7">
        <f t="shared" si="4"/>
        <v>46121</v>
      </c>
      <c r="C89" s="7">
        <f t="shared" si="5"/>
        <v>46127</v>
      </c>
      <c r="D89" s="6">
        <v>3281</v>
      </c>
      <c r="E89" s="6">
        <v>337</v>
      </c>
      <c r="F89" s="6">
        <v>4</v>
      </c>
      <c r="G89" s="6">
        <v>2</v>
      </c>
      <c r="H89" s="6">
        <v>81490</v>
      </c>
      <c r="I89" s="6" t="s">
        <v>17</v>
      </c>
      <c r="J89" s="6">
        <v>26862335</v>
      </c>
      <c r="K89" s="6" t="s">
        <v>745</v>
      </c>
      <c r="L89" s="6" t="s">
        <v>747</v>
      </c>
      <c r="M89" s="8">
        <v>229900</v>
      </c>
      <c r="N89" s="35">
        <v>0.9</v>
      </c>
      <c r="O89" s="34">
        <f t="shared" si="3"/>
        <v>22990</v>
      </c>
      <c r="P89" s="6" t="s">
        <v>16</v>
      </c>
    </row>
    <row r="90" spans="1:16" x14ac:dyDescent="0.35">
      <c r="A90" s="32" t="s">
        <v>6512</v>
      </c>
      <c r="B90" s="7">
        <f t="shared" si="4"/>
        <v>46121</v>
      </c>
      <c r="C90" s="7">
        <f t="shared" si="5"/>
        <v>46127</v>
      </c>
      <c r="D90" s="6">
        <v>3281</v>
      </c>
      <c r="E90" s="6">
        <v>337</v>
      </c>
      <c r="F90" s="6">
        <v>4</v>
      </c>
      <c r="G90" s="6">
        <v>2</v>
      </c>
      <c r="H90" s="6">
        <v>81490</v>
      </c>
      <c r="I90" s="6" t="s">
        <v>17</v>
      </c>
      <c r="J90" s="6">
        <v>26862344</v>
      </c>
      <c r="K90" s="6" t="s">
        <v>745</v>
      </c>
      <c r="L90" s="6" t="s">
        <v>748</v>
      </c>
      <c r="M90" s="8">
        <v>229900</v>
      </c>
      <c r="N90" s="35">
        <v>0.9</v>
      </c>
      <c r="O90" s="34">
        <f t="shared" si="3"/>
        <v>22990</v>
      </c>
      <c r="P90" s="6" t="s">
        <v>16</v>
      </c>
    </row>
    <row r="91" spans="1:16" x14ac:dyDescent="0.35">
      <c r="A91" s="32" t="s">
        <v>6512</v>
      </c>
      <c r="B91" s="7">
        <f t="shared" si="4"/>
        <v>46121</v>
      </c>
      <c r="C91" s="7">
        <f t="shared" si="5"/>
        <v>46127</v>
      </c>
      <c r="D91" s="6">
        <v>3281</v>
      </c>
      <c r="E91" s="6">
        <v>337</v>
      </c>
      <c r="F91" s="6">
        <v>4</v>
      </c>
      <c r="G91" s="6">
        <v>3</v>
      </c>
      <c r="H91" s="6">
        <v>81419</v>
      </c>
      <c r="I91" s="6" t="s">
        <v>17</v>
      </c>
      <c r="J91" s="6">
        <v>26493136</v>
      </c>
      <c r="K91" s="6" t="s">
        <v>958</v>
      </c>
      <c r="L91" s="6" t="s">
        <v>959</v>
      </c>
      <c r="M91" s="8">
        <v>219900</v>
      </c>
      <c r="N91" s="35">
        <v>0.9</v>
      </c>
      <c r="O91" s="34">
        <f t="shared" si="3"/>
        <v>21990</v>
      </c>
      <c r="P91" s="6" t="s">
        <v>16</v>
      </c>
    </row>
    <row r="92" spans="1:16" x14ac:dyDescent="0.35">
      <c r="A92" s="32" t="s">
        <v>6512</v>
      </c>
      <c r="B92" s="7">
        <f t="shared" si="4"/>
        <v>46121</v>
      </c>
      <c r="C92" s="7">
        <f t="shared" si="5"/>
        <v>46127</v>
      </c>
      <c r="D92" s="6">
        <v>3281</v>
      </c>
      <c r="E92" s="6">
        <v>337</v>
      </c>
      <c r="F92" s="6">
        <v>4</v>
      </c>
      <c r="G92" s="6">
        <v>3</v>
      </c>
      <c r="H92" s="6">
        <v>81419</v>
      </c>
      <c r="I92" s="6" t="s">
        <v>17</v>
      </c>
      <c r="J92" s="6">
        <v>26493154</v>
      </c>
      <c r="K92" s="6" t="s">
        <v>958</v>
      </c>
      <c r="L92" s="6" t="s">
        <v>960</v>
      </c>
      <c r="M92" s="8">
        <v>219900</v>
      </c>
      <c r="N92" s="35">
        <v>0.9</v>
      </c>
      <c r="O92" s="34">
        <f t="shared" si="3"/>
        <v>21990</v>
      </c>
      <c r="P92" s="6" t="s">
        <v>16</v>
      </c>
    </row>
    <row r="93" spans="1:16" x14ac:dyDescent="0.35">
      <c r="A93" s="32" t="s">
        <v>6512</v>
      </c>
      <c r="B93" s="7">
        <f t="shared" si="4"/>
        <v>46121</v>
      </c>
      <c r="C93" s="7">
        <f t="shared" si="5"/>
        <v>46127</v>
      </c>
      <c r="D93" s="6">
        <v>3281</v>
      </c>
      <c r="E93" s="6">
        <v>337</v>
      </c>
      <c r="F93" s="6">
        <v>4</v>
      </c>
      <c r="G93" s="6">
        <v>3</v>
      </c>
      <c r="H93" s="6">
        <v>81419</v>
      </c>
      <c r="I93" s="6" t="s">
        <v>17</v>
      </c>
      <c r="J93" s="6">
        <v>26608913</v>
      </c>
      <c r="K93" s="6" t="s">
        <v>958</v>
      </c>
      <c r="L93" s="6" t="s">
        <v>961</v>
      </c>
      <c r="M93" s="8">
        <v>219900</v>
      </c>
      <c r="N93" s="35">
        <v>0.9</v>
      </c>
      <c r="O93" s="34">
        <f t="shared" si="3"/>
        <v>21990</v>
      </c>
      <c r="P93" s="6" t="s">
        <v>16</v>
      </c>
    </row>
    <row r="94" spans="1:16" x14ac:dyDescent="0.35">
      <c r="A94" s="32" t="s">
        <v>6512</v>
      </c>
      <c r="B94" s="7">
        <f t="shared" si="4"/>
        <v>46121</v>
      </c>
      <c r="C94" s="7">
        <f t="shared" si="5"/>
        <v>46127</v>
      </c>
      <c r="D94" s="6">
        <v>3281</v>
      </c>
      <c r="E94" s="6">
        <v>337</v>
      </c>
      <c r="F94" s="6">
        <v>4</v>
      </c>
      <c r="G94" s="6">
        <v>3</v>
      </c>
      <c r="H94" s="6">
        <v>81419</v>
      </c>
      <c r="I94" s="6" t="s">
        <v>17</v>
      </c>
      <c r="J94" s="6">
        <v>26608922</v>
      </c>
      <c r="K94" s="6" t="s">
        <v>958</v>
      </c>
      <c r="L94" s="6" t="s">
        <v>962</v>
      </c>
      <c r="M94" s="8">
        <v>219900</v>
      </c>
      <c r="N94" s="35">
        <v>0.9</v>
      </c>
      <c r="O94" s="34">
        <f t="shared" si="3"/>
        <v>21990</v>
      </c>
      <c r="P94" s="6" t="s">
        <v>16</v>
      </c>
    </row>
    <row r="95" spans="1:16" x14ac:dyDescent="0.35">
      <c r="A95" s="32" t="s">
        <v>6512</v>
      </c>
      <c r="B95" s="7">
        <f t="shared" si="4"/>
        <v>46121</v>
      </c>
      <c r="C95" s="7">
        <f t="shared" si="5"/>
        <v>46127</v>
      </c>
      <c r="D95" s="6">
        <v>3281</v>
      </c>
      <c r="E95" s="6">
        <v>337</v>
      </c>
      <c r="F95" s="6">
        <v>4</v>
      </c>
      <c r="G95" s="6">
        <v>3</v>
      </c>
      <c r="H95" s="6">
        <v>81419</v>
      </c>
      <c r="I95" s="6" t="s">
        <v>17</v>
      </c>
      <c r="J95" s="6">
        <v>33260678</v>
      </c>
      <c r="K95" s="6" t="s">
        <v>749</v>
      </c>
      <c r="L95" s="6" t="s">
        <v>750</v>
      </c>
      <c r="M95" s="8">
        <v>249900</v>
      </c>
      <c r="N95" s="35">
        <v>0.9</v>
      </c>
      <c r="O95" s="34">
        <f t="shared" si="3"/>
        <v>24990</v>
      </c>
      <c r="P95" s="6" t="s">
        <v>16</v>
      </c>
    </row>
    <row r="96" spans="1:16" x14ac:dyDescent="0.35">
      <c r="A96" s="32" t="s">
        <v>6512</v>
      </c>
      <c r="B96" s="7">
        <f t="shared" si="4"/>
        <v>46121</v>
      </c>
      <c r="C96" s="7">
        <f t="shared" si="5"/>
        <v>46127</v>
      </c>
      <c r="D96" s="6">
        <v>3281</v>
      </c>
      <c r="E96" s="6">
        <v>337</v>
      </c>
      <c r="F96" s="6">
        <v>4</v>
      </c>
      <c r="G96" s="6">
        <v>3</v>
      </c>
      <c r="H96" s="6">
        <v>81419</v>
      </c>
      <c r="I96" s="6" t="s">
        <v>17</v>
      </c>
      <c r="J96" s="6">
        <v>33260696</v>
      </c>
      <c r="K96" s="6" t="s">
        <v>749</v>
      </c>
      <c r="L96" s="6" t="s">
        <v>751</v>
      </c>
      <c r="M96" s="8">
        <v>249900</v>
      </c>
      <c r="N96" s="35">
        <v>0.9</v>
      </c>
      <c r="O96" s="34">
        <f t="shared" si="3"/>
        <v>24990</v>
      </c>
      <c r="P96" s="6" t="s">
        <v>16</v>
      </c>
    </row>
    <row r="97" spans="1:16" x14ac:dyDescent="0.35">
      <c r="A97" s="32" t="s">
        <v>6512</v>
      </c>
      <c r="B97" s="7">
        <f t="shared" si="4"/>
        <v>46121</v>
      </c>
      <c r="C97" s="7">
        <f t="shared" si="5"/>
        <v>46127</v>
      </c>
      <c r="D97" s="6">
        <v>3281</v>
      </c>
      <c r="E97" s="6">
        <v>337</v>
      </c>
      <c r="F97" s="6">
        <v>4</v>
      </c>
      <c r="G97" s="6">
        <v>3</v>
      </c>
      <c r="H97" s="6">
        <v>81419</v>
      </c>
      <c r="I97" s="6" t="s">
        <v>17</v>
      </c>
      <c r="J97" s="6">
        <v>33260703</v>
      </c>
      <c r="K97" s="6" t="s">
        <v>749</v>
      </c>
      <c r="L97" s="6" t="s">
        <v>752</v>
      </c>
      <c r="M97" s="8">
        <v>249900</v>
      </c>
      <c r="N97" s="35">
        <v>0.9</v>
      </c>
      <c r="O97" s="34">
        <f t="shared" si="3"/>
        <v>24990</v>
      </c>
      <c r="P97" s="6" t="s">
        <v>16</v>
      </c>
    </row>
    <row r="98" spans="1:16" x14ac:dyDescent="0.35">
      <c r="A98" s="32" t="s">
        <v>6512</v>
      </c>
      <c r="B98" s="7">
        <f t="shared" si="4"/>
        <v>46121</v>
      </c>
      <c r="C98" s="7">
        <f t="shared" si="5"/>
        <v>46127</v>
      </c>
      <c r="D98" s="6">
        <v>3281</v>
      </c>
      <c r="E98" s="6">
        <v>337</v>
      </c>
      <c r="F98" s="6">
        <v>4</v>
      </c>
      <c r="G98" s="6">
        <v>3</v>
      </c>
      <c r="H98" s="6">
        <v>81419</v>
      </c>
      <c r="I98" s="6" t="s">
        <v>17</v>
      </c>
      <c r="J98" s="6">
        <v>33416474</v>
      </c>
      <c r="K98" s="6" t="s">
        <v>762</v>
      </c>
      <c r="L98" s="6" t="s">
        <v>763</v>
      </c>
      <c r="M98" s="8">
        <v>219900</v>
      </c>
      <c r="N98" s="35">
        <v>0.9</v>
      </c>
      <c r="O98" s="34">
        <f t="shared" si="3"/>
        <v>21990</v>
      </c>
      <c r="P98" s="6" t="s">
        <v>16</v>
      </c>
    </row>
    <row r="99" spans="1:16" x14ac:dyDescent="0.35">
      <c r="A99" s="32" t="s">
        <v>6512</v>
      </c>
      <c r="B99" s="7">
        <f t="shared" si="4"/>
        <v>46121</v>
      </c>
      <c r="C99" s="7">
        <f t="shared" si="5"/>
        <v>46127</v>
      </c>
      <c r="D99" s="6">
        <v>3281</v>
      </c>
      <c r="E99" s="6">
        <v>337</v>
      </c>
      <c r="F99" s="6">
        <v>4</v>
      </c>
      <c r="G99" s="6">
        <v>3</v>
      </c>
      <c r="H99" s="6">
        <v>81419</v>
      </c>
      <c r="I99" s="6" t="s">
        <v>17</v>
      </c>
      <c r="J99" s="6">
        <v>33416483</v>
      </c>
      <c r="K99" s="6" t="s">
        <v>762</v>
      </c>
      <c r="L99" s="6" t="s">
        <v>764</v>
      </c>
      <c r="M99" s="8">
        <v>219900</v>
      </c>
      <c r="N99" s="35">
        <v>0.9</v>
      </c>
      <c r="O99" s="34">
        <f t="shared" si="3"/>
        <v>21990</v>
      </c>
      <c r="P99" s="6" t="s">
        <v>16</v>
      </c>
    </row>
    <row r="100" spans="1:16" x14ac:dyDescent="0.35">
      <c r="A100" s="32" t="s">
        <v>6512</v>
      </c>
      <c r="B100" s="7">
        <f t="shared" si="4"/>
        <v>46121</v>
      </c>
      <c r="C100" s="7">
        <f t="shared" si="5"/>
        <v>46127</v>
      </c>
      <c r="D100" s="6">
        <v>3281</v>
      </c>
      <c r="E100" s="6">
        <v>337</v>
      </c>
      <c r="F100" s="6">
        <v>4</v>
      </c>
      <c r="G100" s="6">
        <v>3</v>
      </c>
      <c r="H100" s="6">
        <v>81419</v>
      </c>
      <c r="I100" s="6" t="s">
        <v>17</v>
      </c>
      <c r="J100" s="6">
        <v>33416509</v>
      </c>
      <c r="K100" s="6" t="s">
        <v>762</v>
      </c>
      <c r="L100" s="6" t="s">
        <v>765</v>
      </c>
      <c r="M100" s="8">
        <v>219900</v>
      </c>
      <c r="N100" s="35">
        <v>0.9</v>
      </c>
      <c r="O100" s="34">
        <f t="shared" si="3"/>
        <v>21990</v>
      </c>
      <c r="P100" s="6" t="s">
        <v>16</v>
      </c>
    </row>
    <row r="101" spans="1:16" x14ac:dyDescent="0.35">
      <c r="A101" s="32" t="s">
        <v>6512</v>
      </c>
      <c r="B101" s="7">
        <f t="shared" si="4"/>
        <v>46121</v>
      </c>
      <c r="C101" s="7">
        <f t="shared" si="5"/>
        <v>46127</v>
      </c>
      <c r="D101" s="6">
        <v>3281</v>
      </c>
      <c r="E101" s="6">
        <v>337</v>
      </c>
      <c r="F101" s="6">
        <v>4</v>
      </c>
      <c r="G101" s="6">
        <v>3</v>
      </c>
      <c r="H101" s="6">
        <v>81419</v>
      </c>
      <c r="I101" s="6" t="s">
        <v>17</v>
      </c>
      <c r="J101" s="6">
        <v>33829484</v>
      </c>
      <c r="K101" s="6" t="s">
        <v>766</v>
      </c>
      <c r="L101" s="6" t="s">
        <v>767</v>
      </c>
      <c r="M101" s="8">
        <v>189900</v>
      </c>
      <c r="N101" s="35">
        <v>0.9</v>
      </c>
      <c r="O101" s="34">
        <f t="shared" si="3"/>
        <v>18990</v>
      </c>
      <c r="P101" s="6" t="s">
        <v>16</v>
      </c>
    </row>
    <row r="102" spans="1:16" x14ac:dyDescent="0.35">
      <c r="A102" s="32" t="s">
        <v>6512</v>
      </c>
      <c r="B102" s="7">
        <f t="shared" si="4"/>
        <v>46121</v>
      </c>
      <c r="C102" s="7">
        <f t="shared" si="5"/>
        <v>46127</v>
      </c>
      <c r="D102" s="6">
        <v>3281</v>
      </c>
      <c r="E102" s="6">
        <v>337</v>
      </c>
      <c r="F102" s="6">
        <v>4</v>
      </c>
      <c r="G102" s="6">
        <v>3</v>
      </c>
      <c r="H102" s="6">
        <v>81419</v>
      </c>
      <c r="I102" s="6" t="s">
        <v>17</v>
      </c>
      <c r="J102" s="6">
        <v>33829493</v>
      </c>
      <c r="K102" s="6" t="s">
        <v>766</v>
      </c>
      <c r="L102" s="6" t="s">
        <v>768</v>
      </c>
      <c r="M102" s="8">
        <v>189900</v>
      </c>
      <c r="N102" s="35">
        <v>0.9</v>
      </c>
      <c r="O102" s="34">
        <f t="shared" si="3"/>
        <v>18990</v>
      </c>
      <c r="P102" s="6" t="s">
        <v>16</v>
      </c>
    </row>
    <row r="103" spans="1:16" x14ac:dyDescent="0.35">
      <c r="A103" s="32" t="s">
        <v>6512</v>
      </c>
      <c r="B103" s="7">
        <f t="shared" si="4"/>
        <v>46121</v>
      </c>
      <c r="C103" s="7">
        <f t="shared" si="5"/>
        <v>46127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17</v>
      </c>
      <c r="J103" s="6">
        <v>33829500</v>
      </c>
      <c r="K103" s="6" t="s">
        <v>766</v>
      </c>
      <c r="L103" s="6" t="s">
        <v>769</v>
      </c>
      <c r="M103" s="8">
        <v>189900</v>
      </c>
      <c r="N103" s="35">
        <v>0.9</v>
      </c>
      <c r="O103" s="34">
        <f t="shared" si="3"/>
        <v>18990</v>
      </c>
      <c r="P103" s="6" t="s">
        <v>16</v>
      </c>
    </row>
    <row r="104" spans="1:16" x14ac:dyDescent="0.35">
      <c r="A104" s="32" t="s">
        <v>6512</v>
      </c>
      <c r="B104" s="7">
        <f t="shared" si="4"/>
        <v>46121</v>
      </c>
      <c r="C104" s="7">
        <f t="shared" si="5"/>
        <v>46127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17</v>
      </c>
      <c r="J104" s="6">
        <v>33829528</v>
      </c>
      <c r="K104" s="6" t="s">
        <v>770</v>
      </c>
      <c r="L104" s="6" t="s">
        <v>771</v>
      </c>
      <c r="M104" s="8">
        <v>199900</v>
      </c>
      <c r="N104" s="35">
        <v>0.9</v>
      </c>
      <c r="O104" s="34">
        <f t="shared" si="3"/>
        <v>19990</v>
      </c>
      <c r="P104" s="6" t="s">
        <v>16</v>
      </c>
    </row>
    <row r="105" spans="1:16" x14ac:dyDescent="0.35">
      <c r="A105" s="32" t="s">
        <v>6512</v>
      </c>
      <c r="B105" s="7">
        <f t="shared" si="4"/>
        <v>46121</v>
      </c>
      <c r="C105" s="7">
        <f t="shared" si="5"/>
        <v>46127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17</v>
      </c>
      <c r="J105" s="6">
        <v>33829537</v>
      </c>
      <c r="K105" s="6" t="s">
        <v>770</v>
      </c>
      <c r="L105" s="6" t="s">
        <v>772</v>
      </c>
      <c r="M105" s="8">
        <v>199900</v>
      </c>
      <c r="N105" s="35">
        <v>0.9</v>
      </c>
      <c r="O105" s="34">
        <f t="shared" si="3"/>
        <v>19990</v>
      </c>
      <c r="P105" s="6" t="s">
        <v>16</v>
      </c>
    </row>
    <row r="106" spans="1:16" x14ac:dyDescent="0.35">
      <c r="A106" s="32" t="s">
        <v>6512</v>
      </c>
      <c r="B106" s="7">
        <f t="shared" si="4"/>
        <v>46121</v>
      </c>
      <c r="C106" s="7">
        <f t="shared" si="5"/>
        <v>46127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17</v>
      </c>
      <c r="J106" s="6">
        <v>33042609</v>
      </c>
      <c r="K106" s="6" t="s">
        <v>759</v>
      </c>
      <c r="L106" s="6" t="s">
        <v>760</v>
      </c>
      <c r="M106" s="8">
        <v>199900</v>
      </c>
      <c r="N106" s="35">
        <v>0.9</v>
      </c>
      <c r="O106" s="34">
        <f t="shared" si="3"/>
        <v>19990</v>
      </c>
      <c r="P106" s="6" t="s">
        <v>16</v>
      </c>
    </row>
    <row r="107" spans="1:16" x14ac:dyDescent="0.35">
      <c r="A107" s="32" t="s">
        <v>6512</v>
      </c>
      <c r="B107" s="7">
        <f t="shared" si="4"/>
        <v>46121</v>
      </c>
      <c r="C107" s="7">
        <f t="shared" si="5"/>
        <v>46127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17</v>
      </c>
      <c r="J107" s="6">
        <v>33042627</v>
      </c>
      <c r="K107" s="6" t="s">
        <v>759</v>
      </c>
      <c r="L107" s="6" t="s">
        <v>761</v>
      </c>
      <c r="M107" s="8">
        <v>199900</v>
      </c>
      <c r="N107" s="35">
        <v>0.9</v>
      </c>
      <c r="O107" s="34">
        <f t="shared" si="3"/>
        <v>19990</v>
      </c>
      <c r="P107" s="6" t="s">
        <v>16</v>
      </c>
    </row>
    <row r="108" spans="1:16" x14ac:dyDescent="0.35">
      <c r="A108" s="32" t="s">
        <v>6512</v>
      </c>
      <c r="B108" s="7">
        <f t="shared" si="4"/>
        <v>46121</v>
      </c>
      <c r="C108" s="7">
        <f t="shared" si="5"/>
        <v>46127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17</v>
      </c>
      <c r="J108" s="6">
        <v>32755261</v>
      </c>
      <c r="K108" s="6" t="s">
        <v>753</v>
      </c>
      <c r="L108" s="6" t="s">
        <v>754</v>
      </c>
      <c r="M108" s="8">
        <v>189900</v>
      </c>
      <c r="N108" s="35">
        <v>0.9</v>
      </c>
      <c r="O108" s="34">
        <f t="shared" si="3"/>
        <v>18990</v>
      </c>
      <c r="P108" s="6" t="s">
        <v>16</v>
      </c>
    </row>
    <row r="109" spans="1:16" x14ac:dyDescent="0.35">
      <c r="A109" s="32" t="s">
        <v>6512</v>
      </c>
      <c r="B109" s="7">
        <f t="shared" si="4"/>
        <v>46121</v>
      </c>
      <c r="C109" s="7">
        <f t="shared" si="5"/>
        <v>46127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17</v>
      </c>
      <c r="J109" s="6">
        <v>32755289</v>
      </c>
      <c r="K109" s="6" t="s">
        <v>753</v>
      </c>
      <c r="L109" s="6" t="s">
        <v>755</v>
      </c>
      <c r="M109" s="8">
        <v>189900</v>
      </c>
      <c r="N109" s="35">
        <v>0.9</v>
      </c>
      <c r="O109" s="34">
        <f t="shared" si="3"/>
        <v>18990</v>
      </c>
      <c r="P109" s="6" t="s">
        <v>16</v>
      </c>
    </row>
    <row r="110" spans="1:16" x14ac:dyDescent="0.35">
      <c r="A110" s="32" t="s">
        <v>6512</v>
      </c>
      <c r="B110" s="7">
        <f t="shared" si="4"/>
        <v>46121</v>
      </c>
      <c r="C110" s="7">
        <f t="shared" si="5"/>
        <v>46127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17</v>
      </c>
      <c r="J110" s="6">
        <v>32755314</v>
      </c>
      <c r="K110" s="6" t="s">
        <v>756</v>
      </c>
      <c r="L110" s="6" t="s">
        <v>757</v>
      </c>
      <c r="M110" s="8">
        <v>199900</v>
      </c>
      <c r="N110" s="35">
        <v>0.9</v>
      </c>
      <c r="O110" s="34">
        <f t="shared" si="3"/>
        <v>19990</v>
      </c>
      <c r="P110" s="6" t="s">
        <v>16</v>
      </c>
    </row>
    <row r="111" spans="1:16" x14ac:dyDescent="0.35">
      <c r="A111" s="32" t="s">
        <v>6512</v>
      </c>
      <c r="B111" s="7">
        <f t="shared" si="4"/>
        <v>46121</v>
      </c>
      <c r="C111" s="7">
        <f t="shared" si="5"/>
        <v>46127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17</v>
      </c>
      <c r="J111" s="6">
        <v>32755332</v>
      </c>
      <c r="K111" s="6" t="s">
        <v>756</v>
      </c>
      <c r="L111" s="6" t="s">
        <v>758</v>
      </c>
      <c r="M111" s="8">
        <v>199900</v>
      </c>
      <c r="N111" s="35">
        <v>0.9</v>
      </c>
      <c r="O111" s="34">
        <f t="shared" si="3"/>
        <v>19990</v>
      </c>
      <c r="P111" s="6" t="s">
        <v>16</v>
      </c>
    </row>
    <row r="112" spans="1:16" x14ac:dyDescent="0.35">
      <c r="A112" s="32" t="s">
        <v>6512</v>
      </c>
      <c r="B112" s="7">
        <f t="shared" si="4"/>
        <v>46121</v>
      </c>
      <c r="C112" s="7">
        <f t="shared" si="5"/>
        <v>46127</v>
      </c>
      <c r="D112" s="6">
        <v>3281</v>
      </c>
      <c r="E112" s="6">
        <v>337</v>
      </c>
      <c r="F112" s="6">
        <v>4</v>
      </c>
      <c r="G112" s="6">
        <v>3</v>
      </c>
      <c r="H112" s="6">
        <v>81146</v>
      </c>
      <c r="I112" s="6" t="s">
        <v>17</v>
      </c>
      <c r="J112" s="6">
        <v>27045690</v>
      </c>
      <c r="K112" s="6" t="s">
        <v>773</v>
      </c>
      <c r="L112" s="6" t="s">
        <v>774</v>
      </c>
      <c r="M112" s="8">
        <v>189900</v>
      </c>
      <c r="N112" s="35">
        <v>0.9</v>
      </c>
      <c r="O112" s="34">
        <f t="shared" si="3"/>
        <v>18990</v>
      </c>
      <c r="P112" s="6" t="s">
        <v>16</v>
      </c>
    </row>
    <row r="113" spans="1:16" x14ac:dyDescent="0.35">
      <c r="A113" s="32" t="s">
        <v>6512</v>
      </c>
      <c r="B113" s="7">
        <f t="shared" si="4"/>
        <v>46121</v>
      </c>
      <c r="C113" s="7">
        <f t="shared" si="5"/>
        <v>46127</v>
      </c>
      <c r="D113" s="6">
        <v>3281</v>
      </c>
      <c r="E113" s="6">
        <v>337</v>
      </c>
      <c r="F113" s="6">
        <v>4</v>
      </c>
      <c r="G113" s="6">
        <v>3</v>
      </c>
      <c r="H113" s="6">
        <v>81146</v>
      </c>
      <c r="I113" s="6" t="s">
        <v>17</v>
      </c>
      <c r="J113" s="6">
        <v>27045716</v>
      </c>
      <c r="K113" s="6" t="s">
        <v>773</v>
      </c>
      <c r="L113" s="6" t="s">
        <v>775</v>
      </c>
      <c r="M113" s="8">
        <v>189900</v>
      </c>
      <c r="N113" s="35">
        <v>0.9</v>
      </c>
      <c r="O113" s="34">
        <f t="shared" si="3"/>
        <v>18990</v>
      </c>
      <c r="P113" s="6" t="s">
        <v>16</v>
      </c>
    </row>
    <row r="114" spans="1:16" x14ac:dyDescent="0.35">
      <c r="A114" s="32" t="s">
        <v>6512</v>
      </c>
      <c r="B114" s="7">
        <f t="shared" si="4"/>
        <v>46121</v>
      </c>
      <c r="C114" s="7">
        <f t="shared" si="5"/>
        <v>46127</v>
      </c>
      <c r="D114" s="6">
        <v>3281</v>
      </c>
      <c r="E114" s="6">
        <v>337</v>
      </c>
      <c r="F114" s="6">
        <v>4</v>
      </c>
      <c r="G114" s="6">
        <v>3</v>
      </c>
      <c r="H114" s="6">
        <v>81146</v>
      </c>
      <c r="I114" s="6" t="s">
        <v>17</v>
      </c>
      <c r="J114" s="6">
        <v>27045725</v>
      </c>
      <c r="K114" s="6" t="s">
        <v>773</v>
      </c>
      <c r="L114" s="6" t="s">
        <v>776</v>
      </c>
      <c r="M114" s="8">
        <v>189900</v>
      </c>
      <c r="N114" s="35">
        <v>0.9</v>
      </c>
      <c r="O114" s="34">
        <f t="shared" si="3"/>
        <v>18990</v>
      </c>
      <c r="P114" s="6" t="s">
        <v>16</v>
      </c>
    </row>
    <row r="115" spans="1:16" x14ac:dyDescent="0.35">
      <c r="A115" s="32" t="s">
        <v>6512</v>
      </c>
      <c r="B115" s="7">
        <f t="shared" si="4"/>
        <v>46121</v>
      </c>
      <c r="C115" s="7">
        <f t="shared" si="5"/>
        <v>46127</v>
      </c>
      <c r="D115" s="6">
        <v>3281</v>
      </c>
      <c r="E115" s="6">
        <v>337</v>
      </c>
      <c r="F115" s="6">
        <v>4</v>
      </c>
      <c r="G115" s="6">
        <v>3</v>
      </c>
      <c r="H115" s="6">
        <v>81146</v>
      </c>
      <c r="I115" s="6" t="s">
        <v>17</v>
      </c>
      <c r="J115" s="6">
        <v>33416312</v>
      </c>
      <c r="K115" s="6" t="s">
        <v>777</v>
      </c>
      <c r="L115" s="6" t="s">
        <v>778</v>
      </c>
      <c r="M115" s="8">
        <v>199900</v>
      </c>
      <c r="N115" s="35">
        <v>0.9</v>
      </c>
      <c r="O115" s="34">
        <f t="shared" si="3"/>
        <v>19990</v>
      </c>
      <c r="P115" s="6" t="s">
        <v>16</v>
      </c>
    </row>
    <row r="116" spans="1:16" x14ac:dyDescent="0.35">
      <c r="A116" s="32" t="s">
        <v>6512</v>
      </c>
      <c r="B116" s="7">
        <f t="shared" si="4"/>
        <v>46121</v>
      </c>
      <c r="C116" s="7">
        <f t="shared" si="5"/>
        <v>46127</v>
      </c>
      <c r="D116" s="6">
        <v>3281</v>
      </c>
      <c r="E116" s="6">
        <v>337</v>
      </c>
      <c r="F116" s="6">
        <v>4</v>
      </c>
      <c r="G116" s="6">
        <v>3</v>
      </c>
      <c r="H116" s="6">
        <v>81146</v>
      </c>
      <c r="I116" s="6" t="s">
        <v>17</v>
      </c>
      <c r="J116" s="6">
        <v>33416321</v>
      </c>
      <c r="K116" s="6" t="s">
        <v>777</v>
      </c>
      <c r="L116" s="6" t="s">
        <v>779</v>
      </c>
      <c r="M116" s="8">
        <v>199900</v>
      </c>
      <c r="N116" s="35">
        <v>0.9</v>
      </c>
      <c r="O116" s="34">
        <f t="shared" si="3"/>
        <v>19990</v>
      </c>
      <c r="P116" s="6" t="s">
        <v>16</v>
      </c>
    </row>
    <row r="117" spans="1:16" x14ac:dyDescent="0.35">
      <c r="A117" s="32" t="s">
        <v>6512</v>
      </c>
      <c r="B117" s="7">
        <f t="shared" si="4"/>
        <v>46121</v>
      </c>
      <c r="C117" s="7">
        <f t="shared" si="5"/>
        <v>46127</v>
      </c>
      <c r="D117" s="6">
        <v>3281</v>
      </c>
      <c r="E117" s="6">
        <v>337</v>
      </c>
      <c r="F117" s="6">
        <v>4</v>
      </c>
      <c r="G117" s="6">
        <v>3</v>
      </c>
      <c r="H117" s="6">
        <v>81146</v>
      </c>
      <c r="I117" s="6" t="s">
        <v>17</v>
      </c>
      <c r="J117" s="6">
        <v>33416330</v>
      </c>
      <c r="K117" s="6" t="s">
        <v>777</v>
      </c>
      <c r="L117" s="6" t="s">
        <v>780</v>
      </c>
      <c r="M117" s="8">
        <v>199900</v>
      </c>
      <c r="N117" s="35">
        <v>0.9</v>
      </c>
      <c r="O117" s="34">
        <f t="shared" si="3"/>
        <v>19990</v>
      </c>
      <c r="P117" s="6" t="s">
        <v>16</v>
      </c>
    </row>
    <row r="118" spans="1:16" x14ac:dyDescent="0.35">
      <c r="A118" s="32" t="s">
        <v>6512</v>
      </c>
      <c r="B118" s="7">
        <f t="shared" si="4"/>
        <v>46121</v>
      </c>
      <c r="C118" s="7">
        <f t="shared" si="5"/>
        <v>46127</v>
      </c>
      <c r="D118" s="6">
        <v>3281</v>
      </c>
      <c r="E118" s="6">
        <v>337</v>
      </c>
      <c r="F118" s="6">
        <v>4</v>
      </c>
      <c r="G118" s="6">
        <v>3</v>
      </c>
      <c r="H118" s="6">
        <v>81221</v>
      </c>
      <c r="I118" s="6" t="s">
        <v>17</v>
      </c>
      <c r="J118" s="6">
        <v>26224784</v>
      </c>
      <c r="K118" s="6" t="s">
        <v>956</v>
      </c>
      <c r="L118" s="6" t="s">
        <v>957</v>
      </c>
      <c r="M118" s="8">
        <v>269900</v>
      </c>
      <c r="N118" s="35">
        <v>0.9</v>
      </c>
      <c r="O118" s="34">
        <f t="shared" si="3"/>
        <v>26990</v>
      </c>
      <c r="P118" s="6" t="s">
        <v>16</v>
      </c>
    </row>
    <row r="119" spans="1:16" x14ac:dyDescent="0.35">
      <c r="A119" s="32" t="s">
        <v>6512</v>
      </c>
      <c r="B119" s="7">
        <f t="shared" si="4"/>
        <v>46121</v>
      </c>
      <c r="C119" s="7">
        <f t="shared" si="5"/>
        <v>46127</v>
      </c>
      <c r="D119" s="6">
        <v>3281</v>
      </c>
      <c r="E119" s="6">
        <v>337</v>
      </c>
      <c r="F119" s="6">
        <v>4</v>
      </c>
      <c r="G119" s="6">
        <v>3</v>
      </c>
      <c r="H119" s="6">
        <v>81421</v>
      </c>
      <c r="I119" s="6" t="s">
        <v>17</v>
      </c>
      <c r="J119" s="6">
        <v>26270760</v>
      </c>
      <c r="K119" s="6" t="s">
        <v>963</v>
      </c>
      <c r="L119" s="6" t="s">
        <v>964</v>
      </c>
      <c r="M119" s="8">
        <v>169900</v>
      </c>
      <c r="N119" s="35">
        <v>0.9</v>
      </c>
      <c r="O119" s="34">
        <f t="shared" si="3"/>
        <v>16990</v>
      </c>
      <c r="P119" s="6" t="s">
        <v>16</v>
      </c>
    </row>
    <row r="120" spans="1:16" x14ac:dyDescent="0.35">
      <c r="A120" s="32" t="s">
        <v>6512</v>
      </c>
      <c r="B120" s="7">
        <f t="shared" si="4"/>
        <v>46121</v>
      </c>
      <c r="C120" s="7">
        <f t="shared" si="5"/>
        <v>46127</v>
      </c>
      <c r="D120" s="6">
        <v>3281</v>
      </c>
      <c r="E120" s="6">
        <v>337</v>
      </c>
      <c r="F120" s="6">
        <v>4</v>
      </c>
      <c r="G120" s="6">
        <v>3</v>
      </c>
      <c r="H120" s="6">
        <v>81421</v>
      </c>
      <c r="I120" s="6" t="s">
        <v>17</v>
      </c>
      <c r="J120" s="6">
        <v>31284245</v>
      </c>
      <c r="K120" s="6" t="s">
        <v>781</v>
      </c>
      <c r="L120" s="6" t="s">
        <v>782</v>
      </c>
      <c r="M120" s="8">
        <v>189900</v>
      </c>
      <c r="N120" s="35">
        <v>0.9</v>
      </c>
      <c r="O120" s="34">
        <f t="shared" si="3"/>
        <v>18990</v>
      </c>
      <c r="P120" s="6" t="s">
        <v>16</v>
      </c>
    </row>
    <row r="121" spans="1:16" x14ac:dyDescent="0.35">
      <c r="A121" s="32" t="s">
        <v>6512</v>
      </c>
      <c r="B121" s="7">
        <f t="shared" si="4"/>
        <v>46121</v>
      </c>
      <c r="C121" s="7">
        <f t="shared" si="5"/>
        <v>46127</v>
      </c>
      <c r="D121" s="6">
        <v>3281</v>
      </c>
      <c r="E121" s="6">
        <v>337</v>
      </c>
      <c r="F121" s="6">
        <v>4</v>
      </c>
      <c r="G121" s="6">
        <v>3</v>
      </c>
      <c r="H121" s="6">
        <v>190</v>
      </c>
      <c r="I121" s="6" t="s">
        <v>17</v>
      </c>
      <c r="J121" s="6">
        <v>33556920</v>
      </c>
      <c r="K121" s="6" t="s">
        <v>783</v>
      </c>
      <c r="L121" s="6" t="s">
        <v>784</v>
      </c>
      <c r="M121" s="8">
        <v>179900</v>
      </c>
      <c r="N121" s="35">
        <v>0.9</v>
      </c>
      <c r="O121" s="34">
        <f t="shared" si="3"/>
        <v>17990</v>
      </c>
      <c r="P121" s="6" t="s">
        <v>16</v>
      </c>
    </row>
    <row r="122" spans="1:16" x14ac:dyDescent="0.35">
      <c r="A122" s="32" t="s">
        <v>6512</v>
      </c>
      <c r="B122" s="7">
        <f t="shared" si="4"/>
        <v>46121</v>
      </c>
      <c r="C122" s="7">
        <f t="shared" si="5"/>
        <v>46127</v>
      </c>
      <c r="D122" s="6">
        <v>3281</v>
      </c>
      <c r="E122" s="6">
        <v>337</v>
      </c>
      <c r="F122" s="6">
        <v>4</v>
      </c>
      <c r="G122" s="6">
        <v>3</v>
      </c>
      <c r="H122" s="6">
        <v>190</v>
      </c>
      <c r="I122" s="6" t="s">
        <v>17</v>
      </c>
      <c r="J122" s="6">
        <v>33556939</v>
      </c>
      <c r="K122" s="6" t="s">
        <v>783</v>
      </c>
      <c r="L122" s="6" t="s">
        <v>785</v>
      </c>
      <c r="M122" s="8">
        <v>179900</v>
      </c>
      <c r="N122" s="35">
        <v>0.9</v>
      </c>
      <c r="O122" s="34">
        <f t="shared" si="3"/>
        <v>17990</v>
      </c>
      <c r="P122" s="6" t="s">
        <v>16</v>
      </c>
    </row>
    <row r="123" spans="1:16" x14ac:dyDescent="0.35">
      <c r="A123" s="32" t="s">
        <v>6512</v>
      </c>
      <c r="B123" s="7">
        <f t="shared" si="4"/>
        <v>46121</v>
      </c>
      <c r="C123" s="7">
        <f t="shared" si="5"/>
        <v>46127</v>
      </c>
      <c r="D123" s="6">
        <v>3281</v>
      </c>
      <c r="E123" s="6">
        <v>337</v>
      </c>
      <c r="F123" s="6">
        <v>4</v>
      </c>
      <c r="G123" s="6">
        <v>3</v>
      </c>
      <c r="H123" s="6">
        <v>190</v>
      </c>
      <c r="I123" s="6" t="s">
        <v>17</v>
      </c>
      <c r="J123" s="6">
        <v>33556966</v>
      </c>
      <c r="K123" s="6" t="s">
        <v>786</v>
      </c>
      <c r="L123" s="6" t="s">
        <v>787</v>
      </c>
      <c r="M123" s="8">
        <v>169900</v>
      </c>
      <c r="N123" s="35">
        <v>0.9</v>
      </c>
      <c r="O123" s="34">
        <f t="shared" si="3"/>
        <v>16990</v>
      </c>
      <c r="P123" s="6" t="s">
        <v>16</v>
      </c>
    </row>
    <row r="124" spans="1:16" x14ac:dyDescent="0.35">
      <c r="A124" s="32" t="s">
        <v>6512</v>
      </c>
      <c r="B124" s="7">
        <f t="shared" si="4"/>
        <v>46121</v>
      </c>
      <c r="C124" s="7">
        <f t="shared" si="5"/>
        <v>46127</v>
      </c>
      <c r="D124" s="6">
        <v>3281</v>
      </c>
      <c r="E124" s="6">
        <v>337</v>
      </c>
      <c r="F124" s="6">
        <v>4</v>
      </c>
      <c r="G124" s="6">
        <v>3</v>
      </c>
      <c r="H124" s="6">
        <v>190</v>
      </c>
      <c r="I124" s="6" t="s">
        <v>17</v>
      </c>
      <c r="J124" s="6">
        <v>33556975</v>
      </c>
      <c r="K124" s="6" t="s">
        <v>786</v>
      </c>
      <c r="L124" s="6" t="s">
        <v>788</v>
      </c>
      <c r="M124" s="8">
        <v>169900</v>
      </c>
      <c r="N124" s="35">
        <v>0.9</v>
      </c>
      <c r="O124" s="34">
        <f t="shared" si="3"/>
        <v>16990</v>
      </c>
      <c r="P124" s="6" t="s">
        <v>16</v>
      </c>
    </row>
    <row r="125" spans="1:16" x14ac:dyDescent="0.35">
      <c r="A125" s="32" t="s">
        <v>6512</v>
      </c>
      <c r="B125" s="7">
        <f t="shared" si="4"/>
        <v>46121</v>
      </c>
      <c r="C125" s="7">
        <f t="shared" si="5"/>
        <v>46127</v>
      </c>
      <c r="D125" s="6">
        <v>3281</v>
      </c>
      <c r="E125" s="6">
        <v>337</v>
      </c>
      <c r="F125" s="6">
        <v>4</v>
      </c>
      <c r="G125" s="6">
        <v>3</v>
      </c>
      <c r="H125" s="6">
        <v>80920</v>
      </c>
      <c r="I125" s="6" t="s">
        <v>17</v>
      </c>
      <c r="J125" s="6">
        <v>26269923</v>
      </c>
      <c r="K125" s="6" t="s">
        <v>965</v>
      </c>
      <c r="L125" s="6" t="s">
        <v>966</v>
      </c>
      <c r="M125" s="8">
        <v>199900</v>
      </c>
      <c r="N125" s="35">
        <v>0.9</v>
      </c>
      <c r="O125" s="34">
        <f t="shared" si="3"/>
        <v>19990</v>
      </c>
      <c r="P125" s="6" t="s">
        <v>16</v>
      </c>
    </row>
    <row r="126" spans="1:16" x14ac:dyDescent="0.35">
      <c r="A126" s="32" t="s">
        <v>6512</v>
      </c>
      <c r="B126" s="7">
        <f t="shared" si="4"/>
        <v>46121</v>
      </c>
      <c r="C126" s="7">
        <f t="shared" si="5"/>
        <v>46127</v>
      </c>
      <c r="D126" s="6">
        <v>3281</v>
      </c>
      <c r="E126" s="6">
        <v>337</v>
      </c>
      <c r="F126" s="6">
        <v>4</v>
      </c>
      <c r="G126" s="6">
        <v>3</v>
      </c>
      <c r="H126" s="6">
        <v>80920</v>
      </c>
      <c r="I126" s="6" t="s">
        <v>17</v>
      </c>
      <c r="J126" s="6">
        <v>26269950</v>
      </c>
      <c r="K126" s="6" t="s">
        <v>965</v>
      </c>
      <c r="L126" s="6" t="s">
        <v>967</v>
      </c>
      <c r="M126" s="8">
        <v>199900</v>
      </c>
      <c r="N126" s="35">
        <v>0.9</v>
      </c>
      <c r="O126" s="34">
        <f t="shared" si="3"/>
        <v>19990</v>
      </c>
      <c r="P126" s="6" t="s">
        <v>16</v>
      </c>
    </row>
    <row r="127" spans="1:16" x14ac:dyDescent="0.35">
      <c r="A127" s="32" t="s">
        <v>6512</v>
      </c>
      <c r="B127" s="7">
        <f t="shared" si="4"/>
        <v>46121</v>
      </c>
      <c r="C127" s="7">
        <f t="shared" si="5"/>
        <v>46127</v>
      </c>
      <c r="D127" s="6">
        <v>3281</v>
      </c>
      <c r="E127" s="6">
        <v>337</v>
      </c>
      <c r="F127" s="6">
        <v>4</v>
      </c>
      <c r="G127" s="6">
        <v>3</v>
      </c>
      <c r="H127" s="6">
        <v>80920</v>
      </c>
      <c r="I127" s="6" t="s">
        <v>17</v>
      </c>
      <c r="J127" s="6">
        <v>26493350</v>
      </c>
      <c r="K127" s="6" t="s">
        <v>968</v>
      </c>
      <c r="L127" s="6" t="s">
        <v>969</v>
      </c>
      <c r="M127" s="8">
        <v>199900</v>
      </c>
      <c r="N127" s="35">
        <v>0.9</v>
      </c>
      <c r="O127" s="34">
        <f t="shared" si="3"/>
        <v>19990</v>
      </c>
      <c r="P127" s="6" t="s">
        <v>16</v>
      </c>
    </row>
    <row r="128" spans="1:16" x14ac:dyDescent="0.35">
      <c r="A128" s="32" t="s">
        <v>6512</v>
      </c>
      <c r="B128" s="7">
        <f t="shared" si="4"/>
        <v>46121</v>
      </c>
      <c r="C128" s="7">
        <f t="shared" si="5"/>
        <v>46127</v>
      </c>
      <c r="D128" s="6">
        <v>3281</v>
      </c>
      <c r="E128" s="6">
        <v>337</v>
      </c>
      <c r="F128" s="6">
        <v>4</v>
      </c>
      <c r="G128" s="6">
        <v>3</v>
      </c>
      <c r="H128" s="6">
        <v>80920</v>
      </c>
      <c r="I128" s="6" t="s">
        <v>17</v>
      </c>
      <c r="J128" s="6">
        <v>26705200</v>
      </c>
      <c r="K128" s="6" t="s">
        <v>972</v>
      </c>
      <c r="L128" s="6" t="s">
        <v>973</v>
      </c>
      <c r="M128" s="8">
        <v>179900</v>
      </c>
      <c r="N128" s="35">
        <v>0.9</v>
      </c>
      <c r="O128" s="34">
        <f t="shared" si="3"/>
        <v>17990</v>
      </c>
      <c r="P128" s="6" t="s">
        <v>16</v>
      </c>
    </row>
    <row r="129" spans="1:16" x14ac:dyDescent="0.35">
      <c r="A129" s="32" t="s">
        <v>6512</v>
      </c>
      <c r="B129" s="7">
        <f t="shared" si="4"/>
        <v>46121</v>
      </c>
      <c r="C129" s="7">
        <f t="shared" si="5"/>
        <v>46127</v>
      </c>
      <c r="D129" s="6">
        <v>3281</v>
      </c>
      <c r="E129" s="6">
        <v>337</v>
      </c>
      <c r="F129" s="6">
        <v>4</v>
      </c>
      <c r="G129" s="6">
        <v>3</v>
      </c>
      <c r="H129" s="6">
        <v>80920</v>
      </c>
      <c r="I129" s="6" t="s">
        <v>17</v>
      </c>
      <c r="J129" s="6">
        <v>27045654</v>
      </c>
      <c r="K129" s="6" t="s">
        <v>789</v>
      </c>
      <c r="L129" s="6" t="s">
        <v>790</v>
      </c>
      <c r="M129" s="8">
        <v>199900</v>
      </c>
      <c r="N129" s="35">
        <v>0.9</v>
      </c>
      <c r="O129" s="34">
        <f t="shared" si="3"/>
        <v>19990</v>
      </c>
      <c r="P129" s="6" t="s">
        <v>16</v>
      </c>
    </row>
    <row r="130" spans="1:16" x14ac:dyDescent="0.35">
      <c r="A130" s="32" t="s">
        <v>6512</v>
      </c>
      <c r="B130" s="7">
        <f t="shared" si="4"/>
        <v>46121</v>
      </c>
      <c r="C130" s="7">
        <f t="shared" si="5"/>
        <v>46127</v>
      </c>
      <c r="D130" s="6">
        <v>3281</v>
      </c>
      <c r="E130" s="6">
        <v>337</v>
      </c>
      <c r="F130" s="6">
        <v>4</v>
      </c>
      <c r="G130" s="6">
        <v>3</v>
      </c>
      <c r="H130" s="6">
        <v>80920</v>
      </c>
      <c r="I130" s="6" t="s">
        <v>17</v>
      </c>
      <c r="J130" s="6">
        <v>27045672</v>
      </c>
      <c r="K130" s="6" t="s">
        <v>789</v>
      </c>
      <c r="L130" s="6" t="s">
        <v>791</v>
      </c>
      <c r="M130" s="8">
        <v>199900</v>
      </c>
      <c r="N130" s="35">
        <v>0.9</v>
      </c>
      <c r="O130" s="34">
        <f t="shared" si="3"/>
        <v>19990</v>
      </c>
      <c r="P130" s="6" t="s">
        <v>16</v>
      </c>
    </row>
    <row r="131" spans="1:16" x14ac:dyDescent="0.35">
      <c r="A131" s="32" t="s">
        <v>6512</v>
      </c>
      <c r="B131" s="7">
        <f t="shared" si="4"/>
        <v>46121</v>
      </c>
      <c r="C131" s="7">
        <f t="shared" si="5"/>
        <v>46127</v>
      </c>
      <c r="D131" s="6">
        <v>3281</v>
      </c>
      <c r="E131" s="6">
        <v>337</v>
      </c>
      <c r="F131" s="6">
        <v>4</v>
      </c>
      <c r="G131" s="6">
        <v>3</v>
      </c>
      <c r="H131" s="6">
        <v>80920</v>
      </c>
      <c r="I131" s="6" t="s">
        <v>17</v>
      </c>
      <c r="J131" s="6">
        <v>33416394</v>
      </c>
      <c r="K131" s="6" t="s">
        <v>792</v>
      </c>
      <c r="L131" s="6" t="s">
        <v>793</v>
      </c>
      <c r="M131" s="8">
        <v>199900</v>
      </c>
      <c r="N131" s="35">
        <v>0.9</v>
      </c>
      <c r="O131" s="34">
        <f t="shared" ref="O131:O194" si="6">M131-((90*M131)/100)</f>
        <v>19990</v>
      </c>
      <c r="P131" s="6" t="s">
        <v>16</v>
      </c>
    </row>
    <row r="132" spans="1:16" x14ac:dyDescent="0.35">
      <c r="A132" s="32" t="s">
        <v>6512</v>
      </c>
      <c r="B132" s="7">
        <f t="shared" ref="B132:B195" si="7">B131</f>
        <v>46121</v>
      </c>
      <c r="C132" s="7">
        <f t="shared" ref="C132:C195" si="8">C131</f>
        <v>46127</v>
      </c>
      <c r="D132" s="6">
        <v>3281</v>
      </c>
      <c r="E132" s="6">
        <v>337</v>
      </c>
      <c r="F132" s="6">
        <v>4</v>
      </c>
      <c r="G132" s="6">
        <v>3</v>
      </c>
      <c r="H132" s="6">
        <v>80920</v>
      </c>
      <c r="I132" s="6" t="s">
        <v>17</v>
      </c>
      <c r="J132" s="6">
        <v>33416401</v>
      </c>
      <c r="K132" s="6" t="s">
        <v>792</v>
      </c>
      <c r="L132" s="6" t="s">
        <v>794</v>
      </c>
      <c r="M132" s="8">
        <v>199900</v>
      </c>
      <c r="N132" s="35">
        <v>0.9</v>
      </c>
      <c r="O132" s="34">
        <f t="shared" si="6"/>
        <v>19990</v>
      </c>
      <c r="P132" s="6" t="s">
        <v>16</v>
      </c>
    </row>
    <row r="133" spans="1:16" x14ac:dyDescent="0.35">
      <c r="A133" s="32" t="s">
        <v>6512</v>
      </c>
      <c r="B133" s="7">
        <f t="shared" si="7"/>
        <v>46121</v>
      </c>
      <c r="C133" s="7">
        <f t="shared" si="8"/>
        <v>46127</v>
      </c>
      <c r="D133" s="6">
        <v>3281</v>
      </c>
      <c r="E133" s="6">
        <v>337</v>
      </c>
      <c r="F133" s="6">
        <v>4</v>
      </c>
      <c r="G133" s="6">
        <v>3</v>
      </c>
      <c r="H133" s="6">
        <v>80920</v>
      </c>
      <c r="I133" s="6" t="s">
        <v>17</v>
      </c>
      <c r="J133" s="6">
        <v>33416410</v>
      </c>
      <c r="K133" s="6" t="s">
        <v>792</v>
      </c>
      <c r="L133" s="6" t="s">
        <v>795</v>
      </c>
      <c r="M133" s="8">
        <v>199900</v>
      </c>
      <c r="N133" s="35">
        <v>0.9</v>
      </c>
      <c r="O133" s="34">
        <f t="shared" si="6"/>
        <v>19990</v>
      </c>
      <c r="P133" s="6" t="s">
        <v>16</v>
      </c>
    </row>
    <row r="134" spans="1:16" x14ac:dyDescent="0.35">
      <c r="A134" s="32" t="s">
        <v>6512</v>
      </c>
      <c r="B134" s="7">
        <f t="shared" si="7"/>
        <v>46121</v>
      </c>
      <c r="C134" s="7">
        <f t="shared" si="8"/>
        <v>46127</v>
      </c>
      <c r="D134" s="6">
        <v>3281</v>
      </c>
      <c r="E134" s="6">
        <v>337</v>
      </c>
      <c r="F134" s="6">
        <v>4</v>
      </c>
      <c r="G134" s="6">
        <v>3</v>
      </c>
      <c r="H134" s="6">
        <v>80920</v>
      </c>
      <c r="I134" s="6" t="s">
        <v>17</v>
      </c>
      <c r="J134" s="6">
        <v>33416429</v>
      </c>
      <c r="K134" s="6" t="s">
        <v>792</v>
      </c>
      <c r="L134" s="6" t="s">
        <v>796</v>
      </c>
      <c r="M134" s="8">
        <v>199900</v>
      </c>
      <c r="N134" s="35">
        <v>0.9</v>
      </c>
      <c r="O134" s="34">
        <f t="shared" si="6"/>
        <v>19990</v>
      </c>
      <c r="P134" s="6" t="s">
        <v>16</v>
      </c>
    </row>
    <row r="135" spans="1:16" x14ac:dyDescent="0.35">
      <c r="A135" s="32" t="s">
        <v>6512</v>
      </c>
      <c r="B135" s="7">
        <f t="shared" si="7"/>
        <v>46121</v>
      </c>
      <c r="C135" s="7">
        <f t="shared" si="8"/>
        <v>46127</v>
      </c>
      <c r="D135" s="6">
        <v>3281</v>
      </c>
      <c r="E135" s="6">
        <v>337</v>
      </c>
      <c r="F135" s="6">
        <v>4</v>
      </c>
      <c r="G135" s="6">
        <v>3</v>
      </c>
      <c r="H135" s="6">
        <v>80920</v>
      </c>
      <c r="I135" s="6" t="s">
        <v>17</v>
      </c>
      <c r="J135" s="6">
        <v>33416438</v>
      </c>
      <c r="K135" s="6" t="s">
        <v>797</v>
      </c>
      <c r="L135" s="6" t="s">
        <v>798</v>
      </c>
      <c r="M135" s="8">
        <v>189900</v>
      </c>
      <c r="N135" s="35">
        <v>0.9</v>
      </c>
      <c r="O135" s="34">
        <f t="shared" si="6"/>
        <v>18990</v>
      </c>
      <c r="P135" s="6" t="s">
        <v>16</v>
      </c>
    </row>
    <row r="136" spans="1:16" x14ac:dyDescent="0.35">
      <c r="A136" s="32" t="s">
        <v>6512</v>
      </c>
      <c r="B136" s="7">
        <f t="shared" si="7"/>
        <v>46121</v>
      </c>
      <c r="C136" s="7">
        <f t="shared" si="8"/>
        <v>46127</v>
      </c>
      <c r="D136" s="6">
        <v>3281</v>
      </c>
      <c r="E136" s="6">
        <v>337</v>
      </c>
      <c r="F136" s="6">
        <v>4</v>
      </c>
      <c r="G136" s="6">
        <v>3</v>
      </c>
      <c r="H136" s="6">
        <v>80920</v>
      </c>
      <c r="I136" s="6" t="s">
        <v>17</v>
      </c>
      <c r="J136" s="6">
        <v>33416447</v>
      </c>
      <c r="K136" s="6" t="s">
        <v>797</v>
      </c>
      <c r="L136" s="6" t="s">
        <v>799</v>
      </c>
      <c r="M136" s="8">
        <v>189900</v>
      </c>
      <c r="N136" s="35">
        <v>0.9</v>
      </c>
      <c r="O136" s="34">
        <f t="shared" si="6"/>
        <v>18990</v>
      </c>
      <c r="P136" s="6" t="s">
        <v>16</v>
      </c>
    </row>
    <row r="137" spans="1:16" x14ac:dyDescent="0.35">
      <c r="A137" s="32" t="s">
        <v>6512</v>
      </c>
      <c r="B137" s="7">
        <f t="shared" si="7"/>
        <v>46121</v>
      </c>
      <c r="C137" s="7">
        <f t="shared" si="8"/>
        <v>46127</v>
      </c>
      <c r="D137" s="6">
        <v>3281</v>
      </c>
      <c r="E137" s="6">
        <v>337</v>
      </c>
      <c r="F137" s="6">
        <v>4</v>
      </c>
      <c r="G137" s="6">
        <v>3</v>
      </c>
      <c r="H137" s="6">
        <v>80920</v>
      </c>
      <c r="I137" s="6" t="s">
        <v>17</v>
      </c>
      <c r="J137" s="6">
        <v>33416456</v>
      </c>
      <c r="K137" s="6" t="s">
        <v>797</v>
      </c>
      <c r="L137" s="6" t="s">
        <v>800</v>
      </c>
      <c r="M137" s="8">
        <v>189900</v>
      </c>
      <c r="N137" s="35">
        <v>0.9</v>
      </c>
      <c r="O137" s="34">
        <f t="shared" si="6"/>
        <v>18990</v>
      </c>
      <c r="P137" s="6" t="s">
        <v>16</v>
      </c>
    </row>
    <row r="138" spans="1:16" x14ac:dyDescent="0.35">
      <c r="A138" s="32" t="s">
        <v>6512</v>
      </c>
      <c r="B138" s="7">
        <f t="shared" si="7"/>
        <v>46121</v>
      </c>
      <c r="C138" s="7">
        <f t="shared" si="8"/>
        <v>46127</v>
      </c>
      <c r="D138" s="6">
        <v>3281</v>
      </c>
      <c r="E138" s="6">
        <v>337</v>
      </c>
      <c r="F138" s="6">
        <v>4</v>
      </c>
      <c r="G138" s="6">
        <v>3</v>
      </c>
      <c r="H138" s="6">
        <v>80920</v>
      </c>
      <c r="I138" s="6" t="s">
        <v>17</v>
      </c>
      <c r="J138" s="6">
        <v>26493823</v>
      </c>
      <c r="K138" s="6" t="s">
        <v>970</v>
      </c>
      <c r="L138" s="6" t="s">
        <v>4846</v>
      </c>
      <c r="M138" s="8">
        <v>199900</v>
      </c>
      <c r="N138" s="35">
        <v>0.9</v>
      </c>
      <c r="O138" s="34">
        <f t="shared" si="6"/>
        <v>19990</v>
      </c>
      <c r="P138" s="6" t="s">
        <v>16</v>
      </c>
    </row>
    <row r="139" spans="1:16" x14ac:dyDescent="0.35">
      <c r="A139" s="32" t="s">
        <v>6512</v>
      </c>
      <c r="B139" s="7">
        <f t="shared" si="7"/>
        <v>46121</v>
      </c>
      <c r="C139" s="7">
        <f t="shared" si="8"/>
        <v>46127</v>
      </c>
      <c r="D139" s="6">
        <v>3281</v>
      </c>
      <c r="E139" s="6">
        <v>337</v>
      </c>
      <c r="F139" s="6">
        <v>4</v>
      </c>
      <c r="G139" s="6">
        <v>3</v>
      </c>
      <c r="H139" s="6">
        <v>80920</v>
      </c>
      <c r="I139" s="6" t="s">
        <v>17</v>
      </c>
      <c r="J139" s="6">
        <v>26493832</v>
      </c>
      <c r="K139" s="6" t="s">
        <v>970</v>
      </c>
      <c r="L139" s="6" t="s">
        <v>971</v>
      </c>
      <c r="M139" s="8">
        <v>199900</v>
      </c>
      <c r="N139" s="35">
        <v>0.9</v>
      </c>
      <c r="O139" s="34">
        <f t="shared" si="6"/>
        <v>19990</v>
      </c>
      <c r="P139" s="6" t="s">
        <v>16</v>
      </c>
    </row>
    <row r="140" spans="1:16" x14ac:dyDescent="0.35">
      <c r="A140" s="32" t="s">
        <v>6512</v>
      </c>
      <c r="B140" s="7">
        <f t="shared" si="7"/>
        <v>46121</v>
      </c>
      <c r="C140" s="7">
        <f t="shared" si="8"/>
        <v>46127</v>
      </c>
      <c r="D140" s="6">
        <v>3281</v>
      </c>
      <c r="E140" s="6">
        <v>337</v>
      </c>
      <c r="F140" s="6">
        <v>4</v>
      </c>
      <c r="G140" s="6">
        <v>3</v>
      </c>
      <c r="H140" s="6">
        <v>81736</v>
      </c>
      <c r="I140" s="6" t="s">
        <v>17</v>
      </c>
      <c r="J140" s="6">
        <v>28109342</v>
      </c>
      <c r="K140" s="6" t="s">
        <v>801</v>
      </c>
      <c r="L140" s="6" t="s">
        <v>802</v>
      </c>
      <c r="M140" s="8">
        <v>219900</v>
      </c>
      <c r="N140" s="35">
        <v>0.9</v>
      </c>
      <c r="O140" s="34">
        <f t="shared" si="6"/>
        <v>21990</v>
      </c>
      <c r="P140" s="6" t="s">
        <v>16</v>
      </c>
    </row>
    <row r="141" spans="1:16" x14ac:dyDescent="0.35">
      <c r="A141" s="32" t="s">
        <v>6512</v>
      </c>
      <c r="B141" s="7">
        <f t="shared" si="7"/>
        <v>46121</v>
      </c>
      <c r="C141" s="7">
        <f t="shared" si="8"/>
        <v>46127</v>
      </c>
      <c r="D141" s="6">
        <v>3281</v>
      </c>
      <c r="E141" s="6">
        <v>337</v>
      </c>
      <c r="F141" s="6">
        <v>4</v>
      </c>
      <c r="G141" s="6">
        <v>3</v>
      </c>
      <c r="H141" s="6">
        <v>81736</v>
      </c>
      <c r="I141" s="6" t="s">
        <v>17</v>
      </c>
      <c r="J141" s="6">
        <v>28484080</v>
      </c>
      <c r="K141" s="6" t="s">
        <v>803</v>
      </c>
      <c r="L141" s="6" t="s">
        <v>804</v>
      </c>
      <c r="M141" s="8">
        <v>189900</v>
      </c>
      <c r="N141" s="35">
        <v>0.9</v>
      </c>
      <c r="O141" s="34">
        <f t="shared" si="6"/>
        <v>18990</v>
      </c>
      <c r="P141" s="6" t="s">
        <v>16</v>
      </c>
    </row>
    <row r="142" spans="1:16" x14ac:dyDescent="0.35">
      <c r="A142" s="32" t="s">
        <v>6512</v>
      </c>
      <c r="B142" s="7">
        <f t="shared" si="7"/>
        <v>46121</v>
      </c>
      <c r="C142" s="7">
        <f t="shared" si="8"/>
        <v>46127</v>
      </c>
      <c r="D142" s="6">
        <v>3281</v>
      </c>
      <c r="E142" s="6">
        <v>337</v>
      </c>
      <c r="F142" s="6">
        <v>4</v>
      </c>
      <c r="G142" s="6">
        <v>3</v>
      </c>
      <c r="H142" s="6">
        <v>81736</v>
      </c>
      <c r="I142" s="6" t="s">
        <v>17</v>
      </c>
      <c r="J142" s="6">
        <v>28484151</v>
      </c>
      <c r="K142" s="6" t="s">
        <v>805</v>
      </c>
      <c r="L142" s="6" t="s">
        <v>806</v>
      </c>
      <c r="M142" s="8">
        <v>189900</v>
      </c>
      <c r="N142" s="35">
        <v>0.9</v>
      </c>
      <c r="O142" s="34">
        <f t="shared" si="6"/>
        <v>18990</v>
      </c>
      <c r="P142" s="6" t="s">
        <v>16</v>
      </c>
    </row>
    <row r="143" spans="1:16" x14ac:dyDescent="0.35">
      <c r="A143" s="32" t="s">
        <v>6512</v>
      </c>
      <c r="B143" s="7">
        <f t="shared" si="7"/>
        <v>46121</v>
      </c>
      <c r="C143" s="7">
        <f t="shared" si="8"/>
        <v>46127</v>
      </c>
      <c r="D143" s="6">
        <v>3281</v>
      </c>
      <c r="E143" s="6">
        <v>337</v>
      </c>
      <c r="F143" s="6">
        <v>4</v>
      </c>
      <c r="G143" s="6">
        <v>3</v>
      </c>
      <c r="H143" s="6">
        <v>81736</v>
      </c>
      <c r="I143" s="6" t="s">
        <v>17</v>
      </c>
      <c r="J143" s="6">
        <v>28499136</v>
      </c>
      <c r="K143" s="6" t="s">
        <v>807</v>
      </c>
      <c r="L143" s="6" t="s">
        <v>808</v>
      </c>
      <c r="M143" s="8">
        <v>199900</v>
      </c>
      <c r="N143" s="35">
        <v>0.9</v>
      </c>
      <c r="O143" s="34">
        <f t="shared" si="6"/>
        <v>19990</v>
      </c>
      <c r="P143" s="6" t="s">
        <v>16</v>
      </c>
    </row>
    <row r="144" spans="1:16" x14ac:dyDescent="0.35">
      <c r="A144" s="32" t="s">
        <v>6512</v>
      </c>
      <c r="B144" s="7">
        <f t="shared" si="7"/>
        <v>46121</v>
      </c>
      <c r="C144" s="7">
        <f t="shared" si="8"/>
        <v>46127</v>
      </c>
      <c r="D144" s="6">
        <v>3281</v>
      </c>
      <c r="E144" s="6">
        <v>337</v>
      </c>
      <c r="F144" s="6">
        <v>4</v>
      </c>
      <c r="G144" s="6">
        <v>3</v>
      </c>
      <c r="H144" s="6">
        <v>81505</v>
      </c>
      <c r="I144" s="6" t="s">
        <v>17</v>
      </c>
      <c r="J144" s="6">
        <v>26267694</v>
      </c>
      <c r="K144" s="6" t="s">
        <v>974</v>
      </c>
      <c r="L144" s="6" t="s">
        <v>975</v>
      </c>
      <c r="M144" s="8">
        <v>179900</v>
      </c>
      <c r="N144" s="35">
        <v>0.9</v>
      </c>
      <c r="O144" s="34">
        <f t="shared" si="6"/>
        <v>17990</v>
      </c>
      <c r="P144" s="6" t="s">
        <v>16</v>
      </c>
    </row>
    <row r="145" spans="1:16" x14ac:dyDescent="0.35">
      <c r="A145" s="32" t="s">
        <v>6512</v>
      </c>
      <c r="B145" s="7">
        <f t="shared" si="7"/>
        <v>46121</v>
      </c>
      <c r="C145" s="7">
        <f t="shared" si="8"/>
        <v>46127</v>
      </c>
      <c r="D145" s="6">
        <v>3281</v>
      </c>
      <c r="E145" s="6">
        <v>337</v>
      </c>
      <c r="F145" s="6">
        <v>4</v>
      </c>
      <c r="G145" s="6">
        <v>3</v>
      </c>
      <c r="H145" s="6">
        <v>81505</v>
      </c>
      <c r="I145" s="6" t="s">
        <v>17</v>
      </c>
      <c r="J145" s="6">
        <v>26267701</v>
      </c>
      <c r="K145" s="6" t="s">
        <v>974</v>
      </c>
      <c r="L145" s="6" t="s">
        <v>976</v>
      </c>
      <c r="M145" s="8">
        <v>179900</v>
      </c>
      <c r="N145" s="35">
        <v>0.9</v>
      </c>
      <c r="O145" s="34">
        <f t="shared" si="6"/>
        <v>17990</v>
      </c>
      <c r="P145" s="6" t="s">
        <v>16</v>
      </c>
    </row>
    <row r="146" spans="1:16" x14ac:dyDescent="0.35">
      <c r="A146" s="32" t="s">
        <v>6512</v>
      </c>
      <c r="B146" s="7">
        <f t="shared" si="7"/>
        <v>46121</v>
      </c>
      <c r="C146" s="7">
        <f t="shared" si="8"/>
        <v>46127</v>
      </c>
      <c r="D146" s="6">
        <v>3281</v>
      </c>
      <c r="E146" s="6">
        <v>337</v>
      </c>
      <c r="F146" s="6">
        <v>4</v>
      </c>
      <c r="G146" s="6">
        <v>3</v>
      </c>
      <c r="H146" s="6">
        <v>81505</v>
      </c>
      <c r="I146" s="6" t="s">
        <v>17</v>
      </c>
      <c r="J146" s="6">
        <v>26705282</v>
      </c>
      <c r="K146" s="6" t="s">
        <v>809</v>
      </c>
      <c r="L146" s="6" t="s">
        <v>810</v>
      </c>
      <c r="M146" s="8">
        <v>179900</v>
      </c>
      <c r="N146" s="35">
        <v>0.9</v>
      </c>
      <c r="O146" s="34">
        <f t="shared" si="6"/>
        <v>17990</v>
      </c>
      <c r="P146" s="6" t="s">
        <v>16</v>
      </c>
    </row>
    <row r="147" spans="1:16" x14ac:dyDescent="0.35">
      <c r="A147" s="32" t="s">
        <v>6512</v>
      </c>
      <c r="B147" s="7">
        <f t="shared" si="7"/>
        <v>46121</v>
      </c>
      <c r="C147" s="7">
        <f t="shared" si="8"/>
        <v>46127</v>
      </c>
      <c r="D147" s="6">
        <v>3281</v>
      </c>
      <c r="E147" s="6">
        <v>337</v>
      </c>
      <c r="F147" s="6">
        <v>4</v>
      </c>
      <c r="G147" s="6">
        <v>3</v>
      </c>
      <c r="H147" s="6">
        <v>81505</v>
      </c>
      <c r="I147" s="6" t="s">
        <v>17</v>
      </c>
      <c r="J147" s="6">
        <v>26705291</v>
      </c>
      <c r="K147" s="6" t="s">
        <v>809</v>
      </c>
      <c r="L147" s="6" t="s">
        <v>811</v>
      </c>
      <c r="M147" s="8">
        <v>179900</v>
      </c>
      <c r="N147" s="35">
        <v>0.9</v>
      </c>
      <c r="O147" s="34">
        <f t="shared" si="6"/>
        <v>17990</v>
      </c>
      <c r="P147" s="6" t="s">
        <v>16</v>
      </c>
    </row>
    <row r="148" spans="1:16" x14ac:dyDescent="0.35">
      <c r="A148" s="32" t="s">
        <v>6512</v>
      </c>
      <c r="B148" s="7">
        <f t="shared" si="7"/>
        <v>46121</v>
      </c>
      <c r="C148" s="7">
        <f t="shared" si="8"/>
        <v>46127</v>
      </c>
      <c r="D148" s="6">
        <v>3281</v>
      </c>
      <c r="E148" s="6">
        <v>337</v>
      </c>
      <c r="F148" s="6">
        <v>4</v>
      </c>
      <c r="G148" s="6">
        <v>3</v>
      </c>
      <c r="H148" s="6">
        <v>81505</v>
      </c>
      <c r="I148" s="6" t="s">
        <v>17</v>
      </c>
      <c r="J148" s="6">
        <v>26705308</v>
      </c>
      <c r="K148" s="6" t="s">
        <v>809</v>
      </c>
      <c r="L148" s="6" t="s">
        <v>812</v>
      </c>
      <c r="M148" s="8">
        <v>179900</v>
      </c>
      <c r="N148" s="35">
        <v>0.9</v>
      </c>
      <c r="O148" s="34">
        <f t="shared" si="6"/>
        <v>17990</v>
      </c>
      <c r="P148" s="6" t="s">
        <v>16</v>
      </c>
    </row>
    <row r="149" spans="1:16" x14ac:dyDescent="0.35">
      <c r="A149" s="32" t="s">
        <v>6512</v>
      </c>
      <c r="B149" s="7">
        <f t="shared" si="7"/>
        <v>46121</v>
      </c>
      <c r="C149" s="7">
        <f t="shared" si="8"/>
        <v>46127</v>
      </c>
      <c r="D149" s="6">
        <v>3281</v>
      </c>
      <c r="E149" s="6">
        <v>337</v>
      </c>
      <c r="F149" s="6">
        <v>4</v>
      </c>
      <c r="G149" s="6">
        <v>3</v>
      </c>
      <c r="H149" s="6">
        <v>81505</v>
      </c>
      <c r="I149" s="6" t="s">
        <v>17</v>
      </c>
      <c r="J149" s="6">
        <v>26705317</v>
      </c>
      <c r="K149" s="6" t="s">
        <v>809</v>
      </c>
      <c r="L149" s="6" t="s">
        <v>813</v>
      </c>
      <c r="M149" s="8">
        <v>179900</v>
      </c>
      <c r="N149" s="35">
        <v>0.9</v>
      </c>
      <c r="O149" s="34">
        <f t="shared" si="6"/>
        <v>17990</v>
      </c>
      <c r="P149" s="6" t="s">
        <v>16</v>
      </c>
    </row>
    <row r="150" spans="1:16" x14ac:dyDescent="0.35">
      <c r="A150" s="32" t="s">
        <v>6512</v>
      </c>
      <c r="B150" s="7">
        <f t="shared" si="7"/>
        <v>46121</v>
      </c>
      <c r="C150" s="7">
        <f t="shared" si="8"/>
        <v>46127</v>
      </c>
      <c r="D150" s="6">
        <v>3281</v>
      </c>
      <c r="E150" s="6">
        <v>337</v>
      </c>
      <c r="F150" s="6">
        <v>4</v>
      </c>
      <c r="G150" s="6">
        <v>3</v>
      </c>
      <c r="H150" s="6">
        <v>81505</v>
      </c>
      <c r="I150" s="6" t="s">
        <v>17</v>
      </c>
      <c r="J150" s="6">
        <v>26705335</v>
      </c>
      <c r="K150" s="6" t="s">
        <v>809</v>
      </c>
      <c r="L150" s="6" t="s">
        <v>814</v>
      </c>
      <c r="M150" s="8">
        <v>179900</v>
      </c>
      <c r="N150" s="35">
        <v>0.9</v>
      </c>
      <c r="O150" s="34">
        <f t="shared" si="6"/>
        <v>17990</v>
      </c>
      <c r="P150" s="6" t="s">
        <v>16</v>
      </c>
    </row>
    <row r="151" spans="1:16" x14ac:dyDescent="0.35">
      <c r="A151" s="32" t="s">
        <v>6512</v>
      </c>
      <c r="B151" s="7">
        <f t="shared" si="7"/>
        <v>46121</v>
      </c>
      <c r="C151" s="7">
        <f t="shared" si="8"/>
        <v>46127</v>
      </c>
      <c r="D151" s="6">
        <v>3281</v>
      </c>
      <c r="E151" s="6">
        <v>337</v>
      </c>
      <c r="F151" s="6">
        <v>4</v>
      </c>
      <c r="G151" s="6">
        <v>3</v>
      </c>
      <c r="H151" s="6">
        <v>81505</v>
      </c>
      <c r="I151" s="6" t="s">
        <v>17</v>
      </c>
      <c r="J151" s="6">
        <v>26714558</v>
      </c>
      <c r="K151" s="6" t="s">
        <v>977</v>
      </c>
      <c r="L151" s="6" t="s">
        <v>978</v>
      </c>
      <c r="M151" s="8">
        <v>159900</v>
      </c>
      <c r="N151" s="35">
        <v>0.9</v>
      </c>
      <c r="O151" s="34">
        <f t="shared" si="6"/>
        <v>15990</v>
      </c>
      <c r="P151" s="6" t="s">
        <v>16</v>
      </c>
    </row>
    <row r="152" spans="1:16" x14ac:dyDescent="0.35">
      <c r="A152" s="32" t="s">
        <v>6512</v>
      </c>
      <c r="B152" s="7">
        <f t="shared" si="7"/>
        <v>46121</v>
      </c>
      <c r="C152" s="7">
        <f t="shared" si="8"/>
        <v>46127</v>
      </c>
      <c r="D152" s="6">
        <v>3281</v>
      </c>
      <c r="E152" s="6">
        <v>337</v>
      </c>
      <c r="F152" s="6">
        <v>4</v>
      </c>
      <c r="G152" s="6">
        <v>3</v>
      </c>
      <c r="H152" s="6">
        <v>81505</v>
      </c>
      <c r="I152" s="6" t="s">
        <v>17</v>
      </c>
      <c r="J152" s="6">
        <v>26714585</v>
      </c>
      <c r="K152" s="6" t="s">
        <v>977</v>
      </c>
      <c r="L152" s="6" t="s">
        <v>979</v>
      </c>
      <c r="M152" s="8">
        <v>159900</v>
      </c>
      <c r="N152" s="35">
        <v>0.9</v>
      </c>
      <c r="O152" s="34">
        <f t="shared" si="6"/>
        <v>15990</v>
      </c>
      <c r="P152" s="6" t="s">
        <v>16</v>
      </c>
    </row>
    <row r="153" spans="1:16" x14ac:dyDescent="0.35">
      <c r="A153" s="32" t="s">
        <v>6512</v>
      </c>
      <c r="B153" s="7">
        <f t="shared" si="7"/>
        <v>46121</v>
      </c>
      <c r="C153" s="7">
        <f t="shared" si="8"/>
        <v>46127</v>
      </c>
      <c r="D153" s="6">
        <v>3281</v>
      </c>
      <c r="E153" s="6">
        <v>337</v>
      </c>
      <c r="F153" s="6">
        <v>4</v>
      </c>
      <c r="G153" s="6">
        <v>4</v>
      </c>
      <c r="H153" s="6">
        <v>81419</v>
      </c>
      <c r="I153" s="6" t="s">
        <v>17</v>
      </c>
      <c r="J153" s="6">
        <v>33260552</v>
      </c>
      <c r="K153" s="6" t="s">
        <v>817</v>
      </c>
      <c r="L153" s="6" t="s">
        <v>818</v>
      </c>
      <c r="M153" s="8">
        <v>199900</v>
      </c>
      <c r="N153" s="35">
        <v>0.9</v>
      </c>
      <c r="O153" s="34">
        <f t="shared" si="6"/>
        <v>19990</v>
      </c>
      <c r="P153" s="6" t="s">
        <v>16</v>
      </c>
    </row>
    <row r="154" spans="1:16" x14ac:dyDescent="0.35">
      <c r="A154" s="32" t="s">
        <v>6512</v>
      </c>
      <c r="B154" s="7">
        <f t="shared" si="7"/>
        <v>46121</v>
      </c>
      <c r="C154" s="7">
        <f t="shared" si="8"/>
        <v>46127</v>
      </c>
      <c r="D154" s="6">
        <v>3281</v>
      </c>
      <c r="E154" s="6">
        <v>337</v>
      </c>
      <c r="F154" s="6">
        <v>4</v>
      </c>
      <c r="G154" s="6">
        <v>4</v>
      </c>
      <c r="H154" s="6">
        <v>81419</v>
      </c>
      <c r="I154" s="6" t="s">
        <v>17</v>
      </c>
      <c r="J154" s="6">
        <v>33260561</v>
      </c>
      <c r="K154" s="6" t="s">
        <v>817</v>
      </c>
      <c r="L154" s="6" t="s">
        <v>819</v>
      </c>
      <c r="M154" s="8">
        <v>199900</v>
      </c>
      <c r="N154" s="35">
        <v>0.9</v>
      </c>
      <c r="O154" s="34">
        <f t="shared" si="6"/>
        <v>19990</v>
      </c>
      <c r="P154" s="6" t="s">
        <v>16</v>
      </c>
    </row>
    <row r="155" spans="1:16" x14ac:dyDescent="0.35">
      <c r="A155" s="32" t="s">
        <v>6512</v>
      </c>
      <c r="B155" s="7">
        <f t="shared" si="7"/>
        <v>46121</v>
      </c>
      <c r="C155" s="7">
        <f t="shared" si="8"/>
        <v>46127</v>
      </c>
      <c r="D155" s="6">
        <v>3281</v>
      </c>
      <c r="E155" s="6">
        <v>337</v>
      </c>
      <c r="F155" s="6">
        <v>4</v>
      </c>
      <c r="G155" s="6">
        <v>4</v>
      </c>
      <c r="H155" s="6">
        <v>81419</v>
      </c>
      <c r="I155" s="6" t="s">
        <v>17</v>
      </c>
      <c r="J155" s="6">
        <v>33260589</v>
      </c>
      <c r="K155" s="6" t="s">
        <v>817</v>
      </c>
      <c r="L155" s="6" t="s">
        <v>820</v>
      </c>
      <c r="M155" s="8">
        <v>199900</v>
      </c>
      <c r="N155" s="35">
        <v>0.9</v>
      </c>
      <c r="O155" s="34">
        <f t="shared" si="6"/>
        <v>19990</v>
      </c>
      <c r="P155" s="6" t="s">
        <v>16</v>
      </c>
    </row>
    <row r="156" spans="1:16" x14ac:dyDescent="0.35">
      <c r="A156" s="32" t="s">
        <v>6512</v>
      </c>
      <c r="B156" s="7">
        <f t="shared" si="7"/>
        <v>46121</v>
      </c>
      <c r="C156" s="7">
        <f t="shared" si="8"/>
        <v>46127</v>
      </c>
      <c r="D156" s="6">
        <v>3281</v>
      </c>
      <c r="E156" s="6">
        <v>337</v>
      </c>
      <c r="F156" s="6">
        <v>4</v>
      </c>
      <c r="G156" s="6">
        <v>4</v>
      </c>
      <c r="H156" s="6">
        <v>81419</v>
      </c>
      <c r="I156" s="6" t="s">
        <v>17</v>
      </c>
      <c r="J156" s="6">
        <v>33416090</v>
      </c>
      <c r="K156" s="6" t="s">
        <v>821</v>
      </c>
      <c r="L156" s="6" t="s">
        <v>822</v>
      </c>
      <c r="M156" s="8">
        <v>189900</v>
      </c>
      <c r="N156" s="35">
        <v>0.9</v>
      </c>
      <c r="O156" s="34">
        <f t="shared" si="6"/>
        <v>18990</v>
      </c>
      <c r="P156" s="6" t="s">
        <v>16</v>
      </c>
    </row>
    <row r="157" spans="1:16" x14ac:dyDescent="0.35">
      <c r="A157" s="32" t="s">
        <v>6512</v>
      </c>
      <c r="B157" s="7">
        <f t="shared" si="7"/>
        <v>46121</v>
      </c>
      <c r="C157" s="7">
        <f t="shared" si="8"/>
        <v>46127</v>
      </c>
      <c r="D157" s="6">
        <v>3281</v>
      </c>
      <c r="E157" s="6">
        <v>337</v>
      </c>
      <c r="F157" s="6">
        <v>4</v>
      </c>
      <c r="G157" s="6">
        <v>4</v>
      </c>
      <c r="H157" s="6">
        <v>81419</v>
      </c>
      <c r="I157" s="6" t="s">
        <v>17</v>
      </c>
      <c r="J157" s="6">
        <v>33416107</v>
      </c>
      <c r="K157" s="6" t="s">
        <v>821</v>
      </c>
      <c r="L157" s="6" t="s">
        <v>823</v>
      </c>
      <c r="M157" s="8">
        <v>189900</v>
      </c>
      <c r="N157" s="35">
        <v>0.9</v>
      </c>
      <c r="O157" s="34">
        <f t="shared" si="6"/>
        <v>18990</v>
      </c>
      <c r="P157" s="6" t="s">
        <v>16</v>
      </c>
    </row>
    <row r="158" spans="1:16" x14ac:dyDescent="0.35">
      <c r="A158" s="32" t="s">
        <v>6512</v>
      </c>
      <c r="B158" s="7">
        <f t="shared" si="7"/>
        <v>46121</v>
      </c>
      <c r="C158" s="7">
        <f t="shared" si="8"/>
        <v>46127</v>
      </c>
      <c r="D158" s="6">
        <v>3281</v>
      </c>
      <c r="E158" s="6">
        <v>337</v>
      </c>
      <c r="F158" s="6">
        <v>4</v>
      </c>
      <c r="G158" s="6">
        <v>4</v>
      </c>
      <c r="H158" s="6">
        <v>81419</v>
      </c>
      <c r="I158" s="6" t="s">
        <v>17</v>
      </c>
      <c r="J158" s="6">
        <v>33416116</v>
      </c>
      <c r="K158" s="6" t="s">
        <v>821</v>
      </c>
      <c r="L158" s="6" t="s">
        <v>824</v>
      </c>
      <c r="M158" s="8">
        <v>189900</v>
      </c>
      <c r="N158" s="35">
        <v>0.9</v>
      </c>
      <c r="O158" s="34">
        <f t="shared" si="6"/>
        <v>18990</v>
      </c>
      <c r="P158" s="6" t="s">
        <v>16</v>
      </c>
    </row>
    <row r="159" spans="1:16" x14ac:dyDescent="0.35">
      <c r="A159" s="32" t="s">
        <v>6512</v>
      </c>
      <c r="B159" s="7">
        <f t="shared" si="7"/>
        <v>46121</v>
      </c>
      <c r="C159" s="7">
        <f t="shared" si="8"/>
        <v>46127</v>
      </c>
      <c r="D159" s="6">
        <v>3281</v>
      </c>
      <c r="E159" s="6">
        <v>337</v>
      </c>
      <c r="F159" s="6">
        <v>4</v>
      </c>
      <c r="G159" s="6">
        <v>4</v>
      </c>
      <c r="H159" s="6">
        <v>81419</v>
      </c>
      <c r="I159" s="6" t="s">
        <v>17</v>
      </c>
      <c r="J159" s="6">
        <v>33416125</v>
      </c>
      <c r="K159" s="6" t="s">
        <v>821</v>
      </c>
      <c r="L159" s="6" t="s">
        <v>825</v>
      </c>
      <c r="M159" s="8">
        <v>189900</v>
      </c>
      <c r="N159" s="35">
        <v>0.9</v>
      </c>
      <c r="O159" s="34">
        <f t="shared" si="6"/>
        <v>18990</v>
      </c>
      <c r="P159" s="6" t="s">
        <v>16</v>
      </c>
    </row>
    <row r="160" spans="1:16" x14ac:dyDescent="0.35">
      <c r="A160" s="32" t="s">
        <v>6512</v>
      </c>
      <c r="B160" s="7">
        <f t="shared" si="7"/>
        <v>46121</v>
      </c>
      <c r="C160" s="7">
        <f t="shared" si="8"/>
        <v>46127</v>
      </c>
      <c r="D160" s="6">
        <v>3281</v>
      </c>
      <c r="E160" s="6">
        <v>337</v>
      </c>
      <c r="F160" s="6">
        <v>4</v>
      </c>
      <c r="G160" s="6">
        <v>4</v>
      </c>
      <c r="H160" s="6">
        <v>81419</v>
      </c>
      <c r="I160" s="6" t="s">
        <v>17</v>
      </c>
      <c r="J160" s="6">
        <v>32755396</v>
      </c>
      <c r="K160" s="6" t="s">
        <v>815</v>
      </c>
      <c r="L160" s="6" t="s">
        <v>816</v>
      </c>
      <c r="M160" s="8">
        <v>189900</v>
      </c>
      <c r="N160" s="35">
        <v>0.9</v>
      </c>
      <c r="O160" s="34">
        <f t="shared" si="6"/>
        <v>18990</v>
      </c>
      <c r="P160" s="6" t="s">
        <v>16</v>
      </c>
    </row>
    <row r="161" spans="1:16" x14ac:dyDescent="0.35">
      <c r="A161" s="32" t="s">
        <v>6512</v>
      </c>
      <c r="B161" s="7">
        <f t="shared" si="7"/>
        <v>46121</v>
      </c>
      <c r="C161" s="7">
        <f t="shared" si="8"/>
        <v>46127</v>
      </c>
      <c r="D161" s="6">
        <v>3281</v>
      </c>
      <c r="E161" s="6">
        <v>337</v>
      </c>
      <c r="F161" s="6">
        <v>4</v>
      </c>
      <c r="G161" s="6">
        <v>4</v>
      </c>
      <c r="H161" s="6">
        <v>81146</v>
      </c>
      <c r="I161" s="6" t="s">
        <v>17</v>
      </c>
      <c r="J161" s="6">
        <v>33416134</v>
      </c>
      <c r="K161" s="6" t="s">
        <v>826</v>
      </c>
      <c r="L161" s="6" t="s">
        <v>827</v>
      </c>
      <c r="M161" s="8">
        <v>199900</v>
      </c>
      <c r="N161" s="35">
        <v>0.9</v>
      </c>
      <c r="O161" s="34">
        <f t="shared" si="6"/>
        <v>19990</v>
      </c>
      <c r="P161" s="6" t="s">
        <v>16</v>
      </c>
    </row>
    <row r="162" spans="1:16" x14ac:dyDescent="0.35">
      <c r="A162" s="32" t="s">
        <v>6512</v>
      </c>
      <c r="B162" s="7">
        <f t="shared" si="7"/>
        <v>46121</v>
      </c>
      <c r="C162" s="7">
        <f t="shared" si="8"/>
        <v>46127</v>
      </c>
      <c r="D162" s="6">
        <v>3281</v>
      </c>
      <c r="E162" s="6">
        <v>337</v>
      </c>
      <c r="F162" s="6">
        <v>4</v>
      </c>
      <c r="G162" s="6">
        <v>4</v>
      </c>
      <c r="H162" s="6">
        <v>81146</v>
      </c>
      <c r="I162" s="6" t="s">
        <v>17</v>
      </c>
      <c r="J162" s="6">
        <v>33416161</v>
      </c>
      <c r="K162" s="6" t="s">
        <v>826</v>
      </c>
      <c r="L162" s="6" t="s">
        <v>828</v>
      </c>
      <c r="M162" s="8">
        <v>199900</v>
      </c>
      <c r="N162" s="35">
        <v>0.9</v>
      </c>
      <c r="O162" s="34">
        <f t="shared" si="6"/>
        <v>19990</v>
      </c>
      <c r="P162" s="6" t="s">
        <v>16</v>
      </c>
    </row>
    <row r="163" spans="1:16" x14ac:dyDescent="0.35">
      <c r="A163" s="32" t="s">
        <v>6512</v>
      </c>
      <c r="B163" s="7">
        <f t="shared" si="7"/>
        <v>46121</v>
      </c>
      <c r="C163" s="7">
        <f t="shared" si="8"/>
        <v>46127</v>
      </c>
      <c r="D163" s="6">
        <v>3281</v>
      </c>
      <c r="E163" s="6">
        <v>337</v>
      </c>
      <c r="F163" s="6">
        <v>4</v>
      </c>
      <c r="G163" s="6">
        <v>4</v>
      </c>
      <c r="H163" s="6">
        <v>81421</v>
      </c>
      <c r="I163" s="6" t="s">
        <v>17</v>
      </c>
      <c r="J163" s="6">
        <v>24378961</v>
      </c>
      <c r="K163" s="6" t="s">
        <v>980</v>
      </c>
      <c r="L163" s="6" t="s">
        <v>981</v>
      </c>
      <c r="M163" s="8">
        <v>129900</v>
      </c>
      <c r="N163" s="35">
        <v>0.9</v>
      </c>
      <c r="O163" s="34">
        <f t="shared" si="6"/>
        <v>12990</v>
      </c>
      <c r="P163" s="6" t="s">
        <v>16</v>
      </c>
    </row>
    <row r="164" spans="1:16" x14ac:dyDescent="0.35">
      <c r="A164" s="32" t="s">
        <v>6512</v>
      </c>
      <c r="B164" s="7">
        <f t="shared" si="7"/>
        <v>46121</v>
      </c>
      <c r="C164" s="7">
        <f t="shared" si="8"/>
        <v>46127</v>
      </c>
      <c r="D164" s="6">
        <v>3281</v>
      </c>
      <c r="E164" s="6">
        <v>337</v>
      </c>
      <c r="F164" s="6">
        <v>4</v>
      </c>
      <c r="G164" s="6">
        <v>4</v>
      </c>
      <c r="H164" s="6">
        <v>81421</v>
      </c>
      <c r="I164" s="6" t="s">
        <v>17</v>
      </c>
      <c r="J164" s="6">
        <v>24378970</v>
      </c>
      <c r="K164" s="6" t="s">
        <v>980</v>
      </c>
      <c r="L164" s="6" t="s">
        <v>982</v>
      </c>
      <c r="M164" s="8">
        <v>129900</v>
      </c>
      <c r="N164" s="35">
        <v>0.9</v>
      </c>
      <c r="O164" s="34">
        <f t="shared" si="6"/>
        <v>12990</v>
      </c>
      <c r="P164" s="6" t="s">
        <v>16</v>
      </c>
    </row>
    <row r="165" spans="1:16" x14ac:dyDescent="0.35">
      <c r="A165" s="32" t="s">
        <v>6512</v>
      </c>
      <c r="B165" s="7">
        <f t="shared" si="7"/>
        <v>46121</v>
      </c>
      <c r="C165" s="7">
        <f t="shared" si="8"/>
        <v>46127</v>
      </c>
      <c r="D165" s="6">
        <v>3281</v>
      </c>
      <c r="E165" s="6">
        <v>337</v>
      </c>
      <c r="F165" s="6">
        <v>4</v>
      </c>
      <c r="G165" s="6">
        <v>4</v>
      </c>
      <c r="H165" s="6">
        <v>81421</v>
      </c>
      <c r="I165" s="6" t="s">
        <v>17</v>
      </c>
      <c r="J165" s="6">
        <v>24378998</v>
      </c>
      <c r="K165" s="6" t="s">
        <v>980</v>
      </c>
      <c r="L165" s="6" t="s">
        <v>983</v>
      </c>
      <c r="M165" s="8">
        <v>129900</v>
      </c>
      <c r="N165" s="35">
        <v>0.9</v>
      </c>
      <c r="O165" s="34">
        <f t="shared" si="6"/>
        <v>12990</v>
      </c>
      <c r="P165" s="6" t="s">
        <v>16</v>
      </c>
    </row>
    <row r="166" spans="1:16" x14ac:dyDescent="0.35">
      <c r="A166" s="32" t="s">
        <v>6512</v>
      </c>
      <c r="B166" s="7">
        <f t="shared" si="7"/>
        <v>46121</v>
      </c>
      <c r="C166" s="7">
        <f t="shared" si="8"/>
        <v>46127</v>
      </c>
      <c r="D166" s="6">
        <v>3281</v>
      </c>
      <c r="E166" s="6">
        <v>337</v>
      </c>
      <c r="F166" s="6">
        <v>4</v>
      </c>
      <c r="G166" s="6">
        <v>4</v>
      </c>
      <c r="H166" s="6">
        <v>81421</v>
      </c>
      <c r="I166" s="6" t="s">
        <v>17</v>
      </c>
      <c r="J166" s="6">
        <v>33471440</v>
      </c>
      <c r="K166" s="6" t="s">
        <v>833</v>
      </c>
      <c r="L166" s="6" t="s">
        <v>834</v>
      </c>
      <c r="M166" s="8">
        <v>199900</v>
      </c>
      <c r="N166" s="35">
        <v>0.9</v>
      </c>
      <c r="O166" s="34">
        <f t="shared" si="6"/>
        <v>19990</v>
      </c>
      <c r="P166" s="6" t="s">
        <v>16</v>
      </c>
    </row>
    <row r="167" spans="1:16" x14ac:dyDescent="0.35">
      <c r="A167" s="32" t="s">
        <v>6512</v>
      </c>
      <c r="B167" s="7">
        <f t="shared" si="7"/>
        <v>46121</v>
      </c>
      <c r="C167" s="7">
        <f t="shared" si="8"/>
        <v>46127</v>
      </c>
      <c r="D167" s="6">
        <v>3281</v>
      </c>
      <c r="E167" s="6">
        <v>337</v>
      </c>
      <c r="F167" s="6">
        <v>4</v>
      </c>
      <c r="G167" s="6">
        <v>4</v>
      </c>
      <c r="H167" s="6">
        <v>81421</v>
      </c>
      <c r="I167" s="6" t="s">
        <v>17</v>
      </c>
      <c r="J167" s="6">
        <v>33471459</v>
      </c>
      <c r="K167" s="6" t="s">
        <v>833</v>
      </c>
      <c r="L167" s="6" t="s">
        <v>835</v>
      </c>
      <c r="M167" s="8">
        <v>199900</v>
      </c>
      <c r="N167" s="35">
        <v>0.9</v>
      </c>
      <c r="O167" s="34">
        <f t="shared" si="6"/>
        <v>19990</v>
      </c>
      <c r="P167" s="6" t="s">
        <v>16</v>
      </c>
    </row>
    <row r="168" spans="1:16" x14ac:dyDescent="0.35">
      <c r="A168" s="32" t="s">
        <v>6512</v>
      </c>
      <c r="B168" s="7">
        <f t="shared" si="7"/>
        <v>46121</v>
      </c>
      <c r="C168" s="7">
        <f t="shared" si="8"/>
        <v>46127</v>
      </c>
      <c r="D168" s="6">
        <v>3281</v>
      </c>
      <c r="E168" s="6">
        <v>337</v>
      </c>
      <c r="F168" s="6">
        <v>4</v>
      </c>
      <c r="G168" s="6">
        <v>4</v>
      </c>
      <c r="H168" s="6">
        <v>81421</v>
      </c>
      <c r="I168" s="6" t="s">
        <v>17</v>
      </c>
      <c r="J168" s="6">
        <v>33471468</v>
      </c>
      <c r="K168" s="6" t="s">
        <v>833</v>
      </c>
      <c r="L168" s="6" t="s">
        <v>836</v>
      </c>
      <c r="M168" s="8">
        <v>199900</v>
      </c>
      <c r="N168" s="35">
        <v>0.9</v>
      </c>
      <c r="O168" s="34">
        <f t="shared" si="6"/>
        <v>19990</v>
      </c>
      <c r="P168" s="6" t="s">
        <v>16</v>
      </c>
    </row>
    <row r="169" spans="1:16" x14ac:dyDescent="0.35">
      <c r="A169" s="32" t="s">
        <v>6512</v>
      </c>
      <c r="B169" s="7">
        <f t="shared" si="7"/>
        <v>46121</v>
      </c>
      <c r="C169" s="7">
        <f t="shared" si="8"/>
        <v>46127</v>
      </c>
      <c r="D169" s="6">
        <v>3281</v>
      </c>
      <c r="E169" s="6">
        <v>337</v>
      </c>
      <c r="F169" s="6">
        <v>4</v>
      </c>
      <c r="G169" s="6">
        <v>4</v>
      </c>
      <c r="H169" s="6">
        <v>81421</v>
      </c>
      <c r="I169" s="6" t="s">
        <v>17</v>
      </c>
      <c r="J169" s="6">
        <v>33557223</v>
      </c>
      <c r="K169" s="6" t="s">
        <v>837</v>
      </c>
      <c r="L169" s="6" t="s">
        <v>838</v>
      </c>
      <c r="M169" s="8">
        <v>169900</v>
      </c>
      <c r="N169" s="35">
        <v>0.9</v>
      </c>
      <c r="O169" s="34">
        <f t="shared" si="6"/>
        <v>16990</v>
      </c>
      <c r="P169" s="6" t="s">
        <v>16</v>
      </c>
    </row>
    <row r="170" spans="1:16" x14ac:dyDescent="0.35">
      <c r="A170" s="32" t="s">
        <v>6512</v>
      </c>
      <c r="B170" s="7">
        <f t="shared" si="7"/>
        <v>46121</v>
      </c>
      <c r="C170" s="7">
        <f t="shared" si="8"/>
        <v>46127</v>
      </c>
      <c r="D170" s="6">
        <v>3281</v>
      </c>
      <c r="E170" s="6">
        <v>337</v>
      </c>
      <c r="F170" s="6">
        <v>4</v>
      </c>
      <c r="G170" s="6">
        <v>4</v>
      </c>
      <c r="H170" s="6">
        <v>81421</v>
      </c>
      <c r="I170" s="6" t="s">
        <v>17</v>
      </c>
      <c r="J170" s="6">
        <v>33557232</v>
      </c>
      <c r="K170" s="6" t="s">
        <v>837</v>
      </c>
      <c r="L170" s="6" t="s">
        <v>839</v>
      </c>
      <c r="M170" s="8">
        <v>169900</v>
      </c>
      <c r="N170" s="35">
        <v>0.9</v>
      </c>
      <c r="O170" s="34">
        <f t="shared" si="6"/>
        <v>16990</v>
      </c>
      <c r="P170" s="6" t="s">
        <v>16</v>
      </c>
    </row>
    <row r="171" spans="1:16" x14ac:dyDescent="0.35">
      <c r="A171" s="32" t="s">
        <v>6512</v>
      </c>
      <c r="B171" s="7">
        <f t="shared" si="7"/>
        <v>46121</v>
      </c>
      <c r="C171" s="7">
        <f t="shared" si="8"/>
        <v>46127</v>
      </c>
      <c r="D171" s="6">
        <v>3281</v>
      </c>
      <c r="E171" s="6">
        <v>337</v>
      </c>
      <c r="F171" s="6">
        <v>4</v>
      </c>
      <c r="G171" s="6">
        <v>4</v>
      </c>
      <c r="H171" s="6">
        <v>81421</v>
      </c>
      <c r="I171" s="6" t="s">
        <v>17</v>
      </c>
      <c r="J171" s="6">
        <v>33557250</v>
      </c>
      <c r="K171" s="6" t="s">
        <v>837</v>
      </c>
      <c r="L171" s="6" t="s">
        <v>840</v>
      </c>
      <c r="M171" s="8">
        <v>169900</v>
      </c>
      <c r="N171" s="35">
        <v>0.9</v>
      </c>
      <c r="O171" s="34">
        <f t="shared" si="6"/>
        <v>16990</v>
      </c>
      <c r="P171" s="6" t="s">
        <v>16</v>
      </c>
    </row>
    <row r="172" spans="1:16" x14ac:dyDescent="0.35">
      <c r="A172" s="32" t="s">
        <v>6512</v>
      </c>
      <c r="B172" s="7">
        <f t="shared" si="7"/>
        <v>46121</v>
      </c>
      <c r="C172" s="7">
        <f t="shared" si="8"/>
        <v>46127</v>
      </c>
      <c r="D172" s="6">
        <v>3281</v>
      </c>
      <c r="E172" s="6">
        <v>337</v>
      </c>
      <c r="F172" s="6">
        <v>4</v>
      </c>
      <c r="G172" s="6">
        <v>4</v>
      </c>
      <c r="H172" s="6">
        <v>81421</v>
      </c>
      <c r="I172" s="6" t="s">
        <v>17</v>
      </c>
      <c r="J172" s="6">
        <v>31288009</v>
      </c>
      <c r="K172" s="6" t="s">
        <v>829</v>
      </c>
      <c r="L172" s="6" t="s">
        <v>830</v>
      </c>
      <c r="M172" s="8">
        <v>189900</v>
      </c>
      <c r="N172" s="35">
        <v>0.9</v>
      </c>
      <c r="O172" s="34">
        <f t="shared" si="6"/>
        <v>18990</v>
      </c>
      <c r="P172" s="6" t="s">
        <v>16</v>
      </c>
    </row>
    <row r="173" spans="1:16" x14ac:dyDescent="0.35">
      <c r="A173" s="32" t="s">
        <v>6512</v>
      </c>
      <c r="B173" s="7">
        <f t="shared" si="7"/>
        <v>46121</v>
      </c>
      <c r="C173" s="7">
        <f t="shared" si="8"/>
        <v>46127</v>
      </c>
      <c r="D173" s="6">
        <v>3281</v>
      </c>
      <c r="E173" s="6">
        <v>337</v>
      </c>
      <c r="F173" s="6">
        <v>4</v>
      </c>
      <c r="G173" s="6">
        <v>4</v>
      </c>
      <c r="H173" s="6">
        <v>81421</v>
      </c>
      <c r="I173" s="6" t="s">
        <v>17</v>
      </c>
      <c r="J173" s="6">
        <v>31288018</v>
      </c>
      <c r="K173" s="6" t="s">
        <v>829</v>
      </c>
      <c r="L173" s="6" t="s">
        <v>831</v>
      </c>
      <c r="M173" s="8">
        <v>189900</v>
      </c>
      <c r="N173" s="35">
        <v>0.9</v>
      </c>
      <c r="O173" s="34">
        <f t="shared" si="6"/>
        <v>18990</v>
      </c>
      <c r="P173" s="6" t="s">
        <v>16</v>
      </c>
    </row>
    <row r="174" spans="1:16" x14ac:dyDescent="0.35">
      <c r="A174" s="32" t="s">
        <v>6512</v>
      </c>
      <c r="B174" s="7">
        <f t="shared" si="7"/>
        <v>46121</v>
      </c>
      <c r="C174" s="7">
        <f t="shared" si="8"/>
        <v>46127</v>
      </c>
      <c r="D174" s="6">
        <v>3281</v>
      </c>
      <c r="E174" s="6">
        <v>337</v>
      </c>
      <c r="F174" s="6">
        <v>4</v>
      </c>
      <c r="G174" s="6">
        <v>4</v>
      </c>
      <c r="H174" s="6">
        <v>81421</v>
      </c>
      <c r="I174" s="6" t="s">
        <v>17</v>
      </c>
      <c r="J174" s="6">
        <v>31288027</v>
      </c>
      <c r="K174" s="6" t="s">
        <v>829</v>
      </c>
      <c r="L174" s="6" t="s">
        <v>832</v>
      </c>
      <c r="M174" s="8">
        <v>189900</v>
      </c>
      <c r="N174" s="35">
        <v>0.9</v>
      </c>
      <c r="O174" s="34">
        <f t="shared" si="6"/>
        <v>18990</v>
      </c>
      <c r="P174" s="6" t="s">
        <v>16</v>
      </c>
    </row>
    <row r="175" spans="1:16" x14ac:dyDescent="0.35">
      <c r="A175" s="32" t="s">
        <v>6512</v>
      </c>
      <c r="B175" s="7">
        <f t="shared" si="7"/>
        <v>46121</v>
      </c>
      <c r="C175" s="7">
        <f t="shared" si="8"/>
        <v>46127</v>
      </c>
      <c r="D175" s="6">
        <v>3281</v>
      </c>
      <c r="E175" s="6">
        <v>337</v>
      </c>
      <c r="F175" s="6">
        <v>4</v>
      </c>
      <c r="G175" s="6">
        <v>4</v>
      </c>
      <c r="H175" s="6">
        <v>190</v>
      </c>
      <c r="I175" s="6" t="s">
        <v>17</v>
      </c>
      <c r="J175" s="6">
        <v>33557385</v>
      </c>
      <c r="K175" s="6" t="s">
        <v>841</v>
      </c>
      <c r="L175" s="6" t="s">
        <v>842</v>
      </c>
      <c r="M175" s="8">
        <v>169900</v>
      </c>
      <c r="N175" s="35">
        <v>0.9</v>
      </c>
      <c r="O175" s="34">
        <f t="shared" si="6"/>
        <v>16990</v>
      </c>
      <c r="P175" s="6" t="s">
        <v>16</v>
      </c>
    </row>
    <row r="176" spans="1:16" x14ac:dyDescent="0.35">
      <c r="A176" s="32" t="s">
        <v>6512</v>
      </c>
      <c r="B176" s="7">
        <f t="shared" si="7"/>
        <v>46121</v>
      </c>
      <c r="C176" s="7">
        <f t="shared" si="8"/>
        <v>46127</v>
      </c>
      <c r="D176" s="6">
        <v>3281</v>
      </c>
      <c r="E176" s="6">
        <v>337</v>
      </c>
      <c r="F176" s="6">
        <v>4</v>
      </c>
      <c r="G176" s="6">
        <v>4</v>
      </c>
      <c r="H176" s="6">
        <v>190</v>
      </c>
      <c r="I176" s="6" t="s">
        <v>17</v>
      </c>
      <c r="J176" s="6">
        <v>33557394</v>
      </c>
      <c r="K176" s="6" t="s">
        <v>841</v>
      </c>
      <c r="L176" s="6" t="s">
        <v>843</v>
      </c>
      <c r="M176" s="8">
        <v>169900</v>
      </c>
      <c r="N176" s="35">
        <v>0.9</v>
      </c>
      <c r="O176" s="34">
        <f t="shared" si="6"/>
        <v>16990</v>
      </c>
      <c r="P176" s="6" t="s">
        <v>16</v>
      </c>
    </row>
    <row r="177" spans="1:16" x14ac:dyDescent="0.35">
      <c r="A177" s="32" t="s">
        <v>6512</v>
      </c>
      <c r="B177" s="7">
        <f t="shared" si="7"/>
        <v>46121</v>
      </c>
      <c r="C177" s="7">
        <f t="shared" si="8"/>
        <v>46127</v>
      </c>
      <c r="D177" s="6">
        <v>3281</v>
      </c>
      <c r="E177" s="6">
        <v>337</v>
      </c>
      <c r="F177" s="6">
        <v>4</v>
      </c>
      <c r="G177" s="6">
        <v>4</v>
      </c>
      <c r="H177" s="6">
        <v>80920</v>
      </c>
      <c r="I177" s="6" t="s">
        <v>17</v>
      </c>
      <c r="J177" s="6">
        <v>26499201</v>
      </c>
      <c r="K177" s="6" t="s">
        <v>984</v>
      </c>
      <c r="L177" s="6" t="s">
        <v>985</v>
      </c>
      <c r="M177" s="8">
        <v>219900</v>
      </c>
      <c r="N177" s="35">
        <v>0.9</v>
      </c>
      <c r="O177" s="34">
        <f t="shared" si="6"/>
        <v>21990</v>
      </c>
      <c r="P177" s="6" t="s">
        <v>16</v>
      </c>
    </row>
    <row r="178" spans="1:16" x14ac:dyDescent="0.35">
      <c r="A178" s="32" t="s">
        <v>6512</v>
      </c>
      <c r="B178" s="7">
        <f t="shared" si="7"/>
        <v>46121</v>
      </c>
      <c r="C178" s="7">
        <f t="shared" si="8"/>
        <v>46127</v>
      </c>
      <c r="D178" s="6">
        <v>3281</v>
      </c>
      <c r="E178" s="6">
        <v>337</v>
      </c>
      <c r="F178" s="6">
        <v>4</v>
      </c>
      <c r="G178" s="6">
        <v>4</v>
      </c>
      <c r="H178" s="6">
        <v>80920</v>
      </c>
      <c r="I178" s="6" t="s">
        <v>17</v>
      </c>
      <c r="J178" s="6">
        <v>26499210</v>
      </c>
      <c r="K178" s="6" t="s">
        <v>984</v>
      </c>
      <c r="L178" s="6" t="s">
        <v>986</v>
      </c>
      <c r="M178" s="8">
        <v>219900</v>
      </c>
      <c r="N178" s="35">
        <v>0.9</v>
      </c>
      <c r="O178" s="34">
        <f t="shared" si="6"/>
        <v>21990</v>
      </c>
      <c r="P178" s="6" t="s">
        <v>16</v>
      </c>
    </row>
    <row r="179" spans="1:16" x14ac:dyDescent="0.35">
      <c r="A179" s="32" t="s">
        <v>6512</v>
      </c>
      <c r="B179" s="7">
        <f t="shared" si="7"/>
        <v>46121</v>
      </c>
      <c r="C179" s="7">
        <f t="shared" si="8"/>
        <v>46127</v>
      </c>
      <c r="D179" s="6">
        <v>3281</v>
      </c>
      <c r="E179" s="6">
        <v>337</v>
      </c>
      <c r="F179" s="6">
        <v>4</v>
      </c>
      <c r="G179" s="6">
        <v>4</v>
      </c>
      <c r="H179" s="6">
        <v>80920</v>
      </c>
      <c r="I179" s="6" t="s">
        <v>17</v>
      </c>
      <c r="J179" s="6">
        <v>26499229</v>
      </c>
      <c r="K179" s="6" t="s">
        <v>984</v>
      </c>
      <c r="L179" s="6" t="s">
        <v>987</v>
      </c>
      <c r="M179" s="8">
        <v>219900</v>
      </c>
      <c r="N179" s="35">
        <v>0.9</v>
      </c>
      <c r="O179" s="34">
        <f t="shared" si="6"/>
        <v>21990</v>
      </c>
      <c r="P179" s="6" t="s">
        <v>16</v>
      </c>
    </row>
    <row r="180" spans="1:16" x14ac:dyDescent="0.35">
      <c r="A180" s="32" t="s">
        <v>6512</v>
      </c>
      <c r="B180" s="7">
        <f t="shared" si="7"/>
        <v>46121</v>
      </c>
      <c r="C180" s="7">
        <f t="shared" si="8"/>
        <v>46127</v>
      </c>
      <c r="D180" s="6">
        <v>3281</v>
      </c>
      <c r="E180" s="6">
        <v>337</v>
      </c>
      <c r="F180" s="6">
        <v>4</v>
      </c>
      <c r="G180" s="6">
        <v>4</v>
      </c>
      <c r="H180" s="6">
        <v>80920</v>
      </c>
      <c r="I180" s="6" t="s">
        <v>17</v>
      </c>
      <c r="J180" s="6">
        <v>26499238</v>
      </c>
      <c r="K180" s="6" t="s">
        <v>984</v>
      </c>
      <c r="L180" s="6" t="s">
        <v>988</v>
      </c>
      <c r="M180" s="8">
        <v>219900</v>
      </c>
      <c r="N180" s="35">
        <v>0.9</v>
      </c>
      <c r="O180" s="34">
        <f t="shared" si="6"/>
        <v>21990</v>
      </c>
      <c r="P180" s="6" t="s">
        <v>16</v>
      </c>
    </row>
    <row r="181" spans="1:16" x14ac:dyDescent="0.35">
      <c r="A181" s="32" t="s">
        <v>6512</v>
      </c>
      <c r="B181" s="7">
        <f t="shared" si="7"/>
        <v>46121</v>
      </c>
      <c r="C181" s="7">
        <f t="shared" si="8"/>
        <v>46127</v>
      </c>
      <c r="D181" s="6">
        <v>3281</v>
      </c>
      <c r="E181" s="6">
        <v>337</v>
      </c>
      <c r="F181" s="6">
        <v>4</v>
      </c>
      <c r="G181" s="6">
        <v>4</v>
      </c>
      <c r="H181" s="6">
        <v>80920</v>
      </c>
      <c r="I181" s="6" t="s">
        <v>17</v>
      </c>
      <c r="J181" s="6">
        <v>26499247</v>
      </c>
      <c r="K181" s="6" t="s">
        <v>984</v>
      </c>
      <c r="L181" s="6" t="s">
        <v>989</v>
      </c>
      <c r="M181" s="8">
        <v>219900</v>
      </c>
      <c r="N181" s="35">
        <v>0.9</v>
      </c>
      <c r="O181" s="34">
        <f t="shared" si="6"/>
        <v>21990</v>
      </c>
      <c r="P181" s="6" t="s">
        <v>16</v>
      </c>
    </row>
    <row r="182" spans="1:16" x14ac:dyDescent="0.35">
      <c r="A182" s="32" t="s">
        <v>6512</v>
      </c>
      <c r="B182" s="7">
        <f t="shared" si="7"/>
        <v>46121</v>
      </c>
      <c r="C182" s="7">
        <f t="shared" si="8"/>
        <v>46127</v>
      </c>
      <c r="D182" s="6">
        <v>3281</v>
      </c>
      <c r="E182" s="6">
        <v>337</v>
      </c>
      <c r="F182" s="6">
        <v>4</v>
      </c>
      <c r="G182" s="6">
        <v>4</v>
      </c>
      <c r="H182" s="6">
        <v>81505</v>
      </c>
      <c r="I182" s="6" t="s">
        <v>17</v>
      </c>
      <c r="J182" s="6">
        <v>26707806</v>
      </c>
      <c r="K182" s="6" t="s">
        <v>990</v>
      </c>
      <c r="L182" s="6" t="s">
        <v>991</v>
      </c>
      <c r="M182" s="8">
        <v>179900</v>
      </c>
      <c r="N182" s="35">
        <v>0.9</v>
      </c>
      <c r="O182" s="34">
        <f t="shared" si="6"/>
        <v>17990</v>
      </c>
      <c r="P182" s="6" t="s">
        <v>16</v>
      </c>
    </row>
    <row r="183" spans="1:16" x14ac:dyDescent="0.35">
      <c r="A183" s="32" t="s">
        <v>6512</v>
      </c>
      <c r="B183" s="7">
        <f t="shared" si="7"/>
        <v>46121</v>
      </c>
      <c r="C183" s="7">
        <f t="shared" si="8"/>
        <v>46127</v>
      </c>
      <c r="D183" s="6">
        <v>3281</v>
      </c>
      <c r="E183" s="6">
        <v>337</v>
      </c>
      <c r="F183" s="6">
        <v>4</v>
      </c>
      <c r="G183" s="6">
        <v>4</v>
      </c>
      <c r="H183" s="6">
        <v>81490</v>
      </c>
      <c r="I183" s="6" t="s">
        <v>17</v>
      </c>
      <c r="J183" s="6">
        <v>26499694</v>
      </c>
      <c r="K183" s="6" t="s">
        <v>992</v>
      </c>
      <c r="L183" s="6" t="s">
        <v>993</v>
      </c>
      <c r="M183" s="8">
        <v>229900</v>
      </c>
      <c r="N183" s="35">
        <v>0.9</v>
      </c>
      <c r="O183" s="34">
        <f t="shared" si="6"/>
        <v>22990</v>
      </c>
      <c r="P183" s="6" t="s">
        <v>16</v>
      </c>
    </row>
    <row r="184" spans="1:16" x14ac:dyDescent="0.35">
      <c r="A184" s="32" t="s">
        <v>6512</v>
      </c>
      <c r="B184" s="7">
        <f t="shared" si="7"/>
        <v>46121</v>
      </c>
      <c r="C184" s="7">
        <f t="shared" si="8"/>
        <v>46127</v>
      </c>
      <c r="D184" s="6">
        <v>3281</v>
      </c>
      <c r="E184" s="6">
        <v>337</v>
      </c>
      <c r="F184" s="6">
        <v>4</v>
      </c>
      <c r="G184" s="6">
        <v>4</v>
      </c>
      <c r="H184" s="6">
        <v>81490</v>
      </c>
      <c r="I184" s="6" t="s">
        <v>17</v>
      </c>
      <c r="J184" s="6">
        <v>26499701</v>
      </c>
      <c r="K184" s="6" t="s">
        <v>992</v>
      </c>
      <c r="L184" s="6" t="s">
        <v>994</v>
      </c>
      <c r="M184" s="8">
        <v>229900</v>
      </c>
      <c r="N184" s="35">
        <v>0.9</v>
      </c>
      <c r="O184" s="34">
        <f t="shared" si="6"/>
        <v>22990</v>
      </c>
      <c r="P184" s="6" t="s">
        <v>16</v>
      </c>
    </row>
    <row r="185" spans="1:16" x14ac:dyDescent="0.35">
      <c r="A185" s="32" t="s">
        <v>6512</v>
      </c>
      <c r="B185" s="7">
        <f t="shared" si="7"/>
        <v>46121</v>
      </c>
      <c r="C185" s="7">
        <f t="shared" si="8"/>
        <v>46127</v>
      </c>
      <c r="D185" s="6">
        <v>3281</v>
      </c>
      <c r="E185" s="6">
        <v>337</v>
      </c>
      <c r="F185" s="6">
        <v>4</v>
      </c>
      <c r="G185" s="6">
        <v>4</v>
      </c>
      <c r="H185" s="6">
        <v>81490</v>
      </c>
      <c r="I185" s="6" t="s">
        <v>17</v>
      </c>
      <c r="J185" s="6">
        <v>26499738</v>
      </c>
      <c r="K185" s="6" t="s">
        <v>992</v>
      </c>
      <c r="L185" s="6" t="s">
        <v>995</v>
      </c>
      <c r="M185" s="8">
        <v>229900</v>
      </c>
      <c r="N185" s="35">
        <v>0.9</v>
      </c>
      <c r="O185" s="34">
        <f t="shared" si="6"/>
        <v>22990</v>
      </c>
      <c r="P185" s="6" t="s">
        <v>16</v>
      </c>
    </row>
    <row r="186" spans="1:16" x14ac:dyDescent="0.35">
      <c r="A186" s="32" t="s">
        <v>6512</v>
      </c>
      <c r="B186" s="7">
        <f t="shared" si="7"/>
        <v>46121</v>
      </c>
      <c r="C186" s="7">
        <f t="shared" si="8"/>
        <v>46127</v>
      </c>
      <c r="D186" s="6">
        <v>3281</v>
      </c>
      <c r="E186" s="6">
        <v>337</v>
      </c>
      <c r="F186" s="6">
        <v>4</v>
      </c>
      <c r="G186" s="6">
        <v>4</v>
      </c>
      <c r="H186" s="6">
        <v>81507</v>
      </c>
      <c r="I186" s="6" t="s">
        <v>17</v>
      </c>
      <c r="J186" s="6">
        <v>28477472</v>
      </c>
      <c r="K186" s="6" t="s">
        <v>844</v>
      </c>
      <c r="L186" s="6" t="s">
        <v>845</v>
      </c>
      <c r="M186" s="8">
        <v>269900</v>
      </c>
      <c r="N186" s="35">
        <v>0.9</v>
      </c>
      <c r="O186" s="34">
        <f t="shared" si="6"/>
        <v>26990</v>
      </c>
      <c r="P186" s="6" t="s">
        <v>16</v>
      </c>
    </row>
    <row r="187" spans="1:16" x14ac:dyDescent="0.35">
      <c r="A187" s="32" t="s">
        <v>6512</v>
      </c>
      <c r="B187" s="7">
        <f t="shared" si="7"/>
        <v>46121</v>
      </c>
      <c r="C187" s="7">
        <f t="shared" si="8"/>
        <v>46127</v>
      </c>
      <c r="D187" s="6">
        <v>3281</v>
      </c>
      <c r="E187" s="6">
        <v>337</v>
      </c>
      <c r="F187" s="6">
        <v>4</v>
      </c>
      <c r="G187" s="6">
        <v>4</v>
      </c>
      <c r="H187" s="6">
        <v>81507</v>
      </c>
      <c r="I187" s="6" t="s">
        <v>17</v>
      </c>
      <c r="J187" s="6">
        <v>28477490</v>
      </c>
      <c r="K187" s="6" t="s">
        <v>844</v>
      </c>
      <c r="L187" s="6" t="s">
        <v>846</v>
      </c>
      <c r="M187" s="8">
        <v>269900</v>
      </c>
      <c r="N187" s="35">
        <v>0.9</v>
      </c>
      <c r="O187" s="34">
        <f t="shared" si="6"/>
        <v>26990</v>
      </c>
      <c r="P187" s="6" t="s">
        <v>16</v>
      </c>
    </row>
    <row r="188" spans="1:16" x14ac:dyDescent="0.35">
      <c r="A188" s="32" t="s">
        <v>6512</v>
      </c>
      <c r="B188" s="7">
        <f t="shared" si="7"/>
        <v>46121</v>
      </c>
      <c r="C188" s="7">
        <f t="shared" si="8"/>
        <v>46127</v>
      </c>
      <c r="D188" s="6">
        <v>3281</v>
      </c>
      <c r="E188" s="6">
        <v>337</v>
      </c>
      <c r="F188" s="6">
        <v>4</v>
      </c>
      <c r="G188" s="6">
        <v>5</v>
      </c>
      <c r="H188" s="6">
        <v>81419</v>
      </c>
      <c r="I188" s="6" t="s">
        <v>17</v>
      </c>
      <c r="J188" s="6">
        <v>33260632</v>
      </c>
      <c r="K188" s="6" t="s">
        <v>847</v>
      </c>
      <c r="L188" s="6" t="s">
        <v>848</v>
      </c>
      <c r="M188" s="8">
        <v>229900</v>
      </c>
      <c r="N188" s="35">
        <v>0.9</v>
      </c>
      <c r="O188" s="34">
        <f t="shared" si="6"/>
        <v>22990</v>
      </c>
      <c r="P188" s="6" t="s">
        <v>16</v>
      </c>
    </row>
    <row r="189" spans="1:16" x14ac:dyDescent="0.35">
      <c r="A189" s="32" t="s">
        <v>6512</v>
      </c>
      <c r="B189" s="7">
        <f t="shared" si="7"/>
        <v>46121</v>
      </c>
      <c r="C189" s="7">
        <f t="shared" si="8"/>
        <v>46127</v>
      </c>
      <c r="D189" s="6">
        <v>3281</v>
      </c>
      <c r="E189" s="6">
        <v>337</v>
      </c>
      <c r="F189" s="6">
        <v>4</v>
      </c>
      <c r="G189" s="6">
        <v>5</v>
      </c>
      <c r="H189" s="6">
        <v>81419</v>
      </c>
      <c r="I189" s="6" t="s">
        <v>17</v>
      </c>
      <c r="J189" s="6">
        <v>33260641</v>
      </c>
      <c r="K189" s="6" t="s">
        <v>847</v>
      </c>
      <c r="L189" s="6" t="s">
        <v>849</v>
      </c>
      <c r="M189" s="8">
        <v>229900</v>
      </c>
      <c r="N189" s="35">
        <v>0.9</v>
      </c>
      <c r="O189" s="34">
        <f t="shared" si="6"/>
        <v>22990</v>
      </c>
      <c r="P189" s="6" t="s">
        <v>16</v>
      </c>
    </row>
    <row r="190" spans="1:16" x14ac:dyDescent="0.35">
      <c r="A190" s="32" t="s">
        <v>6512</v>
      </c>
      <c r="B190" s="7">
        <f t="shared" si="7"/>
        <v>46121</v>
      </c>
      <c r="C190" s="7">
        <f t="shared" si="8"/>
        <v>46127</v>
      </c>
      <c r="D190" s="6">
        <v>3281</v>
      </c>
      <c r="E190" s="6">
        <v>337</v>
      </c>
      <c r="F190" s="6">
        <v>4</v>
      </c>
      <c r="G190" s="6">
        <v>5</v>
      </c>
      <c r="H190" s="6">
        <v>81419</v>
      </c>
      <c r="I190" s="6" t="s">
        <v>17</v>
      </c>
      <c r="J190" s="6">
        <v>33260669</v>
      </c>
      <c r="K190" s="6" t="s">
        <v>847</v>
      </c>
      <c r="L190" s="6" t="s">
        <v>850</v>
      </c>
      <c r="M190" s="8">
        <v>229900</v>
      </c>
      <c r="N190" s="35">
        <v>0.9</v>
      </c>
      <c r="O190" s="34">
        <f t="shared" si="6"/>
        <v>22990</v>
      </c>
      <c r="P190" s="6" t="s">
        <v>16</v>
      </c>
    </row>
    <row r="191" spans="1:16" x14ac:dyDescent="0.35">
      <c r="A191" s="32" t="s">
        <v>6512</v>
      </c>
      <c r="B191" s="7">
        <f t="shared" si="7"/>
        <v>46121</v>
      </c>
      <c r="C191" s="7">
        <f t="shared" si="8"/>
        <v>46127</v>
      </c>
      <c r="D191" s="6">
        <v>3281</v>
      </c>
      <c r="E191" s="6">
        <v>337</v>
      </c>
      <c r="F191" s="6">
        <v>4</v>
      </c>
      <c r="G191" s="6">
        <v>5</v>
      </c>
      <c r="H191" s="6">
        <v>81419</v>
      </c>
      <c r="I191" s="6" t="s">
        <v>17</v>
      </c>
      <c r="J191" s="6">
        <v>33042663</v>
      </c>
      <c r="K191" s="6" t="s">
        <v>893</v>
      </c>
      <c r="L191" s="6" t="s">
        <v>894</v>
      </c>
      <c r="M191" s="8">
        <v>219900</v>
      </c>
      <c r="N191" s="35">
        <v>0.9</v>
      </c>
      <c r="O191" s="34">
        <f t="shared" si="6"/>
        <v>21990</v>
      </c>
      <c r="P191" s="6" t="s">
        <v>16</v>
      </c>
    </row>
    <row r="192" spans="1:16" x14ac:dyDescent="0.35">
      <c r="A192" s="32" t="s">
        <v>6512</v>
      </c>
      <c r="B192" s="7">
        <f t="shared" si="7"/>
        <v>46121</v>
      </c>
      <c r="C192" s="7">
        <f t="shared" si="8"/>
        <v>46127</v>
      </c>
      <c r="D192" s="6">
        <v>3281</v>
      </c>
      <c r="E192" s="6">
        <v>337</v>
      </c>
      <c r="F192" s="6">
        <v>4</v>
      </c>
      <c r="G192" s="6">
        <v>5</v>
      </c>
      <c r="H192" s="6">
        <v>81419</v>
      </c>
      <c r="I192" s="6" t="s">
        <v>17</v>
      </c>
      <c r="J192" s="6">
        <v>33042672</v>
      </c>
      <c r="K192" s="6" t="s">
        <v>893</v>
      </c>
      <c r="L192" s="6" t="s">
        <v>895</v>
      </c>
      <c r="M192" s="8">
        <v>219900</v>
      </c>
      <c r="N192" s="35">
        <v>0.9</v>
      </c>
      <c r="O192" s="34">
        <f t="shared" si="6"/>
        <v>21990</v>
      </c>
      <c r="P192" s="6" t="s">
        <v>16</v>
      </c>
    </row>
    <row r="193" spans="1:16" x14ac:dyDescent="0.35">
      <c r="A193" s="32" t="s">
        <v>6512</v>
      </c>
      <c r="B193" s="7">
        <f t="shared" si="7"/>
        <v>46121</v>
      </c>
      <c r="C193" s="7">
        <f t="shared" si="8"/>
        <v>46127</v>
      </c>
      <c r="D193" s="6">
        <v>3281</v>
      </c>
      <c r="E193" s="6">
        <v>337</v>
      </c>
      <c r="F193" s="6">
        <v>4</v>
      </c>
      <c r="G193" s="6">
        <v>5</v>
      </c>
      <c r="H193" s="6">
        <v>81419</v>
      </c>
      <c r="I193" s="6" t="s">
        <v>17</v>
      </c>
      <c r="J193" s="6">
        <v>33042707</v>
      </c>
      <c r="K193" s="6" t="s">
        <v>896</v>
      </c>
      <c r="L193" s="6" t="s">
        <v>897</v>
      </c>
      <c r="M193" s="8">
        <v>219900</v>
      </c>
      <c r="N193" s="35">
        <v>0.9</v>
      </c>
      <c r="O193" s="34">
        <f t="shared" si="6"/>
        <v>21990</v>
      </c>
      <c r="P193" s="6" t="s">
        <v>16</v>
      </c>
    </row>
    <row r="194" spans="1:16" x14ac:dyDescent="0.35">
      <c r="A194" s="32" t="s">
        <v>6512</v>
      </c>
      <c r="B194" s="7">
        <f t="shared" si="7"/>
        <v>46121</v>
      </c>
      <c r="C194" s="7">
        <f t="shared" si="8"/>
        <v>46127</v>
      </c>
      <c r="D194" s="6">
        <v>3281</v>
      </c>
      <c r="E194" s="6">
        <v>337</v>
      </c>
      <c r="F194" s="6">
        <v>4</v>
      </c>
      <c r="G194" s="6">
        <v>5</v>
      </c>
      <c r="H194" s="6">
        <v>81419</v>
      </c>
      <c r="I194" s="6" t="s">
        <v>17</v>
      </c>
      <c r="J194" s="6">
        <v>33042716</v>
      </c>
      <c r="K194" s="6" t="s">
        <v>896</v>
      </c>
      <c r="L194" s="6" t="s">
        <v>898</v>
      </c>
      <c r="M194" s="8">
        <v>219900</v>
      </c>
      <c r="N194" s="35">
        <v>0.9</v>
      </c>
      <c r="O194" s="34">
        <f t="shared" si="6"/>
        <v>21990</v>
      </c>
      <c r="P194" s="6" t="s">
        <v>16</v>
      </c>
    </row>
    <row r="195" spans="1:16" x14ac:dyDescent="0.35">
      <c r="A195" s="32" t="s">
        <v>6512</v>
      </c>
      <c r="B195" s="7">
        <f t="shared" si="7"/>
        <v>46121</v>
      </c>
      <c r="C195" s="7">
        <f t="shared" si="8"/>
        <v>46127</v>
      </c>
      <c r="D195" s="6">
        <v>3281</v>
      </c>
      <c r="E195" s="6">
        <v>337</v>
      </c>
      <c r="F195" s="6">
        <v>4</v>
      </c>
      <c r="G195" s="6">
        <v>5</v>
      </c>
      <c r="H195" s="6">
        <v>81419</v>
      </c>
      <c r="I195" s="6" t="s">
        <v>17</v>
      </c>
      <c r="J195" s="6">
        <v>33415948</v>
      </c>
      <c r="K195" s="6" t="s">
        <v>899</v>
      </c>
      <c r="L195" s="6" t="s">
        <v>900</v>
      </c>
      <c r="M195" s="8">
        <v>229900</v>
      </c>
      <c r="N195" s="35">
        <v>0.9</v>
      </c>
      <c r="O195" s="34">
        <f t="shared" ref="O195:O257" si="9">M195-((90*M195)/100)</f>
        <v>22990</v>
      </c>
      <c r="P195" s="6" t="s">
        <v>16</v>
      </c>
    </row>
    <row r="196" spans="1:16" x14ac:dyDescent="0.35">
      <c r="A196" s="32" t="s">
        <v>6512</v>
      </c>
      <c r="B196" s="7">
        <f t="shared" ref="B196:B257" si="10">B195</f>
        <v>46121</v>
      </c>
      <c r="C196" s="7">
        <f t="shared" ref="C196:C257" si="11">C195</f>
        <v>46127</v>
      </c>
      <c r="D196" s="6">
        <v>3281</v>
      </c>
      <c r="E196" s="6">
        <v>337</v>
      </c>
      <c r="F196" s="6">
        <v>4</v>
      </c>
      <c r="G196" s="6">
        <v>5</v>
      </c>
      <c r="H196" s="6">
        <v>81419</v>
      </c>
      <c r="I196" s="6" t="s">
        <v>17</v>
      </c>
      <c r="J196" s="6">
        <v>33415957</v>
      </c>
      <c r="K196" s="6" t="s">
        <v>899</v>
      </c>
      <c r="L196" s="6" t="s">
        <v>901</v>
      </c>
      <c r="M196" s="8">
        <v>229900</v>
      </c>
      <c r="N196" s="35">
        <v>0.9</v>
      </c>
      <c r="O196" s="34">
        <f t="shared" si="9"/>
        <v>22990</v>
      </c>
      <c r="P196" s="6" t="s">
        <v>16</v>
      </c>
    </row>
    <row r="197" spans="1:16" x14ac:dyDescent="0.35">
      <c r="A197" s="32" t="s">
        <v>6512</v>
      </c>
      <c r="B197" s="7">
        <f t="shared" si="10"/>
        <v>46121</v>
      </c>
      <c r="C197" s="7">
        <f t="shared" si="11"/>
        <v>46127</v>
      </c>
      <c r="D197" s="6">
        <v>3281</v>
      </c>
      <c r="E197" s="6">
        <v>337</v>
      </c>
      <c r="F197" s="6">
        <v>4</v>
      </c>
      <c r="G197" s="6">
        <v>5</v>
      </c>
      <c r="H197" s="6">
        <v>81419</v>
      </c>
      <c r="I197" s="6" t="s">
        <v>17</v>
      </c>
      <c r="J197" s="6">
        <v>33415966</v>
      </c>
      <c r="K197" s="6" t="s">
        <v>899</v>
      </c>
      <c r="L197" s="6" t="s">
        <v>902</v>
      </c>
      <c r="M197" s="8">
        <v>229900</v>
      </c>
      <c r="N197" s="35">
        <v>0.9</v>
      </c>
      <c r="O197" s="34">
        <f t="shared" si="9"/>
        <v>22990</v>
      </c>
      <c r="P197" s="6" t="s">
        <v>16</v>
      </c>
    </row>
    <row r="198" spans="1:16" x14ac:dyDescent="0.35">
      <c r="A198" s="32" t="s">
        <v>6512</v>
      </c>
      <c r="B198" s="7">
        <f t="shared" si="10"/>
        <v>46121</v>
      </c>
      <c r="C198" s="7">
        <f t="shared" si="11"/>
        <v>46127</v>
      </c>
      <c r="D198" s="6">
        <v>3281</v>
      </c>
      <c r="E198" s="6">
        <v>337</v>
      </c>
      <c r="F198" s="6">
        <v>4</v>
      </c>
      <c r="G198" s="6">
        <v>5</v>
      </c>
      <c r="H198" s="6">
        <v>81419</v>
      </c>
      <c r="I198" s="6" t="s">
        <v>17</v>
      </c>
      <c r="J198" s="6">
        <v>32755341</v>
      </c>
      <c r="K198" s="6" t="s">
        <v>888</v>
      </c>
      <c r="L198" s="6" t="s">
        <v>889</v>
      </c>
      <c r="M198" s="8">
        <v>199900</v>
      </c>
      <c r="N198" s="35">
        <v>0.9</v>
      </c>
      <c r="O198" s="34">
        <f t="shared" si="9"/>
        <v>19990</v>
      </c>
      <c r="P198" s="6" t="s">
        <v>16</v>
      </c>
    </row>
    <row r="199" spans="1:16" x14ac:dyDescent="0.35">
      <c r="A199" s="32" t="s">
        <v>6512</v>
      </c>
      <c r="B199" s="7">
        <f t="shared" si="10"/>
        <v>46121</v>
      </c>
      <c r="C199" s="7">
        <f t="shared" si="11"/>
        <v>46127</v>
      </c>
      <c r="D199" s="6">
        <v>3281</v>
      </c>
      <c r="E199" s="6">
        <v>337</v>
      </c>
      <c r="F199" s="6">
        <v>4</v>
      </c>
      <c r="G199" s="6">
        <v>5</v>
      </c>
      <c r="H199" s="6">
        <v>81419</v>
      </c>
      <c r="I199" s="6" t="s">
        <v>17</v>
      </c>
      <c r="J199" s="6">
        <v>32755350</v>
      </c>
      <c r="K199" s="6" t="s">
        <v>888</v>
      </c>
      <c r="L199" s="6" t="s">
        <v>890</v>
      </c>
      <c r="M199" s="8">
        <v>199900</v>
      </c>
      <c r="N199" s="35">
        <v>0.9</v>
      </c>
      <c r="O199" s="34">
        <f t="shared" si="9"/>
        <v>19990</v>
      </c>
      <c r="P199" s="6" t="s">
        <v>16</v>
      </c>
    </row>
    <row r="200" spans="1:16" x14ac:dyDescent="0.35">
      <c r="A200" s="32" t="s">
        <v>6512</v>
      </c>
      <c r="B200" s="7">
        <f t="shared" si="10"/>
        <v>46121</v>
      </c>
      <c r="C200" s="7">
        <f t="shared" si="11"/>
        <v>46127</v>
      </c>
      <c r="D200" s="6">
        <v>3281</v>
      </c>
      <c r="E200" s="6">
        <v>337</v>
      </c>
      <c r="F200" s="6">
        <v>4</v>
      </c>
      <c r="G200" s="6">
        <v>5</v>
      </c>
      <c r="H200" s="6">
        <v>81419</v>
      </c>
      <c r="I200" s="6" t="s">
        <v>17</v>
      </c>
      <c r="J200" s="6">
        <v>32755369</v>
      </c>
      <c r="K200" s="6" t="s">
        <v>888</v>
      </c>
      <c r="L200" s="6" t="s">
        <v>891</v>
      </c>
      <c r="M200" s="8">
        <v>199900</v>
      </c>
      <c r="N200" s="35">
        <v>0.9</v>
      </c>
      <c r="O200" s="34">
        <f t="shared" si="9"/>
        <v>19990</v>
      </c>
      <c r="P200" s="6" t="s">
        <v>16</v>
      </c>
    </row>
    <row r="201" spans="1:16" x14ac:dyDescent="0.35">
      <c r="A201" s="32" t="s">
        <v>6512</v>
      </c>
      <c r="B201" s="7">
        <f t="shared" si="10"/>
        <v>46121</v>
      </c>
      <c r="C201" s="7">
        <f t="shared" si="11"/>
        <v>46127</v>
      </c>
      <c r="D201" s="6">
        <v>3281</v>
      </c>
      <c r="E201" s="6">
        <v>337</v>
      </c>
      <c r="F201" s="6">
        <v>4</v>
      </c>
      <c r="G201" s="6">
        <v>5</v>
      </c>
      <c r="H201" s="6">
        <v>81419</v>
      </c>
      <c r="I201" s="6" t="s">
        <v>17</v>
      </c>
      <c r="J201" s="6">
        <v>32755378</v>
      </c>
      <c r="K201" s="6" t="s">
        <v>888</v>
      </c>
      <c r="L201" s="6" t="s">
        <v>892</v>
      </c>
      <c r="M201" s="8">
        <v>199900</v>
      </c>
      <c r="N201" s="35">
        <v>0.9</v>
      </c>
      <c r="O201" s="34">
        <f t="shared" si="9"/>
        <v>19990</v>
      </c>
      <c r="P201" s="6" t="s">
        <v>16</v>
      </c>
    </row>
    <row r="202" spans="1:16" x14ac:dyDescent="0.35">
      <c r="A202" s="32" t="s">
        <v>6512</v>
      </c>
      <c r="B202" s="7">
        <f t="shared" si="10"/>
        <v>46121</v>
      </c>
      <c r="C202" s="7">
        <f t="shared" si="11"/>
        <v>46127</v>
      </c>
      <c r="D202" s="6">
        <v>3281</v>
      </c>
      <c r="E202" s="6">
        <v>337</v>
      </c>
      <c r="F202" s="6">
        <v>4</v>
      </c>
      <c r="G202" s="6">
        <v>5</v>
      </c>
      <c r="H202" s="6">
        <v>81146</v>
      </c>
      <c r="I202" s="6" t="s">
        <v>17</v>
      </c>
      <c r="J202" s="6">
        <v>26178870</v>
      </c>
      <c r="K202" s="6" t="s">
        <v>1027</v>
      </c>
      <c r="L202" s="6" t="s">
        <v>1028</v>
      </c>
      <c r="M202" s="8">
        <v>179900</v>
      </c>
      <c r="N202" s="35">
        <v>0.9</v>
      </c>
      <c r="O202" s="34">
        <f t="shared" si="9"/>
        <v>17990</v>
      </c>
      <c r="P202" s="6" t="s">
        <v>16</v>
      </c>
    </row>
    <row r="203" spans="1:16" x14ac:dyDescent="0.35">
      <c r="A203" s="32" t="s">
        <v>6512</v>
      </c>
      <c r="B203" s="7">
        <f t="shared" si="10"/>
        <v>46121</v>
      </c>
      <c r="C203" s="7">
        <f t="shared" si="11"/>
        <v>46127</v>
      </c>
      <c r="D203" s="6">
        <v>3281</v>
      </c>
      <c r="E203" s="6">
        <v>337</v>
      </c>
      <c r="F203" s="6">
        <v>4</v>
      </c>
      <c r="G203" s="6">
        <v>5</v>
      </c>
      <c r="H203" s="6">
        <v>81146</v>
      </c>
      <c r="I203" s="6" t="s">
        <v>17</v>
      </c>
      <c r="J203" s="6">
        <v>26707084</v>
      </c>
      <c r="K203" s="6" t="s">
        <v>996</v>
      </c>
      <c r="L203" s="6" t="s">
        <v>997</v>
      </c>
      <c r="M203" s="8">
        <v>179900</v>
      </c>
      <c r="N203" s="35">
        <v>0.9</v>
      </c>
      <c r="O203" s="34">
        <f t="shared" si="9"/>
        <v>17990</v>
      </c>
      <c r="P203" s="6" t="s">
        <v>16</v>
      </c>
    </row>
    <row r="204" spans="1:16" x14ac:dyDescent="0.35">
      <c r="A204" s="32" t="s">
        <v>6512</v>
      </c>
      <c r="B204" s="7">
        <f t="shared" si="10"/>
        <v>46121</v>
      </c>
      <c r="C204" s="7">
        <f t="shared" si="11"/>
        <v>46127</v>
      </c>
      <c r="D204" s="6">
        <v>3281</v>
      </c>
      <c r="E204" s="6">
        <v>337</v>
      </c>
      <c r="F204" s="6">
        <v>4</v>
      </c>
      <c r="G204" s="6">
        <v>5</v>
      </c>
      <c r="H204" s="6">
        <v>81146</v>
      </c>
      <c r="I204" s="6" t="s">
        <v>17</v>
      </c>
      <c r="J204" s="6">
        <v>26707100</v>
      </c>
      <c r="K204" s="6" t="s">
        <v>996</v>
      </c>
      <c r="L204" s="6" t="s">
        <v>998</v>
      </c>
      <c r="M204" s="8">
        <v>179900</v>
      </c>
      <c r="N204" s="35">
        <v>0.9</v>
      </c>
      <c r="O204" s="34">
        <f t="shared" si="9"/>
        <v>17990</v>
      </c>
      <c r="P204" s="6" t="s">
        <v>16</v>
      </c>
    </row>
    <row r="205" spans="1:16" x14ac:dyDescent="0.35">
      <c r="A205" s="32" t="s">
        <v>6512</v>
      </c>
      <c r="B205" s="7">
        <f t="shared" si="10"/>
        <v>46121</v>
      </c>
      <c r="C205" s="7">
        <f t="shared" si="11"/>
        <v>46127</v>
      </c>
      <c r="D205" s="6">
        <v>3281</v>
      </c>
      <c r="E205" s="6">
        <v>337</v>
      </c>
      <c r="F205" s="6">
        <v>4</v>
      </c>
      <c r="G205" s="6">
        <v>5</v>
      </c>
      <c r="H205" s="6">
        <v>81146</v>
      </c>
      <c r="I205" s="6" t="s">
        <v>17</v>
      </c>
      <c r="J205" s="6">
        <v>27033747</v>
      </c>
      <c r="K205" s="6" t="s">
        <v>999</v>
      </c>
      <c r="L205" s="6" t="s">
        <v>1000</v>
      </c>
      <c r="M205" s="8">
        <v>189900</v>
      </c>
      <c r="N205" s="35">
        <v>0.9</v>
      </c>
      <c r="O205" s="34">
        <f t="shared" si="9"/>
        <v>18990</v>
      </c>
      <c r="P205" s="6" t="s">
        <v>16</v>
      </c>
    </row>
    <row r="206" spans="1:16" x14ac:dyDescent="0.35">
      <c r="A206" s="32" t="s">
        <v>6512</v>
      </c>
      <c r="B206" s="7">
        <f t="shared" si="10"/>
        <v>46121</v>
      </c>
      <c r="C206" s="7">
        <f t="shared" si="11"/>
        <v>46127</v>
      </c>
      <c r="D206" s="6">
        <v>3281</v>
      </c>
      <c r="E206" s="6">
        <v>337</v>
      </c>
      <c r="F206" s="6">
        <v>4</v>
      </c>
      <c r="G206" s="6">
        <v>5</v>
      </c>
      <c r="H206" s="6">
        <v>81146</v>
      </c>
      <c r="I206" s="6" t="s">
        <v>17</v>
      </c>
      <c r="J206" s="6">
        <v>27033756</v>
      </c>
      <c r="K206" s="6" t="s">
        <v>999</v>
      </c>
      <c r="L206" s="6" t="s">
        <v>1001</v>
      </c>
      <c r="M206" s="8">
        <v>189900</v>
      </c>
      <c r="N206" s="35">
        <v>0.9</v>
      </c>
      <c r="O206" s="34">
        <f t="shared" si="9"/>
        <v>18990</v>
      </c>
      <c r="P206" s="6" t="s">
        <v>16</v>
      </c>
    </row>
    <row r="207" spans="1:16" x14ac:dyDescent="0.35">
      <c r="A207" s="32" t="s">
        <v>6512</v>
      </c>
      <c r="B207" s="7">
        <f t="shared" si="10"/>
        <v>46121</v>
      </c>
      <c r="C207" s="7">
        <f t="shared" si="11"/>
        <v>46127</v>
      </c>
      <c r="D207" s="6">
        <v>3281</v>
      </c>
      <c r="E207" s="6">
        <v>337</v>
      </c>
      <c r="F207" s="6">
        <v>4</v>
      </c>
      <c r="G207" s="6">
        <v>5</v>
      </c>
      <c r="H207" s="6">
        <v>81146</v>
      </c>
      <c r="I207" s="6" t="s">
        <v>17</v>
      </c>
      <c r="J207" s="6">
        <v>27033774</v>
      </c>
      <c r="K207" s="6" t="s">
        <v>999</v>
      </c>
      <c r="L207" s="6" t="s">
        <v>1002</v>
      </c>
      <c r="M207" s="8">
        <v>189900</v>
      </c>
      <c r="N207" s="35">
        <v>0.9</v>
      </c>
      <c r="O207" s="34">
        <f t="shared" si="9"/>
        <v>18990</v>
      </c>
      <c r="P207" s="6" t="s">
        <v>16</v>
      </c>
    </row>
    <row r="208" spans="1:16" x14ac:dyDescent="0.35">
      <c r="A208" s="32" t="s">
        <v>6512</v>
      </c>
      <c r="B208" s="7">
        <f t="shared" si="10"/>
        <v>46121</v>
      </c>
      <c r="C208" s="7">
        <f t="shared" si="11"/>
        <v>46127</v>
      </c>
      <c r="D208" s="6">
        <v>3281</v>
      </c>
      <c r="E208" s="6">
        <v>337</v>
      </c>
      <c r="F208" s="6">
        <v>4</v>
      </c>
      <c r="G208" s="6">
        <v>5</v>
      </c>
      <c r="H208" s="6">
        <v>81146</v>
      </c>
      <c r="I208" s="6" t="s">
        <v>17</v>
      </c>
      <c r="J208" s="6">
        <v>27045752</v>
      </c>
      <c r="K208" s="6" t="s">
        <v>851</v>
      </c>
      <c r="L208" s="6" t="s">
        <v>852</v>
      </c>
      <c r="M208" s="8">
        <v>199900</v>
      </c>
      <c r="N208" s="35">
        <v>0.9</v>
      </c>
      <c r="O208" s="34">
        <f t="shared" si="9"/>
        <v>19990</v>
      </c>
      <c r="P208" s="6" t="s">
        <v>16</v>
      </c>
    </row>
    <row r="209" spans="1:16" x14ac:dyDescent="0.35">
      <c r="A209" s="32" t="s">
        <v>6512</v>
      </c>
      <c r="B209" s="7">
        <f t="shared" si="10"/>
        <v>46121</v>
      </c>
      <c r="C209" s="7">
        <f t="shared" si="11"/>
        <v>46127</v>
      </c>
      <c r="D209" s="6">
        <v>3281</v>
      </c>
      <c r="E209" s="6">
        <v>337</v>
      </c>
      <c r="F209" s="6">
        <v>4</v>
      </c>
      <c r="G209" s="6">
        <v>5</v>
      </c>
      <c r="H209" s="6">
        <v>81146</v>
      </c>
      <c r="I209" s="6" t="s">
        <v>17</v>
      </c>
      <c r="J209" s="6">
        <v>27045761</v>
      </c>
      <c r="K209" s="6" t="s">
        <v>851</v>
      </c>
      <c r="L209" s="6" t="s">
        <v>853</v>
      </c>
      <c r="M209" s="8">
        <v>199900</v>
      </c>
      <c r="N209" s="35">
        <v>0.9</v>
      </c>
      <c r="O209" s="34">
        <f t="shared" si="9"/>
        <v>19990</v>
      </c>
      <c r="P209" s="6" t="s">
        <v>16</v>
      </c>
    </row>
    <row r="210" spans="1:16" x14ac:dyDescent="0.35">
      <c r="A210" s="32" t="s">
        <v>6512</v>
      </c>
      <c r="B210" s="7">
        <f t="shared" si="10"/>
        <v>46121</v>
      </c>
      <c r="C210" s="7">
        <f t="shared" si="11"/>
        <v>46127</v>
      </c>
      <c r="D210" s="6">
        <v>3281</v>
      </c>
      <c r="E210" s="6">
        <v>337</v>
      </c>
      <c r="F210" s="6">
        <v>4</v>
      </c>
      <c r="G210" s="6">
        <v>5</v>
      </c>
      <c r="H210" s="6">
        <v>81146</v>
      </c>
      <c r="I210" s="6" t="s">
        <v>17</v>
      </c>
      <c r="J210" s="6">
        <v>42439656</v>
      </c>
      <c r="K210" s="6" t="s">
        <v>854</v>
      </c>
      <c r="L210" s="6" t="s">
        <v>855</v>
      </c>
      <c r="M210" s="8">
        <v>199900</v>
      </c>
      <c r="N210" s="35">
        <v>0.9</v>
      </c>
      <c r="O210" s="34">
        <f t="shared" si="9"/>
        <v>19990</v>
      </c>
      <c r="P210" s="6" t="s">
        <v>16</v>
      </c>
    </row>
    <row r="211" spans="1:16" x14ac:dyDescent="0.35">
      <c r="A211" s="32" t="s">
        <v>6512</v>
      </c>
      <c r="B211" s="7">
        <f t="shared" si="10"/>
        <v>46121</v>
      </c>
      <c r="C211" s="7">
        <f t="shared" si="11"/>
        <v>46127</v>
      </c>
      <c r="D211" s="6">
        <v>3281</v>
      </c>
      <c r="E211" s="6">
        <v>337</v>
      </c>
      <c r="F211" s="6">
        <v>4</v>
      </c>
      <c r="G211" s="6">
        <v>5</v>
      </c>
      <c r="H211" s="6">
        <v>81146</v>
      </c>
      <c r="I211" s="6" t="s">
        <v>17</v>
      </c>
      <c r="J211" s="6">
        <v>42439674</v>
      </c>
      <c r="K211" s="6" t="s">
        <v>854</v>
      </c>
      <c r="L211" s="6" t="s">
        <v>856</v>
      </c>
      <c r="M211" s="8">
        <v>199900</v>
      </c>
      <c r="N211" s="35">
        <v>0.9</v>
      </c>
      <c r="O211" s="34">
        <f t="shared" si="9"/>
        <v>19990</v>
      </c>
      <c r="P211" s="6" t="s">
        <v>16</v>
      </c>
    </row>
    <row r="212" spans="1:16" x14ac:dyDescent="0.35">
      <c r="A212" s="32" t="s">
        <v>6512</v>
      </c>
      <c r="B212" s="7">
        <f t="shared" si="10"/>
        <v>46121</v>
      </c>
      <c r="C212" s="7">
        <f t="shared" si="11"/>
        <v>46127</v>
      </c>
      <c r="D212" s="6">
        <v>3281</v>
      </c>
      <c r="E212" s="6">
        <v>337</v>
      </c>
      <c r="F212" s="6">
        <v>4</v>
      </c>
      <c r="G212" s="6">
        <v>5</v>
      </c>
      <c r="H212" s="6">
        <v>81421</v>
      </c>
      <c r="I212" s="6" t="s">
        <v>17</v>
      </c>
      <c r="J212" s="6">
        <v>26262215</v>
      </c>
      <c r="K212" s="6" t="s">
        <v>1003</v>
      </c>
      <c r="L212" s="6" t="s">
        <v>1004</v>
      </c>
      <c r="M212" s="8">
        <v>229900</v>
      </c>
      <c r="N212" s="35">
        <v>0.9</v>
      </c>
      <c r="O212" s="34">
        <f t="shared" si="9"/>
        <v>22990</v>
      </c>
      <c r="P212" s="6" t="s">
        <v>16</v>
      </c>
    </row>
    <row r="213" spans="1:16" x14ac:dyDescent="0.35">
      <c r="A213" s="32" t="s">
        <v>6512</v>
      </c>
      <c r="B213" s="7">
        <f t="shared" si="10"/>
        <v>46121</v>
      </c>
      <c r="C213" s="7">
        <f t="shared" si="11"/>
        <v>46127</v>
      </c>
      <c r="D213" s="6">
        <v>3281</v>
      </c>
      <c r="E213" s="6">
        <v>337</v>
      </c>
      <c r="F213" s="6">
        <v>4</v>
      </c>
      <c r="G213" s="6">
        <v>5</v>
      </c>
      <c r="H213" s="6">
        <v>81421</v>
      </c>
      <c r="I213" s="6" t="s">
        <v>17</v>
      </c>
      <c r="J213" s="6">
        <v>26262224</v>
      </c>
      <c r="K213" s="6" t="s">
        <v>1003</v>
      </c>
      <c r="L213" s="6" t="s">
        <v>1005</v>
      </c>
      <c r="M213" s="8">
        <v>229900</v>
      </c>
      <c r="N213" s="35">
        <v>0.9</v>
      </c>
      <c r="O213" s="34">
        <f t="shared" si="9"/>
        <v>22990</v>
      </c>
      <c r="P213" s="6" t="s">
        <v>16</v>
      </c>
    </row>
    <row r="214" spans="1:16" x14ac:dyDescent="0.35">
      <c r="A214" s="32" t="s">
        <v>6512</v>
      </c>
      <c r="B214" s="7">
        <f t="shared" si="10"/>
        <v>46121</v>
      </c>
      <c r="C214" s="7">
        <f t="shared" si="11"/>
        <v>46127</v>
      </c>
      <c r="D214" s="6">
        <v>3281</v>
      </c>
      <c r="E214" s="6">
        <v>337</v>
      </c>
      <c r="F214" s="6">
        <v>4</v>
      </c>
      <c r="G214" s="6">
        <v>5</v>
      </c>
      <c r="H214" s="6">
        <v>81421</v>
      </c>
      <c r="I214" s="6" t="s">
        <v>17</v>
      </c>
      <c r="J214" s="6">
        <v>26268326</v>
      </c>
      <c r="K214" s="6" t="s">
        <v>1006</v>
      </c>
      <c r="L214" s="6" t="s">
        <v>1007</v>
      </c>
      <c r="M214" s="8">
        <v>189900</v>
      </c>
      <c r="N214" s="35">
        <v>0.9</v>
      </c>
      <c r="O214" s="34">
        <f t="shared" si="9"/>
        <v>18990</v>
      </c>
      <c r="P214" s="6" t="s">
        <v>16</v>
      </c>
    </row>
    <row r="215" spans="1:16" x14ac:dyDescent="0.35">
      <c r="A215" s="32" t="s">
        <v>6512</v>
      </c>
      <c r="B215" s="7">
        <f t="shared" si="10"/>
        <v>46121</v>
      </c>
      <c r="C215" s="7">
        <f t="shared" si="11"/>
        <v>46127</v>
      </c>
      <c r="D215" s="6">
        <v>3281</v>
      </c>
      <c r="E215" s="6">
        <v>337</v>
      </c>
      <c r="F215" s="6">
        <v>4</v>
      </c>
      <c r="G215" s="6">
        <v>5</v>
      </c>
      <c r="H215" s="6">
        <v>81421</v>
      </c>
      <c r="I215" s="6" t="s">
        <v>17</v>
      </c>
      <c r="J215" s="6">
        <v>26268344</v>
      </c>
      <c r="K215" s="6" t="s">
        <v>1006</v>
      </c>
      <c r="L215" s="6" t="s">
        <v>1008</v>
      </c>
      <c r="M215" s="8">
        <v>189900</v>
      </c>
      <c r="N215" s="35">
        <v>0.9</v>
      </c>
      <c r="O215" s="34">
        <f t="shared" si="9"/>
        <v>18990</v>
      </c>
      <c r="P215" s="6" t="s">
        <v>16</v>
      </c>
    </row>
    <row r="216" spans="1:16" x14ac:dyDescent="0.35">
      <c r="A216" s="32" t="s">
        <v>6512</v>
      </c>
      <c r="B216" s="7">
        <f t="shared" si="10"/>
        <v>46121</v>
      </c>
      <c r="C216" s="7">
        <f t="shared" si="11"/>
        <v>46127</v>
      </c>
      <c r="D216" s="6">
        <v>3281</v>
      </c>
      <c r="E216" s="6">
        <v>337</v>
      </c>
      <c r="F216" s="6">
        <v>4</v>
      </c>
      <c r="G216" s="6">
        <v>5</v>
      </c>
      <c r="H216" s="6">
        <v>81421</v>
      </c>
      <c r="I216" s="6" t="s">
        <v>17</v>
      </c>
      <c r="J216" s="6">
        <v>26268666</v>
      </c>
      <c r="K216" s="6" t="s">
        <v>857</v>
      </c>
      <c r="L216" s="6" t="s">
        <v>858</v>
      </c>
      <c r="M216" s="8">
        <v>199900</v>
      </c>
      <c r="N216" s="35">
        <v>0.9</v>
      </c>
      <c r="O216" s="34">
        <f t="shared" si="9"/>
        <v>19990</v>
      </c>
      <c r="P216" s="6" t="s">
        <v>16</v>
      </c>
    </row>
    <row r="217" spans="1:16" x14ac:dyDescent="0.35">
      <c r="A217" s="32" t="s">
        <v>6512</v>
      </c>
      <c r="B217" s="7">
        <f t="shared" si="10"/>
        <v>46121</v>
      </c>
      <c r="C217" s="7">
        <f t="shared" si="11"/>
        <v>46127</v>
      </c>
      <c r="D217" s="6">
        <v>3281</v>
      </c>
      <c r="E217" s="6">
        <v>337</v>
      </c>
      <c r="F217" s="6">
        <v>4</v>
      </c>
      <c r="G217" s="6">
        <v>5</v>
      </c>
      <c r="H217" s="6">
        <v>81421</v>
      </c>
      <c r="I217" s="6" t="s">
        <v>17</v>
      </c>
      <c r="J217" s="6">
        <v>33415993</v>
      </c>
      <c r="K217" s="6" t="s">
        <v>861</v>
      </c>
      <c r="L217" s="6" t="s">
        <v>862</v>
      </c>
      <c r="M217" s="8">
        <v>229900</v>
      </c>
      <c r="N217" s="35">
        <v>0.9</v>
      </c>
      <c r="O217" s="34">
        <f t="shared" si="9"/>
        <v>22990</v>
      </c>
      <c r="P217" s="6" t="s">
        <v>16</v>
      </c>
    </row>
    <row r="218" spans="1:16" x14ac:dyDescent="0.35">
      <c r="A218" s="32" t="s">
        <v>6512</v>
      </c>
      <c r="B218" s="7">
        <f t="shared" si="10"/>
        <v>46121</v>
      </c>
      <c r="C218" s="7">
        <f t="shared" si="11"/>
        <v>46127</v>
      </c>
      <c r="D218" s="6">
        <v>3281</v>
      </c>
      <c r="E218" s="6">
        <v>337</v>
      </c>
      <c r="F218" s="6">
        <v>4</v>
      </c>
      <c r="G218" s="6">
        <v>5</v>
      </c>
      <c r="H218" s="6">
        <v>81421</v>
      </c>
      <c r="I218" s="6" t="s">
        <v>17</v>
      </c>
      <c r="J218" s="6">
        <v>33416009</v>
      </c>
      <c r="K218" s="6" t="s">
        <v>861</v>
      </c>
      <c r="L218" s="6" t="s">
        <v>863</v>
      </c>
      <c r="M218" s="8">
        <v>229900</v>
      </c>
      <c r="N218" s="35">
        <v>0.9</v>
      </c>
      <c r="O218" s="34">
        <f t="shared" si="9"/>
        <v>22990</v>
      </c>
      <c r="P218" s="6" t="s">
        <v>16</v>
      </c>
    </row>
    <row r="219" spans="1:16" x14ac:dyDescent="0.35">
      <c r="A219" s="32" t="s">
        <v>6512</v>
      </c>
      <c r="B219" s="7">
        <f t="shared" si="10"/>
        <v>46121</v>
      </c>
      <c r="C219" s="7">
        <f t="shared" si="11"/>
        <v>46127</v>
      </c>
      <c r="D219" s="6">
        <v>3281</v>
      </c>
      <c r="E219" s="6">
        <v>337</v>
      </c>
      <c r="F219" s="6">
        <v>4</v>
      </c>
      <c r="G219" s="6">
        <v>5</v>
      </c>
      <c r="H219" s="6">
        <v>81421</v>
      </c>
      <c r="I219" s="6" t="s">
        <v>17</v>
      </c>
      <c r="J219" s="6">
        <v>33416027</v>
      </c>
      <c r="K219" s="6" t="s">
        <v>864</v>
      </c>
      <c r="L219" s="6" t="s">
        <v>865</v>
      </c>
      <c r="M219" s="8">
        <v>229900</v>
      </c>
      <c r="N219" s="35">
        <v>0.9</v>
      </c>
      <c r="O219" s="34">
        <f t="shared" si="9"/>
        <v>22990</v>
      </c>
      <c r="P219" s="6" t="s">
        <v>16</v>
      </c>
    </row>
    <row r="220" spans="1:16" x14ac:dyDescent="0.35">
      <c r="A220" s="32" t="s">
        <v>6512</v>
      </c>
      <c r="B220" s="7">
        <f t="shared" si="10"/>
        <v>46121</v>
      </c>
      <c r="C220" s="7">
        <f t="shared" si="11"/>
        <v>46127</v>
      </c>
      <c r="D220" s="6">
        <v>3281</v>
      </c>
      <c r="E220" s="6">
        <v>337</v>
      </c>
      <c r="F220" s="6">
        <v>4</v>
      </c>
      <c r="G220" s="6">
        <v>5</v>
      </c>
      <c r="H220" s="6">
        <v>81421</v>
      </c>
      <c r="I220" s="6" t="s">
        <v>17</v>
      </c>
      <c r="J220" s="6">
        <v>33416036</v>
      </c>
      <c r="K220" s="6" t="s">
        <v>864</v>
      </c>
      <c r="L220" s="6" t="s">
        <v>866</v>
      </c>
      <c r="M220" s="8">
        <v>229900</v>
      </c>
      <c r="N220" s="35">
        <v>0.9</v>
      </c>
      <c r="O220" s="34">
        <f t="shared" si="9"/>
        <v>22990</v>
      </c>
      <c r="P220" s="6" t="s">
        <v>16</v>
      </c>
    </row>
    <row r="221" spans="1:16" x14ac:dyDescent="0.35">
      <c r="A221" s="32" t="s">
        <v>6512</v>
      </c>
      <c r="B221" s="7">
        <f t="shared" si="10"/>
        <v>46121</v>
      </c>
      <c r="C221" s="7">
        <f t="shared" si="11"/>
        <v>46127</v>
      </c>
      <c r="D221" s="6">
        <v>3281</v>
      </c>
      <c r="E221" s="6">
        <v>337</v>
      </c>
      <c r="F221" s="6">
        <v>4</v>
      </c>
      <c r="G221" s="6">
        <v>5</v>
      </c>
      <c r="H221" s="6">
        <v>81421</v>
      </c>
      <c r="I221" s="6" t="s">
        <v>17</v>
      </c>
      <c r="J221" s="6">
        <v>33416045</v>
      </c>
      <c r="K221" s="6" t="s">
        <v>864</v>
      </c>
      <c r="L221" s="6" t="s">
        <v>867</v>
      </c>
      <c r="M221" s="8">
        <v>229900</v>
      </c>
      <c r="N221" s="35">
        <v>0.9</v>
      </c>
      <c r="O221" s="34">
        <f t="shared" si="9"/>
        <v>22990</v>
      </c>
      <c r="P221" s="6" t="s">
        <v>16</v>
      </c>
    </row>
    <row r="222" spans="1:16" x14ac:dyDescent="0.35">
      <c r="A222" s="32" t="s">
        <v>6512</v>
      </c>
      <c r="B222" s="7">
        <f t="shared" si="10"/>
        <v>46121</v>
      </c>
      <c r="C222" s="7">
        <f t="shared" si="11"/>
        <v>46127</v>
      </c>
      <c r="D222" s="6">
        <v>3281</v>
      </c>
      <c r="E222" s="6">
        <v>337</v>
      </c>
      <c r="F222" s="6">
        <v>4</v>
      </c>
      <c r="G222" s="6">
        <v>5</v>
      </c>
      <c r="H222" s="6">
        <v>81421</v>
      </c>
      <c r="I222" s="6" t="s">
        <v>17</v>
      </c>
      <c r="J222" s="6">
        <v>33416054</v>
      </c>
      <c r="K222" s="6" t="s">
        <v>868</v>
      </c>
      <c r="L222" s="6" t="s">
        <v>869</v>
      </c>
      <c r="M222" s="8">
        <v>219900</v>
      </c>
      <c r="N222" s="35">
        <v>0.9</v>
      </c>
      <c r="O222" s="34">
        <f t="shared" si="9"/>
        <v>21990</v>
      </c>
      <c r="P222" s="6" t="s">
        <v>16</v>
      </c>
    </row>
    <row r="223" spans="1:16" x14ac:dyDescent="0.35">
      <c r="A223" s="32" t="s">
        <v>6512</v>
      </c>
      <c r="B223" s="7">
        <f t="shared" si="10"/>
        <v>46121</v>
      </c>
      <c r="C223" s="7">
        <f t="shared" si="11"/>
        <v>46127</v>
      </c>
      <c r="D223" s="6">
        <v>3281</v>
      </c>
      <c r="E223" s="6">
        <v>337</v>
      </c>
      <c r="F223" s="6">
        <v>4</v>
      </c>
      <c r="G223" s="6">
        <v>5</v>
      </c>
      <c r="H223" s="6">
        <v>81421</v>
      </c>
      <c r="I223" s="6" t="s">
        <v>17</v>
      </c>
      <c r="J223" s="6">
        <v>33416063</v>
      </c>
      <c r="K223" s="6" t="s">
        <v>868</v>
      </c>
      <c r="L223" s="6" t="s">
        <v>870</v>
      </c>
      <c r="M223" s="8">
        <v>219900</v>
      </c>
      <c r="N223" s="35">
        <v>0.9</v>
      </c>
      <c r="O223" s="34">
        <f t="shared" si="9"/>
        <v>21990</v>
      </c>
      <c r="P223" s="6" t="s">
        <v>16</v>
      </c>
    </row>
    <row r="224" spans="1:16" x14ac:dyDescent="0.35">
      <c r="A224" s="32" t="s">
        <v>6512</v>
      </c>
      <c r="B224" s="7">
        <f t="shared" si="10"/>
        <v>46121</v>
      </c>
      <c r="C224" s="7">
        <f t="shared" si="11"/>
        <v>46127</v>
      </c>
      <c r="D224" s="6">
        <v>3281</v>
      </c>
      <c r="E224" s="6">
        <v>337</v>
      </c>
      <c r="F224" s="6">
        <v>4</v>
      </c>
      <c r="G224" s="6">
        <v>5</v>
      </c>
      <c r="H224" s="6">
        <v>81421</v>
      </c>
      <c r="I224" s="6" t="s">
        <v>17</v>
      </c>
      <c r="J224" s="6">
        <v>33416072</v>
      </c>
      <c r="K224" s="6" t="s">
        <v>868</v>
      </c>
      <c r="L224" s="6" t="s">
        <v>871</v>
      </c>
      <c r="M224" s="8">
        <v>219900</v>
      </c>
      <c r="N224" s="35">
        <v>0.9</v>
      </c>
      <c r="O224" s="34">
        <f t="shared" si="9"/>
        <v>21990</v>
      </c>
      <c r="P224" s="6" t="s">
        <v>16</v>
      </c>
    </row>
    <row r="225" spans="1:16" x14ac:dyDescent="0.35">
      <c r="A225" s="32" t="s">
        <v>6512</v>
      </c>
      <c r="B225" s="7">
        <f t="shared" si="10"/>
        <v>46121</v>
      </c>
      <c r="C225" s="7">
        <f t="shared" si="11"/>
        <v>46127</v>
      </c>
      <c r="D225" s="6">
        <v>3281</v>
      </c>
      <c r="E225" s="6">
        <v>337</v>
      </c>
      <c r="F225" s="6">
        <v>4</v>
      </c>
      <c r="G225" s="6">
        <v>5</v>
      </c>
      <c r="H225" s="6">
        <v>81421</v>
      </c>
      <c r="I225" s="6" t="s">
        <v>17</v>
      </c>
      <c r="J225" s="6">
        <v>33416081</v>
      </c>
      <c r="K225" s="6" t="s">
        <v>868</v>
      </c>
      <c r="L225" s="6" t="s">
        <v>872</v>
      </c>
      <c r="M225" s="8">
        <v>219900</v>
      </c>
      <c r="N225" s="35">
        <v>0.9</v>
      </c>
      <c r="O225" s="34">
        <f t="shared" si="9"/>
        <v>21990</v>
      </c>
      <c r="P225" s="6" t="s">
        <v>16</v>
      </c>
    </row>
    <row r="226" spans="1:16" x14ac:dyDescent="0.35">
      <c r="A226" s="32" t="s">
        <v>6512</v>
      </c>
      <c r="B226" s="7">
        <f t="shared" si="10"/>
        <v>46121</v>
      </c>
      <c r="C226" s="7">
        <f t="shared" si="11"/>
        <v>46127</v>
      </c>
      <c r="D226" s="6">
        <v>3281</v>
      </c>
      <c r="E226" s="6">
        <v>337</v>
      </c>
      <c r="F226" s="6">
        <v>4</v>
      </c>
      <c r="G226" s="6">
        <v>5</v>
      </c>
      <c r="H226" s="6">
        <v>81421</v>
      </c>
      <c r="I226" s="6" t="s">
        <v>17</v>
      </c>
      <c r="J226" s="6">
        <v>33473322</v>
      </c>
      <c r="K226" s="6" t="s">
        <v>873</v>
      </c>
      <c r="L226" s="6" t="s">
        <v>874</v>
      </c>
      <c r="M226" s="8">
        <v>129900</v>
      </c>
      <c r="N226" s="35">
        <v>0.9</v>
      </c>
      <c r="O226" s="34">
        <f t="shared" si="9"/>
        <v>12990</v>
      </c>
      <c r="P226" s="6" t="s">
        <v>16</v>
      </c>
    </row>
    <row r="227" spans="1:16" x14ac:dyDescent="0.35">
      <c r="A227" s="32" t="s">
        <v>6512</v>
      </c>
      <c r="B227" s="7">
        <f t="shared" si="10"/>
        <v>46121</v>
      </c>
      <c r="C227" s="7">
        <f t="shared" si="11"/>
        <v>46127</v>
      </c>
      <c r="D227" s="6">
        <v>3281</v>
      </c>
      <c r="E227" s="6">
        <v>337</v>
      </c>
      <c r="F227" s="6">
        <v>4</v>
      </c>
      <c r="G227" s="6">
        <v>5</v>
      </c>
      <c r="H227" s="6">
        <v>81421</v>
      </c>
      <c r="I227" s="6" t="s">
        <v>17</v>
      </c>
      <c r="J227" s="6">
        <v>33473331</v>
      </c>
      <c r="K227" s="6" t="s">
        <v>873</v>
      </c>
      <c r="L227" s="6" t="s">
        <v>875</v>
      </c>
      <c r="M227" s="8">
        <v>129900</v>
      </c>
      <c r="N227" s="35">
        <v>0.9</v>
      </c>
      <c r="O227" s="34">
        <f t="shared" si="9"/>
        <v>12990</v>
      </c>
      <c r="P227" s="6" t="s">
        <v>16</v>
      </c>
    </row>
    <row r="228" spans="1:16" x14ac:dyDescent="0.35">
      <c r="A228" s="32" t="s">
        <v>6512</v>
      </c>
      <c r="B228" s="7">
        <f t="shared" si="10"/>
        <v>46121</v>
      </c>
      <c r="C228" s="7">
        <f t="shared" si="11"/>
        <v>46127</v>
      </c>
      <c r="D228" s="6">
        <v>3281</v>
      </c>
      <c r="E228" s="6">
        <v>337</v>
      </c>
      <c r="F228" s="6">
        <v>4</v>
      </c>
      <c r="G228" s="6">
        <v>5</v>
      </c>
      <c r="H228" s="6">
        <v>81421</v>
      </c>
      <c r="I228" s="6" t="s">
        <v>17</v>
      </c>
      <c r="J228" s="6">
        <v>33473368</v>
      </c>
      <c r="K228" s="6" t="s">
        <v>876</v>
      </c>
      <c r="L228" s="6" t="s">
        <v>877</v>
      </c>
      <c r="M228" s="8">
        <v>129900</v>
      </c>
      <c r="N228" s="35">
        <v>0.9</v>
      </c>
      <c r="O228" s="34">
        <f t="shared" si="9"/>
        <v>12990</v>
      </c>
      <c r="P228" s="6" t="s">
        <v>16</v>
      </c>
    </row>
    <row r="229" spans="1:16" x14ac:dyDescent="0.35">
      <c r="A229" s="32" t="s">
        <v>6512</v>
      </c>
      <c r="B229" s="7">
        <f t="shared" si="10"/>
        <v>46121</v>
      </c>
      <c r="C229" s="7">
        <f t="shared" si="11"/>
        <v>46127</v>
      </c>
      <c r="D229" s="6">
        <v>3281</v>
      </c>
      <c r="E229" s="6">
        <v>337</v>
      </c>
      <c r="F229" s="6">
        <v>4</v>
      </c>
      <c r="G229" s="6">
        <v>5</v>
      </c>
      <c r="H229" s="6">
        <v>81421</v>
      </c>
      <c r="I229" s="6" t="s">
        <v>17</v>
      </c>
      <c r="J229" s="6">
        <v>33473377</v>
      </c>
      <c r="K229" s="6" t="s">
        <v>876</v>
      </c>
      <c r="L229" s="6" t="s">
        <v>878</v>
      </c>
      <c r="M229" s="8">
        <v>129900</v>
      </c>
      <c r="N229" s="35">
        <v>0.9</v>
      </c>
      <c r="O229" s="34">
        <f t="shared" si="9"/>
        <v>12990</v>
      </c>
      <c r="P229" s="6" t="s">
        <v>16</v>
      </c>
    </row>
    <row r="230" spans="1:16" x14ac:dyDescent="0.35">
      <c r="A230" s="32" t="s">
        <v>6512</v>
      </c>
      <c r="B230" s="7">
        <f t="shared" si="10"/>
        <v>46121</v>
      </c>
      <c r="C230" s="7">
        <f t="shared" si="11"/>
        <v>46127</v>
      </c>
      <c r="D230" s="6">
        <v>3281</v>
      </c>
      <c r="E230" s="6">
        <v>337</v>
      </c>
      <c r="F230" s="6">
        <v>4</v>
      </c>
      <c r="G230" s="6">
        <v>5</v>
      </c>
      <c r="H230" s="6">
        <v>81421</v>
      </c>
      <c r="I230" s="6" t="s">
        <v>17</v>
      </c>
      <c r="J230" s="6">
        <v>33473386</v>
      </c>
      <c r="K230" s="6" t="s">
        <v>876</v>
      </c>
      <c r="L230" s="6" t="s">
        <v>879</v>
      </c>
      <c r="M230" s="8">
        <v>129900</v>
      </c>
      <c r="N230" s="35">
        <v>0.9</v>
      </c>
      <c r="O230" s="34">
        <f t="shared" si="9"/>
        <v>12990</v>
      </c>
      <c r="P230" s="6" t="s">
        <v>16</v>
      </c>
    </row>
    <row r="231" spans="1:16" x14ac:dyDescent="0.35">
      <c r="A231" s="32" t="s">
        <v>6512</v>
      </c>
      <c r="B231" s="7">
        <f t="shared" si="10"/>
        <v>46121</v>
      </c>
      <c r="C231" s="7">
        <f t="shared" si="11"/>
        <v>46127</v>
      </c>
      <c r="D231" s="6">
        <v>3281</v>
      </c>
      <c r="E231" s="6">
        <v>337</v>
      </c>
      <c r="F231" s="6">
        <v>4</v>
      </c>
      <c r="G231" s="6">
        <v>5</v>
      </c>
      <c r="H231" s="6">
        <v>81421</v>
      </c>
      <c r="I231" s="6" t="s">
        <v>17</v>
      </c>
      <c r="J231" s="6">
        <v>31288072</v>
      </c>
      <c r="K231" s="6" t="s">
        <v>859</v>
      </c>
      <c r="L231" s="6" t="s">
        <v>860</v>
      </c>
      <c r="M231" s="8">
        <v>219900</v>
      </c>
      <c r="N231" s="35">
        <v>0.9</v>
      </c>
      <c r="O231" s="34">
        <f t="shared" si="9"/>
        <v>21990</v>
      </c>
      <c r="P231" s="6" t="s">
        <v>16</v>
      </c>
    </row>
    <row r="232" spans="1:16" x14ac:dyDescent="0.35">
      <c r="A232" s="32" t="s">
        <v>6512</v>
      </c>
      <c r="B232" s="7">
        <f t="shared" si="10"/>
        <v>46121</v>
      </c>
      <c r="C232" s="7">
        <f t="shared" si="11"/>
        <v>46127</v>
      </c>
      <c r="D232" s="6">
        <v>3281</v>
      </c>
      <c r="E232" s="6">
        <v>337</v>
      </c>
      <c r="F232" s="6">
        <v>4</v>
      </c>
      <c r="G232" s="6">
        <v>5</v>
      </c>
      <c r="H232" s="6">
        <v>190</v>
      </c>
      <c r="I232" s="6" t="s">
        <v>17</v>
      </c>
      <c r="J232" s="6">
        <v>26494779</v>
      </c>
      <c r="K232" s="6" t="s">
        <v>1009</v>
      </c>
      <c r="L232" s="6" t="s">
        <v>1010</v>
      </c>
      <c r="M232" s="8">
        <v>199900</v>
      </c>
      <c r="N232" s="35">
        <v>0.9</v>
      </c>
      <c r="O232" s="34">
        <f t="shared" si="9"/>
        <v>19990</v>
      </c>
      <c r="P232" s="6" t="s">
        <v>16</v>
      </c>
    </row>
    <row r="233" spans="1:16" x14ac:dyDescent="0.35">
      <c r="A233" s="32" t="s">
        <v>6512</v>
      </c>
      <c r="B233" s="7">
        <f t="shared" si="10"/>
        <v>46121</v>
      </c>
      <c r="C233" s="7">
        <f t="shared" si="11"/>
        <v>46127</v>
      </c>
      <c r="D233" s="6">
        <v>3281</v>
      </c>
      <c r="E233" s="6">
        <v>337</v>
      </c>
      <c r="F233" s="6">
        <v>4</v>
      </c>
      <c r="G233" s="6">
        <v>5</v>
      </c>
      <c r="H233" s="6">
        <v>190</v>
      </c>
      <c r="I233" s="6" t="s">
        <v>17</v>
      </c>
      <c r="J233" s="6">
        <v>33557401</v>
      </c>
      <c r="K233" s="6" t="s">
        <v>880</v>
      </c>
      <c r="L233" s="6" t="s">
        <v>881</v>
      </c>
      <c r="M233" s="8">
        <v>219900</v>
      </c>
      <c r="N233" s="35">
        <v>0.9</v>
      </c>
      <c r="O233" s="34">
        <f t="shared" si="9"/>
        <v>21990</v>
      </c>
      <c r="P233" s="6" t="s">
        <v>16</v>
      </c>
    </row>
    <row r="234" spans="1:16" x14ac:dyDescent="0.35">
      <c r="A234" s="32" t="s">
        <v>6512</v>
      </c>
      <c r="B234" s="7">
        <f t="shared" si="10"/>
        <v>46121</v>
      </c>
      <c r="C234" s="7">
        <f t="shared" si="11"/>
        <v>46127</v>
      </c>
      <c r="D234" s="6">
        <v>3281</v>
      </c>
      <c r="E234" s="6">
        <v>337</v>
      </c>
      <c r="F234" s="6">
        <v>4</v>
      </c>
      <c r="G234" s="6">
        <v>5</v>
      </c>
      <c r="H234" s="6">
        <v>190</v>
      </c>
      <c r="I234" s="6" t="s">
        <v>17</v>
      </c>
      <c r="J234" s="6">
        <v>33557410</v>
      </c>
      <c r="K234" s="6" t="s">
        <v>880</v>
      </c>
      <c r="L234" s="6" t="s">
        <v>882</v>
      </c>
      <c r="M234" s="8">
        <v>219900</v>
      </c>
      <c r="N234" s="35">
        <v>0.9</v>
      </c>
      <c r="O234" s="34">
        <f t="shared" si="9"/>
        <v>21990</v>
      </c>
      <c r="P234" s="6" t="s">
        <v>16</v>
      </c>
    </row>
    <row r="235" spans="1:16" x14ac:dyDescent="0.35">
      <c r="A235" s="32" t="s">
        <v>6512</v>
      </c>
      <c r="B235" s="7">
        <f t="shared" si="10"/>
        <v>46121</v>
      </c>
      <c r="C235" s="7">
        <f t="shared" si="11"/>
        <v>46127</v>
      </c>
      <c r="D235" s="6">
        <v>3281</v>
      </c>
      <c r="E235" s="6">
        <v>337</v>
      </c>
      <c r="F235" s="6">
        <v>4</v>
      </c>
      <c r="G235" s="6">
        <v>5</v>
      </c>
      <c r="H235" s="6">
        <v>190</v>
      </c>
      <c r="I235" s="6" t="s">
        <v>17</v>
      </c>
      <c r="J235" s="6">
        <v>33557438</v>
      </c>
      <c r="K235" s="6" t="s">
        <v>880</v>
      </c>
      <c r="L235" s="6" t="s">
        <v>883</v>
      </c>
      <c r="M235" s="8">
        <v>219900</v>
      </c>
      <c r="N235" s="35">
        <v>0.9</v>
      </c>
      <c r="O235" s="34">
        <f t="shared" si="9"/>
        <v>21990</v>
      </c>
      <c r="P235" s="6" t="s">
        <v>16</v>
      </c>
    </row>
    <row r="236" spans="1:16" x14ac:dyDescent="0.35">
      <c r="A236" s="32" t="s">
        <v>6512</v>
      </c>
      <c r="B236" s="7">
        <f t="shared" si="10"/>
        <v>46121</v>
      </c>
      <c r="C236" s="7">
        <f t="shared" si="11"/>
        <v>46127</v>
      </c>
      <c r="D236" s="6">
        <v>3281</v>
      </c>
      <c r="E236" s="6">
        <v>337</v>
      </c>
      <c r="F236" s="6">
        <v>4</v>
      </c>
      <c r="G236" s="6">
        <v>5</v>
      </c>
      <c r="H236" s="6">
        <v>81736</v>
      </c>
      <c r="I236" s="6" t="s">
        <v>17</v>
      </c>
      <c r="J236" s="6">
        <v>32294867</v>
      </c>
      <c r="K236" s="6" t="s">
        <v>903</v>
      </c>
      <c r="L236" s="6" t="s">
        <v>904</v>
      </c>
      <c r="M236" s="8">
        <v>219900</v>
      </c>
      <c r="N236" s="35">
        <v>0.9</v>
      </c>
      <c r="O236" s="34">
        <f t="shared" si="9"/>
        <v>21990</v>
      </c>
      <c r="P236" s="6" t="s">
        <v>16</v>
      </c>
    </row>
    <row r="237" spans="1:16" x14ac:dyDescent="0.35">
      <c r="A237" s="32" t="s">
        <v>6512</v>
      </c>
      <c r="B237" s="7">
        <f t="shared" si="10"/>
        <v>46121</v>
      </c>
      <c r="C237" s="7">
        <f t="shared" si="11"/>
        <v>46127</v>
      </c>
      <c r="D237" s="6">
        <v>3281</v>
      </c>
      <c r="E237" s="6">
        <v>337</v>
      </c>
      <c r="F237" s="6">
        <v>4</v>
      </c>
      <c r="G237" s="6">
        <v>5</v>
      </c>
      <c r="H237" s="6">
        <v>81736</v>
      </c>
      <c r="I237" s="6" t="s">
        <v>17</v>
      </c>
      <c r="J237" s="6">
        <v>32294885</v>
      </c>
      <c r="K237" s="6" t="s">
        <v>903</v>
      </c>
      <c r="L237" s="6" t="s">
        <v>905</v>
      </c>
      <c r="M237" s="8">
        <v>219900</v>
      </c>
      <c r="N237" s="35">
        <v>0.9</v>
      </c>
      <c r="O237" s="34">
        <f t="shared" si="9"/>
        <v>21990</v>
      </c>
      <c r="P237" s="6" t="s">
        <v>16</v>
      </c>
    </row>
    <row r="238" spans="1:16" x14ac:dyDescent="0.35">
      <c r="A238" s="32" t="s">
        <v>6512</v>
      </c>
      <c r="B238" s="7">
        <f t="shared" si="10"/>
        <v>46121</v>
      </c>
      <c r="C238" s="7">
        <f t="shared" si="11"/>
        <v>46127</v>
      </c>
      <c r="D238" s="6">
        <v>3281</v>
      </c>
      <c r="E238" s="6">
        <v>337</v>
      </c>
      <c r="F238" s="6">
        <v>4</v>
      </c>
      <c r="G238" s="6">
        <v>5</v>
      </c>
      <c r="H238" s="6">
        <v>81574</v>
      </c>
      <c r="I238" s="6" t="s">
        <v>17</v>
      </c>
      <c r="J238" s="6">
        <v>26494251</v>
      </c>
      <c r="K238" s="6" t="s">
        <v>1011</v>
      </c>
      <c r="L238" s="6" t="s">
        <v>1012</v>
      </c>
      <c r="M238" s="8">
        <v>259900</v>
      </c>
      <c r="N238" s="35">
        <v>0.9</v>
      </c>
      <c r="O238" s="34">
        <f t="shared" si="9"/>
        <v>25990</v>
      </c>
      <c r="P238" s="6" t="s">
        <v>16</v>
      </c>
    </row>
    <row r="239" spans="1:16" x14ac:dyDescent="0.35">
      <c r="A239" s="32" t="s">
        <v>6512</v>
      </c>
      <c r="B239" s="7">
        <f t="shared" si="10"/>
        <v>46121</v>
      </c>
      <c r="C239" s="7">
        <f t="shared" si="11"/>
        <v>46127</v>
      </c>
      <c r="D239" s="6">
        <v>3281</v>
      </c>
      <c r="E239" s="6">
        <v>337</v>
      </c>
      <c r="F239" s="6">
        <v>4</v>
      </c>
      <c r="G239" s="6">
        <v>5</v>
      </c>
      <c r="H239" s="6">
        <v>81574</v>
      </c>
      <c r="I239" s="6" t="s">
        <v>17</v>
      </c>
      <c r="J239" s="6">
        <v>26494260</v>
      </c>
      <c r="K239" s="6" t="s">
        <v>1011</v>
      </c>
      <c r="L239" s="6" t="s">
        <v>1013</v>
      </c>
      <c r="M239" s="8">
        <v>259900</v>
      </c>
      <c r="N239" s="35">
        <v>0.9</v>
      </c>
      <c r="O239" s="34">
        <f t="shared" si="9"/>
        <v>25990</v>
      </c>
      <c r="P239" s="6" t="s">
        <v>16</v>
      </c>
    </row>
    <row r="240" spans="1:16" x14ac:dyDescent="0.35">
      <c r="A240" s="32" t="s">
        <v>6512</v>
      </c>
      <c r="B240" s="7">
        <f t="shared" si="10"/>
        <v>46121</v>
      </c>
      <c r="C240" s="7">
        <f t="shared" si="11"/>
        <v>46127</v>
      </c>
      <c r="D240" s="6">
        <v>3281</v>
      </c>
      <c r="E240" s="6">
        <v>337</v>
      </c>
      <c r="F240" s="6">
        <v>4</v>
      </c>
      <c r="G240" s="6">
        <v>5</v>
      </c>
      <c r="H240" s="6">
        <v>81574</v>
      </c>
      <c r="I240" s="6" t="s">
        <v>17</v>
      </c>
      <c r="J240" s="6">
        <v>26494279</v>
      </c>
      <c r="K240" s="6" t="s">
        <v>1011</v>
      </c>
      <c r="L240" s="6" t="s">
        <v>1014</v>
      </c>
      <c r="M240" s="8">
        <v>259900</v>
      </c>
      <c r="N240" s="35">
        <v>0.9</v>
      </c>
      <c r="O240" s="34">
        <f t="shared" si="9"/>
        <v>25990</v>
      </c>
      <c r="P240" s="6" t="s">
        <v>16</v>
      </c>
    </row>
    <row r="241" spans="1:16" x14ac:dyDescent="0.35">
      <c r="A241" s="32" t="s">
        <v>6512</v>
      </c>
      <c r="B241" s="7">
        <f t="shared" si="10"/>
        <v>46121</v>
      </c>
      <c r="C241" s="7">
        <f t="shared" si="11"/>
        <v>46127</v>
      </c>
      <c r="D241" s="6">
        <v>3281</v>
      </c>
      <c r="E241" s="6">
        <v>337</v>
      </c>
      <c r="F241" s="6">
        <v>4</v>
      </c>
      <c r="G241" s="6">
        <v>5</v>
      </c>
      <c r="H241" s="6">
        <v>81574</v>
      </c>
      <c r="I241" s="6" t="s">
        <v>17</v>
      </c>
      <c r="J241" s="6">
        <v>26494304</v>
      </c>
      <c r="K241" s="6" t="s">
        <v>1011</v>
      </c>
      <c r="L241" s="6" t="s">
        <v>1015</v>
      </c>
      <c r="M241" s="8">
        <v>259900</v>
      </c>
      <c r="N241" s="35">
        <v>0.9</v>
      </c>
      <c r="O241" s="34">
        <f t="shared" si="9"/>
        <v>25990</v>
      </c>
      <c r="P241" s="6" t="s">
        <v>16</v>
      </c>
    </row>
    <row r="242" spans="1:16" x14ac:dyDescent="0.35">
      <c r="A242" s="32" t="s">
        <v>6512</v>
      </c>
      <c r="B242" s="7">
        <f t="shared" si="10"/>
        <v>46121</v>
      </c>
      <c r="C242" s="7">
        <f t="shared" si="11"/>
        <v>46127</v>
      </c>
      <c r="D242" s="6">
        <v>3281</v>
      </c>
      <c r="E242" s="6">
        <v>337</v>
      </c>
      <c r="F242" s="6">
        <v>4</v>
      </c>
      <c r="G242" s="6">
        <v>5</v>
      </c>
      <c r="H242" s="6">
        <v>81505</v>
      </c>
      <c r="I242" s="6" t="s">
        <v>17</v>
      </c>
      <c r="J242" s="6">
        <v>26707539</v>
      </c>
      <c r="K242" s="6" t="s">
        <v>884</v>
      </c>
      <c r="L242" s="6" t="s">
        <v>885</v>
      </c>
      <c r="M242" s="8">
        <v>199900</v>
      </c>
      <c r="N242" s="35">
        <v>0.9</v>
      </c>
      <c r="O242" s="34">
        <f t="shared" si="9"/>
        <v>19990</v>
      </c>
      <c r="P242" s="6" t="s">
        <v>16</v>
      </c>
    </row>
    <row r="243" spans="1:16" x14ac:dyDescent="0.35">
      <c r="A243" s="32" t="s">
        <v>6512</v>
      </c>
      <c r="B243" s="7">
        <f t="shared" si="10"/>
        <v>46121</v>
      </c>
      <c r="C243" s="7">
        <f t="shared" si="11"/>
        <v>46127</v>
      </c>
      <c r="D243" s="6">
        <v>3281</v>
      </c>
      <c r="E243" s="6">
        <v>337</v>
      </c>
      <c r="F243" s="6">
        <v>4</v>
      </c>
      <c r="G243" s="6">
        <v>5</v>
      </c>
      <c r="H243" s="6">
        <v>81490</v>
      </c>
      <c r="I243" s="6" t="s">
        <v>17</v>
      </c>
      <c r="J243" s="6">
        <v>24698384</v>
      </c>
      <c r="K243" s="6" t="s">
        <v>1016</v>
      </c>
      <c r="L243" s="6" t="s">
        <v>1017</v>
      </c>
      <c r="M243" s="8">
        <v>229900</v>
      </c>
      <c r="N243" s="35">
        <v>0.9</v>
      </c>
      <c r="O243" s="34">
        <f t="shared" si="9"/>
        <v>22990</v>
      </c>
      <c r="P243" s="6" t="s">
        <v>16</v>
      </c>
    </row>
    <row r="244" spans="1:16" x14ac:dyDescent="0.35">
      <c r="A244" s="32" t="s">
        <v>6512</v>
      </c>
      <c r="B244" s="7">
        <f t="shared" si="10"/>
        <v>46121</v>
      </c>
      <c r="C244" s="7">
        <f t="shared" si="11"/>
        <v>46127</v>
      </c>
      <c r="D244" s="6">
        <v>3281</v>
      </c>
      <c r="E244" s="6">
        <v>337</v>
      </c>
      <c r="F244" s="6">
        <v>4</v>
      </c>
      <c r="G244" s="6">
        <v>5</v>
      </c>
      <c r="H244" s="6">
        <v>81490</v>
      </c>
      <c r="I244" s="6" t="s">
        <v>17</v>
      </c>
      <c r="J244" s="6">
        <v>24698393</v>
      </c>
      <c r="K244" s="6" t="s">
        <v>1016</v>
      </c>
      <c r="L244" s="6" t="s">
        <v>1018</v>
      </c>
      <c r="M244" s="8">
        <v>229900</v>
      </c>
      <c r="N244" s="35">
        <v>0.9</v>
      </c>
      <c r="O244" s="34">
        <f t="shared" si="9"/>
        <v>22990</v>
      </c>
      <c r="P244" s="6" t="s">
        <v>16</v>
      </c>
    </row>
    <row r="245" spans="1:16" x14ac:dyDescent="0.35">
      <c r="A245" s="32" t="s">
        <v>6512</v>
      </c>
      <c r="B245" s="7">
        <f t="shared" si="10"/>
        <v>46121</v>
      </c>
      <c r="C245" s="7">
        <f t="shared" si="11"/>
        <v>46127</v>
      </c>
      <c r="D245" s="6">
        <v>3281</v>
      </c>
      <c r="E245" s="6">
        <v>337</v>
      </c>
      <c r="F245" s="6">
        <v>4</v>
      </c>
      <c r="G245" s="6">
        <v>5</v>
      </c>
      <c r="H245" s="6">
        <v>81490</v>
      </c>
      <c r="I245" s="6" t="s">
        <v>17</v>
      </c>
      <c r="J245" s="6">
        <v>24698400</v>
      </c>
      <c r="K245" s="6" t="s">
        <v>1016</v>
      </c>
      <c r="L245" s="6" t="s">
        <v>1019</v>
      </c>
      <c r="M245" s="8">
        <v>229900</v>
      </c>
      <c r="N245" s="35">
        <v>0.9</v>
      </c>
      <c r="O245" s="34">
        <f t="shared" si="9"/>
        <v>22990</v>
      </c>
      <c r="P245" s="6" t="s">
        <v>16</v>
      </c>
    </row>
    <row r="246" spans="1:16" x14ac:dyDescent="0.35">
      <c r="A246" s="32" t="s">
        <v>6512</v>
      </c>
      <c r="B246" s="7">
        <f t="shared" si="10"/>
        <v>46121</v>
      </c>
      <c r="C246" s="7">
        <f t="shared" si="11"/>
        <v>46127</v>
      </c>
      <c r="D246" s="6">
        <v>3281</v>
      </c>
      <c r="E246" s="6">
        <v>337</v>
      </c>
      <c r="F246" s="6">
        <v>4</v>
      </c>
      <c r="G246" s="6">
        <v>5</v>
      </c>
      <c r="H246" s="6">
        <v>81490</v>
      </c>
      <c r="I246" s="6" t="s">
        <v>17</v>
      </c>
      <c r="J246" s="6">
        <v>24698419</v>
      </c>
      <c r="K246" s="6" t="s">
        <v>1016</v>
      </c>
      <c r="L246" s="6" t="s">
        <v>1020</v>
      </c>
      <c r="M246" s="8">
        <v>229900</v>
      </c>
      <c r="N246" s="35">
        <v>0.9</v>
      </c>
      <c r="O246" s="34">
        <f t="shared" si="9"/>
        <v>22990</v>
      </c>
      <c r="P246" s="6" t="s">
        <v>16</v>
      </c>
    </row>
    <row r="247" spans="1:16" x14ac:dyDescent="0.35">
      <c r="A247" s="32" t="s">
        <v>6512</v>
      </c>
      <c r="B247" s="7">
        <f t="shared" si="10"/>
        <v>46121</v>
      </c>
      <c r="C247" s="7">
        <f t="shared" si="11"/>
        <v>46127</v>
      </c>
      <c r="D247" s="6">
        <v>3281</v>
      </c>
      <c r="E247" s="6">
        <v>337</v>
      </c>
      <c r="F247" s="6">
        <v>4</v>
      </c>
      <c r="G247" s="6">
        <v>5</v>
      </c>
      <c r="H247" s="6">
        <v>81490</v>
      </c>
      <c r="I247" s="6" t="s">
        <v>17</v>
      </c>
      <c r="J247" s="6">
        <v>24803652</v>
      </c>
      <c r="K247" s="6" t="s">
        <v>1021</v>
      </c>
      <c r="L247" s="6" t="s">
        <v>1022</v>
      </c>
      <c r="M247" s="8">
        <v>279900</v>
      </c>
      <c r="N247" s="35">
        <v>0.9</v>
      </c>
      <c r="O247" s="34">
        <f t="shared" si="9"/>
        <v>27990</v>
      </c>
      <c r="P247" s="6" t="s">
        <v>16</v>
      </c>
    </row>
    <row r="248" spans="1:16" x14ac:dyDescent="0.35">
      <c r="A248" s="32" t="s">
        <v>6512</v>
      </c>
      <c r="B248" s="7">
        <f t="shared" si="10"/>
        <v>46121</v>
      </c>
      <c r="C248" s="7">
        <f t="shared" si="11"/>
        <v>46127</v>
      </c>
      <c r="D248" s="6">
        <v>3281</v>
      </c>
      <c r="E248" s="6">
        <v>337</v>
      </c>
      <c r="F248" s="6">
        <v>4</v>
      </c>
      <c r="G248" s="6">
        <v>5</v>
      </c>
      <c r="H248" s="6">
        <v>81490</v>
      </c>
      <c r="I248" s="6" t="s">
        <v>17</v>
      </c>
      <c r="J248" s="6">
        <v>24803689</v>
      </c>
      <c r="K248" s="6" t="s">
        <v>1023</v>
      </c>
      <c r="L248" s="6" t="s">
        <v>1024</v>
      </c>
      <c r="M248" s="8">
        <v>279900</v>
      </c>
      <c r="N248" s="35">
        <v>0.9</v>
      </c>
      <c r="O248" s="34">
        <f t="shared" si="9"/>
        <v>27990</v>
      </c>
      <c r="P248" s="6" t="s">
        <v>16</v>
      </c>
    </row>
    <row r="249" spans="1:16" x14ac:dyDescent="0.35">
      <c r="A249" s="32" t="s">
        <v>6512</v>
      </c>
      <c r="B249" s="7">
        <f t="shared" si="10"/>
        <v>46121</v>
      </c>
      <c r="C249" s="7">
        <f t="shared" si="11"/>
        <v>46127</v>
      </c>
      <c r="D249" s="6">
        <v>3281</v>
      </c>
      <c r="E249" s="6">
        <v>337</v>
      </c>
      <c r="F249" s="6">
        <v>4</v>
      </c>
      <c r="G249" s="6">
        <v>5</v>
      </c>
      <c r="H249" s="6">
        <v>81490</v>
      </c>
      <c r="I249" s="6" t="s">
        <v>17</v>
      </c>
      <c r="J249" s="6">
        <v>24803698</v>
      </c>
      <c r="K249" s="6" t="s">
        <v>1023</v>
      </c>
      <c r="L249" s="6" t="s">
        <v>1025</v>
      </c>
      <c r="M249" s="8">
        <v>279900</v>
      </c>
      <c r="N249" s="35">
        <v>0.9</v>
      </c>
      <c r="O249" s="34">
        <f t="shared" si="9"/>
        <v>27990</v>
      </c>
      <c r="P249" s="6" t="s">
        <v>16</v>
      </c>
    </row>
    <row r="250" spans="1:16" x14ac:dyDescent="0.35">
      <c r="A250" s="32" t="s">
        <v>6512</v>
      </c>
      <c r="B250" s="7">
        <f>B249</f>
        <v>46121</v>
      </c>
      <c r="C250" s="7">
        <f t="shared" si="11"/>
        <v>46127</v>
      </c>
      <c r="D250" s="6">
        <v>3281</v>
      </c>
      <c r="E250" s="6">
        <v>337</v>
      </c>
      <c r="F250" s="6">
        <v>4</v>
      </c>
      <c r="G250" s="6">
        <v>5</v>
      </c>
      <c r="H250" s="6">
        <v>81490</v>
      </c>
      <c r="I250" s="6" t="s">
        <v>17</v>
      </c>
      <c r="J250" s="6">
        <v>24803705</v>
      </c>
      <c r="K250" s="6" t="s">
        <v>1023</v>
      </c>
      <c r="L250" s="6" t="s">
        <v>1026</v>
      </c>
      <c r="M250" s="8">
        <v>279900</v>
      </c>
      <c r="N250" s="35">
        <v>0.9</v>
      </c>
      <c r="O250" s="34">
        <f t="shared" si="9"/>
        <v>27990</v>
      </c>
      <c r="P250" s="6" t="s">
        <v>16</v>
      </c>
    </row>
    <row r="251" spans="1:16" x14ac:dyDescent="0.35">
      <c r="A251" s="32" t="s">
        <v>6512</v>
      </c>
      <c r="B251" s="7">
        <f t="shared" si="10"/>
        <v>46121</v>
      </c>
      <c r="C251" s="7">
        <f>C250</f>
        <v>46127</v>
      </c>
      <c r="D251" s="6">
        <v>3281</v>
      </c>
      <c r="E251" s="6">
        <v>337</v>
      </c>
      <c r="F251" s="6">
        <v>4</v>
      </c>
      <c r="G251" s="6">
        <v>5</v>
      </c>
      <c r="H251" s="6">
        <v>81490</v>
      </c>
      <c r="I251" s="6" t="s">
        <v>17</v>
      </c>
      <c r="J251" s="6">
        <v>28498860</v>
      </c>
      <c r="K251" s="6" t="s">
        <v>886</v>
      </c>
      <c r="L251" s="6" t="s">
        <v>887</v>
      </c>
      <c r="M251" s="8">
        <v>249900</v>
      </c>
      <c r="N251" s="35">
        <v>0.9</v>
      </c>
      <c r="O251" s="34">
        <f t="shared" si="9"/>
        <v>24990</v>
      </c>
      <c r="P251" s="6" t="s">
        <v>16</v>
      </c>
    </row>
    <row r="252" spans="1:16" x14ac:dyDescent="0.35">
      <c r="A252" s="32" t="s">
        <v>6512</v>
      </c>
      <c r="B252" s="7">
        <f t="shared" si="10"/>
        <v>46121</v>
      </c>
      <c r="C252" s="7">
        <f t="shared" si="11"/>
        <v>46127</v>
      </c>
      <c r="D252" s="6">
        <v>3281</v>
      </c>
      <c r="E252" s="6">
        <v>337</v>
      </c>
      <c r="F252" s="6">
        <v>4</v>
      </c>
      <c r="G252" s="6">
        <v>6</v>
      </c>
      <c r="H252" s="6">
        <v>81427</v>
      </c>
      <c r="I252" s="6" t="s">
        <v>17</v>
      </c>
      <c r="J252" s="6">
        <v>24377122</v>
      </c>
      <c r="K252" s="6" t="s">
        <v>1029</v>
      </c>
      <c r="L252" s="6" t="s">
        <v>1030</v>
      </c>
      <c r="M252" s="8">
        <v>5000</v>
      </c>
      <c r="N252" s="35">
        <v>0.9</v>
      </c>
      <c r="O252" s="34">
        <f t="shared" si="9"/>
        <v>500</v>
      </c>
      <c r="P252" s="6" t="s">
        <v>16</v>
      </c>
    </row>
    <row r="253" spans="1:16" x14ac:dyDescent="0.35">
      <c r="A253" s="32" t="s">
        <v>6512</v>
      </c>
      <c r="B253" s="7">
        <f t="shared" si="10"/>
        <v>46121</v>
      </c>
      <c r="C253" s="7">
        <f t="shared" si="11"/>
        <v>46127</v>
      </c>
      <c r="D253" s="6">
        <v>3281</v>
      </c>
      <c r="E253" s="6">
        <v>337</v>
      </c>
      <c r="F253" s="6">
        <v>4</v>
      </c>
      <c r="G253" s="6">
        <v>6</v>
      </c>
      <c r="H253" s="6">
        <v>81427</v>
      </c>
      <c r="I253" s="6" t="s">
        <v>17</v>
      </c>
      <c r="J253" s="6">
        <v>24377140</v>
      </c>
      <c r="K253" s="6" t="s">
        <v>1029</v>
      </c>
      <c r="L253" s="6" t="s">
        <v>1031</v>
      </c>
      <c r="M253" s="8">
        <v>5000</v>
      </c>
      <c r="N253" s="35">
        <v>0.9</v>
      </c>
      <c r="O253" s="34">
        <f t="shared" si="9"/>
        <v>500</v>
      </c>
      <c r="P253" s="6" t="s">
        <v>16</v>
      </c>
    </row>
    <row r="254" spans="1:16" x14ac:dyDescent="0.35">
      <c r="A254" s="32" t="s">
        <v>6512</v>
      </c>
      <c r="B254" s="7">
        <f t="shared" si="10"/>
        <v>46121</v>
      </c>
      <c r="C254" s="7">
        <f t="shared" si="11"/>
        <v>46127</v>
      </c>
      <c r="D254" s="6">
        <v>3281</v>
      </c>
      <c r="E254" s="6">
        <v>337</v>
      </c>
      <c r="F254" s="6">
        <v>4</v>
      </c>
      <c r="G254" s="6">
        <v>6</v>
      </c>
      <c r="H254" s="6">
        <v>81427</v>
      </c>
      <c r="I254" s="6" t="s">
        <v>17</v>
      </c>
      <c r="J254" s="6">
        <v>24377239</v>
      </c>
      <c r="K254" s="6" t="s">
        <v>1032</v>
      </c>
      <c r="L254" s="6" t="s">
        <v>1033</v>
      </c>
      <c r="M254" s="8">
        <v>5000</v>
      </c>
      <c r="N254" s="35">
        <v>0.9</v>
      </c>
      <c r="O254" s="34">
        <f t="shared" si="9"/>
        <v>500</v>
      </c>
      <c r="P254" s="6" t="s">
        <v>16</v>
      </c>
    </row>
    <row r="255" spans="1:16" x14ac:dyDescent="0.35">
      <c r="A255" s="32" t="s">
        <v>6512</v>
      </c>
      <c r="B255" s="7">
        <f t="shared" si="10"/>
        <v>46121</v>
      </c>
      <c r="C255" s="7">
        <f t="shared" si="11"/>
        <v>46127</v>
      </c>
      <c r="D255" s="6">
        <v>3281</v>
      </c>
      <c r="E255" s="6">
        <v>337</v>
      </c>
      <c r="F255" s="6">
        <v>4</v>
      </c>
      <c r="G255" s="6">
        <v>6</v>
      </c>
      <c r="H255" s="6">
        <v>81427</v>
      </c>
      <c r="I255" s="6" t="s">
        <v>17</v>
      </c>
      <c r="J255" s="6">
        <v>24377248</v>
      </c>
      <c r="K255" s="6" t="s">
        <v>1032</v>
      </c>
      <c r="L255" s="6" t="s">
        <v>1034</v>
      </c>
      <c r="M255" s="8">
        <v>5000</v>
      </c>
      <c r="N255" s="35">
        <v>0.9</v>
      </c>
      <c r="O255" s="34">
        <f t="shared" si="9"/>
        <v>500</v>
      </c>
      <c r="P255" s="6" t="s">
        <v>16</v>
      </c>
    </row>
    <row r="256" spans="1:16" x14ac:dyDescent="0.35">
      <c r="A256" s="32" t="s">
        <v>6512</v>
      </c>
      <c r="B256" s="7">
        <f t="shared" si="10"/>
        <v>46121</v>
      </c>
      <c r="C256" s="7">
        <f t="shared" si="11"/>
        <v>46127</v>
      </c>
      <c r="D256" s="6">
        <v>3281</v>
      </c>
      <c r="E256" s="6">
        <v>337</v>
      </c>
      <c r="F256" s="6">
        <v>4</v>
      </c>
      <c r="G256" s="6">
        <v>6</v>
      </c>
      <c r="H256" s="6">
        <v>81427</v>
      </c>
      <c r="I256" s="6" t="s">
        <v>17</v>
      </c>
      <c r="J256" s="6">
        <v>24377275</v>
      </c>
      <c r="K256" s="6" t="s">
        <v>1032</v>
      </c>
      <c r="L256" s="6" t="s">
        <v>1035</v>
      </c>
      <c r="M256" s="8">
        <v>5000</v>
      </c>
      <c r="N256" s="35">
        <v>0.9</v>
      </c>
      <c r="O256" s="34">
        <f t="shared" si="9"/>
        <v>500</v>
      </c>
      <c r="P256" s="6" t="s">
        <v>16</v>
      </c>
    </row>
    <row r="257" spans="1:16" x14ac:dyDescent="0.35">
      <c r="A257" s="32" t="s">
        <v>6512</v>
      </c>
      <c r="B257" s="7">
        <f t="shared" si="10"/>
        <v>46121</v>
      </c>
      <c r="C257" s="7">
        <f t="shared" si="11"/>
        <v>46127</v>
      </c>
      <c r="D257" s="6">
        <v>3281</v>
      </c>
      <c r="E257" s="6">
        <v>337</v>
      </c>
      <c r="F257" s="6">
        <v>4</v>
      </c>
      <c r="G257" s="6">
        <v>6</v>
      </c>
      <c r="H257" s="6">
        <v>81427</v>
      </c>
      <c r="I257" s="6" t="s">
        <v>17</v>
      </c>
      <c r="J257" s="6">
        <v>24377284</v>
      </c>
      <c r="K257" s="6" t="s">
        <v>1032</v>
      </c>
      <c r="L257" s="6" t="s">
        <v>1036</v>
      </c>
      <c r="M257" s="8">
        <v>5000</v>
      </c>
      <c r="N257" s="35">
        <v>0.9</v>
      </c>
      <c r="O257" s="34">
        <f t="shared" si="9"/>
        <v>500</v>
      </c>
      <c r="P257" s="6" t="s">
        <v>16</v>
      </c>
    </row>
  </sheetData>
  <autoFilter ref="A1:P1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3"/>
  <sheetViews>
    <sheetView zoomScale="98" zoomScaleNormal="100" workbookViewId="0">
      <pane ySplit="1" topLeftCell="A2" activePane="bottomLeft" state="frozen"/>
      <selection activeCell="M23" sqref="M23"/>
      <selection pane="bottomLeft" activeCell="B64" sqref="B64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2" bestFit="1" customWidth="1"/>
    <col min="14" max="14" width="12.453125" style="2" bestFit="1" customWidth="1"/>
    <col min="15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3795</v>
      </c>
      <c r="B2" s="7">
        <f>'2025 HILITE D80 - 3321'!B2</f>
        <v>46121</v>
      </c>
      <c r="C2" s="7">
        <f>'2025 HILITE D80 - 3321'!C2</f>
        <v>46127</v>
      </c>
      <c r="D2" s="6">
        <v>3281</v>
      </c>
      <c r="E2" s="6">
        <v>337</v>
      </c>
      <c r="F2" s="6">
        <v>4</v>
      </c>
      <c r="G2" s="6">
        <v>1</v>
      </c>
      <c r="H2" s="6">
        <v>80930</v>
      </c>
      <c r="I2" s="6" t="s">
        <v>17</v>
      </c>
      <c r="J2" s="6">
        <v>24606142</v>
      </c>
      <c r="K2" s="6" t="s">
        <v>1037</v>
      </c>
      <c r="L2" s="6" t="s">
        <v>1038</v>
      </c>
      <c r="M2" s="8">
        <v>159900</v>
      </c>
      <c r="N2" s="9">
        <v>0.95</v>
      </c>
      <c r="O2" s="8">
        <f t="shared" ref="O2:O61" si="0">M2-((95*M2)/100)</f>
        <v>7995</v>
      </c>
      <c r="P2" s="6" t="s">
        <v>16</v>
      </c>
    </row>
    <row r="3" spans="1:16" x14ac:dyDescent="0.35">
      <c r="A3" s="6" t="s">
        <v>3795</v>
      </c>
      <c r="B3" s="7">
        <f>B2</f>
        <v>46121</v>
      </c>
      <c r="C3" s="7">
        <f>C2</f>
        <v>46127</v>
      </c>
      <c r="D3" s="6">
        <v>3281</v>
      </c>
      <c r="E3" s="6">
        <v>337</v>
      </c>
      <c r="F3" s="6">
        <v>4</v>
      </c>
      <c r="G3" s="6">
        <v>1</v>
      </c>
      <c r="H3" s="6">
        <v>80930</v>
      </c>
      <c r="I3" s="6" t="s">
        <v>17</v>
      </c>
      <c r="J3" s="6">
        <v>24606151</v>
      </c>
      <c r="K3" s="6" t="s">
        <v>1037</v>
      </c>
      <c r="L3" s="6" t="s">
        <v>1039</v>
      </c>
      <c r="M3" s="8">
        <v>159900</v>
      </c>
      <c r="N3" s="9">
        <v>0.95</v>
      </c>
      <c r="O3" s="8">
        <f t="shared" si="0"/>
        <v>7995</v>
      </c>
      <c r="P3" s="6" t="s">
        <v>16</v>
      </c>
    </row>
    <row r="4" spans="1:16" x14ac:dyDescent="0.35">
      <c r="A4" s="6" t="s">
        <v>3795</v>
      </c>
      <c r="B4" s="7">
        <f t="shared" ref="B4:B67" si="1">B3</f>
        <v>46121</v>
      </c>
      <c r="C4" s="7">
        <f t="shared" ref="C4:C67" si="2">C3</f>
        <v>46127</v>
      </c>
      <c r="D4" s="6">
        <v>3281</v>
      </c>
      <c r="E4" s="6">
        <v>337</v>
      </c>
      <c r="F4" s="6">
        <v>4</v>
      </c>
      <c r="G4" s="6">
        <v>1</v>
      </c>
      <c r="H4" s="6">
        <v>80930</v>
      </c>
      <c r="I4" s="6" t="s">
        <v>17</v>
      </c>
      <c r="J4" s="6">
        <v>24606160</v>
      </c>
      <c r="K4" s="6" t="s">
        <v>1053</v>
      </c>
      <c r="L4" s="6" t="s">
        <v>1054</v>
      </c>
      <c r="M4" s="8">
        <v>159900</v>
      </c>
      <c r="N4" s="9">
        <v>0.95</v>
      </c>
      <c r="O4" s="8">
        <f t="shared" si="0"/>
        <v>7995</v>
      </c>
      <c r="P4" s="6" t="s">
        <v>16</v>
      </c>
    </row>
    <row r="5" spans="1:16" x14ac:dyDescent="0.35">
      <c r="A5" s="6" t="s">
        <v>3795</v>
      </c>
      <c r="B5" s="7">
        <f t="shared" si="1"/>
        <v>46121</v>
      </c>
      <c r="C5" s="7">
        <f t="shared" si="2"/>
        <v>46127</v>
      </c>
      <c r="D5" s="6">
        <v>3281</v>
      </c>
      <c r="E5" s="6">
        <v>337</v>
      </c>
      <c r="F5" s="6">
        <v>4</v>
      </c>
      <c r="G5" s="6">
        <v>1</v>
      </c>
      <c r="H5" s="6">
        <v>81421</v>
      </c>
      <c r="I5" s="6" t="s">
        <v>17</v>
      </c>
      <c r="J5" s="6">
        <v>22662497</v>
      </c>
      <c r="K5" s="6" t="s">
        <v>4847</v>
      </c>
      <c r="L5" s="6" t="s">
        <v>4848</v>
      </c>
      <c r="M5" s="8">
        <v>139900</v>
      </c>
      <c r="N5" s="9">
        <v>0.95</v>
      </c>
      <c r="O5" s="8">
        <f t="shared" si="0"/>
        <v>6995</v>
      </c>
      <c r="P5" s="6" t="s">
        <v>16</v>
      </c>
    </row>
    <row r="6" spans="1:16" x14ac:dyDescent="0.35">
      <c r="A6" s="6" t="s">
        <v>3795</v>
      </c>
      <c r="B6" s="7">
        <f t="shared" si="1"/>
        <v>46121</v>
      </c>
      <c r="C6" s="7">
        <f t="shared" si="2"/>
        <v>46127</v>
      </c>
      <c r="D6" s="6">
        <v>3281</v>
      </c>
      <c r="E6" s="6">
        <v>337</v>
      </c>
      <c r="F6" s="6">
        <v>4</v>
      </c>
      <c r="G6" s="6">
        <v>1</v>
      </c>
      <c r="H6" s="6">
        <v>81421</v>
      </c>
      <c r="I6" s="6" t="s">
        <v>17</v>
      </c>
      <c r="J6" s="6">
        <v>22719079</v>
      </c>
      <c r="K6" s="6" t="s">
        <v>4849</v>
      </c>
      <c r="L6" s="6" t="s">
        <v>4850</v>
      </c>
      <c r="M6" s="8">
        <v>119900</v>
      </c>
      <c r="N6" s="9">
        <v>0.95</v>
      </c>
      <c r="O6" s="8">
        <f t="shared" si="0"/>
        <v>5995</v>
      </c>
      <c r="P6" s="6" t="s">
        <v>16</v>
      </c>
    </row>
    <row r="7" spans="1:16" x14ac:dyDescent="0.35">
      <c r="A7" s="6" t="s">
        <v>3795</v>
      </c>
      <c r="B7" s="7">
        <f t="shared" si="1"/>
        <v>46121</v>
      </c>
      <c r="C7" s="7">
        <f t="shared" si="2"/>
        <v>46127</v>
      </c>
      <c r="D7" s="6">
        <v>3281</v>
      </c>
      <c r="E7" s="6">
        <v>337</v>
      </c>
      <c r="F7" s="6">
        <v>4</v>
      </c>
      <c r="G7" s="6">
        <v>1</v>
      </c>
      <c r="H7" s="6">
        <v>81421</v>
      </c>
      <c r="I7" s="6" t="s">
        <v>17</v>
      </c>
      <c r="J7" s="6">
        <v>22719284</v>
      </c>
      <c r="K7" s="6" t="s">
        <v>4851</v>
      </c>
      <c r="L7" s="6" t="s">
        <v>4852</v>
      </c>
      <c r="M7" s="8">
        <v>119900</v>
      </c>
      <c r="N7" s="9">
        <v>0.95</v>
      </c>
      <c r="O7" s="8">
        <f t="shared" si="0"/>
        <v>5995</v>
      </c>
      <c r="P7" s="6" t="s">
        <v>16</v>
      </c>
    </row>
    <row r="8" spans="1:16" x14ac:dyDescent="0.35">
      <c r="A8" s="6" t="s">
        <v>3795</v>
      </c>
      <c r="B8" s="7">
        <f t="shared" si="1"/>
        <v>46121</v>
      </c>
      <c r="C8" s="7">
        <f t="shared" si="2"/>
        <v>46127</v>
      </c>
      <c r="D8" s="6">
        <v>3281</v>
      </c>
      <c r="E8" s="6">
        <v>337</v>
      </c>
      <c r="F8" s="6">
        <v>4</v>
      </c>
      <c r="G8" s="6">
        <v>1</v>
      </c>
      <c r="H8" s="6">
        <v>81421</v>
      </c>
      <c r="I8" s="6" t="s">
        <v>17</v>
      </c>
      <c r="J8" s="6">
        <v>22719293</v>
      </c>
      <c r="K8" s="6" t="s">
        <v>4851</v>
      </c>
      <c r="L8" s="6" t="s">
        <v>4853</v>
      </c>
      <c r="M8" s="8">
        <v>119900</v>
      </c>
      <c r="N8" s="9">
        <v>0.95</v>
      </c>
      <c r="O8" s="8">
        <f t="shared" si="0"/>
        <v>5995</v>
      </c>
      <c r="P8" s="6" t="s">
        <v>16</v>
      </c>
    </row>
    <row r="9" spans="1:16" x14ac:dyDescent="0.35">
      <c r="A9" s="6" t="s">
        <v>3795</v>
      </c>
      <c r="B9" s="7">
        <f t="shared" si="1"/>
        <v>46121</v>
      </c>
      <c r="C9" s="7">
        <f t="shared" si="2"/>
        <v>46127</v>
      </c>
      <c r="D9" s="6">
        <v>3281</v>
      </c>
      <c r="E9" s="6">
        <v>337</v>
      </c>
      <c r="F9" s="6">
        <v>4</v>
      </c>
      <c r="G9" s="6">
        <v>1</v>
      </c>
      <c r="H9" s="6">
        <v>80920</v>
      </c>
      <c r="I9" s="6" t="s">
        <v>17</v>
      </c>
      <c r="J9" s="6">
        <v>21267318</v>
      </c>
      <c r="K9" s="6" t="s">
        <v>4854</v>
      </c>
      <c r="L9" s="6" t="s">
        <v>4855</v>
      </c>
      <c r="M9" s="8">
        <v>169900</v>
      </c>
      <c r="N9" s="9">
        <v>0.95</v>
      </c>
      <c r="O9" s="8">
        <f t="shared" si="0"/>
        <v>8495</v>
      </c>
      <c r="P9" s="6" t="s">
        <v>16</v>
      </c>
    </row>
    <row r="10" spans="1:16" x14ac:dyDescent="0.35">
      <c r="A10" s="6" t="s">
        <v>3795</v>
      </c>
      <c r="B10" s="7">
        <f t="shared" si="1"/>
        <v>46121</v>
      </c>
      <c r="C10" s="7">
        <f t="shared" si="2"/>
        <v>46127</v>
      </c>
      <c r="D10" s="6">
        <v>3281</v>
      </c>
      <c r="E10" s="6">
        <v>337</v>
      </c>
      <c r="F10" s="6">
        <v>4</v>
      </c>
      <c r="G10" s="6">
        <v>1</v>
      </c>
      <c r="H10" s="6">
        <v>80920</v>
      </c>
      <c r="I10" s="6" t="s">
        <v>17</v>
      </c>
      <c r="J10" s="6">
        <v>23731339</v>
      </c>
      <c r="K10" s="6" t="s">
        <v>1055</v>
      </c>
      <c r="L10" s="6" t="s">
        <v>1056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3795</v>
      </c>
      <c r="B11" s="7">
        <f t="shared" si="1"/>
        <v>46121</v>
      </c>
      <c r="C11" s="7">
        <f t="shared" si="2"/>
        <v>46127</v>
      </c>
      <c r="D11" s="6">
        <v>3281</v>
      </c>
      <c r="E11" s="6">
        <v>337</v>
      </c>
      <c r="F11" s="6">
        <v>4</v>
      </c>
      <c r="G11" s="6">
        <v>1</v>
      </c>
      <c r="H11" s="6">
        <v>80920</v>
      </c>
      <c r="I11" s="6" t="s">
        <v>17</v>
      </c>
      <c r="J11" s="6">
        <v>23731446</v>
      </c>
      <c r="K11" s="6" t="s">
        <v>1057</v>
      </c>
      <c r="L11" s="6" t="s">
        <v>1058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3795</v>
      </c>
      <c r="B12" s="7">
        <f t="shared" si="1"/>
        <v>46121</v>
      </c>
      <c r="C12" s="7">
        <f t="shared" si="2"/>
        <v>46127</v>
      </c>
      <c r="D12" s="6">
        <v>3281</v>
      </c>
      <c r="E12" s="6">
        <v>337</v>
      </c>
      <c r="F12" s="6">
        <v>4</v>
      </c>
      <c r="G12" s="6">
        <v>1</v>
      </c>
      <c r="H12" s="6">
        <v>80920</v>
      </c>
      <c r="I12" s="6" t="s">
        <v>17</v>
      </c>
      <c r="J12" s="6">
        <v>24003776</v>
      </c>
      <c r="K12" s="6" t="s">
        <v>1040</v>
      </c>
      <c r="L12" s="6" t="s">
        <v>1041</v>
      </c>
      <c r="M12" s="8">
        <v>99900</v>
      </c>
      <c r="N12" s="9">
        <v>0.95</v>
      </c>
      <c r="O12" s="8">
        <f t="shared" si="0"/>
        <v>4995</v>
      </c>
      <c r="P12" s="6" t="s">
        <v>16</v>
      </c>
    </row>
    <row r="13" spans="1:16" x14ac:dyDescent="0.35">
      <c r="A13" s="6" t="s">
        <v>3795</v>
      </c>
      <c r="B13" s="7">
        <f t="shared" si="1"/>
        <v>46121</v>
      </c>
      <c r="C13" s="7">
        <f t="shared" si="2"/>
        <v>46127</v>
      </c>
      <c r="D13" s="6">
        <v>3281</v>
      </c>
      <c r="E13" s="6">
        <v>337</v>
      </c>
      <c r="F13" s="6">
        <v>4</v>
      </c>
      <c r="G13" s="6">
        <v>1</v>
      </c>
      <c r="H13" s="6">
        <v>80920</v>
      </c>
      <c r="I13" s="6" t="s">
        <v>17</v>
      </c>
      <c r="J13" s="6">
        <v>24003794</v>
      </c>
      <c r="K13" s="6" t="s">
        <v>1040</v>
      </c>
      <c r="L13" s="6" t="s">
        <v>1042</v>
      </c>
      <c r="M13" s="8">
        <v>99900</v>
      </c>
      <c r="N13" s="9">
        <v>0.95</v>
      </c>
      <c r="O13" s="8">
        <f t="shared" si="0"/>
        <v>4995</v>
      </c>
      <c r="P13" s="6" t="s">
        <v>16</v>
      </c>
    </row>
    <row r="14" spans="1:16" x14ac:dyDescent="0.35">
      <c r="A14" s="6" t="s">
        <v>3795</v>
      </c>
      <c r="B14" s="7">
        <f t="shared" si="1"/>
        <v>46121</v>
      </c>
      <c r="C14" s="7">
        <f t="shared" si="2"/>
        <v>46127</v>
      </c>
      <c r="D14" s="6">
        <v>3281</v>
      </c>
      <c r="E14" s="6">
        <v>337</v>
      </c>
      <c r="F14" s="6">
        <v>4</v>
      </c>
      <c r="G14" s="6">
        <v>1</v>
      </c>
      <c r="H14" s="6">
        <v>80920</v>
      </c>
      <c r="I14" s="6" t="s">
        <v>17</v>
      </c>
      <c r="J14" s="6">
        <v>24124467</v>
      </c>
      <c r="K14" s="6" t="s">
        <v>1043</v>
      </c>
      <c r="L14" s="6" t="s">
        <v>1044</v>
      </c>
      <c r="M14" s="8">
        <v>149900</v>
      </c>
      <c r="N14" s="9">
        <v>0.95</v>
      </c>
      <c r="O14" s="8">
        <f t="shared" si="0"/>
        <v>7495</v>
      </c>
      <c r="P14" s="6" t="s">
        <v>16</v>
      </c>
    </row>
    <row r="15" spans="1:16" x14ac:dyDescent="0.35">
      <c r="A15" s="6" t="s">
        <v>3795</v>
      </c>
      <c r="B15" s="7">
        <f t="shared" si="1"/>
        <v>46121</v>
      </c>
      <c r="C15" s="7">
        <f t="shared" si="2"/>
        <v>46127</v>
      </c>
      <c r="D15" s="6">
        <v>3281</v>
      </c>
      <c r="E15" s="6">
        <v>337</v>
      </c>
      <c r="F15" s="6">
        <v>4</v>
      </c>
      <c r="G15" s="6">
        <v>1</v>
      </c>
      <c r="H15" s="6">
        <v>80920</v>
      </c>
      <c r="I15" s="6" t="s">
        <v>17</v>
      </c>
      <c r="J15" s="6">
        <v>24391428</v>
      </c>
      <c r="K15" s="6" t="s">
        <v>1059</v>
      </c>
      <c r="L15" s="6" t="s">
        <v>1060</v>
      </c>
      <c r="M15" s="8">
        <v>99900</v>
      </c>
      <c r="N15" s="9">
        <v>0.95</v>
      </c>
      <c r="O15" s="8">
        <f t="shared" si="0"/>
        <v>4995</v>
      </c>
      <c r="P15" s="6" t="s">
        <v>16</v>
      </c>
    </row>
    <row r="16" spans="1:16" x14ac:dyDescent="0.35">
      <c r="A16" s="6" t="s">
        <v>3795</v>
      </c>
      <c r="B16" s="7">
        <f t="shared" si="1"/>
        <v>46121</v>
      </c>
      <c r="C16" s="7">
        <f t="shared" si="2"/>
        <v>46127</v>
      </c>
      <c r="D16" s="6">
        <v>3281</v>
      </c>
      <c r="E16" s="6">
        <v>337</v>
      </c>
      <c r="F16" s="6">
        <v>4</v>
      </c>
      <c r="G16" s="6">
        <v>1</v>
      </c>
      <c r="H16" s="6">
        <v>80920</v>
      </c>
      <c r="I16" s="6" t="s">
        <v>17</v>
      </c>
      <c r="J16" s="6">
        <v>24605992</v>
      </c>
      <c r="K16" s="6" t="s">
        <v>1061</v>
      </c>
      <c r="L16" s="6" t="s">
        <v>1062</v>
      </c>
      <c r="M16" s="8">
        <v>119900</v>
      </c>
      <c r="N16" s="9">
        <v>0.95</v>
      </c>
      <c r="O16" s="8">
        <f t="shared" si="0"/>
        <v>5995</v>
      </c>
      <c r="P16" s="6" t="s">
        <v>16</v>
      </c>
    </row>
    <row r="17" spans="1:16" x14ac:dyDescent="0.35">
      <c r="A17" s="6" t="s">
        <v>3795</v>
      </c>
      <c r="B17" s="7">
        <f t="shared" si="1"/>
        <v>46121</v>
      </c>
      <c r="C17" s="7">
        <f t="shared" si="2"/>
        <v>46127</v>
      </c>
      <c r="D17" s="6">
        <v>3281</v>
      </c>
      <c r="E17" s="6">
        <v>337</v>
      </c>
      <c r="F17" s="6">
        <v>4</v>
      </c>
      <c r="G17" s="6">
        <v>1</v>
      </c>
      <c r="H17" s="6">
        <v>80920</v>
      </c>
      <c r="I17" s="6" t="s">
        <v>17</v>
      </c>
      <c r="J17" s="6">
        <v>24606008</v>
      </c>
      <c r="K17" s="6" t="s">
        <v>1061</v>
      </c>
      <c r="L17" s="6" t="s">
        <v>1063</v>
      </c>
      <c r="M17" s="8">
        <v>119900</v>
      </c>
      <c r="N17" s="9">
        <v>0.95</v>
      </c>
      <c r="O17" s="8">
        <f t="shared" si="0"/>
        <v>5995</v>
      </c>
      <c r="P17" s="6" t="s">
        <v>16</v>
      </c>
    </row>
    <row r="18" spans="1:16" x14ac:dyDescent="0.35">
      <c r="A18" s="6" t="s">
        <v>3795</v>
      </c>
      <c r="B18" s="7">
        <f t="shared" si="1"/>
        <v>46121</v>
      </c>
      <c r="C18" s="7">
        <f t="shared" si="2"/>
        <v>46127</v>
      </c>
      <c r="D18" s="6">
        <v>3281</v>
      </c>
      <c r="E18" s="6">
        <v>337</v>
      </c>
      <c r="F18" s="6">
        <v>4</v>
      </c>
      <c r="G18" s="6">
        <v>1</v>
      </c>
      <c r="H18" s="6">
        <v>80920</v>
      </c>
      <c r="I18" s="6" t="s">
        <v>17</v>
      </c>
      <c r="J18" s="6">
        <v>24606017</v>
      </c>
      <c r="K18" s="6" t="s">
        <v>1061</v>
      </c>
      <c r="L18" s="6" t="s">
        <v>1064</v>
      </c>
      <c r="M18" s="8">
        <v>119900</v>
      </c>
      <c r="N18" s="9">
        <v>0.95</v>
      </c>
      <c r="O18" s="8">
        <f t="shared" si="0"/>
        <v>5995</v>
      </c>
      <c r="P18" s="6" t="s">
        <v>16</v>
      </c>
    </row>
    <row r="19" spans="1:16" x14ac:dyDescent="0.35">
      <c r="A19" s="6" t="s">
        <v>3795</v>
      </c>
      <c r="B19" s="7">
        <f t="shared" si="1"/>
        <v>46121</v>
      </c>
      <c r="C19" s="7">
        <f t="shared" si="2"/>
        <v>46127</v>
      </c>
      <c r="D19" s="6">
        <v>3281</v>
      </c>
      <c r="E19" s="6">
        <v>337</v>
      </c>
      <c r="F19" s="6">
        <v>4</v>
      </c>
      <c r="G19" s="6">
        <v>1</v>
      </c>
      <c r="H19" s="6">
        <v>81574</v>
      </c>
      <c r="I19" s="6" t="s">
        <v>17</v>
      </c>
      <c r="J19" s="6">
        <v>24168376</v>
      </c>
      <c r="K19" s="6" t="s">
        <v>1045</v>
      </c>
      <c r="L19" s="6" t="s">
        <v>1046</v>
      </c>
      <c r="M19" s="8">
        <v>129900</v>
      </c>
      <c r="N19" s="9">
        <v>0.95</v>
      </c>
      <c r="O19" s="8">
        <f t="shared" si="0"/>
        <v>6495</v>
      </c>
      <c r="P19" s="6" t="s">
        <v>16</v>
      </c>
    </row>
    <row r="20" spans="1:16" x14ac:dyDescent="0.35">
      <c r="A20" s="6" t="s">
        <v>3795</v>
      </c>
      <c r="B20" s="7">
        <f t="shared" si="1"/>
        <v>46121</v>
      </c>
      <c r="C20" s="7">
        <f t="shared" si="2"/>
        <v>46127</v>
      </c>
      <c r="D20" s="6">
        <v>3281</v>
      </c>
      <c r="E20" s="6">
        <v>337</v>
      </c>
      <c r="F20" s="6">
        <v>4</v>
      </c>
      <c r="G20" s="6">
        <v>1</v>
      </c>
      <c r="H20" s="6">
        <v>81574</v>
      </c>
      <c r="I20" s="6" t="s">
        <v>17</v>
      </c>
      <c r="J20" s="6">
        <v>24793422</v>
      </c>
      <c r="K20" s="6" t="s">
        <v>1047</v>
      </c>
      <c r="L20" s="6" t="s">
        <v>1048</v>
      </c>
      <c r="M20" s="8">
        <v>129900</v>
      </c>
      <c r="N20" s="9">
        <v>0.95</v>
      </c>
      <c r="O20" s="8">
        <f t="shared" si="0"/>
        <v>6495</v>
      </c>
      <c r="P20" s="6" t="s">
        <v>16</v>
      </c>
    </row>
    <row r="21" spans="1:16" x14ac:dyDescent="0.35">
      <c r="A21" s="6" t="s">
        <v>3795</v>
      </c>
      <c r="B21" s="7">
        <f t="shared" si="1"/>
        <v>46121</v>
      </c>
      <c r="C21" s="7">
        <f t="shared" si="2"/>
        <v>46127</v>
      </c>
      <c r="D21" s="6">
        <v>3281</v>
      </c>
      <c r="E21" s="6">
        <v>337</v>
      </c>
      <c r="F21" s="6">
        <v>4</v>
      </c>
      <c r="G21" s="6">
        <v>1</v>
      </c>
      <c r="H21" s="6">
        <v>81505</v>
      </c>
      <c r="I21" s="6" t="s">
        <v>17</v>
      </c>
      <c r="J21" s="6">
        <v>23487916</v>
      </c>
      <c r="K21" s="6" t="s">
        <v>1049</v>
      </c>
      <c r="L21" s="6" t="s">
        <v>1050</v>
      </c>
      <c r="M21" s="8">
        <v>179900</v>
      </c>
      <c r="N21" s="9">
        <v>0.95</v>
      </c>
      <c r="O21" s="8">
        <f t="shared" si="0"/>
        <v>8995</v>
      </c>
      <c r="P21" s="6" t="s">
        <v>16</v>
      </c>
    </row>
    <row r="22" spans="1:16" x14ac:dyDescent="0.35">
      <c r="A22" s="6" t="s">
        <v>3795</v>
      </c>
      <c r="B22" s="7">
        <f t="shared" si="1"/>
        <v>46121</v>
      </c>
      <c r="C22" s="7">
        <f t="shared" si="2"/>
        <v>46127</v>
      </c>
      <c r="D22" s="6">
        <v>3281</v>
      </c>
      <c r="E22" s="6">
        <v>337</v>
      </c>
      <c r="F22" s="6">
        <v>4</v>
      </c>
      <c r="G22" s="6">
        <v>1</v>
      </c>
      <c r="H22" s="6">
        <v>81427</v>
      </c>
      <c r="I22" s="6" t="s">
        <v>17</v>
      </c>
      <c r="J22" s="6">
        <v>24337308</v>
      </c>
      <c r="K22" s="6" t="s">
        <v>1051</v>
      </c>
      <c r="L22" s="6" t="s">
        <v>1052</v>
      </c>
      <c r="M22" s="8">
        <v>129900</v>
      </c>
      <c r="N22" s="9">
        <v>0.95</v>
      </c>
      <c r="O22" s="8">
        <f t="shared" si="0"/>
        <v>6495</v>
      </c>
      <c r="P22" s="6" t="s">
        <v>16</v>
      </c>
    </row>
    <row r="23" spans="1:16" x14ac:dyDescent="0.35">
      <c r="A23" s="6" t="s">
        <v>3795</v>
      </c>
      <c r="B23" s="7">
        <f t="shared" si="1"/>
        <v>46121</v>
      </c>
      <c r="C23" s="7">
        <f t="shared" si="2"/>
        <v>46127</v>
      </c>
      <c r="D23" s="6">
        <v>3281</v>
      </c>
      <c r="E23" s="6">
        <v>337</v>
      </c>
      <c r="F23" s="6">
        <v>4</v>
      </c>
      <c r="G23" s="6">
        <v>1</v>
      </c>
      <c r="H23" s="6">
        <v>81427</v>
      </c>
      <c r="I23" s="6" t="s">
        <v>17</v>
      </c>
      <c r="J23" s="6">
        <v>23730054</v>
      </c>
      <c r="K23" s="6" t="s">
        <v>1065</v>
      </c>
      <c r="L23" s="6" t="s">
        <v>1066</v>
      </c>
      <c r="M23" s="8">
        <v>199900</v>
      </c>
      <c r="N23" s="9">
        <v>0.95</v>
      </c>
      <c r="O23" s="8">
        <f t="shared" si="0"/>
        <v>9995</v>
      </c>
      <c r="P23" s="6" t="s">
        <v>16</v>
      </c>
    </row>
    <row r="24" spans="1:16" x14ac:dyDescent="0.35">
      <c r="A24" s="6" t="s">
        <v>3795</v>
      </c>
      <c r="B24" s="7">
        <f t="shared" si="1"/>
        <v>46121</v>
      </c>
      <c r="C24" s="7">
        <f t="shared" si="2"/>
        <v>46127</v>
      </c>
      <c r="D24" s="6">
        <v>3281</v>
      </c>
      <c r="E24" s="6">
        <v>337</v>
      </c>
      <c r="F24" s="6">
        <v>4</v>
      </c>
      <c r="G24" s="6">
        <v>1</v>
      </c>
      <c r="H24" s="6">
        <v>81427</v>
      </c>
      <c r="I24" s="6" t="s">
        <v>17</v>
      </c>
      <c r="J24" s="6">
        <v>23730063</v>
      </c>
      <c r="K24" s="6" t="s">
        <v>1065</v>
      </c>
      <c r="L24" s="6" t="s">
        <v>1067</v>
      </c>
      <c r="M24" s="8">
        <v>199900</v>
      </c>
      <c r="N24" s="9">
        <v>0.95</v>
      </c>
      <c r="O24" s="8">
        <f t="shared" si="0"/>
        <v>9995</v>
      </c>
      <c r="P24" s="6" t="s">
        <v>16</v>
      </c>
    </row>
    <row r="25" spans="1:16" x14ac:dyDescent="0.35">
      <c r="A25" s="6" t="s">
        <v>3795</v>
      </c>
      <c r="B25" s="7">
        <f t="shared" si="1"/>
        <v>46121</v>
      </c>
      <c r="C25" s="7">
        <f t="shared" si="2"/>
        <v>46127</v>
      </c>
      <c r="D25" s="6">
        <v>3281</v>
      </c>
      <c r="E25" s="6">
        <v>337</v>
      </c>
      <c r="F25" s="6">
        <v>4</v>
      </c>
      <c r="G25" s="6">
        <v>1</v>
      </c>
      <c r="H25" s="6">
        <v>81427</v>
      </c>
      <c r="I25" s="6" t="s">
        <v>17</v>
      </c>
      <c r="J25" s="6">
        <v>23730072</v>
      </c>
      <c r="K25" s="6" t="s">
        <v>1065</v>
      </c>
      <c r="L25" s="6" t="s">
        <v>1068</v>
      </c>
      <c r="M25" s="8">
        <v>199900</v>
      </c>
      <c r="N25" s="9">
        <v>0.95</v>
      </c>
      <c r="O25" s="8">
        <f t="shared" si="0"/>
        <v>9995</v>
      </c>
      <c r="P25" s="6" t="s">
        <v>16</v>
      </c>
    </row>
    <row r="26" spans="1:16" x14ac:dyDescent="0.35">
      <c r="A26" s="6" t="s">
        <v>3795</v>
      </c>
      <c r="B26" s="7">
        <f t="shared" si="1"/>
        <v>46121</v>
      </c>
      <c r="C26" s="7">
        <f t="shared" si="2"/>
        <v>46127</v>
      </c>
      <c r="D26" s="6">
        <v>3281</v>
      </c>
      <c r="E26" s="6">
        <v>337</v>
      </c>
      <c r="F26" s="6">
        <v>4</v>
      </c>
      <c r="G26" s="6">
        <v>2</v>
      </c>
      <c r="H26" s="6">
        <v>81490</v>
      </c>
      <c r="I26" s="6" t="s">
        <v>17</v>
      </c>
      <c r="J26" s="6">
        <v>23981426</v>
      </c>
      <c r="K26" s="6" t="s">
        <v>1075</v>
      </c>
      <c r="L26" s="6" t="s">
        <v>1076</v>
      </c>
      <c r="M26" s="8">
        <v>219900</v>
      </c>
      <c r="N26" s="9">
        <v>0.95</v>
      </c>
      <c r="O26" s="8">
        <f t="shared" si="0"/>
        <v>10995</v>
      </c>
      <c r="P26" s="6" t="s">
        <v>16</v>
      </c>
    </row>
    <row r="27" spans="1:16" x14ac:dyDescent="0.35">
      <c r="A27" s="6" t="s">
        <v>3795</v>
      </c>
      <c r="B27" s="7">
        <f t="shared" si="1"/>
        <v>46121</v>
      </c>
      <c r="C27" s="7">
        <f t="shared" si="2"/>
        <v>46127</v>
      </c>
      <c r="D27" s="6">
        <v>3281</v>
      </c>
      <c r="E27" s="6">
        <v>337</v>
      </c>
      <c r="F27" s="6">
        <v>4</v>
      </c>
      <c r="G27" s="6">
        <v>2</v>
      </c>
      <c r="H27" s="6">
        <v>81490</v>
      </c>
      <c r="I27" s="6" t="s">
        <v>17</v>
      </c>
      <c r="J27" s="6">
        <v>23981435</v>
      </c>
      <c r="K27" s="6" t="s">
        <v>1075</v>
      </c>
      <c r="L27" s="6" t="s">
        <v>1077</v>
      </c>
      <c r="M27" s="8">
        <v>219900</v>
      </c>
      <c r="N27" s="9">
        <v>0.95</v>
      </c>
      <c r="O27" s="8">
        <f t="shared" si="0"/>
        <v>10995</v>
      </c>
      <c r="P27" s="6" t="s">
        <v>16</v>
      </c>
    </row>
    <row r="28" spans="1:16" x14ac:dyDescent="0.35">
      <c r="A28" s="6" t="s">
        <v>3795</v>
      </c>
      <c r="B28" s="7">
        <f t="shared" si="1"/>
        <v>46121</v>
      </c>
      <c r="C28" s="7">
        <f t="shared" si="2"/>
        <v>46127</v>
      </c>
      <c r="D28" s="6">
        <v>3281</v>
      </c>
      <c r="E28" s="6">
        <v>337</v>
      </c>
      <c r="F28" s="6">
        <v>4</v>
      </c>
      <c r="G28" s="6">
        <v>2</v>
      </c>
      <c r="H28" s="6">
        <v>81490</v>
      </c>
      <c r="I28" s="6" t="s">
        <v>17</v>
      </c>
      <c r="J28" s="6">
        <v>23981444</v>
      </c>
      <c r="K28" s="6" t="s">
        <v>1075</v>
      </c>
      <c r="L28" s="6" t="s">
        <v>1078</v>
      </c>
      <c r="M28" s="8">
        <v>219900</v>
      </c>
      <c r="N28" s="9">
        <v>0.95</v>
      </c>
      <c r="O28" s="8">
        <f t="shared" si="0"/>
        <v>10995</v>
      </c>
      <c r="P28" s="6" t="s">
        <v>16</v>
      </c>
    </row>
    <row r="29" spans="1:16" x14ac:dyDescent="0.35">
      <c r="A29" s="6" t="s">
        <v>3795</v>
      </c>
      <c r="B29" s="7">
        <f t="shared" si="1"/>
        <v>46121</v>
      </c>
      <c r="C29" s="7">
        <f t="shared" si="2"/>
        <v>46127</v>
      </c>
      <c r="D29" s="6">
        <v>3281</v>
      </c>
      <c r="E29" s="6">
        <v>337</v>
      </c>
      <c r="F29" s="6">
        <v>4</v>
      </c>
      <c r="G29" s="6">
        <v>2</v>
      </c>
      <c r="H29" s="6">
        <v>81490</v>
      </c>
      <c r="I29" s="6" t="s">
        <v>17</v>
      </c>
      <c r="J29" s="6">
        <v>23981453</v>
      </c>
      <c r="K29" s="6" t="s">
        <v>1075</v>
      </c>
      <c r="L29" s="6" t="s">
        <v>1079</v>
      </c>
      <c r="M29" s="8">
        <v>219900</v>
      </c>
      <c r="N29" s="9">
        <v>0.95</v>
      </c>
      <c r="O29" s="8">
        <f t="shared" si="0"/>
        <v>10995</v>
      </c>
      <c r="P29" s="6" t="s">
        <v>16</v>
      </c>
    </row>
    <row r="30" spans="1:16" x14ac:dyDescent="0.35">
      <c r="A30" s="6" t="s">
        <v>3795</v>
      </c>
      <c r="B30" s="7">
        <f t="shared" si="1"/>
        <v>46121</v>
      </c>
      <c r="C30" s="7">
        <f t="shared" si="2"/>
        <v>46127</v>
      </c>
      <c r="D30" s="6">
        <v>3281</v>
      </c>
      <c r="E30" s="6">
        <v>337</v>
      </c>
      <c r="F30" s="6">
        <v>4</v>
      </c>
      <c r="G30" s="6">
        <v>2</v>
      </c>
      <c r="H30" s="6">
        <v>81490</v>
      </c>
      <c r="I30" s="6" t="s">
        <v>17</v>
      </c>
      <c r="J30" s="6">
        <v>23981462</v>
      </c>
      <c r="K30" s="6" t="s">
        <v>1075</v>
      </c>
      <c r="L30" s="6" t="s">
        <v>1080</v>
      </c>
      <c r="M30" s="8">
        <v>219900</v>
      </c>
      <c r="N30" s="9">
        <v>0.95</v>
      </c>
      <c r="O30" s="8">
        <f t="shared" si="0"/>
        <v>10995</v>
      </c>
      <c r="P30" s="6" t="s">
        <v>16</v>
      </c>
    </row>
    <row r="31" spans="1:16" x14ac:dyDescent="0.35">
      <c r="A31" s="6" t="s">
        <v>3795</v>
      </c>
      <c r="B31" s="7">
        <f t="shared" si="1"/>
        <v>46121</v>
      </c>
      <c r="C31" s="7">
        <f t="shared" si="2"/>
        <v>46127</v>
      </c>
      <c r="D31" s="6">
        <v>3281</v>
      </c>
      <c r="E31" s="6">
        <v>337</v>
      </c>
      <c r="F31" s="6">
        <v>4</v>
      </c>
      <c r="G31" s="6">
        <v>2</v>
      </c>
      <c r="H31" s="6">
        <v>81490</v>
      </c>
      <c r="I31" s="6" t="s">
        <v>17</v>
      </c>
      <c r="J31" s="6">
        <v>24168643</v>
      </c>
      <c r="K31" s="6" t="s">
        <v>1069</v>
      </c>
      <c r="L31" s="6" t="s">
        <v>1070</v>
      </c>
      <c r="M31" s="8">
        <v>229900</v>
      </c>
      <c r="N31" s="9">
        <v>0.95</v>
      </c>
      <c r="O31" s="8">
        <f t="shared" si="0"/>
        <v>11495</v>
      </c>
      <c r="P31" s="6" t="s">
        <v>16</v>
      </c>
    </row>
    <row r="32" spans="1:16" x14ac:dyDescent="0.35">
      <c r="A32" s="6" t="s">
        <v>3795</v>
      </c>
      <c r="B32" s="7">
        <f t="shared" si="1"/>
        <v>46121</v>
      </c>
      <c r="C32" s="7">
        <f t="shared" si="2"/>
        <v>46127</v>
      </c>
      <c r="D32" s="6">
        <v>3281</v>
      </c>
      <c r="E32" s="6">
        <v>337</v>
      </c>
      <c r="F32" s="6">
        <v>4</v>
      </c>
      <c r="G32" s="6">
        <v>2</v>
      </c>
      <c r="H32" s="6">
        <v>81490</v>
      </c>
      <c r="I32" s="6" t="s">
        <v>17</v>
      </c>
      <c r="J32" s="6">
        <v>24217045</v>
      </c>
      <c r="K32" s="6" t="s">
        <v>1081</v>
      </c>
      <c r="L32" s="6" t="s">
        <v>1082</v>
      </c>
      <c r="M32" s="8">
        <v>249900</v>
      </c>
      <c r="N32" s="9">
        <v>0.95</v>
      </c>
      <c r="O32" s="8">
        <f t="shared" si="0"/>
        <v>12495</v>
      </c>
      <c r="P32" s="6" t="s">
        <v>16</v>
      </c>
    </row>
    <row r="33" spans="1:16" x14ac:dyDescent="0.35">
      <c r="A33" s="6" t="s">
        <v>3795</v>
      </c>
      <c r="B33" s="7">
        <f t="shared" si="1"/>
        <v>46121</v>
      </c>
      <c r="C33" s="7">
        <f t="shared" si="2"/>
        <v>46127</v>
      </c>
      <c r="D33" s="6">
        <v>3281</v>
      </c>
      <c r="E33" s="6">
        <v>337</v>
      </c>
      <c r="F33" s="6">
        <v>4</v>
      </c>
      <c r="G33" s="6">
        <v>2</v>
      </c>
      <c r="H33" s="6">
        <v>81490</v>
      </c>
      <c r="I33" s="6" t="s">
        <v>17</v>
      </c>
      <c r="J33" s="6">
        <v>24217054</v>
      </c>
      <c r="K33" s="6" t="s">
        <v>1081</v>
      </c>
      <c r="L33" s="6" t="s">
        <v>1083</v>
      </c>
      <c r="M33" s="8">
        <v>249900</v>
      </c>
      <c r="N33" s="9">
        <v>0.95</v>
      </c>
      <c r="O33" s="8">
        <f t="shared" si="0"/>
        <v>12495</v>
      </c>
      <c r="P33" s="6" t="s">
        <v>16</v>
      </c>
    </row>
    <row r="34" spans="1:16" x14ac:dyDescent="0.35">
      <c r="A34" s="6" t="s">
        <v>3795</v>
      </c>
      <c r="B34" s="7">
        <f t="shared" si="1"/>
        <v>46121</v>
      </c>
      <c r="C34" s="7">
        <f t="shared" si="2"/>
        <v>46127</v>
      </c>
      <c r="D34" s="6">
        <v>3281</v>
      </c>
      <c r="E34" s="6">
        <v>337</v>
      </c>
      <c r="F34" s="6">
        <v>4</v>
      </c>
      <c r="G34" s="6">
        <v>2</v>
      </c>
      <c r="H34" s="6">
        <v>81490</v>
      </c>
      <c r="I34" s="6" t="s">
        <v>17</v>
      </c>
      <c r="J34" s="6">
        <v>24217063</v>
      </c>
      <c r="K34" s="6" t="s">
        <v>1081</v>
      </c>
      <c r="L34" s="6" t="s">
        <v>1084</v>
      </c>
      <c r="M34" s="8">
        <v>249900</v>
      </c>
      <c r="N34" s="9">
        <v>0.95</v>
      </c>
      <c r="O34" s="8">
        <f t="shared" si="0"/>
        <v>12495</v>
      </c>
      <c r="P34" s="6" t="s">
        <v>16</v>
      </c>
    </row>
    <row r="35" spans="1:16" x14ac:dyDescent="0.35">
      <c r="A35" s="6" t="s">
        <v>3795</v>
      </c>
      <c r="B35" s="7">
        <f t="shared" si="1"/>
        <v>46121</v>
      </c>
      <c r="C35" s="7">
        <f t="shared" si="2"/>
        <v>46127</v>
      </c>
      <c r="D35" s="6">
        <v>3281</v>
      </c>
      <c r="E35" s="6">
        <v>337</v>
      </c>
      <c r="F35" s="6">
        <v>4</v>
      </c>
      <c r="G35" s="6">
        <v>2</v>
      </c>
      <c r="H35" s="6">
        <v>81490</v>
      </c>
      <c r="I35" s="6" t="s">
        <v>17</v>
      </c>
      <c r="J35" s="6">
        <v>24217072</v>
      </c>
      <c r="K35" s="6" t="s">
        <v>1081</v>
      </c>
      <c r="L35" s="6" t="s">
        <v>1085</v>
      </c>
      <c r="M35" s="8">
        <v>249900</v>
      </c>
      <c r="N35" s="9">
        <v>0.95</v>
      </c>
      <c r="O35" s="8">
        <f t="shared" si="0"/>
        <v>12495</v>
      </c>
      <c r="P35" s="6" t="s">
        <v>16</v>
      </c>
    </row>
    <row r="36" spans="1:16" x14ac:dyDescent="0.35">
      <c r="A36" s="6" t="s">
        <v>3795</v>
      </c>
      <c r="B36" s="7">
        <f t="shared" si="1"/>
        <v>46121</v>
      </c>
      <c r="C36" s="7">
        <f t="shared" si="2"/>
        <v>46127</v>
      </c>
      <c r="D36" s="6">
        <v>3281</v>
      </c>
      <c r="E36" s="6">
        <v>337</v>
      </c>
      <c r="F36" s="6">
        <v>4</v>
      </c>
      <c r="G36" s="6">
        <v>2</v>
      </c>
      <c r="H36" s="6">
        <v>81490</v>
      </c>
      <c r="I36" s="6" t="s">
        <v>17</v>
      </c>
      <c r="J36" s="6">
        <v>24217081</v>
      </c>
      <c r="K36" s="6" t="s">
        <v>1081</v>
      </c>
      <c r="L36" s="6" t="s">
        <v>1086</v>
      </c>
      <c r="M36" s="8">
        <v>249900</v>
      </c>
      <c r="N36" s="9">
        <v>0.95</v>
      </c>
      <c r="O36" s="8">
        <f t="shared" si="0"/>
        <v>12495</v>
      </c>
      <c r="P36" s="6" t="s">
        <v>16</v>
      </c>
    </row>
    <row r="37" spans="1:16" x14ac:dyDescent="0.35">
      <c r="A37" s="6" t="s">
        <v>3795</v>
      </c>
      <c r="B37" s="7">
        <f t="shared" si="1"/>
        <v>46121</v>
      </c>
      <c r="C37" s="7">
        <f t="shared" si="2"/>
        <v>46127</v>
      </c>
      <c r="D37" s="6">
        <v>3281</v>
      </c>
      <c r="E37" s="6">
        <v>337</v>
      </c>
      <c r="F37" s="6">
        <v>4</v>
      </c>
      <c r="G37" s="6">
        <v>2</v>
      </c>
      <c r="H37" s="6">
        <v>81490</v>
      </c>
      <c r="I37" s="6" t="s">
        <v>17</v>
      </c>
      <c r="J37" s="6">
        <v>24242482</v>
      </c>
      <c r="K37" s="6" t="s">
        <v>1087</v>
      </c>
      <c r="L37" s="6" t="s">
        <v>1088</v>
      </c>
      <c r="M37" s="8">
        <v>219900</v>
      </c>
      <c r="N37" s="9">
        <v>0.95</v>
      </c>
      <c r="O37" s="8">
        <f t="shared" si="0"/>
        <v>10995</v>
      </c>
      <c r="P37" s="6" t="s">
        <v>16</v>
      </c>
    </row>
    <row r="38" spans="1:16" x14ac:dyDescent="0.35">
      <c r="A38" s="6" t="s">
        <v>3795</v>
      </c>
      <c r="B38" s="7">
        <f t="shared" si="1"/>
        <v>46121</v>
      </c>
      <c r="C38" s="7">
        <f t="shared" si="2"/>
        <v>46127</v>
      </c>
      <c r="D38" s="6">
        <v>3281</v>
      </c>
      <c r="E38" s="6">
        <v>337</v>
      </c>
      <c r="F38" s="6">
        <v>4</v>
      </c>
      <c r="G38" s="6">
        <v>2</v>
      </c>
      <c r="H38" s="6">
        <v>81490</v>
      </c>
      <c r="I38" s="6" t="s">
        <v>17</v>
      </c>
      <c r="J38" s="6">
        <v>24242491</v>
      </c>
      <c r="K38" s="6" t="s">
        <v>1087</v>
      </c>
      <c r="L38" s="6" t="s">
        <v>1089</v>
      </c>
      <c r="M38" s="8">
        <v>219900</v>
      </c>
      <c r="N38" s="9">
        <v>0.95</v>
      </c>
      <c r="O38" s="8">
        <f t="shared" si="0"/>
        <v>10995</v>
      </c>
      <c r="P38" s="6" t="s">
        <v>16</v>
      </c>
    </row>
    <row r="39" spans="1:16" x14ac:dyDescent="0.35">
      <c r="A39" s="6" t="s">
        <v>3795</v>
      </c>
      <c r="B39" s="7">
        <f t="shared" si="1"/>
        <v>46121</v>
      </c>
      <c r="C39" s="7">
        <f t="shared" si="2"/>
        <v>46127</v>
      </c>
      <c r="D39" s="6">
        <v>3281</v>
      </c>
      <c r="E39" s="6">
        <v>337</v>
      </c>
      <c r="F39" s="6">
        <v>4</v>
      </c>
      <c r="G39" s="6">
        <v>2</v>
      </c>
      <c r="H39" s="6">
        <v>81490</v>
      </c>
      <c r="I39" s="6" t="s">
        <v>17</v>
      </c>
      <c r="J39" s="6">
        <v>24889936</v>
      </c>
      <c r="K39" s="6" t="s">
        <v>1071</v>
      </c>
      <c r="L39" s="6" t="s">
        <v>1072</v>
      </c>
      <c r="M39" s="8">
        <v>199900</v>
      </c>
      <c r="N39" s="9">
        <v>0.95</v>
      </c>
      <c r="O39" s="8">
        <f t="shared" si="0"/>
        <v>9995</v>
      </c>
      <c r="P39" s="6" t="s">
        <v>16</v>
      </c>
    </row>
    <row r="40" spans="1:16" x14ac:dyDescent="0.35">
      <c r="A40" s="6" t="s">
        <v>3795</v>
      </c>
      <c r="B40" s="7">
        <f t="shared" si="1"/>
        <v>46121</v>
      </c>
      <c r="C40" s="7">
        <f t="shared" si="2"/>
        <v>46127</v>
      </c>
      <c r="D40" s="6">
        <v>3281</v>
      </c>
      <c r="E40" s="6">
        <v>337</v>
      </c>
      <c r="F40" s="6">
        <v>4</v>
      </c>
      <c r="G40" s="6">
        <v>2</v>
      </c>
      <c r="H40" s="6">
        <v>81490</v>
      </c>
      <c r="I40" s="6" t="s">
        <v>17</v>
      </c>
      <c r="J40" s="6">
        <v>24889945</v>
      </c>
      <c r="K40" s="6" t="s">
        <v>1071</v>
      </c>
      <c r="L40" s="6" t="s">
        <v>1073</v>
      </c>
      <c r="M40" s="8">
        <v>199900</v>
      </c>
      <c r="N40" s="9">
        <v>0.95</v>
      </c>
      <c r="O40" s="8">
        <f t="shared" si="0"/>
        <v>9995</v>
      </c>
      <c r="P40" s="6" t="s">
        <v>16</v>
      </c>
    </row>
    <row r="41" spans="1:16" x14ac:dyDescent="0.35">
      <c r="A41" s="6" t="s">
        <v>3795</v>
      </c>
      <c r="B41" s="7">
        <f t="shared" si="1"/>
        <v>46121</v>
      </c>
      <c r="C41" s="7">
        <f t="shared" si="2"/>
        <v>46127</v>
      </c>
      <c r="D41" s="6">
        <v>3281</v>
      </c>
      <c r="E41" s="6">
        <v>337</v>
      </c>
      <c r="F41" s="6">
        <v>4</v>
      </c>
      <c r="G41" s="6">
        <v>2</v>
      </c>
      <c r="H41" s="6">
        <v>81490</v>
      </c>
      <c r="I41" s="6" t="s">
        <v>17</v>
      </c>
      <c r="J41" s="6">
        <v>24889954</v>
      </c>
      <c r="K41" s="6" t="s">
        <v>1071</v>
      </c>
      <c r="L41" s="6" t="s">
        <v>1074</v>
      </c>
      <c r="M41" s="8">
        <v>199900</v>
      </c>
      <c r="N41" s="9">
        <v>0.95</v>
      </c>
      <c r="O41" s="8">
        <f t="shared" si="0"/>
        <v>9995</v>
      </c>
      <c r="P41" s="6" t="s">
        <v>16</v>
      </c>
    </row>
    <row r="42" spans="1:16" x14ac:dyDescent="0.35">
      <c r="A42" s="6" t="s">
        <v>3795</v>
      </c>
      <c r="B42" s="7">
        <f t="shared" si="1"/>
        <v>46121</v>
      </c>
      <c r="C42" s="7">
        <f t="shared" si="2"/>
        <v>46127</v>
      </c>
      <c r="D42" s="6">
        <v>3281</v>
      </c>
      <c r="E42" s="6">
        <v>337</v>
      </c>
      <c r="F42" s="6">
        <v>4</v>
      </c>
      <c r="G42" s="6">
        <v>3</v>
      </c>
      <c r="H42" s="6">
        <v>80920</v>
      </c>
      <c r="I42" s="6" t="s">
        <v>17</v>
      </c>
      <c r="J42" s="6">
        <v>24746189</v>
      </c>
      <c r="K42" s="6" t="s">
        <v>1090</v>
      </c>
      <c r="L42" s="6" t="s">
        <v>1091</v>
      </c>
      <c r="M42" s="8">
        <v>189900</v>
      </c>
      <c r="N42" s="9">
        <v>0.95</v>
      </c>
      <c r="O42" s="8">
        <f t="shared" si="0"/>
        <v>9495</v>
      </c>
      <c r="P42" s="6" t="s">
        <v>16</v>
      </c>
    </row>
    <row r="43" spans="1:16" x14ac:dyDescent="0.35">
      <c r="A43" s="6" t="s">
        <v>3795</v>
      </c>
      <c r="B43" s="7">
        <f t="shared" si="1"/>
        <v>46121</v>
      </c>
      <c r="C43" s="7">
        <f t="shared" si="2"/>
        <v>46127</v>
      </c>
      <c r="D43" s="6">
        <v>3281</v>
      </c>
      <c r="E43" s="6">
        <v>337</v>
      </c>
      <c r="F43" s="6">
        <v>4</v>
      </c>
      <c r="G43" s="6">
        <v>3</v>
      </c>
      <c r="H43" s="6">
        <v>81505</v>
      </c>
      <c r="I43" s="6" t="s">
        <v>17</v>
      </c>
      <c r="J43" s="6">
        <v>24968547</v>
      </c>
      <c r="K43" s="6" t="s">
        <v>1092</v>
      </c>
      <c r="L43" s="6" t="s">
        <v>1093</v>
      </c>
      <c r="M43" s="8">
        <v>179900</v>
      </c>
      <c r="N43" s="9">
        <v>0.95</v>
      </c>
      <c r="O43" s="8">
        <f t="shared" si="0"/>
        <v>8995</v>
      </c>
      <c r="P43" s="6" t="s">
        <v>16</v>
      </c>
    </row>
    <row r="44" spans="1:16" x14ac:dyDescent="0.35">
      <c r="A44" s="6" t="s">
        <v>3795</v>
      </c>
      <c r="B44" s="7">
        <f t="shared" si="1"/>
        <v>46121</v>
      </c>
      <c r="C44" s="7">
        <f t="shared" si="2"/>
        <v>46127</v>
      </c>
      <c r="D44" s="6">
        <v>3281</v>
      </c>
      <c r="E44" s="6">
        <v>337</v>
      </c>
      <c r="F44" s="6">
        <v>4</v>
      </c>
      <c r="G44" s="6">
        <v>3</v>
      </c>
      <c r="H44" s="6">
        <v>81505</v>
      </c>
      <c r="I44" s="6" t="s">
        <v>17</v>
      </c>
      <c r="J44" s="6">
        <v>21456711</v>
      </c>
      <c r="K44" s="6" t="s">
        <v>4856</v>
      </c>
      <c r="L44" s="6" t="s">
        <v>4857</v>
      </c>
      <c r="M44" s="8">
        <v>179900</v>
      </c>
      <c r="N44" s="9">
        <v>0.95</v>
      </c>
      <c r="O44" s="8">
        <f t="shared" si="0"/>
        <v>8995</v>
      </c>
      <c r="P44" s="6" t="s">
        <v>16</v>
      </c>
    </row>
    <row r="45" spans="1:16" x14ac:dyDescent="0.35">
      <c r="A45" s="6" t="s">
        <v>3795</v>
      </c>
      <c r="B45" s="7">
        <f t="shared" si="1"/>
        <v>46121</v>
      </c>
      <c r="C45" s="7">
        <f t="shared" si="2"/>
        <v>46127</v>
      </c>
      <c r="D45" s="6">
        <v>3281</v>
      </c>
      <c r="E45" s="6">
        <v>337</v>
      </c>
      <c r="F45" s="6">
        <v>4</v>
      </c>
      <c r="G45" s="6">
        <v>4</v>
      </c>
      <c r="H45" s="6">
        <v>190</v>
      </c>
      <c r="I45" s="6" t="s">
        <v>17</v>
      </c>
      <c r="J45" s="6">
        <v>23912634</v>
      </c>
      <c r="K45" s="6" t="s">
        <v>1098</v>
      </c>
      <c r="L45" s="6" t="s">
        <v>1099</v>
      </c>
      <c r="M45" s="8">
        <v>179900</v>
      </c>
      <c r="N45" s="9">
        <v>0.95</v>
      </c>
      <c r="O45" s="8">
        <f t="shared" si="0"/>
        <v>8995</v>
      </c>
      <c r="P45" s="6" t="s">
        <v>16</v>
      </c>
    </row>
    <row r="46" spans="1:16" x14ac:dyDescent="0.35">
      <c r="A46" s="6" t="s">
        <v>3795</v>
      </c>
      <c r="B46" s="7">
        <f t="shared" si="1"/>
        <v>46121</v>
      </c>
      <c r="C46" s="7">
        <f t="shared" si="2"/>
        <v>46127</v>
      </c>
      <c r="D46" s="6">
        <v>3281</v>
      </c>
      <c r="E46" s="6">
        <v>337</v>
      </c>
      <c r="F46" s="6">
        <v>4</v>
      </c>
      <c r="G46" s="6">
        <v>4</v>
      </c>
      <c r="H46" s="6">
        <v>190</v>
      </c>
      <c r="I46" s="6" t="s">
        <v>17</v>
      </c>
      <c r="J46" s="6">
        <v>24530830</v>
      </c>
      <c r="K46" s="6" t="s">
        <v>1094</v>
      </c>
      <c r="L46" s="6" t="s">
        <v>1095</v>
      </c>
      <c r="M46" s="8">
        <v>159900</v>
      </c>
      <c r="N46" s="9">
        <v>0.95</v>
      </c>
      <c r="O46" s="8">
        <f t="shared" si="0"/>
        <v>7995</v>
      </c>
      <c r="P46" s="6" t="s">
        <v>16</v>
      </c>
    </row>
    <row r="47" spans="1:16" x14ac:dyDescent="0.35">
      <c r="A47" s="6" t="s">
        <v>3795</v>
      </c>
      <c r="B47" s="7">
        <f t="shared" si="1"/>
        <v>46121</v>
      </c>
      <c r="C47" s="7">
        <f t="shared" si="2"/>
        <v>46127</v>
      </c>
      <c r="D47" s="6">
        <v>3281</v>
      </c>
      <c r="E47" s="6">
        <v>337</v>
      </c>
      <c r="F47" s="6">
        <v>4</v>
      </c>
      <c r="G47" s="6">
        <v>4</v>
      </c>
      <c r="H47" s="6">
        <v>190</v>
      </c>
      <c r="I47" s="6" t="s">
        <v>17</v>
      </c>
      <c r="J47" s="6">
        <v>24530849</v>
      </c>
      <c r="K47" s="6" t="s">
        <v>1094</v>
      </c>
      <c r="L47" s="6" t="s">
        <v>1096</v>
      </c>
      <c r="M47" s="8">
        <v>159900</v>
      </c>
      <c r="N47" s="9">
        <v>0.95</v>
      </c>
      <c r="O47" s="8">
        <f t="shared" si="0"/>
        <v>7995</v>
      </c>
      <c r="P47" s="6" t="s">
        <v>16</v>
      </c>
    </row>
    <row r="48" spans="1:16" x14ac:dyDescent="0.35">
      <c r="A48" s="6" t="s">
        <v>3795</v>
      </c>
      <c r="B48" s="7">
        <f t="shared" si="1"/>
        <v>46121</v>
      </c>
      <c r="C48" s="7">
        <f t="shared" si="2"/>
        <v>46127</v>
      </c>
      <c r="D48" s="6">
        <v>3281</v>
      </c>
      <c r="E48" s="6">
        <v>337</v>
      </c>
      <c r="F48" s="6">
        <v>4</v>
      </c>
      <c r="G48" s="6">
        <v>4</v>
      </c>
      <c r="H48" s="6">
        <v>190</v>
      </c>
      <c r="I48" s="6" t="s">
        <v>17</v>
      </c>
      <c r="J48" s="6">
        <v>24530858</v>
      </c>
      <c r="K48" s="6" t="s">
        <v>1094</v>
      </c>
      <c r="L48" s="6" t="s">
        <v>1097</v>
      </c>
      <c r="M48" s="8">
        <v>159900</v>
      </c>
      <c r="N48" s="9">
        <v>0.95</v>
      </c>
      <c r="O48" s="8">
        <f t="shared" si="0"/>
        <v>7995</v>
      </c>
      <c r="P48" s="6" t="s">
        <v>16</v>
      </c>
    </row>
    <row r="49" spans="1:16" x14ac:dyDescent="0.35">
      <c r="A49" s="6" t="s">
        <v>3795</v>
      </c>
      <c r="B49" s="7">
        <f t="shared" si="1"/>
        <v>46121</v>
      </c>
      <c r="C49" s="7">
        <f t="shared" si="2"/>
        <v>46127</v>
      </c>
      <c r="D49" s="6">
        <v>3281</v>
      </c>
      <c r="E49" s="6">
        <v>337</v>
      </c>
      <c r="F49" s="6">
        <v>4</v>
      </c>
      <c r="G49" s="6">
        <v>4</v>
      </c>
      <c r="H49" s="6">
        <v>80920</v>
      </c>
      <c r="I49" s="6" t="s">
        <v>17</v>
      </c>
      <c r="J49" s="6">
        <v>24116654</v>
      </c>
      <c r="K49" s="6" t="s">
        <v>1100</v>
      </c>
      <c r="L49" s="6" t="s">
        <v>1101</v>
      </c>
      <c r="M49" s="8">
        <v>119900</v>
      </c>
      <c r="N49" s="9">
        <v>0.95</v>
      </c>
      <c r="O49" s="8">
        <f t="shared" si="0"/>
        <v>5995</v>
      </c>
      <c r="P49" s="6" t="s">
        <v>16</v>
      </c>
    </row>
    <row r="50" spans="1:16" x14ac:dyDescent="0.35">
      <c r="A50" s="6" t="s">
        <v>3795</v>
      </c>
      <c r="B50" s="7">
        <f t="shared" si="1"/>
        <v>46121</v>
      </c>
      <c r="C50" s="7">
        <f t="shared" si="2"/>
        <v>46127</v>
      </c>
      <c r="D50" s="6">
        <v>3281</v>
      </c>
      <c r="E50" s="6">
        <v>337</v>
      </c>
      <c r="F50" s="6">
        <v>4</v>
      </c>
      <c r="G50" s="6">
        <v>4</v>
      </c>
      <c r="H50" s="6">
        <v>80920</v>
      </c>
      <c r="I50" s="6" t="s">
        <v>17</v>
      </c>
      <c r="J50" s="6">
        <v>24707917</v>
      </c>
      <c r="K50" s="6" t="s">
        <v>1102</v>
      </c>
      <c r="L50" s="6" t="s">
        <v>1103</v>
      </c>
      <c r="M50" s="8">
        <v>129900</v>
      </c>
      <c r="N50" s="9">
        <v>0.95</v>
      </c>
      <c r="O50" s="8">
        <f t="shared" si="0"/>
        <v>6495</v>
      </c>
      <c r="P50" s="6" t="s">
        <v>16</v>
      </c>
    </row>
    <row r="51" spans="1:16" x14ac:dyDescent="0.35">
      <c r="A51" s="6" t="s">
        <v>3795</v>
      </c>
      <c r="B51" s="7">
        <f t="shared" si="1"/>
        <v>46121</v>
      </c>
      <c r="C51" s="7">
        <f t="shared" si="2"/>
        <v>46127</v>
      </c>
      <c r="D51" s="6">
        <v>3281</v>
      </c>
      <c r="E51" s="6">
        <v>337</v>
      </c>
      <c r="F51" s="6">
        <v>4</v>
      </c>
      <c r="G51" s="6">
        <v>4</v>
      </c>
      <c r="H51" s="6">
        <v>81490</v>
      </c>
      <c r="I51" s="6" t="s">
        <v>17</v>
      </c>
      <c r="J51" s="6">
        <v>23981748</v>
      </c>
      <c r="K51" s="6" t="s">
        <v>1104</v>
      </c>
      <c r="L51" s="6" t="s">
        <v>1105</v>
      </c>
      <c r="M51" s="8">
        <v>259900</v>
      </c>
      <c r="N51" s="9">
        <v>0.95</v>
      </c>
      <c r="O51" s="8">
        <f t="shared" si="0"/>
        <v>12995</v>
      </c>
      <c r="P51" s="6" t="s">
        <v>16</v>
      </c>
    </row>
    <row r="52" spans="1:16" x14ac:dyDescent="0.35">
      <c r="A52" s="6" t="s">
        <v>3795</v>
      </c>
      <c r="B52" s="7">
        <f t="shared" si="1"/>
        <v>46121</v>
      </c>
      <c r="C52" s="7">
        <f t="shared" si="2"/>
        <v>46127</v>
      </c>
      <c r="D52" s="6">
        <v>3281</v>
      </c>
      <c r="E52" s="6">
        <v>337</v>
      </c>
      <c r="F52" s="6">
        <v>4</v>
      </c>
      <c r="G52" s="6">
        <v>4</v>
      </c>
      <c r="H52" s="6">
        <v>81490</v>
      </c>
      <c r="I52" s="6" t="s">
        <v>17</v>
      </c>
      <c r="J52" s="6">
        <v>23981775</v>
      </c>
      <c r="K52" s="6" t="s">
        <v>1104</v>
      </c>
      <c r="L52" s="6" t="s">
        <v>1106</v>
      </c>
      <c r="M52" s="8">
        <v>259900</v>
      </c>
      <c r="N52" s="9">
        <v>0.95</v>
      </c>
      <c r="O52" s="8">
        <f t="shared" si="0"/>
        <v>12995</v>
      </c>
      <c r="P52" s="6" t="s">
        <v>16</v>
      </c>
    </row>
    <row r="53" spans="1:16" x14ac:dyDescent="0.35">
      <c r="A53" s="6" t="s">
        <v>3795</v>
      </c>
      <c r="B53" s="7">
        <f t="shared" si="1"/>
        <v>46121</v>
      </c>
      <c r="C53" s="7">
        <f t="shared" si="2"/>
        <v>46127</v>
      </c>
      <c r="D53" s="6">
        <v>3281</v>
      </c>
      <c r="E53" s="6">
        <v>337</v>
      </c>
      <c r="F53" s="6">
        <v>4</v>
      </c>
      <c r="G53" s="6">
        <v>4</v>
      </c>
      <c r="H53" s="6">
        <v>81490</v>
      </c>
      <c r="I53" s="6" t="s">
        <v>17</v>
      </c>
      <c r="J53" s="6">
        <v>24095114</v>
      </c>
      <c r="K53" s="6" t="s">
        <v>1107</v>
      </c>
      <c r="L53" s="6" t="s">
        <v>1108</v>
      </c>
      <c r="M53" s="8">
        <v>249900</v>
      </c>
      <c r="N53" s="9">
        <v>0.95</v>
      </c>
      <c r="O53" s="8">
        <f t="shared" si="0"/>
        <v>12495</v>
      </c>
      <c r="P53" s="6" t="s">
        <v>16</v>
      </c>
    </row>
    <row r="54" spans="1:16" x14ac:dyDescent="0.35">
      <c r="A54" s="6" t="s">
        <v>3795</v>
      </c>
      <c r="B54" s="7">
        <f t="shared" si="1"/>
        <v>46121</v>
      </c>
      <c r="C54" s="7">
        <f t="shared" si="2"/>
        <v>46127</v>
      </c>
      <c r="D54" s="6">
        <v>3281</v>
      </c>
      <c r="E54" s="6">
        <v>337</v>
      </c>
      <c r="F54" s="6">
        <v>4</v>
      </c>
      <c r="G54" s="6">
        <v>4</v>
      </c>
      <c r="H54" s="6">
        <v>81490</v>
      </c>
      <c r="I54" s="6" t="s">
        <v>17</v>
      </c>
      <c r="J54" s="6">
        <v>24095141</v>
      </c>
      <c r="K54" s="6" t="s">
        <v>1107</v>
      </c>
      <c r="L54" s="6" t="s">
        <v>1109</v>
      </c>
      <c r="M54" s="8">
        <v>249900</v>
      </c>
      <c r="N54" s="9">
        <v>0.95</v>
      </c>
      <c r="O54" s="8">
        <f t="shared" si="0"/>
        <v>12495</v>
      </c>
      <c r="P54" s="6" t="s">
        <v>16</v>
      </c>
    </row>
    <row r="55" spans="1:16" x14ac:dyDescent="0.35">
      <c r="A55" s="6" t="s">
        <v>3795</v>
      </c>
      <c r="B55" s="7">
        <f t="shared" si="1"/>
        <v>46121</v>
      </c>
      <c r="C55" s="7">
        <f t="shared" si="2"/>
        <v>46127</v>
      </c>
      <c r="D55" s="6">
        <v>3281</v>
      </c>
      <c r="E55" s="6">
        <v>337</v>
      </c>
      <c r="F55" s="6">
        <v>4</v>
      </c>
      <c r="G55" s="6">
        <v>4</v>
      </c>
      <c r="H55" s="6">
        <v>81490</v>
      </c>
      <c r="I55" s="6" t="s">
        <v>17</v>
      </c>
      <c r="J55" s="6">
        <v>24121200</v>
      </c>
      <c r="K55" s="6" t="s">
        <v>1110</v>
      </c>
      <c r="L55" s="6" t="s">
        <v>1111</v>
      </c>
      <c r="M55" s="8">
        <v>229900</v>
      </c>
      <c r="N55" s="9">
        <v>0.95</v>
      </c>
      <c r="O55" s="8">
        <f t="shared" si="0"/>
        <v>11495</v>
      </c>
      <c r="P55" s="6" t="s">
        <v>16</v>
      </c>
    </row>
    <row r="56" spans="1:16" x14ac:dyDescent="0.35">
      <c r="A56" s="6" t="s">
        <v>3795</v>
      </c>
      <c r="B56" s="7">
        <f t="shared" si="1"/>
        <v>46121</v>
      </c>
      <c r="C56" s="7">
        <f t="shared" si="2"/>
        <v>46127</v>
      </c>
      <c r="D56" s="6">
        <v>3281</v>
      </c>
      <c r="E56" s="6">
        <v>337</v>
      </c>
      <c r="F56" s="6">
        <v>4</v>
      </c>
      <c r="G56" s="6">
        <v>4</v>
      </c>
      <c r="H56" s="6">
        <v>81490</v>
      </c>
      <c r="I56" s="6" t="s">
        <v>17</v>
      </c>
      <c r="J56" s="6">
        <v>24121219</v>
      </c>
      <c r="K56" s="6" t="s">
        <v>1110</v>
      </c>
      <c r="L56" s="6" t="s">
        <v>1112</v>
      </c>
      <c r="M56" s="8">
        <v>229900</v>
      </c>
      <c r="N56" s="9">
        <v>0.95</v>
      </c>
      <c r="O56" s="8">
        <f t="shared" si="0"/>
        <v>11495</v>
      </c>
      <c r="P56" s="6" t="s">
        <v>16</v>
      </c>
    </row>
    <row r="57" spans="1:16" x14ac:dyDescent="0.35">
      <c r="A57" s="6" t="s">
        <v>3795</v>
      </c>
      <c r="B57" s="7">
        <f t="shared" si="1"/>
        <v>46121</v>
      </c>
      <c r="C57" s="7">
        <f t="shared" si="2"/>
        <v>46127</v>
      </c>
      <c r="D57" s="6">
        <v>3281</v>
      </c>
      <c r="E57" s="6">
        <v>337</v>
      </c>
      <c r="F57" s="6">
        <v>4</v>
      </c>
      <c r="G57" s="6">
        <v>4</v>
      </c>
      <c r="H57" s="6">
        <v>81490</v>
      </c>
      <c r="I57" s="6" t="s">
        <v>17</v>
      </c>
      <c r="J57" s="6">
        <v>24121228</v>
      </c>
      <c r="K57" s="6" t="s">
        <v>1110</v>
      </c>
      <c r="L57" s="6" t="s">
        <v>1113</v>
      </c>
      <c r="M57" s="8">
        <v>229900</v>
      </c>
      <c r="N57" s="9">
        <v>0.95</v>
      </c>
      <c r="O57" s="8">
        <f t="shared" si="0"/>
        <v>11495</v>
      </c>
      <c r="P57" s="6" t="s">
        <v>16</v>
      </c>
    </row>
    <row r="58" spans="1:16" x14ac:dyDescent="0.35">
      <c r="A58" s="6" t="s">
        <v>3795</v>
      </c>
      <c r="B58" s="7">
        <f t="shared" si="1"/>
        <v>46121</v>
      </c>
      <c r="C58" s="7">
        <f t="shared" si="2"/>
        <v>46127</v>
      </c>
      <c r="D58" s="6">
        <v>3281</v>
      </c>
      <c r="E58" s="6">
        <v>337</v>
      </c>
      <c r="F58" s="6">
        <v>4</v>
      </c>
      <c r="G58" s="6">
        <v>4</v>
      </c>
      <c r="H58" s="6">
        <v>81490</v>
      </c>
      <c r="I58" s="6" t="s">
        <v>17</v>
      </c>
      <c r="J58" s="6">
        <v>24121237</v>
      </c>
      <c r="K58" s="6" t="s">
        <v>1110</v>
      </c>
      <c r="L58" s="6" t="s">
        <v>1114</v>
      </c>
      <c r="M58" s="8">
        <v>229900</v>
      </c>
      <c r="N58" s="9">
        <v>0.95</v>
      </c>
      <c r="O58" s="8">
        <f t="shared" si="0"/>
        <v>11495</v>
      </c>
      <c r="P58" s="6" t="s">
        <v>16</v>
      </c>
    </row>
    <row r="59" spans="1:16" x14ac:dyDescent="0.35">
      <c r="A59" s="6" t="s">
        <v>3795</v>
      </c>
      <c r="B59" s="7">
        <f t="shared" si="1"/>
        <v>46121</v>
      </c>
      <c r="C59" s="7">
        <f t="shared" si="2"/>
        <v>46127</v>
      </c>
      <c r="D59" s="6">
        <v>3281</v>
      </c>
      <c r="E59" s="6">
        <v>337</v>
      </c>
      <c r="F59" s="6">
        <v>4</v>
      </c>
      <c r="G59" s="6">
        <v>4</v>
      </c>
      <c r="H59" s="6">
        <v>81490</v>
      </c>
      <c r="I59" s="6" t="s">
        <v>17</v>
      </c>
      <c r="J59" s="6">
        <v>24121246</v>
      </c>
      <c r="K59" s="6" t="s">
        <v>1110</v>
      </c>
      <c r="L59" s="6" t="s">
        <v>1115</v>
      </c>
      <c r="M59" s="8">
        <v>229900</v>
      </c>
      <c r="N59" s="9">
        <v>0.95</v>
      </c>
      <c r="O59" s="8">
        <f t="shared" si="0"/>
        <v>11495</v>
      </c>
      <c r="P59" s="6" t="s">
        <v>16</v>
      </c>
    </row>
    <row r="60" spans="1:16" x14ac:dyDescent="0.35">
      <c r="A60" s="6" t="s">
        <v>3795</v>
      </c>
      <c r="B60" s="7">
        <f t="shared" si="1"/>
        <v>46121</v>
      </c>
      <c r="C60" s="7">
        <f t="shared" si="2"/>
        <v>46127</v>
      </c>
      <c r="D60" s="6">
        <v>3281</v>
      </c>
      <c r="E60" s="6">
        <v>337</v>
      </c>
      <c r="F60" s="6">
        <v>4</v>
      </c>
      <c r="G60" s="6">
        <v>5</v>
      </c>
      <c r="H60" s="6">
        <v>81146</v>
      </c>
      <c r="I60" s="6" t="s">
        <v>17</v>
      </c>
      <c r="J60" s="6">
        <v>24969064</v>
      </c>
      <c r="K60" s="6" t="s">
        <v>4858</v>
      </c>
      <c r="L60" s="6" t="s">
        <v>4859</v>
      </c>
      <c r="M60" s="8">
        <v>159900</v>
      </c>
      <c r="N60" s="9">
        <v>0.95</v>
      </c>
      <c r="O60" s="8">
        <f t="shared" si="0"/>
        <v>7995</v>
      </c>
      <c r="P60" s="6" t="s">
        <v>16</v>
      </c>
    </row>
    <row r="61" spans="1:16" x14ac:dyDescent="0.35">
      <c r="A61" s="6" t="s">
        <v>3795</v>
      </c>
      <c r="B61" s="7">
        <f t="shared" si="1"/>
        <v>46121</v>
      </c>
      <c r="C61" s="7">
        <f t="shared" si="2"/>
        <v>46127</v>
      </c>
      <c r="D61" s="6">
        <v>3281</v>
      </c>
      <c r="E61" s="6">
        <v>337</v>
      </c>
      <c r="F61" s="6">
        <v>4</v>
      </c>
      <c r="G61" s="6">
        <v>5</v>
      </c>
      <c r="H61" s="6">
        <v>190</v>
      </c>
      <c r="I61" s="6" t="s">
        <v>17</v>
      </c>
      <c r="J61" s="6">
        <v>23912705</v>
      </c>
      <c r="K61" s="6" t="s">
        <v>1127</v>
      </c>
      <c r="L61" s="6" t="s">
        <v>1128</v>
      </c>
      <c r="M61" s="8">
        <v>219900</v>
      </c>
      <c r="N61" s="9">
        <v>0.95</v>
      </c>
      <c r="O61" s="8">
        <f t="shared" si="0"/>
        <v>10995</v>
      </c>
      <c r="P61" s="6" t="s">
        <v>16</v>
      </c>
    </row>
    <row r="62" spans="1:16" x14ac:dyDescent="0.35">
      <c r="A62" s="6" t="s">
        <v>3795</v>
      </c>
      <c r="B62" s="7">
        <f t="shared" si="1"/>
        <v>46121</v>
      </c>
      <c r="C62" s="7">
        <f t="shared" si="2"/>
        <v>46127</v>
      </c>
      <c r="D62" s="6">
        <v>3281</v>
      </c>
      <c r="E62" s="6">
        <v>337</v>
      </c>
      <c r="F62" s="6">
        <v>4</v>
      </c>
      <c r="G62" s="6">
        <v>5</v>
      </c>
      <c r="H62" s="6">
        <v>80920</v>
      </c>
      <c r="I62" s="6" t="s">
        <v>17</v>
      </c>
      <c r="J62" s="6">
        <v>24377668</v>
      </c>
      <c r="K62" s="6" t="s">
        <v>1129</v>
      </c>
      <c r="L62" s="6" t="s">
        <v>1130</v>
      </c>
      <c r="M62" s="8">
        <v>219900</v>
      </c>
      <c r="N62" s="9">
        <v>0.95</v>
      </c>
      <c r="O62" s="8">
        <f t="shared" ref="O62:O73" si="3">M62-((95*M62)/100)</f>
        <v>10995</v>
      </c>
      <c r="P62" s="6" t="s">
        <v>16</v>
      </c>
    </row>
    <row r="63" spans="1:16" x14ac:dyDescent="0.35">
      <c r="A63" s="6" t="s">
        <v>3795</v>
      </c>
      <c r="B63" s="7">
        <f t="shared" si="1"/>
        <v>46121</v>
      </c>
      <c r="C63" s="7">
        <f t="shared" si="2"/>
        <v>46127</v>
      </c>
      <c r="D63" s="6">
        <v>3281</v>
      </c>
      <c r="E63" s="6">
        <v>337</v>
      </c>
      <c r="F63" s="6">
        <v>4</v>
      </c>
      <c r="G63" s="6">
        <v>5</v>
      </c>
      <c r="H63" s="6">
        <v>81505</v>
      </c>
      <c r="I63" s="6" t="s">
        <v>17</v>
      </c>
      <c r="J63" s="6">
        <v>22650259</v>
      </c>
      <c r="K63" s="6" t="s">
        <v>1116</v>
      </c>
      <c r="L63" s="6" t="s">
        <v>4860</v>
      </c>
      <c r="M63" s="8">
        <v>199900</v>
      </c>
      <c r="N63" s="9">
        <v>0.95</v>
      </c>
      <c r="O63" s="8">
        <f t="shared" si="3"/>
        <v>9995</v>
      </c>
      <c r="P63" s="6" t="s">
        <v>16</v>
      </c>
    </row>
    <row r="64" spans="1:16" x14ac:dyDescent="0.35">
      <c r="A64" s="6" t="s">
        <v>3795</v>
      </c>
      <c r="B64" s="7">
        <f t="shared" si="1"/>
        <v>46121</v>
      </c>
      <c r="C64" s="7">
        <f t="shared" si="2"/>
        <v>46127</v>
      </c>
      <c r="D64" s="6">
        <v>3281</v>
      </c>
      <c r="E64" s="6">
        <v>337</v>
      </c>
      <c r="F64" s="6">
        <v>4</v>
      </c>
      <c r="G64" s="6">
        <v>5</v>
      </c>
      <c r="H64" s="6">
        <v>81505</v>
      </c>
      <c r="I64" s="6" t="s">
        <v>17</v>
      </c>
      <c r="J64" s="6">
        <v>23925013</v>
      </c>
      <c r="K64" s="6" t="s">
        <v>1117</v>
      </c>
      <c r="L64" s="6" t="s">
        <v>1118</v>
      </c>
      <c r="M64" s="8">
        <v>219900</v>
      </c>
      <c r="N64" s="9">
        <v>0.95</v>
      </c>
      <c r="O64" s="8">
        <f t="shared" si="3"/>
        <v>10995</v>
      </c>
      <c r="P64" s="6" t="s">
        <v>16</v>
      </c>
    </row>
    <row r="65" spans="1:16" x14ac:dyDescent="0.35">
      <c r="A65" s="6" t="s">
        <v>3795</v>
      </c>
      <c r="B65" s="7">
        <f t="shared" si="1"/>
        <v>46121</v>
      </c>
      <c r="C65" s="7">
        <f t="shared" si="2"/>
        <v>46127</v>
      </c>
      <c r="D65" s="6">
        <v>3281</v>
      </c>
      <c r="E65" s="6">
        <v>337</v>
      </c>
      <c r="F65" s="6">
        <v>4</v>
      </c>
      <c r="G65" s="6">
        <v>5</v>
      </c>
      <c r="H65" s="6">
        <v>81505</v>
      </c>
      <c r="I65" s="6" t="s">
        <v>17</v>
      </c>
      <c r="J65" s="6">
        <v>24804197</v>
      </c>
      <c r="K65" s="6" t="s">
        <v>1119</v>
      </c>
      <c r="L65" s="6" t="s">
        <v>1120</v>
      </c>
      <c r="M65" s="8">
        <v>239900</v>
      </c>
      <c r="N65" s="9">
        <v>0.95</v>
      </c>
      <c r="O65" s="8">
        <f t="shared" si="3"/>
        <v>11995</v>
      </c>
      <c r="P65" s="6" t="s">
        <v>16</v>
      </c>
    </row>
    <row r="66" spans="1:16" x14ac:dyDescent="0.35">
      <c r="A66" s="6" t="s">
        <v>3795</v>
      </c>
      <c r="B66" s="7">
        <f t="shared" si="1"/>
        <v>46121</v>
      </c>
      <c r="C66" s="7">
        <f t="shared" si="2"/>
        <v>46127</v>
      </c>
      <c r="D66" s="6">
        <v>3281</v>
      </c>
      <c r="E66" s="6">
        <v>337</v>
      </c>
      <c r="F66" s="6">
        <v>4</v>
      </c>
      <c r="G66" s="6">
        <v>5</v>
      </c>
      <c r="H66" s="6">
        <v>81490</v>
      </c>
      <c r="I66" s="6" t="s">
        <v>17</v>
      </c>
      <c r="J66" s="6">
        <v>24143400</v>
      </c>
      <c r="K66" s="6" t="s">
        <v>1121</v>
      </c>
      <c r="L66" s="6" t="s">
        <v>1122</v>
      </c>
      <c r="M66" s="8">
        <v>249900</v>
      </c>
      <c r="N66" s="9">
        <v>0.95</v>
      </c>
      <c r="O66" s="8">
        <f t="shared" si="3"/>
        <v>12495</v>
      </c>
      <c r="P66" s="6" t="s">
        <v>16</v>
      </c>
    </row>
    <row r="67" spans="1:16" x14ac:dyDescent="0.35">
      <c r="A67" s="6" t="s">
        <v>3795</v>
      </c>
      <c r="B67" s="7">
        <f t="shared" si="1"/>
        <v>46121</v>
      </c>
      <c r="C67" s="7">
        <f t="shared" si="2"/>
        <v>46127</v>
      </c>
      <c r="D67" s="6">
        <v>3281</v>
      </c>
      <c r="E67" s="6">
        <v>337</v>
      </c>
      <c r="F67" s="6">
        <v>4</v>
      </c>
      <c r="G67" s="6">
        <v>5</v>
      </c>
      <c r="H67" s="6">
        <v>81490</v>
      </c>
      <c r="I67" s="6" t="s">
        <v>17</v>
      </c>
      <c r="J67" s="6">
        <v>24143419</v>
      </c>
      <c r="K67" s="6" t="s">
        <v>1121</v>
      </c>
      <c r="L67" s="6" t="s">
        <v>1123</v>
      </c>
      <c r="M67" s="8">
        <v>249900</v>
      </c>
      <c r="N67" s="9">
        <v>0.95</v>
      </c>
      <c r="O67" s="8">
        <f t="shared" si="3"/>
        <v>12495</v>
      </c>
      <c r="P67" s="6" t="s">
        <v>16</v>
      </c>
    </row>
    <row r="68" spans="1:16" x14ac:dyDescent="0.35">
      <c r="A68" s="6" t="s">
        <v>3795</v>
      </c>
      <c r="B68" s="7">
        <f t="shared" ref="B68:B73" si="4">B67</f>
        <v>46121</v>
      </c>
      <c r="C68" s="7">
        <f t="shared" ref="C68:C73" si="5">C67</f>
        <v>46127</v>
      </c>
      <c r="D68" s="6">
        <v>3281</v>
      </c>
      <c r="E68" s="6">
        <v>337</v>
      </c>
      <c r="F68" s="6">
        <v>4</v>
      </c>
      <c r="G68" s="6">
        <v>5</v>
      </c>
      <c r="H68" s="6">
        <v>81490</v>
      </c>
      <c r="I68" s="6" t="s">
        <v>17</v>
      </c>
      <c r="J68" s="6">
        <v>24337399</v>
      </c>
      <c r="K68" s="6" t="s">
        <v>1124</v>
      </c>
      <c r="L68" s="6" t="s">
        <v>1125</v>
      </c>
      <c r="M68" s="8">
        <v>259900</v>
      </c>
      <c r="N68" s="9">
        <v>0.95</v>
      </c>
      <c r="O68" s="8">
        <f t="shared" si="3"/>
        <v>12995</v>
      </c>
      <c r="P68" s="6" t="s">
        <v>16</v>
      </c>
    </row>
    <row r="69" spans="1:16" x14ac:dyDescent="0.35">
      <c r="A69" s="6" t="s">
        <v>3795</v>
      </c>
      <c r="B69" s="7">
        <f t="shared" si="4"/>
        <v>46121</v>
      </c>
      <c r="C69" s="7">
        <f t="shared" si="5"/>
        <v>46127</v>
      </c>
      <c r="D69" s="6">
        <v>3281</v>
      </c>
      <c r="E69" s="6">
        <v>337</v>
      </c>
      <c r="F69" s="6">
        <v>4</v>
      </c>
      <c r="G69" s="6">
        <v>5</v>
      </c>
      <c r="H69" s="6">
        <v>81490</v>
      </c>
      <c r="I69" s="6" t="s">
        <v>17</v>
      </c>
      <c r="J69" s="6">
        <v>24337415</v>
      </c>
      <c r="K69" s="6" t="s">
        <v>1124</v>
      </c>
      <c r="L69" s="6" t="s">
        <v>1126</v>
      </c>
      <c r="M69" s="8">
        <v>259900</v>
      </c>
      <c r="N69" s="9">
        <v>0.95</v>
      </c>
      <c r="O69" s="8">
        <f t="shared" si="3"/>
        <v>12995</v>
      </c>
      <c r="P69" s="6" t="s">
        <v>16</v>
      </c>
    </row>
    <row r="70" spans="1:16" x14ac:dyDescent="0.35">
      <c r="A70" s="6" t="s">
        <v>3795</v>
      </c>
      <c r="B70" s="7">
        <f t="shared" si="4"/>
        <v>46121</v>
      </c>
      <c r="C70" s="7">
        <f t="shared" si="5"/>
        <v>46127</v>
      </c>
      <c r="D70" s="6">
        <v>3281</v>
      </c>
      <c r="E70" s="6">
        <v>337</v>
      </c>
      <c r="F70" s="6">
        <v>4</v>
      </c>
      <c r="G70" s="6">
        <v>10</v>
      </c>
      <c r="H70" s="6">
        <v>80920</v>
      </c>
      <c r="I70" s="6" t="s">
        <v>17</v>
      </c>
      <c r="J70" s="6">
        <v>23993011</v>
      </c>
      <c r="K70" s="6" t="s">
        <v>1131</v>
      </c>
      <c r="L70" s="6" t="s">
        <v>1132</v>
      </c>
      <c r="M70" s="8">
        <v>10000</v>
      </c>
      <c r="N70" s="9">
        <v>0.95</v>
      </c>
      <c r="O70" s="8">
        <f t="shared" si="3"/>
        <v>500</v>
      </c>
      <c r="P70" s="6" t="s">
        <v>16</v>
      </c>
    </row>
    <row r="71" spans="1:16" x14ac:dyDescent="0.35">
      <c r="A71" s="6" t="s">
        <v>3795</v>
      </c>
      <c r="B71" s="7">
        <f t="shared" si="4"/>
        <v>46121</v>
      </c>
      <c r="C71" s="7">
        <f t="shared" si="5"/>
        <v>46127</v>
      </c>
      <c r="D71" s="6">
        <v>3281</v>
      </c>
      <c r="E71" s="6">
        <v>337</v>
      </c>
      <c r="F71" s="6">
        <v>4</v>
      </c>
      <c r="G71" s="6">
        <v>10</v>
      </c>
      <c r="H71" s="6">
        <v>81427</v>
      </c>
      <c r="I71" s="6" t="s">
        <v>17</v>
      </c>
      <c r="J71" s="6">
        <v>23733471</v>
      </c>
      <c r="K71" s="6" t="s">
        <v>1133</v>
      </c>
      <c r="L71" s="6" t="s">
        <v>1134</v>
      </c>
      <c r="M71" s="8">
        <v>10000</v>
      </c>
      <c r="N71" s="9">
        <v>0.95</v>
      </c>
      <c r="O71" s="8">
        <f t="shared" si="3"/>
        <v>500</v>
      </c>
      <c r="P71" s="6" t="s">
        <v>16</v>
      </c>
    </row>
    <row r="72" spans="1:16" x14ac:dyDescent="0.35">
      <c r="A72" s="6" t="s">
        <v>3795</v>
      </c>
      <c r="B72" s="7">
        <f t="shared" si="4"/>
        <v>46121</v>
      </c>
      <c r="C72" s="7">
        <f t="shared" si="5"/>
        <v>46127</v>
      </c>
      <c r="D72" s="6">
        <v>3281</v>
      </c>
      <c r="E72" s="6">
        <v>337</v>
      </c>
      <c r="F72" s="6">
        <v>4</v>
      </c>
      <c r="G72" s="6">
        <v>10</v>
      </c>
      <c r="H72" s="6">
        <v>81427</v>
      </c>
      <c r="I72" s="6" t="s">
        <v>17</v>
      </c>
      <c r="J72" s="6">
        <v>23733499</v>
      </c>
      <c r="K72" s="6" t="s">
        <v>1133</v>
      </c>
      <c r="L72" s="6" t="s">
        <v>1135</v>
      </c>
      <c r="M72" s="8">
        <v>10000</v>
      </c>
      <c r="N72" s="9">
        <v>0.95</v>
      </c>
      <c r="O72" s="8">
        <f t="shared" si="3"/>
        <v>500</v>
      </c>
      <c r="P72" s="6" t="s">
        <v>16</v>
      </c>
    </row>
    <row r="73" spans="1:16" x14ac:dyDescent="0.35">
      <c r="A73" s="6" t="s">
        <v>3795</v>
      </c>
      <c r="B73" s="7">
        <f t="shared" si="4"/>
        <v>46121</v>
      </c>
      <c r="C73" s="7">
        <f t="shared" si="5"/>
        <v>46127</v>
      </c>
      <c r="D73" s="6">
        <v>3281</v>
      </c>
      <c r="E73" s="6">
        <v>337</v>
      </c>
      <c r="F73" s="6">
        <v>4</v>
      </c>
      <c r="G73" s="6">
        <v>10</v>
      </c>
      <c r="H73" s="6">
        <v>81427</v>
      </c>
      <c r="I73" s="6" t="s">
        <v>17</v>
      </c>
      <c r="J73" s="6">
        <v>23733506</v>
      </c>
      <c r="K73" s="6" t="s">
        <v>1133</v>
      </c>
      <c r="L73" s="6" t="s">
        <v>1136</v>
      </c>
      <c r="M73" s="8">
        <v>10000</v>
      </c>
      <c r="N73" s="9">
        <v>0.95</v>
      </c>
      <c r="O73" s="8">
        <f t="shared" si="3"/>
        <v>500</v>
      </c>
      <c r="P73" s="6" t="s">
        <v>16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7E61-E9FF-46F7-A84F-E0B35C46EF70}">
  <sheetPr>
    <tabColor rgb="FF92D050"/>
  </sheetPr>
  <dimension ref="A1:P25"/>
  <sheetViews>
    <sheetView topLeftCell="J1" zoomScale="80" zoomScaleNormal="80" workbookViewId="0">
      <pane ySplit="1" topLeftCell="A2" activePane="bottomLeft" state="frozen"/>
      <selection activeCell="B2" sqref="B2:C2"/>
      <selection pane="bottomLeft" activeCell="I12" sqref="I12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7168</v>
      </c>
      <c r="B2" s="33">
        <f>'2025 HILITE D80 - 3321'!B6</f>
        <v>46121</v>
      </c>
      <c r="C2" s="33">
        <f>'2025 HILITE D80 - 3321'!C6</f>
        <v>46127</v>
      </c>
      <c r="D2" s="32">
        <v>3284</v>
      </c>
      <c r="E2" s="32">
        <v>338</v>
      </c>
      <c r="F2" s="32">
        <v>4</v>
      </c>
      <c r="G2" s="23">
        <v>8</v>
      </c>
      <c r="H2" s="23">
        <v>81506</v>
      </c>
      <c r="I2" s="32" t="s">
        <v>2689</v>
      </c>
      <c r="J2" s="22">
        <v>69383924</v>
      </c>
      <c r="K2" s="22" t="s">
        <v>7565</v>
      </c>
      <c r="L2" s="22" t="s">
        <v>7566</v>
      </c>
      <c r="M2" s="24">
        <v>149900</v>
      </c>
      <c r="N2" s="88">
        <v>0</v>
      </c>
      <c r="O2" s="34" t="s">
        <v>7169</v>
      </c>
      <c r="P2" s="32" t="s">
        <v>7341</v>
      </c>
    </row>
    <row r="3" spans="1:16" x14ac:dyDescent="0.35">
      <c r="A3" s="32" t="str">
        <f>A2</f>
        <v>2026 JAN-APR SHARP PRICE</v>
      </c>
      <c r="B3" s="33">
        <f>B2</f>
        <v>46121</v>
      </c>
      <c r="C3" s="33">
        <f>C2</f>
        <v>46127</v>
      </c>
      <c r="D3" s="32">
        <v>3284</v>
      </c>
      <c r="E3" s="32">
        <v>338</v>
      </c>
      <c r="F3" s="32">
        <v>4</v>
      </c>
      <c r="G3" s="23">
        <v>8</v>
      </c>
      <c r="H3" s="23">
        <v>81506</v>
      </c>
      <c r="I3" s="32" t="s">
        <v>2689</v>
      </c>
      <c r="J3" s="22">
        <v>69383933</v>
      </c>
      <c r="K3" s="22" t="s">
        <v>7565</v>
      </c>
      <c r="L3" s="22" t="s">
        <v>7567</v>
      </c>
      <c r="M3" s="24">
        <v>149900</v>
      </c>
      <c r="N3" s="88">
        <v>0</v>
      </c>
      <c r="O3" s="34" t="s">
        <v>7169</v>
      </c>
      <c r="P3" s="32" t="s">
        <v>7341</v>
      </c>
    </row>
    <row r="4" spans="1:16" x14ac:dyDescent="0.35">
      <c r="A4" s="32" t="str">
        <f t="shared" ref="A4:A25" si="0">A3</f>
        <v>2026 JAN-APR SHARP PRICE</v>
      </c>
      <c r="B4" s="33">
        <f t="shared" ref="B4:B25" si="1">B3</f>
        <v>46121</v>
      </c>
      <c r="C4" s="33">
        <f t="shared" ref="C4:C25" si="2">C3</f>
        <v>46127</v>
      </c>
      <c r="D4" s="32">
        <v>3284</v>
      </c>
      <c r="E4" s="32">
        <v>338</v>
      </c>
      <c r="F4" s="32">
        <v>4</v>
      </c>
      <c r="G4" s="23">
        <v>8</v>
      </c>
      <c r="H4" s="23">
        <v>81506</v>
      </c>
      <c r="I4" s="32" t="s">
        <v>2689</v>
      </c>
      <c r="J4" s="22">
        <v>69383942</v>
      </c>
      <c r="K4" s="22" t="s">
        <v>7565</v>
      </c>
      <c r="L4" s="22" t="s">
        <v>7568</v>
      </c>
      <c r="M4" s="24">
        <v>149900</v>
      </c>
      <c r="N4" s="88">
        <v>0</v>
      </c>
      <c r="O4" s="34" t="s">
        <v>7169</v>
      </c>
      <c r="P4" s="32" t="s">
        <v>7341</v>
      </c>
    </row>
    <row r="5" spans="1:16" x14ac:dyDescent="0.35">
      <c r="A5" s="32" t="str">
        <f t="shared" si="0"/>
        <v>2026 JAN-APR SHARP PRICE</v>
      </c>
      <c r="B5" s="33">
        <f t="shared" si="1"/>
        <v>46121</v>
      </c>
      <c r="C5" s="33">
        <f t="shared" si="2"/>
        <v>46127</v>
      </c>
      <c r="D5" s="32">
        <v>3284</v>
      </c>
      <c r="E5" s="32">
        <v>338</v>
      </c>
      <c r="F5" s="32">
        <v>4</v>
      </c>
      <c r="G5" s="23">
        <v>8</v>
      </c>
      <c r="H5" s="23">
        <v>81506</v>
      </c>
      <c r="I5" s="32" t="s">
        <v>2689</v>
      </c>
      <c r="J5" s="22">
        <v>69383951</v>
      </c>
      <c r="K5" s="22" t="s">
        <v>7565</v>
      </c>
      <c r="L5" s="22" t="s">
        <v>7569</v>
      </c>
      <c r="M5" s="24">
        <v>149900</v>
      </c>
      <c r="N5" s="88">
        <v>0</v>
      </c>
      <c r="O5" s="34" t="s">
        <v>7169</v>
      </c>
      <c r="P5" s="32" t="s">
        <v>7341</v>
      </c>
    </row>
    <row r="6" spans="1:16" x14ac:dyDescent="0.35">
      <c r="A6" s="32" t="str">
        <f t="shared" si="0"/>
        <v>2026 JAN-APR SHARP PRICE</v>
      </c>
      <c r="B6" s="33">
        <f t="shared" si="1"/>
        <v>46121</v>
      </c>
      <c r="C6" s="33">
        <f t="shared" si="2"/>
        <v>46127</v>
      </c>
      <c r="D6" s="32">
        <v>3284</v>
      </c>
      <c r="E6" s="32">
        <v>338</v>
      </c>
      <c r="F6" s="32">
        <v>4</v>
      </c>
      <c r="G6" s="23">
        <v>8</v>
      </c>
      <c r="H6" s="23">
        <v>81005</v>
      </c>
      <c r="I6" s="32" t="s">
        <v>2689</v>
      </c>
      <c r="J6" s="22">
        <v>70637853</v>
      </c>
      <c r="K6" s="22" t="s">
        <v>7570</v>
      </c>
      <c r="L6" s="22" t="s">
        <v>7571</v>
      </c>
      <c r="M6" s="24">
        <v>149900</v>
      </c>
      <c r="N6" s="88">
        <v>0</v>
      </c>
      <c r="O6" s="34" t="s">
        <v>7169</v>
      </c>
      <c r="P6" s="32" t="s">
        <v>7341</v>
      </c>
    </row>
    <row r="7" spans="1:16" x14ac:dyDescent="0.35">
      <c r="A7" s="32" t="str">
        <f t="shared" si="0"/>
        <v>2026 JAN-APR SHARP PRICE</v>
      </c>
      <c r="B7" s="33">
        <f t="shared" si="1"/>
        <v>46121</v>
      </c>
      <c r="C7" s="33">
        <f t="shared" si="2"/>
        <v>46127</v>
      </c>
      <c r="D7" s="32">
        <v>3284</v>
      </c>
      <c r="E7" s="32">
        <v>338</v>
      </c>
      <c r="F7" s="32">
        <v>4</v>
      </c>
      <c r="G7" s="23">
        <v>8</v>
      </c>
      <c r="H7" s="23">
        <v>81005</v>
      </c>
      <c r="I7" s="32" t="s">
        <v>2689</v>
      </c>
      <c r="J7" s="22">
        <v>70637862</v>
      </c>
      <c r="K7" s="22" t="s">
        <v>7570</v>
      </c>
      <c r="L7" s="22" t="s">
        <v>7572</v>
      </c>
      <c r="M7" s="24">
        <v>149900</v>
      </c>
      <c r="N7" s="88">
        <v>0</v>
      </c>
      <c r="O7" s="34" t="s">
        <v>7169</v>
      </c>
      <c r="P7" s="32" t="s">
        <v>7341</v>
      </c>
    </row>
    <row r="8" spans="1:16" x14ac:dyDescent="0.35">
      <c r="A8" s="32" t="str">
        <f t="shared" si="0"/>
        <v>2026 JAN-APR SHARP PRICE</v>
      </c>
      <c r="B8" s="33">
        <f t="shared" si="1"/>
        <v>46121</v>
      </c>
      <c r="C8" s="33">
        <f t="shared" si="2"/>
        <v>46127</v>
      </c>
      <c r="D8" s="32">
        <v>3284</v>
      </c>
      <c r="E8" s="32">
        <v>338</v>
      </c>
      <c r="F8" s="32">
        <v>4</v>
      </c>
      <c r="G8" s="23">
        <v>8</v>
      </c>
      <c r="H8" s="23">
        <v>81005</v>
      </c>
      <c r="I8" s="32" t="s">
        <v>2689</v>
      </c>
      <c r="J8" s="22">
        <v>70637871</v>
      </c>
      <c r="K8" s="22" t="s">
        <v>7570</v>
      </c>
      <c r="L8" s="22" t="s">
        <v>7573</v>
      </c>
      <c r="M8" s="24">
        <v>149900</v>
      </c>
      <c r="N8" s="88">
        <v>0</v>
      </c>
      <c r="O8" s="34" t="s">
        <v>7169</v>
      </c>
      <c r="P8" s="32" t="s">
        <v>7341</v>
      </c>
    </row>
    <row r="9" spans="1:16" x14ac:dyDescent="0.35">
      <c r="A9" s="32" t="str">
        <f t="shared" si="0"/>
        <v>2026 JAN-APR SHARP PRICE</v>
      </c>
      <c r="B9" s="33">
        <f t="shared" si="1"/>
        <v>46121</v>
      </c>
      <c r="C9" s="33">
        <f t="shared" si="2"/>
        <v>46127</v>
      </c>
      <c r="D9" s="32">
        <v>3284</v>
      </c>
      <c r="E9" s="32">
        <v>338</v>
      </c>
      <c r="F9" s="32">
        <v>4</v>
      </c>
      <c r="G9" s="23">
        <v>8</v>
      </c>
      <c r="H9" s="23">
        <v>81005</v>
      </c>
      <c r="I9" s="32" t="s">
        <v>2689</v>
      </c>
      <c r="J9" s="22">
        <v>70637880</v>
      </c>
      <c r="K9" s="22" t="s">
        <v>7570</v>
      </c>
      <c r="L9" s="22" t="s">
        <v>7574</v>
      </c>
      <c r="M9" s="24">
        <v>149900</v>
      </c>
      <c r="N9" s="88">
        <v>0</v>
      </c>
      <c r="O9" s="34" t="s">
        <v>7169</v>
      </c>
      <c r="P9" s="32" t="s">
        <v>7341</v>
      </c>
    </row>
    <row r="10" spans="1:16" x14ac:dyDescent="0.35">
      <c r="A10" s="32" t="str">
        <f t="shared" si="0"/>
        <v>2026 JAN-APR SHARP PRICE</v>
      </c>
      <c r="B10" s="33">
        <f t="shared" si="1"/>
        <v>46121</v>
      </c>
      <c r="C10" s="33">
        <f t="shared" si="2"/>
        <v>46127</v>
      </c>
      <c r="D10" s="32">
        <v>3284</v>
      </c>
      <c r="E10" s="32">
        <v>338</v>
      </c>
      <c r="F10" s="32">
        <v>4</v>
      </c>
      <c r="G10" s="23">
        <v>8</v>
      </c>
      <c r="H10" s="23">
        <v>81005</v>
      </c>
      <c r="I10" s="32" t="s">
        <v>2689</v>
      </c>
      <c r="J10" s="22">
        <v>69383960</v>
      </c>
      <c r="K10" s="22" t="s">
        <v>7575</v>
      </c>
      <c r="L10" s="22" t="s">
        <v>7576</v>
      </c>
      <c r="M10" s="24">
        <v>179900</v>
      </c>
      <c r="N10" s="88">
        <v>0</v>
      </c>
      <c r="O10" s="34" t="s">
        <v>7169</v>
      </c>
      <c r="P10" s="32" t="s">
        <v>7341</v>
      </c>
    </row>
    <row r="11" spans="1:16" x14ac:dyDescent="0.35">
      <c r="A11" s="32" t="str">
        <f t="shared" si="0"/>
        <v>2026 JAN-APR SHARP PRICE</v>
      </c>
      <c r="B11" s="33">
        <f t="shared" si="1"/>
        <v>46121</v>
      </c>
      <c r="C11" s="33">
        <f t="shared" si="2"/>
        <v>46127</v>
      </c>
      <c r="D11" s="32">
        <v>3284</v>
      </c>
      <c r="E11" s="32">
        <v>338</v>
      </c>
      <c r="F11" s="32">
        <v>4</v>
      </c>
      <c r="G11" s="23">
        <v>8</v>
      </c>
      <c r="H11" s="23">
        <v>81005</v>
      </c>
      <c r="I11" s="32" t="s">
        <v>2689</v>
      </c>
      <c r="J11" s="22">
        <v>69383979</v>
      </c>
      <c r="K11" s="22" t="s">
        <v>7575</v>
      </c>
      <c r="L11" s="22" t="s">
        <v>7577</v>
      </c>
      <c r="M11" s="24">
        <v>179900</v>
      </c>
      <c r="N11" s="88">
        <v>0</v>
      </c>
      <c r="O11" s="34" t="s">
        <v>7169</v>
      </c>
      <c r="P11" s="32" t="s">
        <v>7341</v>
      </c>
    </row>
    <row r="12" spans="1:16" x14ac:dyDescent="0.35">
      <c r="A12" s="32" t="str">
        <f t="shared" si="0"/>
        <v>2026 JAN-APR SHARP PRICE</v>
      </c>
      <c r="B12" s="33">
        <f t="shared" si="1"/>
        <v>46121</v>
      </c>
      <c r="C12" s="33">
        <f t="shared" si="2"/>
        <v>46127</v>
      </c>
      <c r="D12" s="32">
        <v>3284</v>
      </c>
      <c r="E12" s="32">
        <v>338</v>
      </c>
      <c r="F12" s="32">
        <v>4</v>
      </c>
      <c r="G12" s="23">
        <v>8</v>
      </c>
      <c r="H12" s="23">
        <v>81005</v>
      </c>
      <c r="I12" s="32" t="s">
        <v>2689</v>
      </c>
      <c r="J12" s="22">
        <v>69383988</v>
      </c>
      <c r="K12" s="22" t="s">
        <v>7575</v>
      </c>
      <c r="L12" s="22" t="s">
        <v>7578</v>
      </c>
      <c r="M12" s="24">
        <v>179900</v>
      </c>
      <c r="N12" s="88">
        <v>0</v>
      </c>
      <c r="O12" s="34" t="s">
        <v>7169</v>
      </c>
      <c r="P12" s="32" t="s">
        <v>7341</v>
      </c>
    </row>
    <row r="13" spans="1:16" x14ac:dyDescent="0.35">
      <c r="A13" s="32" t="str">
        <f t="shared" si="0"/>
        <v>2026 JAN-APR SHARP PRICE</v>
      </c>
      <c r="B13" s="33">
        <f t="shared" si="1"/>
        <v>46121</v>
      </c>
      <c r="C13" s="33">
        <f t="shared" si="2"/>
        <v>46127</v>
      </c>
      <c r="D13" s="32">
        <v>3284</v>
      </c>
      <c r="E13" s="32">
        <v>338</v>
      </c>
      <c r="F13" s="32">
        <v>4</v>
      </c>
      <c r="G13" s="23">
        <v>8</v>
      </c>
      <c r="H13" s="23">
        <v>81005</v>
      </c>
      <c r="I13" s="32" t="s">
        <v>2689</v>
      </c>
      <c r="J13" s="22">
        <v>69383997</v>
      </c>
      <c r="K13" s="22" t="s">
        <v>7575</v>
      </c>
      <c r="L13" s="22" t="s">
        <v>7579</v>
      </c>
      <c r="M13" s="24">
        <v>179900</v>
      </c>
      <c r="N13" s="88">
        <v>0</v>
      </c>
      <c r="O13" s="34" t="s">
        <v>7169</v>
      </c>
      <c r="P13" s="32" t="s">
        <v>7341</v>
      </c>
    </row>
    <row r="14" spans="1:16" x14ac:dyDescent="0.35">
      <c r="A14" s="32" t="str">
        <f t="shared" si="0"/>
        <v>2026 JAN-APR SHARP PRICE</v>
      </c>
      <c r="B14" s="33">
        <f t="shared" si="1"/>
        <v>46121</v>
      </c>
      <c r="C14" s="33">
        <f t="shared" si="2"/>
        <v>46127</v>
      </c>
      <c r="D14" s="32">
        <v>3284</v>
      </c>
      <c r="E14" s="32">
        <v>338</v>
      </c>
      <c r="F14" s="32">
        <v>4</v>
      </c>
      <c r="G14" s="23">
        <v>8</v>
      </c>
      <c r="H14" s="23">
        <v>81005</v>
      </c>
      <c r="I14" s="32" t="s">
        <v>2689</v>
      </c>
      <c r="J14" s="22">
        <v>69384003</v>
      </c>
      <c r="K14" s="22" t="s">
        <v>7580</v>
      </c>
      <c r="L14" s="22" t="s">
        <v>7581</v>
      </c>
      <c r="M14" s="24">
        <v>149900</v>
      </c>
      <c r="N14" s="88">
        <v>0</v>
      </c>
      <c r="O14" s="34" t="s">
        <v>7169</v>
      </c>
      <c r="P14" s="32" t="s">
        <v>7341</v>
      </c>
    </row>
    <row r="15" spans="1:16" x14ac:dyDescent="0.35">
      <c r="A15" s="32" t="str">
        <f t="shared" si="0"/>
        <v>2026 JAN-APR SHARP PRICE</v>
      </c>
      <c r="B15" s="33">
        <f t="shared" si="1"/>
        <v>46121</v>
      </c>
      <c r="C15" s="33">
        <f t="shared" si="2"/>
        <v>46127</v>
      </c>
      <c r="D15" s="32">
        <v>3284</v>
      </c>
      <c r="E15" s="32">
        <v>338</v>
      </c>
      <c r="F15" s="32">
        <v>4</v>
      </c>
      <c r="G15" s="23">
        <v>8</v>
      </c>
      <c r="H15" s="23">
        <v>81005</v>
      </c>
      <c r="I15" s="32" t="s">
        <v>2689</v>
      </c>
      <c r="J15" s="22">
        <v>69384012</v>
      </c>
      <c r="K15" s="22" t="s">
        <v>7580</v>
      </c>
      <c r="L15" s="22" t="s">
        <v>7582</v>
      </c>
      <c r="M15" s="24">
        <v>149900</v>
      </c>
      <c r="N15" s="88">
        <v>0</v>
      </c>
      <c r="O15" s="34" t="s">
        <v>7169</v>
      </c>
      <c r="P15" s="32" t="s">
        <v>7341</v>
      </c>
    </row>
    <row r="16" spans="1:16" x14ac:dyDescent="0.35">
      <c r="A16" s="32" t="str">
        <f t="shared" si="0"/>
        <v>2026 JAN-APR SHARP PRICE</v>
      </c>
      <c r="B16" s="33">
        <f t="shared" si="1"/>
        <v>46121</v>
      </c>
      <c r="C16" s="33">
        <f t="shared" si="2"/>
        <v>46127</v>
      </c>
      <c r="D16" s="32">
        <v>3284</v>
      </c>
      <c r="E16" s="32">
        <v>338</v>
      </c>
      <c r="F16" s="32">
        <v>4</v>
      </c>
      <c r="G16" s="23">
        <v>8</v>
      </c>
      <c r="H16" s="23">
        <v>81005</v>
      </c>
      <c r="I16" s="32" t="s">
        <v>2689</v>
      </c>
      <c r="J16" s="22">
        <v>69384021</v>
      </c>
      <c r="K16" s="22" t="s">
        <v>7580</v>
      </c>
      <c r="L16" s="22" t="s">
        <v>7583</v>
      </c>
      <c r="M16" s="24">
        <v>149900</v>
      </c>
      <c r="N16" s="88">
        <v>0</v>
      </c>
      <c r="O16" s="34" t="s">
        <v>7169</v>
      </c>
      <c r="P16" s="32" t="s">
        <v>7341</v>
      </c>
    </row>
    <row r="17" spans="1:16" x14ac:dyDescent="0.35">
      <c r="A17" s="32" t="str">
        <f t="shared" si="0"/>
        <v>2026 JAN-APR SHARP PRICE</v>
      </c>
      <c r="B17" s="33">
        <f t="shared" si="1"/>
        <v>46121</v>
      </c>
      <c r="C17" s="33">
        <f t="shared" si="2"/>
        <v>46127</v>
      </c>
      <c r="D17" s="32">
        <v>3284</v>
      </c>
      <c r="E17" s="32">
        <v>338</v>
      </c>
      <c r="F17" s="32">
        <v>4</v>
      </c>
      <c r="G17" s="23">
        <v>8</v>
      </c>
      <c r="H17" s="23">
        <v>81005</v>
      </c>
      <c r="I17" s="32" t="s">
        <v>2689</v>
      </c>
      <c r="J17" s="22">
        <v>69384030</v>
      </c>
      <c r="K17" s="22" t="s">
        <v>7580</v>
      </c>
      <c r="L17" s="22" t="s">
        <v>7584</v>
      </c>
      <c r="M17" s="24">
        <v>149900</v>
      </c>
      <c r="N17" s="88">
        <v>0</v>
      </c>
      <c r="O17" s="34" t="s">
        <v>7169</v>
      </c>
      <c r="P17" s="32" t="s">
        <v>7341</v>
      </c>
    </row>
    <row r="18" spans="1:16" x14ac:dyDescent="0.35">
      <c r="A18" s="32" t="str">
        <f t="shared" si="0"/>
        <v>2026 JAN-APR SHARP PRICE</v>
      </c>
      <c r="B18" s="33">
        <f t="shared" si="1"/>
        <v>46121</v>
      </c>
      <c r="C18" s="33">
        <f t="shared" si="2"/>
        <v>46127</v>
      </c>
      <c r="D18" s="32">
        <v>3284</v>
      </c>
      <c r="E18" s="32">
        <v>338</v>
      </c>
      <c r="F18" s="32">
        <v>4</v>
      </c>
      <c r="G18" s="23">
        <v>8</v>
      </c>
      <c r="H18" s="23">
        <v>81847</v>
      </c>
      <c r="I18" s="32" t="s">
        <v>2689</v>
      </c>
      <c r="J18" s="22">
        <v>70875328</v>
      </c>
      <c r="K18" s="22" t="s">
        <v>7585</v>
      </c>
      <c r="L18" s="22" t="s">
        <v>7586</v>
      </c>
      <c r="M18" s="24">
        <v>149900</v>
      </c>
      <c r="N18" s="88">
        <v>0</v>
      </c>
      <c r="O18" s="34" t="s">
        <v>7169</v>
      </c>
      <c r="P18" s="32" t="s">
        <v>7341</v>
      </c>
    </row>
    <row r="19" spans="1:16" x14ac:dyDescent="0.35">
      <c r="A19" s="32" t="str">
        <f t="shared" si="0"/>
        <v>2026 JAN-APR SHARP PRICE</v>
      </c>
      <c r="B19" s="33">
        <f t="shared" si="1"/>
        <v>46121</v>
      </c>
      <c r="C19" s="33">
        <f t="shared" si="2"/>
        <v>46127</v>
      </c>
      <c r="D19" s="32">
        <v>3284</v>
      </c>
      <c r="E19" s="32">
        <v>338</v>
      </c>
      <c r="F19" s="32">
        <v>4</v>
      </c>
      <c r="G19" s="23">
        <v>8</v>
      </c>
      <c r="H19" s="23">
        <v>81847</v>
      </c>
      <c r="I19" s="32" t="s">
        <v>2689</v>
      </c>
      <c r="J19" s="22">
        <v>70875337</v>
      </c>
      <c r="K19" s="22" t="s">
        <v>7585</v>
      </c>
      <c r="L19" s="22" t="s">
        <v>7587</v>
      </c>
      <c r="M19" s="24">
        <v>149900</v>
      </c>
      <c r="N19" s="88">
        <v>0</v>
      </c>
      <c r="O19" s="34" t="s">
        <v>7169</v>
      </c>
      <c r="P19" s="32" t="s">
        <v>7341</v>
      </c>
    </row>
    <row r="20" spans="1:16" x14ac:dyDescent="0.35">
      <c r="A20" s="32" t="str">
        <f t="shared" si="0"/>
        <v>2026 JAN-APR SHARP PRICE</v>
      </c>
      <c r="B20" s="33">
        <f t="shared" si="1"/>
        <v>46121</v>
      </c>
      <c r="C20" s="33">
        <f t="shared" si="2"/>
        <v>46127</v>
      </c>
      <c r="D20" s="32">
        <v>3284</v>
      </c>
      <c r="E20" s="32">
        <v>338</v>
      </c>
      <c r="F20" s="32">
        <v>4</v>
      </c>
      <c r="G20" s="23">
        <v>8</v>
      </c>
      <c r="H20" s="23">
        <v>81847</v>
      </c>
      <c r="I20" s="32" t="s">
        <v>2689</v>
      </c>
      <c r="J20" s="22">
        <v>70875346</v>
      </c>
      <c r="K20" s="22" t="s">
        <v>7585</v>
      </c>
      <c r="L20" s="22" t="s">
        <v>7588</v>
      </c>
      <c r="M20" s="24">
        <v>149900</v>
      </c>
      <c r="N20" s="88">
        <v>0</v>
      </c>
      <c r="O20" s="34" t="s">
        <v>7169</v>
      </c>
      <c r="P20" s="32" t="s">
        <v>7341</v>
      </c>
    </row>
    <row r="21" spans="1:16" x14ac:dyDescent="0.35">
      <c r="A21" s="32" t="str">
        <f t="shared" si="0"/>
        <v>2026 JAN-APR SHARP PRICE</v>
      </c>
      <c r="B21" s="33">
        <f t="shared" si="1"/>
        <v>46121</v>
      </c>
      <c r="C21" s="33">
        <f t="shared" si="2"/>
        <v>46127</v>
      </c>
      <c r="D21" s="32">
        <v>3284</v>
      </c>
      <c r="E21" s="32">
        <v>338</v>
      </c>
      <c r="F21" s="32">
        <v>4</v>
      </c>
      <c r="G21" s="23">
        <v>8</v>
      </c>
      <c r="H21" s="23">
        <v>81847</v>
      </c>
      <c r="I21" s="32" t="s">
        <v>2689</v>
      </c>
      <c r="J21" s="22">
        <v>70875355</v>
      </c>
      <c r="K21" s="22" t="s">
        <v>7585</v>
      </c>
      <c r="L21" s="22" t="s">
        <v>7589</v>
      </c>
      <c r="M21" s="24">
        <v>149900</v>
      </c>
      <c r="N21" s="88">
        <v>0</v>
      </c>
      <c r="O21" s="34" t="s">
        <v>7169</v>
      </c>
      <c r="P21" s="32" t="s">
        <v>7341</v>
      </c>
    </row>
    <row r="22" spans="1:16" x14ac:dyDescent="0.35">
      <c r="A22" s="32" t="str">
        <f t="shared" si="0"/>
        <v>2026 JAN-APR SHARP PRICE</v>
      </c>
      <c r="B22" s="33">
        <f t="shared" si="1"/>
        <v>46121</v>
      </c>
      <c r="C22" s="33">
        <f t="shared" si="2"/>
        <v>46127</v>
      </c>
      <c r="D22" s="32">
        <v>3284</v>
      </c>
      <c r="E22" s="32">
        <v>338</v>
      </c>
      <c r="F22" s="32">
        <v>4</v>
      </c>
      <c r="G22" s="23">
        <v>8</v>
      </c>
      <c r="H22" s="23">
        <v>81847</v>
      </c>
      <c r="I22" s="32" t="s">
        <v>2689</v>
      </c>
      <c r="J22" s="22">
        <v>70875364</v>
      </c>
      <c r="K22" s="22" t="s">
        <v>7590</v>
      </c>
      <c r="L22" s="22" t="s">
        <v>7591</v>
      </c>
      <c r="M22" s="24">
        <v>129900</v>
      </c>
      <c r="N22" s="88">
        <v>0</v>
      </c>
      <c r="O22" s="34" t="s">
        <v>7169</v>
      </c>
      <c r="P22" s="32" t="s">
        <v>7341</v>
      </c>
    </row>
    <row r="23" spans="1:16" x14ac:dyDescent="0.35">
      <c r="A23" s="32" t="str">
        <f t="shared" si="0"/>
        <v>2026 JAN-APR SHARP PRICE</v>
      </c>
      <c r="B23" s="33">
        <f t="shared" si="1"/>
        <v>46121</v>
      </c>
      <c r="C23" s="33">
        <f t="shared" si="2"/>
        <v>46127</v>
      </c>
      <c r="D23" s="32">
        <v>3284</v>
      </c>
      <c r="E23" s="32">
        <v>338</v>
      </c>
      <c r="F23" s="32">
        <v>4</v>
      </c>
      <c r="G23" s="23">
        <v>8</v>
      </c>
      <c r="H23" s="23">
        <v>81847</v>
      </c>
      <c r="I23" s="32" t="s">
        <v>2689</v>
      </c>
      <c r="J23" s="22">
        <v>70875373</v>
      </c>
      <c r="K23" s="22" t="s">
        <v>7590</v>
      </c>
      <c r="L23" s="22" t="s">
        <v>7592</v>
      </c>
      <c r="M23" s="24">
        <v>129900</v>
      </c>
      <c r="N23" s="88">
        <v>0</v>
      </c>
      <c r="O23" s="34" t="s">
        <v>7169</v>
      </c>
      <c r="P23" s="32" t="s">
        <v>7341</v>
      </c>
    </row>
    <row r="24" spans="1:16" x14ac:dyDescent="0.35">
      <c r="A24" s="32" t="str">
        <f t="shared" si="0"/>
        <v>2026 JAN-APR SHARP PRICE</v>
      </c>
      <c r="B24" s="33">
        <f t="shared" si="1"/>
        <v>46121</v>
      </c>
      <c r="C24" s="33">
        <f t="shared" si="2"/>
        <v>46127</v>
      </c>
      <c r="D24" s="32">
        <v>3284</v>
      </c>
      <c r="E24" s="32">
        <v>338</v>
      </c>
      <c r="F24" s="32">
        <v>4</v>
      </c>
      <c r="G24" s="23">
        <v>8</v>
      </c>
      <c r="H24" s="23">
        <v>81847</v>
      </c>
      <c r="I24" s="32" t="s">
        <v>2689</v>
      </c>
      <c r="J24" s="22">
        <v>70875382</v>
      </c>
      <c r="K24" s="22" t="s">
        <v>7590</v>
      </c>
      <c r="L24" s="22" t="s">
        <v>7593</v>
      </c>
      <c r="M24" s="24">
        <v>129900</v>
      </c>
      <c r="N24" s="88">
        <v>0</v>
      </c>
      <c r="O24" s="34" t="s">
        <v>7169</v>
      </c>
      <c r="P24" s="32" t="s">
        <v>7341</v>
      </c>
    </row>
    <row r="25" spans="1:16" x14ac:dyDescent="0.35">
      <c r="A25" s="32" t="str">
        <f t="shared" si="0"/>
        <v>2026 JAN-APR SHARP PRICE</v>
      </c>
      <c r="B25" s="33">
        <f t="shared" si="1"/>
        <v>46121</v>
      </c>
      <c r="C25" s="33">
        <f t="shared" si="2"/>
        <v>46127</v>
      </c>
      <c r="D25" s="32">
        <v>3284</v>
      </c>
      <c r="E25" s="32">
        <v>338</v>
      </c>
      <c r="F25" s="32">
        <v>4</v>
      </c>
      <c r="G25" s="23">
        <v>8</v>
      </c>
      <c r="H25" s="23">
        <v>81847</v>
      </c>
      <c r="I25" s="32" t="s">
        <v>2689</v>
      </c>
      <c r="J25" s="22">
        <v>70875391</v>
      </c>
      <c r="K25" s="22" t="s">
        <v>7590</v>
      </c>
      <c r="L25" s="22" t="s">
        <v>7594</v>
      </c>
      <c r="M25" s="24">
        <v>129900</v>
      </c>
      <c r="N25" s="88">
        <v>0</v>
      </c>
      <c r="O25" s="34" t="s">
        <v>7169</v>
      </c>
      <c r="P25" s="32" t="s">
        <v>7341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8A0E-1B46-4F43-8987-11DD0B4C988C}">
  <dimension ref="A1:P36"/>
  <sheetViews>
    <sheetView topLeftCell="C1" zoomScale="80" zoomScaleNormal="80" workbookViewId="0">
      <pane ySplit="1" topLeftCell="A16" activePane="bottomLeft" state="frozen"/>
      <selection activeCell="B2" sqref="B2:C2"/>
      <selection pane="bottomLeft" activeCell="R12" sqref="R12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7166</v>
      </c>
      <c r="B2" s="33">
        <f>'2025 HILITE D80 - 3321'!B2</f>
        <v>46121</v>
      </c>
      <c r="C2" s="33">
        <f>'2025 HILITE D80 - 3321'!C2</f>
        <v>46127</v>
      </c>
      <c r="D2" s="32">
        <v>3284</v>
      </c>
      <c r="E2" s="32">
        <v>338</v>
      </c>
      <c r="F2" s="32">
        <v>4</v>
      </c>
      <c r="G2" s="23">
        <v>8</v>
      </c>
      <c r="H2" s="23">
        <v>81847</v>
      </c>
      <c r="I2" s="32" t="s">
        <v>2689</v>
      </c>
      <c r="J2" s="22">
        <v>59174151</v>
      </c>
      <c r="K2" s="22" t="s">
        <v>6798</v>
      </c>
      <c r="L2" s="22" t="s">
        <v>6802</v>
      </c>
      <c r="M2" s="24">
        <v>149900</v>
      </c>
      <c r="N2" s="67">
        <v>0.3</v>
      </c>
      <c r="O2" s="34">
        <f>M2-((30*M2)/100)</f>
        <v>104930</v>
      </c>
      <c r="P2" s="32" t="s">
        <v>16</v>
      </c>
    </row>
    <row r="3" spans="1:16" x14ac:dyDescent="0.35">
      <c r="A3" s="32" t="str">
        <f>A2</f>
        <v>2025 NOV DISC 30%</v>
      </c>
      <c r="B3" s="33">
        <f>B2</f>
        <v>46121</v>
      </c>
      <c r="C3" s="33">
        <f>C2</f>
        <v>46127</v>
      </c>
      <c r="D3" s="32">
        <v>3284</v>
      </c>
      <c r="E3" s="32">
        <v>338</v>
      </c>
      <c r="F3" s="32">
        <v>4</v>
      </c>
      <c r="G3" s="23">
        <v>8</v>
      </c>
      <c r="H3" s="23">
        <v>81847</v>
      </c>
      <c r="I3" s="32" t="s">
        <v>2689</v>
      </c>
      <c r="J3" s="22">
        <v>59174160</v>
      </c>
      <c r="K3" s="22" t="s">
        <v>6798</v>
      </c>
      <c r="L3" s="22" t="s">
        <v>6801</v>
      </c>
      <c r="M3" s="24">
        <v>149900</v>
      </c>
      <c r="N3" s="67">
        <v>0.3</v>
      </c>
      <c r="O3" s="34">
        <f t="shared" ref="O3:O36" si="0">M3-((30*M3)/100)</f>
        <v>104930</v>
      </c>
      <c r="P3" s="32" t="s">
        <v>16</v>
      </c>
    </row>
    <row r="4" spans="1:16" x14ac:dyDescent="0.35">
      <c r="A4" s="32" t="str">
        <f t="shared" ref="A4:C19" si="1">A3</f>
        <v>2025 NOV DISC 30%</v>
      </c>
      <c r="B4" s="33">
        <f>B2</f>
        <v>46121</v>
      </c>
      <c r="C4" s="33">
        <f>C2</f>
        <v>46127</v>
      </c>
      <c r="D4" s="32">
        <v>3284</v>
      </c>
      <c r="E4" s="32">
        <v>338</v>
      </c>
      <c r="F4" s="32">
        <v>4</v>
      </c>
      <c r="G4" s="23">
        <v>8</v>
      </c>
      <c r="H4" s="23">
        <v>81847</v>
      </c>
      <c r="I4" s="32" t="s">
        <v>2689</v>
      </c>
      <c r="J4" s="22">
        <v>59174179</v>
      </c>
      <c r="K4" s="22" t="s">
        <v>6798</v>
      </c>
      <c r="L4" s="22" t="s">
        <v>6800</v>
      </c>
      <c r="M4" s="24">
        <v>149900</v>
      </c>
      <c r="N4" s="67">
        <v>0.3</v>
      </c>
      <c r="O4" s="34">
        <f t="shared" si="0"/>
        <v>104930</v>
      </c>
      <c r="P4" s="32" t="s">
        <v>16</v>
      </c>
    </row>
    <row r="5" spans="1:16" x14ac:dyDescent="0.35">
      <c r="A5" s="32" t="str">
        <f t="shared" si="1"/>
        <v>2025 NOV DISC 30%</v>
      </c>
      <c r="B5" s="33">
        <f>B3</f>
        <v>46121</v>
      </c>
      <c r="C5" s="33">
        <f>C3</f>
        <v>46127</v>
      </c>
      <c r="D5" s="32">
        <v>3284</v>
      </c>
      <c r="E5" s="32">
        <v>338</v>
      </c>
      <c r="F5" s="32">
        <v>4</v>
      </c>
      <c r="G5" s="23">
        <v>8</v>
      </c>
      <c r="H5" s="23">
        <v>81847</v>
      </c>
      <c r="I5" s="32" t="s">
        <v>2689</v>
      </c>
      <c r="J5" s="22">
        <v>59174188</v>
      </c>
      <c r="K5" s="22" t="s">
        <v>6798</v>
      </c>
      <c r="L5" s="22" t="s">
        <v>6799</v>
      </c>
      <c r="M5" s="24">
        <v>149900</v>
      </c>
      <c r="N5" s="67">
        <v>0.3</v>
      </c>
      <c r="O5" s="34">
        <f t="shared" si="0"/>
        <v>104930</v>
      </c>
      <c r="P5" s="32" t="s">
        <v>16</v>
      </c>
    </row>
    <row r="6" spans="1:16" x14ac:dyDescent="0.35">
      <c r="A6" s="32" t="str">
        <f t="shared" si="1"/>
        <v>2025 NOV DISC 30%</v>
      </c>
      <c r="B6" s="33">
        <f t="shared" si="1"/>
        <v>46121</v>
      </c>
      <c r="C6" s="33">
        <f t="shared" si="1"/>
        <v>46127</v>
      </c>
      <c r="D6" s="32">
        <v>3284</v>
      </c>
      <c r="E6" s="32">
        <v>338</v>
      </c>
      <c r="F6" s="32">
        <v>4</v>
      </c>
      <c r="G6" s="23">
        <v>8</v>
      </c>
      <c r="H6" s="23">
        <v>81847</v>
      </c>
      <c r="I6" s="32" t="s">
        <v>2689</v>
      </c>
      <c r="J6" s="22">
        <v>59174197</v>
      </c>
      <c r="K6" s="22" t="s">
        <v>6798</v>
      </c>
      <c r="L6" s="22" t="s">
        <v>6797</v>
      </c>
      <c r="M6" s="24">
        <v>149900</v>
      </c>
      <c r="N6" s="67">
        <v>0.3</v>
      </c>
      <c r="O6" s="34">
        <f t="shared" si="0"/>
        <v>104930</v>
      </c>
      <c r="P6" s="32" t="s">
        <v>16</v>
      </c>
    </row>
    <row r="7" spans="1:16" x14ac:dyDescent="0.35">
      <c r="A7" s="32" t="str">
        <f t="shared" si="1"/>
        <v>2025 NOV DISC 30%</v>
      </c>
      <c r="B7" s="33">
        <f t="shared" si="1"/>
        <v>46121</v>
      </c>
      <c r="C7" s="33">
        <f t="shared" si="1"/>
        <v>46127</v>
      </c>
      <c r="D7" s="32">
        <v>3284</v>
      </c>
      <c r="E7" s="32">
        <v>338</v>
      </c>
      <c r="F7" s="32">
        <v>4</v>
      </c>
      <c r="G7" s="23">
        <v>8</v>
      </c>
      <c r="H7" s="23">
        <v>81847</v>
      </c>
      <c r="I7" s="32" t="s">
        <v>2689</v>
      </c>
      <c r="J7" s="22">
        <v>59174106</v>
      </c>
      <c r="K7" s="22" t="s">
        <v>6792</v>
      </c>
      <c r="L7" s="22" t="s">
        <v>6796</v>
      </c>
      <c r="M7" s="24">
        <v>129900</v>
      </c>
      <c r="N7" s="67">
        <v>0.3</v>
      </c>
      <c r="O7" s="34">
        <f t="shared" si="0"/>
        <v>90930</v>
      </c>
      <c r="P7" s="32" t="s">
        <v>16</v>
      </c>
    </row>
    <row r="8" spans="1:16" x14ac:dyDescent="0.35">
      <c r="A8" s="32" t="str">
        <f t="shared" si="1"/>
        <v>2025 NOV DISC 30%</v>
      </c>
      <c r="B8" s="33">
        <f t="shared" si="1"/>
        <v>46121</v>
      </c>
      <c r="C8" s="33">
        <f t="shared" si="1"/>
        <v>46127</v>
      </c>
      <c r="D8" s="32">
        <v>3284</v>
      </c>
      <c r="E8" s="32">
        <v>338</v>
      </c>
      <c r="F8" s="32">
        <v>4</v>
      </c>
      <c r="G8" s="23">
        <v>8</v>
      </c>
      <c r="H8" s="23">
        <v>81847</v>
      </c>
      <c r="I8" s="32" t="s">
        <v>2689</v>
      </c>
      <c r="J8" s="22">
        <v>59174115</v>
      </c>
      <c r="K8" s="22" t="s">
        <v>6792</v>
      </c>
      <c r="L8" s="22" t="s">
        <v>6795</v>
      </c>
      <c r="M8" s="24">
        <v>129900</v>
      </c>
      <c r="N8" s="67">
        <v>0.3</v>
      </c>
      <c r="O8" s="34">
        <f t="shared" si="0"/>
        <v>90930</v>
      </c>
      <c r="P8" s="32" t="s">
        <v>16</v>
      </c>
    </row>
    <row r="9" spans="1:16" x14ac:dyDescent="0.35">
      <c r="A9" s="32" t="str">
        <f t="shared" si="1"/>
        <v>2025 NOV DISC 30%</v>
      </c>
      <c r="B9" s="33">
        <f t="shared" si="1"/>
        <v>46121</v>
      </c>
      <c r="C9" s="33">
        <f t="shared" si="1"/>
        <v>46127</v>
      </c>
      <c r="D9" s="32">
        <v>3284</v>
      </c>
      <c r="E9" s="32">
        <v>338</v>
      </c>
      <c r="F9" s="32">
        <v>4</v>
      </c>
      <c r="G9" s="23">
        <v>8</v>
      </c>
      <c r="H9" s="23">
        <v>81847</v>
      </c>
      <c r="I9" s="32" t="s">
        <v>2689</v>
      </c>
      <c r="J9" s="22">
        <v>59174124</v>
      </c>
      <c r="K9" s="22" t="s">
        <v>6792</v>
      </c>
      <c r="L9" s="22" t="s">
        <v>6794</v>
      </c>
      <c r="M9" s="24">
        <v>129900</v>
      </c>
      <c r="N9" s="67">
        <v>0.3</v>
      </c>
      <c r="O9" s="34">
        <f t="shared" si="0"/>
        <v>90930</v>
      </c>
      <c r="P9" s="32" t="s">
        <v>16</v>
      </c>
    </row>
    <row r="10" spans="1:16" x14ac:dyDescent="0.35">
      <c r="A10" s="32" t="str">
        <f t="shared" si="1"/>
        <v>2025 NOV DISC 30%</v>
      </c>
      <c r="B10" s="33">
        <f t="shared" si="1"/>
        <v>46121</v>
      </c>
      <c r="C10" s="33">
        <f t="shared" si="1"/>
        <v>46127</v>
      </c>
      <c r="D10" s="32">
        <v>3284</v>
      </c>
      <c r="E10" s="32">
        <v>338</v>
      </c>
      <c r="F10" s="32">
        <v>4</v>
      </c>
      <c r="G10" s="23">
        <v>8</v>
      </c>
      <c r="H10" s="23">
        <v>81847</v>
      </c>
      <c r="I10" s="32" t="s">
        <v>2689</v>
      </c>
      <c r="J10" s="22">
        <v>59174133</v>
      </c>
      <c r="K10" s="22" t="s">
        <v>6792</v>
      </c>
      <c r="L10" s="22" t="s">
        <v>6793</v>
      </c>
      <c r="M10" s="24">
        <v>129900</v>
      </c>
      <c r="N10" s="67">
        <v>0.3</v>
      </c>
      <c r="O10" s="34">
        <f t="shared" si="0"/>
        <v>90930</v>
      </c>
      <c r="P10" s="32" t="s">
        <v>16</v>
      </c>
    </row>
    <row r="11" spans="1:16" x14ac:dyDescent="0.35">
      <c r="A11" s="32" t="str">
        <f t="shared" si="1"/>
        <v>2025 NOV DISC 30%</v>
      </c>
      <c r="B11" s="33">
        <f t="shared" si="1"/>
        <v>46121</v>
      </c>
      <c r="C11" s="33">
        <f t="shared" si="1"/>
        <v>46127</v>
      </c>
      <c r="D11" s="32">
        <v>3284</v>
      </c>
      <c r="E11" s="32">
        <v>338</v>
      </c>
      <c r="F11" s="32">
        <v>4</v>
      </c>
      <c r="G11" s="23">
        <v>8</v>
      </c>
      <c r="H11" s="23">
        <v>81847</v>
      </c>
      <c r="I11" s="32" t="s">
        <v>2689</v>
      </c>
      <c r="J11" s="22">
        <v>59174142</v>
      </c>
      <c r="K11" s="22" t="s">
        <v>6792</v>
      </c>
      <c r="L11" s="22" t="s">
        <v>6791</v>
      </c>
      <c r="M11" s="24">
        <v>129900</v>
      </c>
      <c r="N11" s="67">
        <v>0.3</v>
      </c>
      <c r="O11" s="34">
        <f t="shared" si="0"/>
        <v>90930</v>
      </c>
      <c r="P11" s="32" t="s">
        <v>16</v>
      </c>
    </row>
    <row r="12" spans="1:16" x14ac:dyDescent="0.35">
      <c r="A12" s="32" t="str">
        <f t="shared" si="1"/>
        <v>2025 NOV DISC 30%</v>
      </c>
      <c r="B12" s="33">
        <f t="shared" si="1"/>
        <v>46121</v>
      </c>
      <c r="C12" s="33">
        <f t="shared" si="1"/>
        <v>46127</v>
      </c>
      <c r="D12" s="32">
        <v>3284</v>
      </c>
      <c r="E12" s="32">
        <v>338</v>
      </c>
      <c r="F12" s="32">
        <v>4</v>
      </c>
      <c r="G12" s="23">
        <v>8</v>
      </c>
      <c r="H12" s="23">
        <v>81847</v>
      </c>
      <c r="I12" s="32" t="s">
        <v>2689</v>
      </c>
      <c r="J12" s="22">
        <v>59174053</v>
      </c>
      <c r="K12" s="22" t="s">
        <v>6786</v>
      </c>
      <c r="L12" s="22" t="s">
        <v>6790</v>
      </c>
      <c r="M12" s="24">
        <v>149900</v>
      </c>
      <c r="N12" s="67">
        <v>0.3</v>
      </c>
      <c r="O12" s="34">
        <f t="shared" si="0"/>
        <v>104930</v>
      </c>
      <c r="P12" s="32" t="s">
        <v>16</v>
      </c>
    </row>
    <row r="13" spans="1:16" x14ac:dyDescent="0.35">
      <c r="A13" s="32" t="str">
        <f t="shared" si="1"/>
        <v>2025 NOV DISC 30%</v>
      </c>
      <c r="B13" s="33">
        <f t="shared" si="1"/>
        <v>46121</v>
      </c>
      <c r="C13" s="33">
        <f t="shared" si="1"/>
        <v>46127</v>
      </c>
      <c r="D13" s="32">
        <v>3284</v>
      </c>
      <c r="E13" s="32">
        <v>338</v>
      </c>
      <c r="F13" s="32">
        <v>4</v>
      </c>
      <c r="G13" s="23">
        <v>8</v>
      </c>
      <c r="H13" s="23">
        <v>81847</v>
      </c>
      <c r="I13" s="32" t="s">
        <v>2689</v>
      </c>
      <c r="J13" s="22">
        <v>59174062</v>
      </c>
      <c r="K13" s="22" t="s">
        <v>6786</v>
      </c>
      <c r="L13" s="22" t="s">
        <v>6789</v>
      </c>
      <c r="M13" s="24">
        <v>149900</v>
      </c>
      <c r="N13" s="67">
        <v>0.3</v>
      </c>
      <c r="O13" s="34">
        <f t="shared" si="0"/>
        <v>104930</v>
      </c>
      <c r="P13" s="32" t="s">
        <v>16</v>
      </c>
    </row>
    <row r="14" spans="1:16" x14ac:dyDescent="0.35">
      <c r="A14" s="32" t="str">
        <f t="shared" si="1"/>
        <v>2025 NOV DISC 30%</v>
      </c>
      <c r="B14" s="33">
        <f t="shared" si="1"/>
        <v>46121</v>
      </c>
      <c r="C14" s="33">
        <f t="shared" si="1"/>
        <v>46127</v>
      </c>
      <c r="D14" s="32">
        <v>3284</v>
      </c>
      <c r="E14" s="32">
        <v>338</v>
      </c>
      <c r="F14" s="32">
        <v>4</v>
      </c>
      <c r="G14" s="23">
        <v>8</v>
      </c>
      <c r="H14" s="23">
        <v>81847</v>
      </c>
      <c r="I14" s="32" t="s">
        <v>2689</v>
      </c>
      <c r="J14" s="22">
        <v>59174071</v>
      </c>
      <c r="K14" s="22" t="s">
        <v>6786</v>
      </c>
      <c r="L14" s="22" t="s">
        <v>6788</v>
      </c>
      <c r="M14" s="24">
        <v>149900</v>
      </c>
      <c r="N14" s="67">
        <v>0.3</v>
      </c>
      <c r="O14" s="34">
        <f t="shared" si="0"/>
        <v>104930</v>
      </c>
      <c r="P14" s="32" t="s">
        <v>16</v>
      </c>
    </row>
    <row r="15" spans="1:16" x14ac:dyDescent="0.35">
      <c r="A15" s="32" t="str">
        <f t="shared" si="1"/>
        <v>2025 NOV DISC 30%</v>
      </c>
      <c r="B15" s="33">
        <f t="shared" si="1"/>
        <v>46121</v>
      </c>
      <c r="C15" s="33">
        <f t="shared" si="1"/>
        <v>46127</v>
      </c>
      <c r="D15" s="32">
        <v>3284</v>
      </c>
      <c r="E15" s="32">
        <v>338</v>
      </c>
      <c r="F15" s="32">
        <v>4</v>
      </c>
      <c r="G15" s="23">
        <v>8</v>
      </c>
      <c r="H15" s="23">
        <v>81847</v>
      </c>
      <c r="I15" s="32" t="s">
        <v>2689</v>
      </c>
      <c r="J15" s="22">
        <v>59174080</v>
      </c>
      <c r="K15" s="22" t="s">
        <v>6786</v>
      </c>
      <c r="L15" s="22" t="s">
        <v>6787</v>
      </c>
      <c r="M15" s="24">
        <v>149900</v>
      </c>
      <c r="N15" s="67">
        <v>0.3</v>
      </c>
      <c r="O15" s="34">
        <f t="shared" si="0"/>
        <v>104930</v>
      </c>
      <c r="P15" s="32" t="s">
        <v>16</v>
      </c>
    </row>
    <row r="16" spans="1:16" x14ac:dyDescent="0.35">
      <c r="A16" s="32" t="str">
        <f t="shared" si="1"/>
        <v>2025 NOV DISC 30%</v>
      </c>
      <c r="B16" s="33">
        <f t="shared" si="1"/>
        <v>46121</v>
      </c>
      <c r="C16" s="33">
        <f t="shared" si="1"/>
        <v>46127</v>
      </c>
      <c r="D16" s="32">
        <v>3284</v>
      </c>
      <c r="E16" s="32">
        <v>338</v>
      </c>
      <c r="F16" s="32">
        <v>4</v>
      </c>
      <c r="G16" s="23">
        <v>8</v>
      </c>
      <c r="H16" s="23">
        <v>81847</v>
      </c>
      <c r="I16" s="32" t="s">
        <v>2689</v>
      </c>
      <c r="J16" s="22">
        <v>59174099</v>
      </c>
      <c r="K16" s="22" t="s">
        <v>6786</v>
      </c>
      <c r="L16" s="22" t="s">
        <v>6785</v>
      </c>
      <c r="M16" s="24">
        <v>149900</v>
      </c>
      <c r="N16" s="67">
        <v>0.3</v>
      </c>
      <c r="O16" s="34">
        <f t="shared" si="0"/>
        <v>104930</v>
      </c>
      <c r="P16" s="32" t="s">
        <v>16</v>
      </c>
    </row>
    <row r="17" spans="1:16" x14ac:dyDescent="0.35">
      <c r="A17" s="32" t="str">
        <f t="shared" si="1"/>
        <v>2025 NOV DISC 30%</v>
      </c>
      <c r="B17" s="33">
        <f t="shared" si="1"/>
        <v>46121</v>
      </c>
      <c r="C17" s="33">
        <f t="shared" si="1"/>
        <v>46127</v>
      </c>
      <c r="D17" s="32">
        <v>3284</v>
      </c>
      <c r="E17" s="32">
        <v>338</v>
      </c>
      <c r="F17" s="32">
        <v>4</v>
      </c>
      <c r="G17" s="23">
        <v>8</v>
      </c>
      <c r="H17" s="23">
        <v>81005</v>
      </c>
      <c r="I17" s="32" t="s">
        <v>2689</v>
      </c>
      <c r="J17" s="22">
        <v>59173894</v>
      </c>
      <c r="K17" s="22" t="s">
        <v>6781</v>
      </c>
      <c r="L17" s="22" t="s">
        <v>6784</v>
      </c>
      <c r="M17" s="24">
        <v>149900</v>
      </c>
      <c r="N17" s="67">
        <v>0.3</v>
      </c>
      <c r="O17" s="34">
        <f t="shared" si="0"/>
        <v>104930</v>
      </c>
      <c r="P17" s="32" t="s">
        <v>16</v>
      </c>
    </row>
    <row r="18" spans="1:16" x14ac:dyDescent="0.35">
      <c r="A18" s="32" t="str">
        <f t="shared" si="1"/>
        <v>2025 NOV DISC 30%</v>
      </c>
      <c r="B18" s="33">
        <f t="shared" si="1"/>
        <v>46121</v>
      </c>
      <c r="C18" s="33">
        <f t="shared" si="1"/>
        <v>46127</v>
      </c>
      <c r="D18" s="32">
        <v>3284</v>
      </c>
      <c r="E18" s="32">
        <v>338</v>
      </c>
      <c r="F18" s="32">
        <v>4</v>
      </c>
      <c r="G18" s="23">
        <v>8</v>
      </c>
      <c r="H18" s="23">
        <v>81005</v>
      </c>
      <c r="I18" s="32" t="s">
        <v>2689</v>
      </c>
      <c r="J18" s="22">
        <v>59173901</v>
      </c>
      <c r="K18" s="22" t="s">
        <v>6781</v>
      </c>
      <c r="L18" s="22" t="s">
        <v>6783</v>
      </c>
      <c r="M18" s="24">
        <v>149900</v>
      </c>
      <c r="N18" s="67">
        <v>0.3</v>
      </c>
      <c r="O18" s="34">
        <f t="shared" si="0"/>
        <v>104930</v>
      </c>
      <c r="P18" s="32" t="s">
        <v>16</v>
      </c>
    </row>
    <row r="19" spans="1:16" x14ac:dyDescent="0.35">
      <c r="A19" s="32" t="str">
        <f t="shared" si="1"/>
        <v>2025 NOV DISC 30%</v>
      </c>
      <c r="B19" s="33">
        <f t="shared" si="1"/>
        <v>46121</v>
      </c>
      <c r="C19" s="33">
        <f t="shared" si="1"/>
        <v>46127</v>
      </c>
      <c r="D19" s="32">
        <v>3284</v>
      </c>
      <c r="E19" s="32">
        <v>338</v>
      </c>
      <c r="F19" s="32">
        <v>4</v>
      </c>
      <c r="G19" s="23">
        <v>8</v>
      </c>
      <c r="H19" s="23">
        <v>81005</v>
      </c>
      <c r="I19" s="32" t="s">
        <v>2689</v>
      </c>
      <c r="J19" s="22">
        <v>59173910</v>
      </c>
      <c r="K19" s="22" t="s">
        <v>6781</v>
      </c>
      <c r="L19" s="22" t="s">
        <v>6782</v>
      </c>
      <c r="M19" s="24">
        <v>149900</v>
      </c>
      <c r="N19" s="67">
        <v>0.3</v>
      </c>
      <c r="O19" s="34">
        <f t="shared" si="0"/>
        <v>104930</v>
      </c>
      <c r="P19" s="32" t="s">
        <v>16</v>
      </c>
    </row>
    <row r="20" spans="1:16" x14ac:dyDescent="0.35">
      <c r="A20" s="32" t="str">
        <f t="shared" ref="A20:C35" si="2">A19</f>
        <v>2025 NOV DISC 30%</v>
      </c>
      <c r="B20" s="33">
        <f t="shared" si="2"/>
        <v>46121</v>
      </c>
      <c r="C20" s="33">
        <f t="shared" si="2"/>
        <v>46127</v>
      </c>
      <c r="D20" s="32">
        <v>3284</v>
      </c>
      <c r="E20" s="32">
        <v>338</v>
      </c>
      <c r="F20" s="32">
        <v>4</v>
      </c>
      <c r="G20" s="23">
        <v>8</v>
      </c>
      <c r="H20" s="23">
        <v>81005</v>
      </c>
      <c r="I20" s="32" t="s">
        <v>2689</v>
      </c>
      <c r="J20" s="22">
        <v>59173929</v>
      </c>
      <c r="K20" s="22" t="s">
        <v>6781</v>
      </c>
      <c r="L20" s="22" t="s">
        <v>6780</v>
      </c>
      <c r="M20" s="24">
        <v>149900</v>
      </c>
      <c r="N20" s="67">
        <v>0.3</v>
      </c>
      <c r="O20" s="34">
        <f t="shared" si="0"/>
        <v>104930</v>
      </c>
      <c r="P20" s="32" t="s">
        <v>16</v>
      </c>
    </row>
    <row r="21" spans="1:16" x14ac:dyDescent="0.35">
      <c r="A21" s="32" t="str">
        <f t="shared" si="2"/>
        <v>2025 NOV DISC 30%</v>
      </c>
      <c r="B21" s="33">
        <f t="shared" si="2"/>
        <v>46121</v>
      </c>
      <c r="C21" s="33">
        <f t="shared" si="2"/>
        <v>46127</v>
      </c>
      <c r="D21" s="32">
        <v>3284</v>
      </c>
      <c r="E21" s="32">
        <v>338</v>
      </c>
      <c r="F21" s="32">
        <v>4</v>
      </c>
      <c r="G21" s="23">
        <v>8</v>
      </c>
      <c r="H21" s="23">
        <v>81005</v>
      </c>
      <c r="I21" s="32" t="s">
        <v>2689</v>
      </c>
      <c r="J21" s="22">
        <v>68155806</v>
      </c>
      <c r="K21" s="22" t="s">
        <v>6776</v>
      </c>
      <c r="L21" s="22" t="s">
        <v>6779</v>
      </c>
      <c r="M21" s="24">
        <v>129900</v>
      </c>
      <c r="N21" s="67">
        <v>0.3</v>
      </c>
      <c r="O21" s="34">
        <f t="shared" si="0"/>
        <v>90930</v>
      </c>
      <c r="P21" s="32" t="s">
        <v>16</v>
      </c>
    </row>
    <row r="22" spans="1:16" x14ac:dyDescent="0.35">
      <c r="A22" s="32" t="str">
        <f t="shared" si="2"/>
        <v>2025 NOV DISC 30%</v>
      </c>
      <c r="B22" s="33">
        <f t="shared" si="2"/>
        <v>46121</v>
      </c>
      <c r="C22" s="33">
        <f t="shared" si="2"/>
        <v>46127</v>
      </c>
      <c r="D22" s="32">
        <v>3284</v>
      </c>
      <c r="E22" s="32">
        <v>338</v>
      </c>
      <c r="F22" s="32">
        <v>4</v>
      </c>
      <c r="G22" s="23">
        <v>8</v>
      </c>
      <c r="H22" s="23">
        <v>81005</v>
      </c>
      <c r="I22" s="32" t="s">
        <v>2689</v>
      </c>
      <c r="J22" s="22">
        <v>68155815</v>
      </c>
      <c r="K22" s="22" t="s">
        <v>6776</v>
      </c>
      <c r="L22" s="22" t="s">
        <v>6778</v>
      </c>
      <c r="M22" s="24">
        <v>129900</v>
      </c>
      <c r="N22" s="67">
        <v>0.3</v>
      </c>
      <c r="O22" s="34">
        <f t="shared" si="0"/>
        <v>90930</v>
      </c>
      <c r="P22" s="32" t="s">
        <v>16</v>
      </c>
    </row>
    <row r="23" spans="1:16" x14ac:dyDescent="0.35">
      <c r="A23" s="32" t="str">
        <f t="shared" si="2"/>
        <v>2025 NOV DISC 30%</v>
      </c>
      <c r="B23" s="33">
        <f t="shared" si="2"/>
        <v>46121</v>
      </c>
      <c r="C23" s="33">
        <f t="shared" si="2"/>
        <v>46127</v>
      </c>
      <c r="D23" s="32">
        <v>3284</v>
      </c>
      <c r="E23" s="32">
        <v>338</v>
      </c>
      <c r="F23" s="32">
        <v>4</v>
      </c>
      <c r="G23" s="23">
        <v>8</v>
      </c>
      <c r="H23" s="23">
        <v>81005</v>
      </c>
      <c r="I23" s="32" t="s">
        <v>2689</v>
      </c>
      <c r="J23" s="22">
        <v>68155824</v>
      </c>
      <c r="K23" s="22" t="s">
        <v>6776</v>
      </c>
      <c r="L23" s="22" t="s">
        <v>6777</v>
      </c>
      <c r="M23" s="24">
        <v>129900</v>
      </c>
      <c r="N23" s="67">
        <v>0.3</v>
      </c>
      <c r="O23" s="34">
        <f t="shared" si="0"/>
        <v>90930</v>
      </c>
      <c r="P23" s="32" t="s">
        <v>16</v>
      </c>
    </row>
    <row r="24" spans="1:16" x14ac:dyDescent="0.35">
      <c r="A24" s="32" t="str">
        <f t="shared" si="2"/>
        <v>2025 NOV DISC 30%</v>
      </c>
      <c r="B24" s="33">
        <f t="shared" si="2"/>
        <v>46121</v>
      </c>
      <c r="C24" s="33">
        <f t="shared" si="2"/>
        <v>46127</v>
      </c>
      <c r="D24" s="32">
        <v>3284</v>
      </c>
      <c r="E24" s="32">
        <v>338</v>
      </c>
      <c r="F24" s="32">
        <v>4</v>
      </c>
      <c r="G24" s="23">
        <v>8</v>
      </c>
      <c r="H24" s="23">
        <v>81005</v>
      </c>
      <c r="I24" s="32" t="s">
        <v>2689</v>
      </c>
      <c r="J24" s="22">
        <v>68155833</v>
      </c>
      <c r="K24" s="22" t="s">
        <v>6776</v>
      </c>
      <c r="L24" s="22" t="s">
        <v>6775</v>
      </c>
      <c r="M24" s="24">
        <v>129900</v>
      </c>
      <c r="N24" s="67">
        <v>0.3</v>
      </c>
      <c r="O24" s="34">
        <f t="shared" si="0"/>
        <v>90930</v>
      </c>
      <c r="P24" s="32" t="s">
        <v>16</v>
      </c>
    </row>
    <row r="25" spans="1:16" x14ac:dyDescent="0.35">
      <c r="A25" s="32" t="str">
        <f t="shared" si="2"/>
        <v>2025 NOV DISC 30%</v>
      </c>
      <c r="B25" s="33">
        <f t="shared" si="2"/>
        <v>46121</v>
      </c>
      <c r="C25" s="33">
        <f t="shared" si="2"/>
        <v>46127</v>
      </c>
      <c r="D25" s="32">
        <v>3284</v>
      </c>
      <c r="E25" s="32">
        <v>338</v>
      </c>
      <c r="F25" s="32">
        <v>4</v>
      </c>
      <c r="G25" s="23">
        <v>8</v>
      </c>
      <c r="H25" s="23">
        <v>81005</v>
      </c>
      <c r="I25" s="32" t="s">
        <v>2689</v>
      </c>
      <c r="J25" s="22">
        <v>68155922</v>
      </c>
      <c r="K25" s="22" t="s">
        <v>6771</v>
      </c>
      <c r="L25" s="22" t="s">
        <v>6774</v>
      </c>
      <c r="M25" s="24">
        <v>149900</v>
      </c>
      <c r="N25" s="67">
        <v>0.3</v>
      </c>
      <c r="O25" s="34">
        <f t="shared" si="0"/>
        <v>104930</v>
      </c>
      <c r="P25" s="32" t="s">
        <v>16</v>
      </c>
    </row>
    <row r="26" spans="1:16" x14ac:dyDescent="0.35">
      <c r="A26" s="32" t="str">
        <f t="shared" si="2"/>
        <v>2025 NOV DISC 30%</v>
      </c>
      <c r="B26" s="33">
        <f t="shared" si="2"/>
        <v>46121</v>
      </c>
      <c r="C26" s="33">
        <f t="shared" si="2"/>
        <v>46127</v>
      </c>
      <c r="D26" s="32">
        <v>3284</v>
      </c>
      <c r="E26" s="32">
        <v>338</v>
      </c>
      <c r="F26" s="32">
        <v>4</v>
      </c>
      <c r="G26" s="23">
        <v>8</v>
      </c>
      <c r="H26" s="23">
        <v>81005</v>
      </c>
      <c r="I26" s="32" t="s">
        <v>2689</v>
      </c>
      <c r="J26" s="22">
        <v>68155931</v>
      </c>
      <c r="K26" s="22" t="s">
        <v>6771</v>
      </c>
      <c r="L26" s="22" t="s">
        <v>6773</v>
      </c>
      <c r="M26" s="24">
        <v>149900</v>
      </c>
      <c r="N26" s="67">
        <v>0.3</v>
      </c>
      <c r="O26" s="34">
        <f t="shared" si="0"/>
        <v>104930</v>
      </c>
      <c r="P26" s="32" t="s">
        <v>16</v>
      </c>
    </row>
    <row r="27" spans="1:16" x14ac:dyDescent="0.35">
      <c r="A27" s="32" t="str">
        <f t="shared" si="2"/>
        <v>2025 NOV DISC 30%</v>
      </c>
      <c r="B27" s="33">
        <f t="shared" si="2"/>
        <v>46121</v>
      </c>
      <c r="C27" s="33">
        <f t="shared" si="2"/>
        <v>46127</v>
      </c>
      <c r="D27" s="32">
        <v>3284</v>
      </c>
      <c r="E27" s="32">
        <v>338</v>
      </c>
      <c r="F27" s="32">
        <v>4</v>
      </c>
      <c r="G27" s="23">
        <v>8</v>
      </c>
      <c r="H27" s="23">
        <v>81005</v>
      </c>
      <c r="I27" s="32" t="s">
        <v>2689</v>
      </c>
      <c r="J27" s="22">
        <v>68155940</v>
      </c>
      <c r="K27" s="22" t="s">
        <v>6771</v>
      </c>
      <c r="L27" s="22" t="s">
        <v>6772</v>
      </c>
      <c r="M27" s="24">
        <v>149900</v>
      </c>
      <c r="N27" s="67">
        <v>0.3</v>
      </c>
      <c r="O27" s="34">
        <f t="shared" si="0"/>
        <v>104930</v>
      </c>
      <c r="P27" s="32" t="s">
        <v>16</v>
      </c>
    </row>
    <row r="28" spans="1:16" x14ac:dyDescent="0.35">
      <c r="A28" s="32" t="str">
        <f t="shared" si="2"/>
        <v>2025 NOV DISC 30%</v>
      </c>
      <c r="B28" s="33">
        <f t="shared" si="2"/>
        <v>46121</v>
      </c>
      <c r="C28" s="33">
        <f t="shared" si="2"/>
        <v>46127</v>
      </c>
      <c r="D28" s="32">
        <v>3284</v>
      </c>
      <c r="E28" s="32">
        <v>338</v>
      </c>
      <c r="F28" s="32">
        <v>4</v>
      </c>
      <c r="G28" s="23">
        <v>8</v>
      </c>
      <c r="H28" s="23">
        <v>81005</v>
      </c>
      <c r="I28" s="32" t="s">
        <v>2689</v>
      </c>
      <c r="J28" s="22">
        <v>68155959</v>
      </c>
      <c r="K28" s="22" t="s">
        <v>6771</v>
      </c>
      <c r="L28" s="22" t="s">
        <v>6770</v>
      </c>
      <c r="M28" s="24">
        <v>149900</v>
      </c>
      <c r="N28" s="67">
        <v>0.3</v>
      </c>
      <c r="O28" s="34">
        <f t="shared" si="0"/>
        <v>104930</v>
      </c>
      <c r="P28" s="32" t="s">
        <v>16</v>
      </c>
    </row>
    <row r="29" spans="1:16" x14ac:dyDescent="0.35">
      <c r="A29" s="32" t="str">
        <f t="shared" si="2"/>
        <v>2025 NOV DISC 30%</v>
      </c>
      <c r="B29" s="33">
        <f t="shared" si="2"/>
        <v>46121</v>
      </c>
      <c r="C29" s="33">
        <f t="shared" si="2"/>
        <v>46127</v>
      </c>
      <c r="D29" s="32">
        <v>3284</v>
      </c>
      <c r="E29" s="32">
        <v>338</v>
      </c>
      <c r="F29" s="32">
        <v>4</v>
      </c>
      <c r="G29" s="23">
        <v>8</v>
      </c>
      <c r="H29" s="23">
        <v>81005</v>
      </c>
      <c r="I29" s="32" t="s">
        <v>2689</v>
      </c>
      <c r="J29" s="22">
        <v>68155842</v>
      </c>
      <c r="K29" s="22" t="s">
        <v>6766</v>
      </c>
      <c r="L29" s="22" t="s">
        <v>6769</v>
      </c>
      <c r="M29" s="24">
        <v>129900</v>
      </c>
      <c r="N29" s="67">
        <v>0.3</v>
      </c>
      <c r="O29" s="34">
        <f t="shared" si="0"/>
        <v>90930</v>
      </c>
      <c r="P29" s="32" t="s">
        <v>16</v>
      </c>
    </row>
    <row r="30" spans="1:16" x14ac:dyDescent="0.35">
      <c r="A30" s="32" t="str">
        <f t="shared" si="2"/>
        <v>2025 NOV DISC 30%</v>
      </c>
      <c r="B30" s="33">
        <f t="shared" si="2"/>
        <v>46121</v>
      </c>
      <c r="C30" s="33">
        <f t="shared" si="2"/>
        <v>46127</v>
      </c>
      <c r="D30" s="32">
        <v>3284</v>
      </c>
      <c r="E30" s="32">
        <v>338</v>
      </c>
      <c r="F30" s="32">
        <v>4</v>
      </c>
      <c r="G30" s="23">
        <v>8</v>
      </c>
      <c r="H30" s="23">
        <v>81005</v>
      </c>
      <c r="I30" s="32" t="s">
        <v>2689</v>
      </c>
      <c r="J30" s="22">
        <v>68155851</v>
      </c>
      <c r="K30" s="22" t="s">
        <v>6766</v>
      </c>
      <c r="L30" s="22" t="s">
        <v>6768</v>
      </c>
      <c r="M30" s="24">
        <v>129900</v>
      </c>
      <c r="N30" s="67">
        <v>0.3</v>
      </c>
      <c r="O30" s="34">
        <f t="shared" si="0"/>
        <v>90930</v>
      </c>
      <c r="P30" s="32" t="s">
        <v>16</v>
      </c>
    </row>
    <row r="31" spans="1:16" x14ac:dyDescent="0.35">
      <c r="A31" s="32" t="str">
        <f t="shared" si="2"/>
        <v>2025 NOV DISC 30%</v>
      </c>
      <c r="B31" s="33">
        <f t="shared" si="2"/>
        <v>46121</v>
      </c>
      <c r="C31" s="33">
        <f t="shared" si="2"/>
        <v>46127</v>
      </c>
      <c r="D31" s="32">
        <v>3284</v>
      </c>
      <c r="E31" s="32">
        <v>338</v>
      </c>
      <c r="F31" s="32">
        <v>4</v>
      </c>
      <c r="G31" s="23">
        <v>8</v>
      </c>
      <c r="H31" s="23">
        <v>81005</v>
      </c>
      <c r="I31" s="32" t="s">
        <v>2689</v>
      </c>
      <c r="J31" s="22">
        <v>68155860</v>
      </c>
      <c r="K31" s="22" t="s">
        <v>6766</v>
      </c>
      <c r="L31" s="22" t="s">
        <v>6767</v>
      </c>
      <c r="M31" s="24">
        <v>129900</v>
      </c>
      <c r="N31" s="67">
        <v>0.3</v>
      </c>
      <c r="O31" s="34">
        <f t="shared" si="0"/>
        <v>90930</v>
      </c>
      <c r="P31" s="32" t="s">
        <v>16</v>
      </c>
    </row>
    <row r="32" spans="1:16" x14ac:dyDescent="0.35">
      <c r="A32" s="32" t="str">
        <f t="shared" si="2"/>
        <v>2025 NOV DISC 30%</v>
      </c>
      <c r="B32" s="33">
        <f t="shared" si="2"/>
        <v>46121</v>
      </c>
      <c r="C32" s="33">
        <f t="shared" si="2"/>
        <v>46127</v>
      </c>
      <c r="D32" s="32">
        <v>3284</v>
      </c>
      <c r="E32" s="32">
        <v>338</v>
      </c>
      <c r="F32" s="32">
        <v>4</v>
      </c>
      <c r="G32" s="23">
        <v>8</v>
      </c>
      <c r="H32" s="23">
        <v>81005</v>
      </c>
      <c r="I32" s="32" t="s">
        <v>2689</v>
      </c>
      <c r="J32" s="22">
        <v>68155879</v>
      </c>
      <c r="K32" s="22" t="s">
        <v>6766</v>
      </c>
      <c r="L32" s="22" t="s">
        <v>6765</v>
      </c>
      <c r="M32" s="24">
        <v>129900</v>
      </c>
      <c r="N32" s="67">
        <v>0.3</v>
      </c>
      <c r="O32" s="34">
        <f t="shared" si="0"/>
        <v>90930</v>
      </c>
      <c r="P32" s="32" t="s">
        <v>16</v>
      </c>
    </row>
    <row r="33" spans="1:16" x14ac:dyDescent="0.35">
      <c r="A33" s="32" t="str">
        <f t="shared" si="2"/>
        <v>2025 NOV DISC 30%</v>
      </c>
      <c r="B33" s="33">
        <f t="shared" si="2"/>
        <v>46121</v>
      </c>
      <c r="C33" s="33">
        <f t="shared" si="2"/>
        <v>46127</v>
      </c>
      <c r="D33" s="32">
        <v>3284</v>
      </c>
      <c r="E33" s="32">
        <v>338</v>
      </c>
      <c r="F33" s="32">
        <v>4</v>
      </c>
      <c r="G33" s="23">
        <v>8</v>
      </c>
      <c r="H33" s="23">
        <v>81005</v>
      </c>
      <c r="I33" s="32" t="s">
        <v>2689</v>
      </c>
      <c r="J33" s="22">
        <v>68155888</v>
      </c>
      <c r="K33" s="22" t="s">
        <v>6654</v>
      </c>
      <c r="L33" s="22" t="s">
        <v>6764</v>
      </c>
      <c r="M33" s="24">
        <v>149900</v>
      </c>
      <c r="N33" s="67">
        <v>0.3</v>
      </c>
      <c r="O33" s="34">
        <f t="shared" si="0"/>
        <v>104930</v>
      </c>
      <c r="P33" s="32" t="s">
        <v>16</v>
      </c>
    </row>
    <row r="34" spans="1:16" x14ac:dyDescent="0.35">
      <c r="A34" s="32" t="str">
        <f t="shared" si="2"/>
        <v>2025 NOV DISC 30%</v>
      </c>
      <c r="B34" s="33">
        <f t="shared" si="2"/>
        <v>46121</v>
      </c>
      <c r="C34" s="33">
        <f t="shared" si="2"/>
        <v>46127</v>
      </c>
      <c r="D34" s="32">
        <v>3284</v>
      </c>
      <c r="E34" s="32">
        <v>338</v>
      </c>
      <c r="F34" s="32">
        <v>4</v>
      </c>
      <c r="G34" s="23">
        <v>8</v>
      </c>
      <c r="H34" s="23">
        <v>81005</v>
      </c>
      <c r="I34" s="32" t="s">
        <v>2689</v>
      </c>
      <c r="J34" s="22">
        <v>68155897</v>
      </c>
      <c r="K34" s="22" t="s">
        <v>6654</v>
      </c>
      <c r="L34" s="22" t="s">
        <v>6763</v>
      </c>
      <c r="M34" s="24">
        <v>149900</v>
      </c>
      <c r="N34" s="67">
        <v>0.3</v>
      </c>
      <c r="O34" s="34">
        <f t="shared" si="0"/>
        <v>104930</v>
      </c>
      <c r="P34" s="32" t="s">
        <v>16</v>
      </c>
    </row>
    <row r="35" spans="1:16" x14ac:dyDescent="0.35">
      <c r="A35" s="32" t="str">
        <f t="shared" si="2"/>
        <v>2025 NOV DISC 30%</v>
      </c>
      <c r="B35" s="33">
        <f t="shared" si="2"/>
        <v>46121</v>
      </c>
      <c r="C35" s="33">
        <f t="shared" si="2"/>
        <v>46127</v>
      </c>
      <c r="D35" s="32">
        <v>3284</v>
      </c>
      <c r="E35" s="32">
        <v>338</v>
      </c>
      <c r="F35" s="32">
        <v>4</v>
      </c>
      <c r="G35" s="23">
        <v>8</v>
      </c>
      <c r="H35" s="23">
        <v>81005</v>
      </c>
      <c r="I35" s="32" t="s">
        <v>2689</v>
      </c>
      <c r="J35" s="22">
        <v>68155904</v>
      </c>
      <c r="K35" s="22" t="s">
        <v>6654</v>
      </c>
      <c r="L35" s="22" t="s">
        <v>6762</v>
      </c>
      <c r="M35" s="24">
        <v>149900</v>
      </c>
      <c r="N35" s="67">
        <v>0.3</v>
      </c>
      <c r="O35" s="34">
        <f t="shared" si="0"/>
        <v>104930</v>
      </c>
      <c r="P35" s="32" t="s">
        <v>16</v>
      </c>
    </row>
    <row r="36" spans="1:16" x14ac:dyDescent="0.35">
      <c r="A36" s="32" t="str">
        <f t="shared" ref="A36:C36" si="3">A35</f>
        <v>2025 NOV DISC 30%</v>
      </c>
      <c r="B36" s="33">
        <f t="shared" si="3"/>
        <v>46121</v>
      </c>
      <c r="C36" s="33">
        <f t="shared" si="3"/>
        <v>46127</v>
      </c>
      <c r="D36" s="32">
        <v>3284</v>
      </c>
      <c r="E36" s="32">
        <v>338</v>
      </c>
      <c r="F36" s="32">
        <v>4</v>
      </c>
      <c r="G36" s="23">
        <v>8</v>
      </c>
      <c r="H36" s="23">
        <v>81005</v>
      </c>
      <c r="I36" s="32" t="s">
        <v>2689</v>
      </c>
      <c r="J36" s="22">
        <v>68155913</v>
      </c>
      <c r="K36" s="22" t="s">
        <v>6654</v>
      </c>
      <c r="L36" s="22" t="s">
        <v>6761</v>
      </c>
      <c r="M36" s="24">
        <v>149900</v>
      </c>
      <c r="N36" s="67">
        <v>0.3</v>
      </c>
      <c r="O36" s="34">
        <f t="shared" si="0"/>
        <v>104930</v>
      </c>
      <c r="P36" s="32" t="s">
        <v>16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BA12-D14F-45EE-8F7D-50693FC2BF82}">
  <dimension ref="A1:P65"/>
  <sheetViews>
    <sheetView zoomScale="80" zoomScaleNormal="80" workbookViewId="0">
      <pane ySplit="1" topLeftCell="A52" activePane="bottomLeft" state="frozen"/>
      <selection activeCell="B2" sqref="B2:C2"/>
      <selection pane="bottomLeft" activeCell="H18" sqref="H18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3.816406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7147</v>
      </c>
      <c r="B2" s="33">
        <f>'2025 HILITE D80 - 3321'!B2</f>
        <v>46121</v>
      </c>
      <c r="C2" s="33">
        <f>'2025 HILITE D80 - 3321'!C2</f>
        <v>46127</v>
      </c>
      <c r="D2" s="32">
        <v>3284</v>
      </c>
      <c r="E2" s="32">
        <v>338</v>
      </c>
      <c r="F2" s="70">
        <v>4</v>
      </c>
      <c r="G2" s="23">
        <v>8</v>
      </c>
      <c r="H2" s="52">
        <v>81005</v>
      </c>
      <c r="I2" s="32" t="s">
        <v>17</v>
      </c>
      <c r="J2" s="59">
        <v>59174017</v>
      </c>
      <c r="K2" s="23" t="s">
        <v>6131</v>
      </c>
      <c r="L2" s="22" t="s">
        <v>6132</v>
      </c>
      <c r="M2" s="24">
        <v>149900</v>
      </c>
      <c r="N2" s="79" t="s">
        <v>2569</v>
      </c>
      <c r="O2" s="34" t="s">
        <v>2577</v>
      </c>
      <c r="P2" s="50" t="s">
        <v>2569</v>
      </c>
    </row>
    <row r="3" spans="1:16" x14ac:dyDescent="0.35">
      <c r="A3" s="32" t="str">
        <f>A2</f>
        <v>2025 JUL-SEPT B1G1 - 3284</v>
      </c>
      <c r="B3" s="33">
        <f t="shared" ref="B3:C17" si="0">B2</f>
        <v>46121</v>
      </c>
      <c r="C3" s="33">
        <f t="shared" si="0"/>
        <v>46127</v>
      </c>
      <c r="D3" s="32">
        <v>3284</v>
      </c>
      <c r="E3" s="32">
        <v>338</v>
      </c>
      <c r="F3" s="70">
        <v>4</v>
      </c>
      <c r="G3" s="23">
        <v>8</v>
      </c>
      <c r="H3" s="54">
        <v>81005</v>
      </c>
      <c r="I3" s="32" t="s">
        <v>17</v>
      </c>
      <c r="J3" s="59">
        <v>59174026</v>
      </c>
      <c r="K3" s="23" t="s">
        <v>6131</v>
      </c>
      <c r="L3" s="22" t="s">
        <v>6135</v>
      </c>
      <c r="M3" s="24">
        <v>149900</v>
      </c>
      <c r="N3" s="79" t="s">
        <v>2569</v>
      </c>
      <c r="O3" s="34" t="s">
        <v>2577</v>
      </c>
      <c r="P3" s="50" t="s">
        <v>2569</v>
      </c>
    </row>
    <row r="4" spans="1:16" x14ac:dyDescent="0.35">
      <c r="A4" s="32" t="str">
        <f t="shared" ref="A4:C19" si="1">A3</f>
        <v>2025 JUL-SEPT B1G1 - 3284</v>
      </c>
      <c r="B4" s="33">
        <f t="shared" si="0"/>
        <v>46121</v>
      </c>
      <c r="C4" s="33">
        <f t="shared" si="0"/>
        <v>46127</v>
      </c>
      <c r="D4" s="32">
        <v>3284</v>
      </c>
      <c r="E4" s="32">
        <v>338</v>
      </c>
      <c r="F4" s="70">
        <v>4</v>
      </c>
      <c r="G4" s="23">
        <v>8</v>
      </c>
      <c r="H4" s="54">
        <v>81005</v>
      </c>
      <c r="I4" s="32" t="s">
        <v>17</v>
      </c>
      <c r="J4" s="59">
        <v>59174035</v>
      </c>
      <c r="K4" s="23" t="s">
        <v>6131</v>
      </c>
      <c r="L4" s="22" t="s">
        <v>6133</v>
      </c>
      <c r="M4" s="24">
        <v>149900</v>
      </c>
      <c r="N4" s="79" t="s">
        <v>2569</v>
      </c>
      <c r="O4" s="34" t="s">
        <v>2577</v>
      </c>
      <c r="P4" s="50" t="s">
        <v>2569</v>
      </c>
    </row>
    <row r="5" spans="1:16" x14ac:dyDescent="0.35">
      <c r="A5" s="32" t="str">
        <f t="shared" si="1"/>
        <v>2025 JUL-SEPT B1G1 - 3284</v>
      </c>
      <c r="B5" s="33">
        <f t="shared" si="0"/>
        <v>46121</v>
      </c>
      <c r="C5" s="33">
        <f t="shared" si="0"/>
        <v>46127</v>
      </c>
      <c r="D5" s="32">
        <v>3284</v>
      </c>
      <c r="E5" s="32">
        <v>338</v>
      </c>
      <c r="F5" s="70">
        <v>4</v>
      </c>
      <c r="G5" s="23">
        <v>8</v>
      </c>
      <c r="H5" s="54">
        <v>81005</v>
      </c>
      <c r="I5" s="32" t="s">
        <v>17</v>
      </c>
      <c r="J5" s="59">
        <v>59174044</v>
      </c>
      <c r="K5" s="23" t="s">
        <v>6131</v>
      </c>
      <c r="L5" s="22" t="s">
        <v>6134</v>
      </c>
      <c r="M5" s="24">
        <v>149900</v>
      </c>
      <c r="N5" s="79" t="s">
        <v>2569</v>
      </c>
      <c r="O5" s="34" t="s">
        <v>2577</v>
      </c>
      <c r="P5" s="50" t="s">
        <v>2569</v>
      </c>
    </row>
    <row r="6" spans="1:16" x14ac:dyDescent="0.35">
      <c r="A6" s="32" t="str">
        <f t="shared" si="1"/>
        <v>2025 JUL-SEPT B1G1 - 3284</v>
      </c>
      <c r="B6" s="33">
        <f t="shared" si="0"/>
        <v>46121</v>
      </c>
      <c r="C6" s="33">
        <f t="shared" si="0"/>
        <v>46127</v>
      </c>
      <c r="D6" s="32">
        <v>3284</v>
      </c>
      <c r="E6" s="32">
        <v>338</v>
      </c>
      <c r="F6" s="70">
        <v>4</v>
      </c>
      <c r="G6" s="23">
        <v>8</v>
      </c>
      <c r="H6" s="52">
        <v>81506</v>
      </c>
      <c r="I6" s="32" t="s">
        <v>17</v>
      </c>
      <c r="J6" s="59">
        <v>53585307</v>
      </c>
      <c r="K6" s="23" t="s">
        <v>5842</v>
      </c>
      <c r="L6" s="22" t="s">
        <v>5845</v>
      </c>
      <c r="M6" s="24">
        <v>149900</v>
      </c>
      <c r="N6" s="79" t="s">
        <v>2569</v>
      </c>
      <c r="O6" s="34" t="s">
        <v>2577</v>
      </c>
      <c r="P6" s="50" t="s">
        <v>2569</v>
      </c>
    </row>
    <row r="7" spans="1:16" x14ac:dyDescent="0.35">
      <c r="A7" s="32" t="str">
        <f t="shared" si="1"/>
        <v>2025 JUL-SEPT B1G1 - 3284</v>
      </c>
      <c r="B7" s="33">
        <f t="shared" si="0"/>
        <v>46121</v>
      </c>
      <c r="C7" s="33">
        <f t="shared" si="0"/>
        <v>46127</v>
      </c>
      <c r="D7" s="32">
        <v>3284</v>
      </c>
      <c r="E7" s="32">
        <v>338</v>
      </c>
      <c r="F7" s="70">
        <v>4</v>
      </c>
      <c r="G7" s="23">
        <v>8</v>
      </c>
      <c r="H7" s="54">
        <v>81506</v>
      </c>
      <c r="I7" s="32" t="s">
        <v>17</v>
      </c>
      <c r="J7" s="59">
        <v>53585316</v>
      </c>
      <c r="K7" s="23" t="s">
        <v>5842</v>
      </c>
      <c r="L7" s="22" t="s">
        <v>5844</v>
      </c>
      <c r="M7" s="24">
        <v>149900</v>
      </c>
      <c r="N7" s="79" t="s">
        <v>2569</v>
      </c>
      <c r="O7" s="34" t="s">
        <v>2577</v>
      </c>
      <c r="P7" s="50" t="s">
        <v>2569</v>
      </c>
    </row>
    <row r="8" spans="1:16" x14ac:dyDescent="0.35">
      <c r="A8" s="32" t="str">
        <f t="shared" si="1"/>
        <v>2025 JUL-SEPT B1G1 - 3284</v>
      </c>
      <c r="B8" s="33">
        <f t="shared" si="0"/>
        <v>46121</v>
      </c>
      <c r="C8" s="33">
        <f t="shared" si="0"/>
        <v>46127</v>
      </c>
      <c r="D8" s="32">
        <v>3284</v>
      </c>
      <c r="E8" s="32">
        <v>338</v>
      </c>
      <c r="F8" s="70">
        <v>4</v>
      </c>
      <c r="G8" s="23">
        <v>8</v>
      </c>
      <c r="H8" s="54">
        <v>81506</v>
      </c>
      <c r="I8" s="32" t="s">
        <v>17</v>
      </c>
      <c r="J8" s="59">
        <v>53585325</v>
      </c>
      <c r="K8" s="23" t="s">
        <v>5842</v>
      </c>
      <c r="L8" s="22" t="s">
        <v>5846</v>
      </c>
      <c r="M8" s="24">
        <v>149900</v>
      </c>
      <c r="N8" s="79" t="s">
        <v>2569</v>
      </c>
      <c r="O8" s="34" t="s">
        <v>2577</v>
      </c>
      <c r="P8" s="50" t="s">
        <v>2569</v>
      </c>
    </row>
    <row r="9" spans="1:16" x14ac:dyDescent="0.35">
      <c r="A9" s="32" t="str">
        <f t="shared" si="1"/>
        <v>2025 JUL-SEPT B1G1 - 3284</v>
      </c>
      <c r="B9" s="33">
        <f t="shared" si="0"/>
        <v>46121</v>
      </c>
      <c r="C9" s="33">
        <f t="shared" si="0"/>
        <v>46127</v>
      </c>
      <c r="D9" s="32">
        <v>3284</v>
      </c>
      <c r="E9" s="32">
        <v>338</v>
      </c>
      <c r="F9" s="70">
        <v>4</v>
      </c>
      <c r="G9" s="23">
        <v>8</v>
      </c>
      <c r="H9" s="54">
        <v>81506</v>
      </c>
      <c r="I9" s="32" t="s">
        <v>17</v>
      </c>
      <c r="J9" s="59">
        <v>53585334</v>
      </c>
      <c r="K9" s="23" t="s">
        <v>5842</v>
      </c>
      <c r="L9" s="22" t="s">
        <v>5843</v>
      </c>
      <c r="M9" s="24">
        <v>149900</v>
      </c>
      <c r="N9" s="79" t="s">
        <v>2569</v>
      </c>
      <c r="O9" s="34" t="s">
        <v>2577</v>
      </c>
      <c r="P9" s="50" t="s">
        <v>2569</v>
      </c>
    </row>
    <row r="10" spans="1:16" x14ac:dyDescent="0.35">
      <c r="A10" s="32" t="str">
        <f t="shared" si="1"/>
        <v>2025 JUL-SEPT B1G1 - 3284</v>
      </c>
      <c r="B10" s="33">
        <f t="shared" si="0"/>
        <v>46121</v>
      </c>
      <c r="C10" s="33">
        <f t="shared" si="0"/>
        <v>46127</v>
      </c>
      <c r="D10" s="32">
        <v>3284</v>
      </c>
      <c r="E10" s="32">
        <v>338</v>
      </c>
      <c r="F10" s="70">
        <v>4</v>
      </c>
      <c r="G10" s="23">
        <v>8</v>
      </c>
      <c r="H10" s="52">
        <v>81676</v>
      </c>
      <c r="I10" s="32" t="s">
        <v>17</v>
      </c>
      <c r="J10" s="59">
        <v>55538613</v>
      </c>
      <c r="K10" s="23" t="s">
        <v>5901</v>
      </c>
      <c r="L10" s="22" t="s">
        <v>5902</v>
      </c>
      <c r="M10" s="24">
        <v>99900</v>
      </c>
      <c r="N10" s="79" t="s">
        <v>2569</v>
      </c>
      <c r="O10" s="34" t="s">
        <v>2577</v>
      </c>
      <c r="P10" s="50" t="s">
        <v>2569</v>
      </c>
    </row>
    <row r="11" spans="1:16" x14ac:dyDescent="0.35">
      <c r="A11" s="32" t="str">
        <f t="shared" si="1"/>
        <v>2025 JUL-SEPT B1G1 - 3284</v>
      </c>
      <c r="B11" s="33">
        <f t="shared" si="0"/>
        <v>46121</v>
      </c>
      <c r="C11" s="33">
        <f t="shared" si="0"/>
        <v>46127</v>
      </c>
      <c r="D11" s="32">
        <v>3284</v>
      </c>
      <c r="E11" s="32">
        <v>338</v>
      </c>
      <c r="F11" s="70">
        <v>4</v>
      </c>
      <c r="G11" s="23">
        <v>8</v>
      </c>
      <c r="H11" s="54">
        <v>81676</v>
      </c>
      <c r="I11" s="32" t="s">
        <v>17</v>
      </c>
      <c r="J11" s="59">
        <v>55538622</v>
      </c>
      <c r="K11" s="23" t="s">
        <v>5901</v>
      </c>
      <c r="L11" s="22" t="s">
        <v>5904</v>
      </c>
      <c r="M11" s="24">
        <v>99900</v>
      </c>
      <c r="N11" s="79" t="s">
        <v>2569</v>
      </c>
      <c r="O11" s="34" t="s">
        <v>2577</v>
      </c>
      <c r="P11" s="50" t="s">
        <v>2569</v>
      </c>
    </row>
    <row r="12" spans="1:16" x14ac:dyDescent="0.35">
      <c r="A12" s="32" t="str">
        <f t="shared" si="1"/>
        <v>2025 JUL-SEPT B1G1 - 3284</v>
      </c>
      <c r="B12" s="33">
        <f t="shared" si="0"/>
        <v>46121</v>
      </c>
      <c r="C12" s="33">
        <f t="shared" si="0"/>
        <v>46127</v>
      </c>
      <c r="D12" s="32">
        <v>3284</v>
      </c>
      <c r="E12" s="32">
        <v>338</v>
      </c>
      <c r="F12" s="70">
        <v>4</v>
      </c>
      <c r="G12" s="23">
        <v>8</v>
      </c>
      <c r="H12" s="54">
        <v>81676</v>
      </c>
      <c r="I12" s="32" t="s">
        <v>17</v>
      </c>
      <c r="J12" s="59">
        <v>55538631</v>
      </c>
      <c r="K12" s="23" t="s">
        <v>5901</v>
      </c>
      <c r="L12" s="22" t="s">
        <v>5903</v>
      </c>
      <c r="M12" s="24">
        <v>99900</v>
      </c>
      <c r="N12" s="79" t="s">
        <v>2569</v>
      </c>
      <c r="O12" s="34" t="s">
        <v>2577</v>
      </c>
      <c r="P12" s="50" t="s">
        <v>2569</v>
      </c>
    </row>
    <row r="13" spans="1:16" x14ac:dyDescent="0.35">
      <c r="A13" s="32" t="str">
        <f t="shared" si="1"/>
        <v>2025 JUL-SEPT B1G1 - 3284</v>
      </c>
      <c r="B13" s="33">
        <f t="shared" si="0"/>
        <v>46121</v>
      </c>
      <c r="C13" s="33">
        <f t="shared" si="0"/>
        <v>46127</v>
      </c>
      <c r="D13" s="32">
        <v>3284</v>
      </c>
      <c r="E13" s="32">
        <v>338</v>
      </c>
      <c r="F13" s="70">
        <v>4</v>
      </c>
      <c r="G13" s="23">
        <v>8</v>
      </c>
      <c r="H13" s="54">
        <v>81676</v>
      </c>
      <c r="I13" s="32" t="s">
        <v>17</v>
      </c>
      <c r="J13" s="59">
        <v>55538640</v>
      </c>
      <c r="K13" s="23" t="s">
        <v>5901</v>
      </c>
      <c r="L13" s="22" t="s">
        <v>5905</v>
      </c>
      <c r="M13" s="24">
        <v>99900</v>
      </c>
      <c r="N13" s="79" t="s">
        <v>2569</v>
      </c>
      <c r="O13" s="34" t="s">
        <v>2577</v>
      </c>
      <c r="P13" s="50" t="s">
        <v>2569</v>
      </c>
    </row>
    <row r="14" spans="1:16" x14ac:dyDescent="0.35">
      <c r="A14" s="32" t="str">
        <f t="shared" si="1"/>
        <v>2025 JUL-SEPT B1G1 - 3284</v>
      </c>
      <c r="B14" s="33">
        <f t="shared" si="0"/>
        <v>46121</v>
      </c>
      <c r="C14" s="33">
        <f t="shared" si="0"/>
        <v>46127</v>
      </c>
      <c r="D14" s="32">
        <v>3284</v>
      </c>
      <c r="E14" s="32">
        <v>338</v>
      </c>
      <c r="F14" s="70">
        <v>4</v>
      </c>
      <c r="G14" s="23">
        <v>8</v>
      </c>
      <c r="H14" s="52">
        <v>81676</v>
      </c>
      <c r="I14" s="32" t="s">
        <v>17</v>
      </c>
      <c r="J14" s="59">
        <v>55538695</v>
      </c>
      <c r="K14" s="23" t="s">
        <v>5911</v>
      </c>
      <c r="L14" s="22" t="s">
        <v>5912</v>
      </c>
      <c r="M14" s="24">
        <v>129900</v>
      </c>
      <c r="N14" s="79" t="s">
        <v>2569</v>
      </c>
      <c r="O14" s="34" t="s">
        <v>2577</v>
      </c>
      <c r="P14" s="50" t="s">
        <v>2569</v>
      </c>
    </row>
    <row r="15" spans="1:16" x14ac:dyDescent="0.35">
      <c r="A15" s="32" t="str">
        <f t="shared" si="1"/>
        <v>2025 JUL-SEPT B1G1 - 3284</v>
      </c>
      <c r="B15" s="33">
        <f t="shared" si="0"/>
        <v>46121</v>
      </c>
      <c r="C15" s="33">
        <f t="shared" si="0"/>
        <v>46127</v>
      </c>
      <c r="D15" s="32">
        <v>3284</v>
      </c>
      <c r="E15" s="32">
        <v>338</v>
      </c>
      <c r="F15" s="70">
        <v>4</v>
      </c>
      <c r="G15" s="23">
        <v>8</v>
      </c>
      <c r="H15" s="54">
        <v>81676</v>
      </c>
      <c r="I15" s="32" t="s">
        <v>17</v>
      </c>
      <c r="J15" s="59">
        <v>55538702</v>
      </c>
      <c r="K15" s="23" t="s">
        <v>5911</v>
      </c>
      <c r="L15" s="22" t="s">
        <v>5915</v>
      </c>
      <c r="M15" s="24">
        <v>129900</v>
      </c>
      <c r="N15" s="79" t="s">
        <v>2569</v>
      </c>
      <c r="O15" s="34" t="s">
        <v>2577</v>
      </c>
      <c r="P15" s="50" t="s">
        <v>2569</v>
      </c>
    </row>
    <row r="16" spans="1:16" x14ac:dyDescent="0.35">
      <c r="A16" s="32" t="str">
        <f t="shared" si="1"/>
        <v>2025 JUL-SEPT B1G1 - 3284</v>
      </c>
      <c r="B16" s="33">
        <f t="shared" si="0"/>
        <v>46121</v>
      </c>
      <c r="C16" s="33">
        <f t="shared" si="0"/>
        <v>46127</v>
      </c>
      <c r="D16" s="32">
        <v>3284</v>
      </c>
      <c r="E16" s="32">
        <v>338</v>
      </c>
      <c r="F16" s="70">
        <v>4</v>
      </c>
      <c r="G16" s="23">
        <v>8</v>
      </c>
      <c r="H16" s="54">
        <v>81676</v>
      </c>
      <c r="I16" s="32" t="s">
        <v>17</v>
      </c>
      <c r="J16" s="59">
        <v>55538711</v>
      </c>
      <c r="K16" s="23" t="s">
        <v>5911</v>
      </c>
      <c r="L16" s="22" t="s">
        <v>5913</v>
      </c>
      <c r="M16" s="24">
        <v>129900</v>
      </c>
      <c r="N16" s="79" t="s">
        <v>2569</v>
      </c>
      <c r="O16" s="34" t="s">
        <v>2577</v>
      </c>
      <c r="P16" s="50" t="s">
        <v>2569</v>
      </c>
    </row>
    <row r="17" spans="1:16" x14ac:dyDescent="0.35">
      <c r="A17" s="32" t="str">
        <f t="shared" si="1"/>
        <v>2025 JUL-SEPT B1G1 - 3284</v>
      </c>
      <c r="B17" s="33">
        <f t="shared" si="0"/>
        <v>46121</v>
      </c>
      <c r="C17" s="33">
        <f t="shared" si="0"/>
        <v>46127</v>
      </c>
      <c r="D17" s="32">
        <v>3284</v>
      </c>
      <c r="E17" s="32">
        <v>338</v>
      </c>
      <c r="F17" s="70">
        <v>4</v>
      </c>
      <c r="G17" s="23">
        <v>8</v>
      </c>
      <c r="H17" s="54">
        <v>81676</v>
      </c>
      <c r="I17" s="32" t="s">
        <v>17</v>
      </c>
      <c r="J17" s="59">
        <v>55538720</v>
      </c>
      <c r="K17" s="23" t="s">
        <v>5911</v>
      </c>
      <c r="L17" s="22" t="s">
        <v>5914</v>
      </c>
      <c r="M17" s="24">
        <v>129900</v>
      </c>
      <c r="N17" s="79" t="s">
        <v>2569</v>
      </c>
      <c r="O17" s="34" t="s">
        <v>2577</v>
      </c>
      <c r="P17" s="50" t="s">
        <v>2569</v>
      </c>
    </row>
    <row r="18" spans="1:16" x14ac:dyDescent="0.35">
      <c r="A18" s="32" t="str">
        <f t="shared" si="1"/>
        <v>2025 JUL-SEPT B1G1 - 3284</v>
      </c>
      <c r="B18" s="33">
        <f t="shared" si="1"/>
        <v>46121</v>
      </c>
      <c r="C18" s="33">
        <f t="shared" si="1"/>
        <v>46127</v>
      </c>
      <c r="D18" s="32">
        <v>3284</v>
      </c>
      <c r="E18" s="32">
        <v>338</v>
      </c>
      <c r="F18" s="70">
        <v>4</v>
      </c>
      <c r="G18" s="23">
        <v>8</v>
      </c>
      <c r="H18" s="52">
        <v>80942</v>
      </c>
      <c r="I18" s="32" t="s">
        <v>17</v>
      </c>
      <c r="J18" s="59">
        <v>59173858</v>
      </c>
      <c r="K18" s="23" t="s">
        <v>6116</v>
      </c>
      <c r="L18" s="22" t="s">
        <v>6119</v>
      </c>
      <c r="M18" s="24">
        <v>129900</v>
      </c>
      <c r="N18" s="79" t="s">
        <v>2569</v>
      </c>
      <c r="O18" s="34" t="s">
        <v>2577</v>
      </c>
      <c r="P18" s="50" t="s">
        <v>2569</v>
      </c>
    </row>
    <row r="19" spans="1:16" x14ac:dyDescent="0.35">
      <c r="A19" s="32" t="str">
        <f t="shared" si="1"/>
        <v>2025 JUL-SEPT B1G1 - 3284</v>
      </c>
      <c r="B19" s="33">
        <f t="shared" si="1"/>
        <v>46121</v>
      </c>
      <c r="C19" s="33">
        <f t="shared" si="1"/>
        <v>46127</v>
      </c>
      <c r="D19" s="32">
        <v>3284</v>
      </c>
      <c r="E19" s="32">
        <v>338</v>
      </c>
      <c r="F19" s="70">
        <v>4</v>
      </c>
      <c r="G19" s="23">
        <v>8</v>
      </c>
      <c r="H19" s="54">
        <v>80942</v>
      </c>
      <c r="I19" s="32" t="s">
        <v>17</v>
      </c>
      <c r="J19" s="59">
        <v>59173867</v>
      </c>
      <c r="K19" s="23" t="s">
        <v>6116</v>
      </c>
      <c r="L19" s="22" t="s">
        <v>6118</v>
      </c>
      <c r="M19" s="24">
        <v>129900</v>
      </c>
      <c r="N19" s="79" t="s">
        <v>2569</v>
      </c>
      <c r="O19" s="34" t="str">
        <f t="shared" ref="O19:O33" si="2">O18</f>
        <v>B1G1</v>
      </c>
      <c r="P19" s="50" t="s">
        <v>2569</v>
      </c>
    </row>
    <row r="20" spans="1:16" x14ac:dyDescent="0.35">
      <c r="A20" s="32" t="str">
        <f t="shared" ref="A20:C35" si="3">A19</f>
        <v>2025 JUL-SEPT B1G1 - 3284</v>
      </c>
      <c r="B20" s="33">
        <f t="shared" si="3"/>
        <v>46121</v>
      </c>
      <c r="C20" s="33">
        <f t="shared" si="3"/>
        <v>46127</v>
      </c>
      <c r="D20" s="32">
        <v>3284</v>
      </c>
      <c r="E20" s="32">
        <v>338</v>
      </c>
      <c r="F20" s="70">
        <v>4</v>
      </c>
      <c r="G20" s="23">
        <v>8</v>
      </c>
      <c r="H20" s="54">
        <v>80942</v>
      </c>
      <c r="I20" s="32" t="s">
        <v>17</v>
      </c>
      <c r="J20" s="59">
        <v>59173876</v>
      </c>
      <c r="K20" s="23" t="s">
        <v>6116</v>
      </c>
      <c r="L20" s="22" t="s">
        <v>6117</v>
      </c>
      <c r="M20" s="24">
        <v>129900</v>
      </c>
      <c r="N20" s="79" t="s">
        <v>2569</v>
      </c>
      <c r="O20" s="34" t="str">
        <f t="shared" si="2"/>
        <v>B1G1</v>
      </c>
      <c r="P20" s="50" t="s">
        <v>2569</v>
      </c>
    </row>
    <row r="21" spans="1:16" x14ac:dyDescent="0.35">
      <c r="A21" s="32" t="str">
        <f t="shared" si="3"/>
        <v>2025 JUL-SEPT B1G1 - 3284</v>
      </c>
      <c r="B21" s="33">
        <f t="shared" si="3"/>
        <v>46121</v>
      </c>
      <c r="C21" s="33">
        <f t="shared" si="3"/>
        <v>46127</v>
      </c>
      <c r="D21" s="32">
        <v>3284</v>
      </c>
      <c r="E21" s="32">
        <v>338</v>
      </c>
      <c r="F21" s="70">
        <v>4</v>
      </c>
      <c r="G21" s="23">
        <v>8</v>
      </c>
      <c r="H21" s="54">
        <v>80942</v>
      </c>
      <c r="I21" s="32" t="s">
        <v>17</v>
      </c>
      <c r="J21" s="59">
        <v>59173885</v>
      </c>
      <c r="K21" s="23" t="s">
        <v>6116</v>
      </c>
      <c r="L21" s="22" t="s">
        <v>6120</v>
      </c>
      <c r="M21" s="24">
        <v>129900</v>
      </c>
      <c r="N21" s="79" t="s">
        <v>2569</v>
      </c>
      <c r="O21" s="34" t="str">
        <f t="shared" si="2"/>
        <v>B1G1</v>
      </c>
      <c r="P21" s="50" t="s">
        <v>2569</v>
      </c>
    </row>
    <row r="22" spans="1:16" x14ac:dyDescent="0.35">
      <c r="A22" s="32" t="str">
        <f t="shared" si="3"/>
        <v>2025 JUL-SEPT B1G1 - 3284</v>
      </c>
      <c r="B22" s="33">
        <f t="shared" si="3"/>
        <v>46121</v>
      </c>
      <c r="C22" s="33">
        <f t="shared" si="3"/>
        <v>46127</v>
      </c>
      <c r="D22" s="32">
        <v>3284</v>
      </c>
      <c r="E22" s="32">
        <v>338</v>
      </c>
      <c r="F22" s="70">
        <v>4</v>
      </c>
      <c r="G22" s="23">
        <v>8</v>
      </c>
      <c r="H22" s="52">
        <v>80942</v>
      </c>
      <c r="I22" s="32" t="s">
        <v>17</v>
      </c>
      <c r="J22" s="59">
        <v>54871175</v>
      </c>
      <c r="K22" s="23" t="s">
        <v>5827</v>
      </c>
      <c r="L22" s="22" t="s">
        <v>5841</v>
      </c>
      <c r="M22" s="24">
        <v>149900</v>
      </c>
      <c r="N22" s="79" t="s">
        <v>2569</v>
      </c>
      <c r="O22" s="34" t="str">
        <f t="shared" si="2"/>
        <v>B1G1</v>
      </c>
      <c r="P22" s="50" t="s">
        <v>2569</v>
      </c>
    </row>
    <row r="23" spans="1:16" x14ac:dyDescent="0.35">
      <c r="A23" s="32" t="str">
        <f t="shared" si="3"/>
        <v>2025 JUL-SEPT B1G1 - 3284</v>
      </c>
      <c r="B23" s="33">
        <f t="shared" si="3"/>
        <v>46121</v>
      </c>
      <c r="C23" s="33">
        <f t="shared" si="3"/>
        <v>46127</v>
      </c>
      <c r="D23" s="32">
        <v>3284</v>
      </c>
      <c r="E23" s="32">
        <v>338</v>
      </c>
      <c r="F23" s="70">
        <v>4</v>
      </c>
      <c r="G23" s="23">
        <v>8</v>
      </c>
      <c r="H23" s="54">
        <v>80942</v>
      </c>
      <c r="I23" s="32" t="s">
        <v>17</v>
      </c>
      <c r="J23" s="59">
        <v>54871184</v>
      </c>
      <c r="K23" s="23" t="s">
        <v>5827</v>
      </c>
      <c r="L23" s="22" t="s">
        <v>5828</v>
      </c>
      <c r="M23" s="24">
        <v>149900</v>
      </c>
      <c r="N23" s="79" t="s">
        <v>2569</v>
      </c>
      <c r="O23" s="34" t="str">
        <f t="shared" si="2"/>
        <v>B1G1</v>
      </c>
      <c r="P23" s="50" t="s">
        <v>2569</v>
      </c>
    </row>
    <row r="24" spans="1:16" x14ac:dyDescent="0.35">
      <c r="A24" s="32" t="str">
        <f t="shared" si="3"/>
        <v>2025 JUL-SEPT B1G1 - 3284</v>
      </c>
      <c r="B24" s="33">
        <f t="shared" si="3"/>
        <v>46121</v>
      </c>
      <c r="C24" s="33">
        <f t="shared" si="3"/>
        <v>46127</v>
      </c>
      <c r="D24" s="32">
        <v>3284</v>
      </c>
      <c r="E24" s="32">
        <v>338</v>
      </c>
      <c r="F24" s="70">
        <v>4</v>
      </c>
      <c r="G24" s="23">
        <v>8</v>
      </c>
      <c r="H24" s="54">
        <v>80942</v>
      </c>
      <c r="I24" s="32" t="s">
        <v>17</v>
      </c>
      <c r="J24" s="59">
        <v>54871193</v>
      </c>
      <c r="K24" s="23" t="s">
        <v>5827</v>
      </c>
      <c r="L24" s="22" t="s">
        <v>5832</v>
      </c>
      <c r="M24" s="24">
        <v>149900</v>
      </c>
      <c r="N24" s="79" t="s">
        <v>2569</v>
      </c>
      <c r="O24" s="34" t="str">
        <f t="shared" si="2"/>
        <v>B1G1</v>
      </c>
      <c r="P24" s="50" t="s">
        <v>2569</v>
      </c>
    </row>
    <row r="25" spans="1:16" x14ac:dyDescent="0.35">
      <c r="A25" s="32" t="str">
        <f t="shared" si="3"/>
        <v>2025 JUL-SEPT B1G1 - 3284</v>
      </c>
      <c r="B25" s="33">
        <f t="shared" si="3"/>
        <v>46121</v>
      </c>
      <c r="C25" s="33">
        <f t="shared" si="3"/>
        <v>46127</v>
      </c>
      <c r="D25" s="32">
        <v>3284</v>
      </c>
      <c r="E25" s="32">
        <v>338</v>
      </c>
      <c r="F25" s="70">
        <v>4</v>
      </c>
      <c r="G25" s="23">
        <v>8</v>
      </c>
      <c r="H25" s="54">
        <v>80942</v>
      </c>
      <c r="I25" s="32" t="s">
        <v>17</v>
      </c>
      <c r="J25" s="59">
        <v>54871200</v>
      </c>
      <c r="K25" s="23" t="s">
        <v>5827</v>
      </c>
      <c r="L25" s="22" t="s">
        <v>5840</v>
      </c>
      <c r="M25" s="24">
        <v>149900</v>
      </c>
      <c r="N25" s="79" t="s">
        <v>2569</v>
      </c>
      <c r="O25" s="34" t="str">
        <f t="shared" si="2"/>
        <v>B1G1</v>
      </c>
      <c r="P25" s="50" t="s">
        <v>2569</v>
      </c>
    </row>
    <row r="26" spans="1:16" x14ac:dyDescent="0.35">
      <c r="A26" s="32" t="str">
        <f t="shared" si="3"/>
        <v>2025 JUL-SEPT B1G1 - 3284</v>
      </c>
      <c r="B26" s="33">
        <f t="shared" si="3"/>
        <v>46121</v>
      </c>
      <c r="C26" s="33">
        <f t="shared" si="3"/>
        <v>46127</v>
      </c>
      <c r="D26" s="32">
        <v>3284</v>
      </c>
      <c r="E26" s="32">
        <v>338</v>
      </c>
      <c r="F26" s="70">
        <v>4</v>
      </c>
      <c r="G26" s="23">
        <v>8</v>
      </c>
      <c r="H26" s="52">
        <v>81676</v>
      </c>
      <c r="I26" s="32" t="s">
        <v>17</v>
      </c>
      <c r="J26" s="59">
        <v>55538659</v>
      </c>
      <c r="K26" s="23" t="s">
        <v>5906</v>
      </c>
      <c r="L26" s="22" t="s">
        <v>5907</v>
      </c>
      <c r="M26" s="24">
        <v>129900</v>
      </c>
      <c r="N26" s="79" t="s">
        <v>2569</v>
      </c>
      <c r="O26" s="34" t="str">
        <f t="shared" si="2"/>
        <v>B1G1</v>
      </c>
      <c r="P26" s="50" t="s">
        <v>2569</v>
      </c>
    </row>
    <row r="27" spans="1:16" x14ac:dyDescent="0.35">
      <c r="A27" s="32" t="str">
        <f t="shared" si="3"/>
        <v>2025 JUL-SEPT B1G1 - 3284</v>
      </c>
      <c r="B27" s="33">
        <f t="shared" si="3"/>
        <v>46121</v>
      </c>
      <c r="C27" s="33">
        <f t="shared" si="3"/>
        <v>46127</v>
      </c>
      <c r="D27" s="32">
        <v>3284</v>
      </c>
      <c r="E27" s="32">
        <v>338</v>
      </c>
      <c r="F27" s="70">
        <v>4</v>
      </c>
      <c r="G27" s="23">
        <v>8</v>
      </c>
      <c r="H27" s="54">
        <v>81676</v>
      </c>
      <c r="I27" s="32" t="s">
        <v>17</v>
      </c>
      <c r="J27" s="59">
        <v>55538668</v>
      </c>
      <c r="K27" s="23" t="s">
        <v>5906</v>
      </c>
      <c r="L27" s="22" t="s">
        <v>5908</v>
      </c>
      <c r="M27" s="24">
        <v>129900</v>
      </c>
      <c r="N27" s="79" t="s">
        <v>2569</v>
      </c>
      <c r="O27" s="34" t="str">
        <f t="shared" si="2"/>
        <v>B1G1</v>
      </c>
      <c r="P27" s="50" t="s">
        <v>2569</v>
      </c>
    </row>
    <row r="28" spans="1:16" x14ac:dyDescent="0.35">
      <c r="A28" s="32" t="str">
        <f t="shared" si="3"/>
        <v>2025 JUL-SEPT B1G1 - 3284</v>
      </c>
      <c r="B28" s="33">
        <f t="shared" si="3"/>
        <v>46121</v>
      </c>
      <c r="C28" s="33">
        <f t="shared" si="3"/>
        <v>46127</v>
      </c>
      <c r="D28" s="32">
        <v>3284</v>
      </c>
      <c r="E28" s="32">
        <v>338</v>
      </c>
      <c r="F28" s="70">
        <v>4</v>
      </c>
      <c r="G28" s="23">
        <v>8</v>
      </c>
      <c r="H28" s="54">
        <v>81676</v>
      </c>
      <c r="I28" s="32" t="s">
        <v>17</v>
      </c>
      <c r="J28" s="59">
        <v>55538677</v>
      </c>
      <c r="K28" s="23" t="s">
        <v>5906</v>
      </c>
      <c r="L28" s="22" t="s">
        <v>5909</v>
      </c>
      <c r="M28" s="24">
        <v>129900</v>
      </c>
      <c r="N28" s="79" t="s">
        <v>2569</v>
      </c>
      <c r="O28" s="34" t="str">
        <f t="shared" si="2"/>
        <v>B1G1</v>
      </c>
      <c r="P28" s="50" t="s">
        <v>2569</v>
      </c>
    </row>
    <row r="29" spans="1:16" x14ac:dyDescent="0.35">
      <c r="A29" s="32" t="str">
        <f t="shared" si="3"/>
        <v>2025 JUL-SEPT B1G1 - 3284</v>
      </c>
      <c r="B29" s="33">
        <f t="shared" si="3"/>
        <v>46121</v>
      </c>
      <c r="C29" s="33">
        <f t="shared" si="3"/>
        <v>46127</v>
      </c>
      <c r="D29" s="32">
        <v>3284</v>
      </c>
      <c r="E29" s="32">
        <v>338</v>
      </c>
      <c r="F29" s="70">
        <v>4</v>
      </c>
      <c r="G29" s="23">
        <v>8</v>
      </c>
      <c r="H29" s="54">
        <v>81676</v>
      </c>
      <c r="I29" s="32" t="s">
        <v>17</v>
      </c>
      <c r="J29" s="59">
        <v>55538686</v>
      </c>
      <c r="K29" s="23" t="s">
        <v>5906</v>
      </c>
      <c r="L29" s="22" t="s">
        <v>5910</v>
      </c>
      <c r="M29" s="24">
        <v>129900</v>
      </c>
      <c r="N29" s="79" t="s">
        <v>2569</v>
      </c>
      <c r="O29" s="34" t="str">
        <f t="shared" si="2"/>
        <v>B1G1</v>
      </c>
      <c r="P29" s="50" t="s">
        <v>2569</v>
      </c>
    </row>
    <row r="30" spans="1:16" x14ac:dyDescent="0.35">
      <c r="A30" s="32" t="str">
        <f t="shared" si="3"/>
        <v>2025 JUL-SEPT B1G1 - 3284</v>
      </c>
      <c r="B30" s="33">
        <f t="shared" si="3"/>
        <v>46121</v>
      </c>
      <c r="C30" s="33">
        <f t="shared" si="3"/>
        <v>46127</v>
      </c>
      <c r="D30" s="32">
        <v>3284</v>
      </c>
      <c r="E30" s="32">
        <v>338</v>
      </c>
      <c r="F30" s="70">
        <v>4</v>
      </c>
      <c r="G30" s="23">
        <v>8</v>
      </c>
      <c r="H30" s="52">
        <v>80942</v>
      </c>
      <c r="I30" s="32" t="s">
        <v>17</v>
      </c>
      <c r="J30" s="59">
        <v>59173812</v>
      </c>
      <c r="K30" s="23" t="s">
        <v>6121</v>
      </c>
      <c r="L30" s="22" t="s">
        <v>6122</v>
      </c>
      <c r="M30" s="24">
        <v>149900</v>
      </c>
      <c r="N30" s="79" t="s">
        <v>2569</v>
      </c>
      <c r="O30" s="34" t="str">
        <f t="shared" si="2"/>
        <v>B1G1</v>
      </c>
      <c r="P30" s="50" t="s">
        <v>2569</v>
      </c>
    </row>
    <row r="31" spans="1:16" x14ac:dyDescent="0.35">
      <c r="A31" s="32" t="str">
        <f t="shared" si="3"/>
        <v>2025 JUL-SEPT B1G1 - 3284</v>
      </c>
      <c r="B31" s="33">
        <f t="shared" si="3"/>
        <v>46121</v>
      </c>
      <c r="C31" s="33">
        <f t="shared" si="3"/>
        <v>46127</v>
      </c>
      <c r="D31" s="32">
        <v>3284</v>
      </c>
      <c r="E31" s="32">
        <v>338</v>
      </c>
      <c r="F31" s="70">
        <v>4</v>
      </c>
      <c r="G31" s="23">
        <v>8</v>
      </c>
      <c r="H31" s="54">
        <v>80942</v>
      </c>
      <c r="I31" s="32" t="s">
        <v>17</v>
      </c>
      <c r="J31" s="59">
        <v>59173821</v>
      </c>
      <c r="K31" s="23" t="s">
        <v>6121</v>
      </c>
      <c r="L31" s="22" t="s">
        <v>6123</v>
      </c>
      <c r="M31" s="24">
        <v>149900</v>
      </c>
      <c r="N31" s="79" t="s">
        <v>2569</v>
      </c>
      <c r="O31" s="34" t="str">
        <f t="shared" si="2"/>
        <v>B1G1</v>
      </c>
      <c r="P31" s="50" t="s">
        <v>2569</v>
      </c>
    </row>
    <row r="32" spans="1:16" x14ac:dyDescent="0.35">
      <c r="A32" s="32" t="str">
        <f t="shared" si="3"/>
        <v>2025 JUL-SEPT B1G1 - 3284</v>
      </c>
      <c r="B32" s="33">
        <f t="shared" si="3"/>
        <v>46121</v>
      </c>
      <c r="C32" s="33">
        <f t="shared" si="3"/>
        <v>46127</v>
      </c>
      <c r="D32" s="32">
        <v>3284</v>
      </c>
      <c r="E32" s="32">
        <v>338</v>
      </c>
      <c r="F32" s="70">
        <v>4</v>
      </c>
      <c r="G32" s="23">
        <v>8</v>
      </c>
      <c r="H32" s="54">
        <v>80942</v>
      </c>
      <c r="I32" s="32" t="s">
        <v>17</v>
      </c>
      <c r="J32" s="59">
        <v>59173830</v>
      </c>
      <c r="K32" s="23" t="s">
        <v>6121</v>
      </c>
      <c r="L32" s="22" t="s">
        <v>6125</v>
      </c>
      <c r="M32" s="24">
        <v>149900</v>
      </c>
      <c r="N32" s="79" t="s">
        <v>2569</v>
      </c>
      <c r="O32" s="34" t="str">
        <f t="shared" si="2"/>
        <v>B1G1</v>
      </c>
      <c r="P32" s="50" t="s">
        <v>2569</v>
      </c>
    </row>
    <row r="33" spans="1:16" x14ac:dyDescent="0.35">
      <c r="A33" s="32" t="str">
        <f t="shared" si="3"/>
        <v>2025 JUL-SEPT B1G1 - 3284</v>
      </c>
      <c r="B33" s="33">
        <f t="shared" si="3"/>
        <v>46121</v>
      </c>
      <c r="C33" s="33">
        <f t="shared" si="3"/>
        <v>46127</v>
      </c>
      <c r="D33" s="32">
        <v>3284</v>
      </c>
      <c r="E33" s="32">
        <v>338</v>
      </c>
      <c r="F33" s="70">
        <v>4</v>
      </c>
      <c r="G33" s="23">
        <v>8</v>
      </c>
      <c r="H33" s="54">
        <v>80942</v>
      </c>
      <c r="I33" s="32" t="s">
        <v>17</v>
      </c>
      <c r="J33" s="59">
        <v>59173849</v>
      </c>
      <c r="K33" s="23" t="s">
        <v>6121</v>
      </c>
      <c r="L33" s="22" t="s">
        <v>6124</v>
      </c>
      <c r="M33" s="24">
        <v>149900</v>
      </c>
      <c r="N33" s="79" t="s">
        <v>2569</v>
      </c>
      <c r="O33" s="34" t="str">
        <f t="shared" si="2"/>
        <v>B1G1</v>
      </c>
      <c r="P33" s="50" t="s">
        <v>2569</v>
      </c>
    </row>
    <row r="34" spans="1:16" x14ac:dyDescent="0.35">
      <c r="A34" s="32" t="str">
        <f t="shared" si="3"/>
        <v>2025 JUL-SEPT B1G1 - 3284</v>
      </c>
      <c r="B34" s="33">
        <f t="shared" si="3"/>
        <v>46121</v>
      </c>
      <c r="C34" s="33">
        <f t="shared" si="3"/>
        <v>46127</v>
      </c>
      <c r="D34" s="32">
        <v>3284</v>
      </c>
      <c r="E34" s="32">
        <v>338</v>
      </c>
      <c r="F34" s="70">
        <v>4</v>
      </c>
      <c r="G34" s="23">
        <v>8</v>
      </c>
      <c r="H34" s="52">
        <v>81005</v>
      </c>
      <c r="I34" s="32" t="s">
        <v>17</v>
      </c>
      <c r="J34" s="59">
        <v>59173938</v>
      </c>
      <c r="K34" s="23" t="s">
        <v>6503</v>
      </c>
      <c r="L34" s="22" t="s">
        <v>6504</v>
      </c>
      <c r="M34" s="24">
        <v>129900</v>
      </c>
      <c r="N34" s="21" t="s">
        <v>2569</v>
      </c>
      <c r="O34" s="32" t="s">
        <v>2577</v>
      </c>
      <c r="P34" s="50" t="s">
        <v>2569</v>
      </c>
    </row>
    <row r="35" spans="1:16" x14ac:dyDescent="0.35">
      <c r="A35" s="32" t="str">
        <f t="shared" si="3"/>
        <v>2025 JUL-SEPT B1G1 - 3284</v>
      </c>
      <c r="B35" s="33">
        <f t="shared" si="3"/>
        <v>46121</v>
      </c>
      <c r="C35" s="33">
        <f t="shared" si="3"/>
        <v>46127</v>
      </c>
      <c r="D35" s="32">
        <v>3284</v>
      </c>
      <c r="E35" s="32">
        <v>338</v>
      </c>
      <c r="F35" s="70">
        <v>4</v>
      </c>
      <c r="G35" s="23">
        <v>8</v>
      </c>
      <c r="H35" s="54">
        <v>81005</v>
      </c>
      <c r="I35" s="32" t="s">
        <v>17</v>
      </c>
      <c r="J35" s="59">
        <v>59173947</v>
      </c>
      <c r="K35" s="23" t="s">
        <v>6503</v>
      </c>
      <c r="L35" s="22" t="s">
        <v>6505</v>
      </c>
      <c r="M35" s="24">
        <v>129900</v>
      </c>
      <c r="N35" s="21" t="str">
        <f t="shared" ref="N35:O57" si="4">N34</f>
        <v>BXGY</v>
      </c>
      <c r="O35" s="32" t="str">
        <f t="shared" si="4"/>
        <v>B1G1</v>
      </c>
      <c r="P35" s="50" t="s">
        <v>2569</v>
      </c>
    </row>
    <row r="36" spans="1:16" x14ac:dyDescent="0.35">
      <c r="A36" s="32" t="str">
        <f t="shared" ref="A36:C51" si="5">A35</f>
        <v>2025 JUL-SEPT B1G1 - 3284</v>
      </c>
      <c r="B36" s="33">
        <f t="shared" si="5"/>
        <v>46121</v>
      </c>
      <c r="C36" s="33">
        <f t="shared" si="5"/>
        <v>46127</v>
      </c>
      <c r="D36" s="32">
        <v>3284</v>
      </c>
      <c r="E36" s="32">
        <v>338</v>
      </c>
      <c r="F36" s="70">
        <v>4</v>
      </c>
      <c r="G36" s="23">
        <v>8</v>
      </c>
      <c r="H36" s="54">
        <v>81005</v>
      </c>
      <c r="I36" s="32" t="s">
        <v>17</v>
      </c>
      <c r="J36" s="59">
        <v>59173956</v>
      </c>
      <c r="K36" s="23" t="s">
        <v>6503</v>
      </c>
      <c r="L36" s="22" t="s">
        <v>6506</v>
      </c>
      <c r="M36" s="24">
        <v>129900</v>
      </c>
      <c r="N36" s="21" t="str">
        <f t="shared" si="4"/>
        <v>BXGY</v>
      </c>
      <c r="O36" s="32" t="str">
        <f t="shared" si="4"/>
        <v>B1G1</v>
      </c>
      <c r="P36" s="50" t="s">
        <v>2569</v>
      </c>
    </row>
    <row r="37" spans="1:16" x14ac:dyDescent="0.35">
      <c r="A37" s="32" t="str">
        <f t="shared" si="5"/>
        <v>2025 JUL-SEPT B1G1 - 3284</v>
      </c>
      <c r="B37" s="33">
        <f t="shared" si="5"/>
        <v>46121</v>
      </c>
      <c r="C37" s="33">
        <f t="shared" si="5"/>
        <v>46127</v>
      </c>
      <c r="D37" s="32">
        <v>3284</v>
      </c>
      <c r="E37" s="32">
        <v>338</v>
      </c>
      <c r="F37" s="70">
        <v>4</v>
      </c>
      <c r="G37" s="23">
        <v>8</v>
      </c>
      <c r="H37" s="54">
        <v>81005</v>
      </c>
      <c r="I37" s="32" t="s">
        <v>17</v>
      </c>
      <c r="J37" s="59">
        <v>59173965</v>
      </c>
      <c r="K37" s="23" t="s">
        <v>6503</v>
      </c>
      <c r="L37" s="22" t="s">
        <v>6507</v>
      </c>
      <c r="M37" s="24">
        <v>129900</v>
      </c>
      <c r="N37" s="21" t="str">
        <f t="shared" si="4"/>
        <v>BXGY</v>
      </c>
      <c r="O37" s="32" t="str">
        <f t="shared" si="4"/>
        <v>B1G1</v>
      </c>
      <c r="P37" s="50" t="s">
        <v>2569</v>
      </c>
    </row>
    <row r="38" spans="1:16" x14ac:dyDescent="0.35">
      <c r="A38" s="32" t="str">
        <f t="shared" si="5"/>
        <v>2025 JUL-SEPT B1G1 - 3284</v>
      </c>
      <c r="B38" s="33">
        <f t="shared" si="5"/>
        <v>46121</v>
      </c>
      <c r="C38" s="33">
        <f t="shared" si="5"/>
        <v>46127</v>
      </c>
      <c r="D38" s="32">
        <v>3284</v>
      </c>
      <c r="E38" s="32">
        <v>338</v>
      </c>
      <c r="F38" s="70">
        <v>4</v>
      </c>
      <c r="G38" s="23">
        <v>8</v>
      </c>
      <c r="H38" s="52">
        <v>81005</v>
      </c>
      <c r="I38" s="32" t="s">
        <v>17</v>
      </c>
      <c r="J38" s="59">
        <v>61301053</v>
      </c>
      <c r="K38" s="23" t="s">
        <v>6136</v>
      </c>
      <c r="L38" s="22" t="s">
        <v>6138</v>
      </c>
      <c r="M38" s="24">
        <v>129900</v>
      </c>
      <c r="N38" s="21" t="str">
        <f t="shared" si="4"/>
        <v>BXGY</v>
      </c>
      <c r="O38" s="32" t="str">
        <f t="shared" si="4"/>
        <v>B1G1</v>
      </c>
      <c r="P38" s="50" t="s">
        <v>2569</v>
      </c>
    </row>
    <row r="39" spans="1:16" x14ac:dyDescent="0.35">
      <c r="A39" s="32" t="str">
        <f t="shared" si="5"/>
        <v>2025 JUL-SEPT B1G1 - 3284</v>
      </c>
      <c r="B39" s="33">
        <f t="shared" si="5"/>
        <v>46121</v>
      </c>
      <c r="C39" s="33">
        <f t="shared" si="5"/>
        <v>46127</v>
      </c>
      <c r="D39" s="32">
        <v>3284</v>
      </c>
      <c r="E39" s="32">
        <v>338</v>
      </c>
      <c r="F39" s="70">
        <v>4</v>
      </c>
      <c r="G39" s="23">
        <v>8</v>
      </c>
      <c r="H39" s="54">
        <v>81005</v>
      </c>
      <c r="I39" s="32" t="s">
        <v>17</v>
      </c>
      <c r="J39" s="59">
        <v>61301062</v>
      </c>
      <c r="K39" s="23" t="s">
        <v>6136</v>
      </c>
      <c r="L39" s="22" t="s">
        <v>6137</v>
      </c>
      <c r="M39" s="24">
        <v>129900</v>
      </c>
      <c r="N39" s="21" t="str">
        <f t="shared" si="4"/>
        <v>BXGY</v>
      </c>
      <c r="O39" s="32" t="str">
        <f t="shared" si="4"/>
        <v>B1G1</v>
      </c>
      <c r="P39" s="50" t="s">
        <v>2569</v>
      </c>
    </row>
    <row r="40" spans="1:16" x14ac:dyDescent="0.35">
      <c r="A40" s="32" t="str">
        <f t="shared" si="5"/>
        <v>2025 JUL-SEPT B1G1 - 3284</v>
      </c>
      <c r="B40" s="33">
        <f t="shared" si="5"/>
        <v>46121</v>
      </c>
      <c r="C40" s="33">
        <f t="shared" si="5"/>
        <v>46127</v>
      </c>
      <c r="D40" s="32">
        <v>3284</v>
      </c>
      <c r="E40" s="32">
        <v>338</v>
      </c>
      <c r="F40" s="70">
        <v>4</v>
      </c>
      <c r="G40" s="23">
        <v>8</v>
      </c>
      <c r="H40" s="54">
        <v>81005</v>
      </c>
      <c r="I40" s="32" t="s">
        <v>17</v>
      </c>
      <c r="J40" s="59">
        <v>61301071</v>
      </c>
      <c r="K40" s="23" t="s">
        <v>6136</v>
      </c>
      <c r="L40" s="22" t="s">
        <v>6140</v>
      </c>
      <c r="M40" s="24">
        <v>129900</v>
      </c>
      <c r="N40" s="21" t="str">
        <f t="shared" si="4"/>
        <v>BXGY</v>
      </c>
      <c r="O40" s="32" t="str">
        <f t="shared" si="4"/>
        <v>B1G1</v>
      </c>
      <c r="P40" s="50" t="s">
        <v>2569</v>
      </c>
    </row>
    <row r="41" spans="1:16" x14ac:dyDescent="0.35">
      <c r="A41" s="32" t="str">
        <f t="shared" si="5"/>
        <v>2025 JUL-SEPT B1G1 - 3284</v>
      </c>
      <c r="B41" s="33">
        <f t="shared" si="5"/>
        <v>46121</v>
      </c>
      <c r="C41" s="33">
        <f t="shared" si="5"/>
        <v>46127</v>
      </c>
      <c r="D41" s="32">
        <v>3284</v>
      </c>
      <c r="E41" s="32">
        <v>338</v>
      </c>
      <c r="F41" s="70">
        <v>4</v>
      </c>
      <c r="G41" s="23">
        <v>8</v>
      </c>
      <c r="H41" s="54">
        <v>81005</v>
      </c>
      <c r="I41" s="32" t="s">
        <v>17</v>
      </c>
      <c r="J41" s="59">
        <v>61301080</v>
      </c>
      <c r="K41" s="23" t="s">
        <v>6136</v>
      </c>
      <c r="L41" s="22" t="s">
        <v>6139</v>
      </c>
      <c r="M41" s="24">
        <v>129900</v>
      </c>
      <c r="N41" s="21" t="str">
        <f t="shared" si="4"/>
        <v>BXGY</v>
      </c>
      <c r="O41" s="32" t="str">
        <f t="shared" si="4"/>
        <v>B1G1</v>
      </c>
      <c r="P41" s="50" t="s">
        <v>2569</v>
      </c>
    </row>
    <row r="42" spans="1:16" x14ac:dyDescent="0.35">
      <c r="A42" s="32" t="str">
        <f t="shared" si="5"/>
        <v>2025 JUL-SEPT B1G1 - 3284</v>
      </c>
      <c r="B42" s="33">
        <f t="shared" si="5"/>
        <v>46121</v>
      </c>
      <c r="C42" s="33">
        <f t="shared" si="5"/>
        <v>46127</v>
      </c>
      <c r="D42" s="32">
        <v>3284</v>
      </c>
      <c r="E42" s="32">
        <v>338</v>
      </c>
      <c r="F42" s="70">
        <v>4</v>
      </c>
      <c r="G42" s="23">
        <v>8</v>
      </c>
      <c r="H42" s="52">
        <v>81506</v>
      </c>
      <c r="I42" s="32" t="s">
        <v>17</v>
      </c>
      <c r="J42" s="59">
        <v>53585263</v>
      </c>
      <c r="K42" s="23" t="s">
        <v>7148</v>
      </c>
      <c r="L42" s="22" t="s">
        <v>7149</v>
      </c>
      <c r="M42" s="24">
        <v>149900</v>
      </c>
      <c r="N42" s="21" t="str">
        <f t="shared" si="4"/>
        <v>BXGY</v>
      </c>
      <c r="O42" s="32" t="str">
        <f t="shared" si="4"/>
        <v>B1G1</v>
      </c>
      <c r="P42" s="50" t="s">
        <v>2569</v>
      </c>
    </row>
    <row r="43" spans="1:16" x14ac:dyDescent="0.35">
      <c r="A43" s="32" t="str">
        <f t="shared" si="5"/>
        <v>2025 JUL-SEPT B1G1 - 3284</v>
      </c>
      <c r="B43" s="33">
        <f t="shared" si="5"/>
        <v>46121</v>
      </c>
      <c r="C43" s="33">
        <f t="shared" si="5"/>
        <v>46127</v>
      </c>
      <c r="D43" s="32">
        <v>3284</v>
      </c>
      <c r="E43" s="32">
        <v>338</v>
      </c>
      <c r="F43" s="70">
        <v>4</v>
      </c>
      <c r="G43" s="23">
        <v>8</v>
      </c>
      <c r="H43" s="54">
        <v>81506</v>
      </c>
      <c r="I43" s="32" t="s">
        <v>17</v>
      </c>
      <c r="J43" s="59">
        <v>53585272</v>
      </c>
      <c r="K43" s="23" t="s">
        <v>7148</v>
      </c>
      <c r="L43" s="22" t="s">
        <v>7150</v>
      </c>
      <c r="M43" s="24">
        <v>149900</v>
      </c>
      <c r="N43" s="21" t="str">
        <f t="shared" si="4"/>
        <v>BXGY</v>
      </c>
      <c r="O43" s="32" t="str">
        <f t="shared" si="4"/>
        <v>B1G1</v>
      </c>
      <c r="P43" s="50" t="s">
        <v>2569</v>
      </c>
    </row>
    <row r="44" spans="1:16" x14ac:dyDescent="0.35">
      <c r="A44" s="32" t="str">
        <f t="shared" si="5"/>
        <v>2025 JUL-SEPT B1G1 - 3284</v>
      </c>
      <c r="B44" s="33">
        <f t="shared" si="5"/>
        <v>46121</v>
      </c>
      <c r="C44" s="33">
        <f t="shared" si="5"/>
        <v>46127</v>
      </c>
      <c r="D44" s="32">
        <v>3284</v>
      </c>
      <c r="E44" s="32">
        <v>338</v>
      </c>
      <c r="F44" s="70">
        <v>4</v>
      </c>
      <c r="G44" s="23">
        <v>8</v>
      </c>
      <c r="H44" s="54">
        <v>81506</v>
      </c>
      <c r="I44" s="32" t="s">
        <v>17</v>
      </c>
      <c r="J44" s="59">
        <v>53585281</v>
      </c>
      <c r="K44" s="23" t="s">
        <v>7148</v>
      </c>
      <c r="L44" s="22" t="s">
        <v>7151</v>
      </c>
      <c r="M44" s="24">
        <v>149900</v>
      </c>
      <c r="N44" s="21" t="str">
        <f t="shared" si="4"/>
        <v>BXGY</v>
      </c>
      <c r="O44" s="32" t="str">
        <f t="shared" si="4"/>
        <v>B1G1</v>
      </c>
      <c r="P44" s="50" t="s">
        <v>2569</v>
      </c>
    </row>
    <row r="45" spans="1:16" x14ac:dyDescent="0.35">
      <c r="A45" s="32" t="str">
        <f t="shared" si="5"/>
        <v>2025 JUL-SEPT B1G1 - 3284</v>
      </c>
      <c r="B45" s="33">
        <f t="shared" si="5"/>
        <v>46121</v>
      </c>
      <c r="C45" s="33">
        <f t="shared" si="5"/>
        <v>46127</v>
      </c>
      <c r="D45" s="32">
        <v>3284</v>
      </c>
      <c r="E45" s="32">
        <v>338</v>
      </c>
      <c r="F45" s="70">
        <v>4</v>
      </c>
      <c r="G45" s="23">
        <v>8</v>
      </c>
      <c r="H45" s="54">
        <v>81506</v>
      </c>
      <c r="I45" s="32" t="s">
        <v>17</v>
      </c>
      <c r="J45" s="59">
        <v>53585290</v>
      </c>
      <c r="K45" s="23" t="s">
        <v>7148</v>
      </c>
      <c r="L45" s="22" t="s">
        <v>7152</v>
      </c>
      <c r="M45" s="24">
        <v>149900</v>
      </c>
      <c r="N45" s="21" t="str">
        <f t="shared" si="4"/>
        <v>BXGY</v>
      </c>
      <c r="O45" s="32" t="str">
        <f t="shared" si="4"/>
        <v>B1G1</v>
      </c>
      <c r="P45" s="50" t="s">
        <v>2569</v>
      </c>
    </row>
    <row r="46" spans="1:16" x14ac:dyDescent="0.35">
      <c r="A46" s="32" t="str">
        <f t="shared" si="5"/>
        <v>2025 JUL-SEPT B1G1 - 3284</v>
      </c>
      <c r="B46" s="33">
        <f t="shared" si="5"/>
        <v>46121</v>
      </c>
      <c r="C46" s="33">
        <f t="shared" si="5"/>
        <v>46127</v>
      </c>
      <c r="D46" s="32">
        <v>3284</v>
      </c>
      <c r="E46" s="32">
        <v>338</v>
      </c>
      <c r="F46" s="70">
        <v>4</v>
      </c>
      <c r="G46" s="23">
        <v>8</v>
      </c>
      <c r="H46" s="52">
        <v>81506</v>
      </c>
      <c r="I46" s="32" t="s">
        <v>17</v>
      </c>
      <c r="J46" s="59">
        <v>53585227</v>
      </c>
      <c r="K46" s="23" t="s">
        <v>7153</v>
      </c>
      <c r="L46" s="22" t="s">
        <v>7154</v>
      </c>
      <c r="M46" s="24">
        <v>129900</v>
      </c>
      <c r="N46" s="21" t="str">
        <f t="shared" si="4"/>
        <v>BXGY</v>
      </c>
      <c r="O46" s="32" t="str">
        <f t="shared" si="4"/>
        <v>B1G1</v>
      </c>
      <c r="P46" s="50" t="s">
        <v>2569</v>
      </c>
    </row>
    <row r="47" spans="1:16" x14ac:dyDescent="0.35">
      <c r="A47" s="32" t="str">
        <f t="shared" si="5"/>
        <v>2025 JUL-SEPT B1G1 - 3284</v>
      </c>
      <c r="B47" s="33">
        <f t="shared" si="5"/>
        <v>46121</v>
      </c>
      <c r="C47" s="33">
        <f t="shared" si="5"/>
        <v>46127</v>
      </c>
      <c r="D47" s="32">
        <v>3284</v>
      </c>
      <c r="E47" s="32">
        <v>338</v>
      </c>
      <c r="F47" s="70">
        <v>4</v>
      </c>
      <c r="G47" s="23">
        <v>8</v>
      </c>
      <c r="H47" s="54">
        <v>81506</v>
      </c>
      <c r="I47" s="32" t="s">
        <v>17</v>
      </c>
      <c r="J47" s="59">
        <v>53585236</v>
      </c>
      <c r="K47" s="23" t="s">
        <v>7153</v>
      </c>
      <c r="L47" s="22" t="s">
        <v>7155</v>
      </c>
      <c r="M47" s="24">
        <v>129900</v>
      </c>
      <c r="N47" s="21" t="str">
        <f t="shared" si="4"/>
        <v>BXGY</v>
      </c>
      <c r="O47" s="32" t="str">
        <f t="shared" si="4"/>
        <v>B1G1</v>
      </c>
      <c r="P47" s="50" t="s">
        <v>2569</v>
      </c>
    </row>
    <row r="48" spans="1:16" x14ac:dyDescent="0.35">
      <c r="A48" s="32" t="str">
        <f t="shared" si="5"/>
        <v>2025 JUL-SEPT B1G1 - 3284</v>
      </c>
      <c r="B48" s="33">
        <f t="shared" si="5"/>
        <v>46121</v>
      </c>
      <c r="C48" s="33">
        <f t="shared" si="5"/>
        <v>46127</v>
      </c>
      <c r="D48" s="32">
        <v>3284</v>
      </c>
      <c r="E48" s="32">
        <v>338</v>
      </c>
      <c r="F48" s="70">
        <v>4</v>
      </c>
      <c r="G48" s="23">
        <v>8</v>
      </c>
      <c r="H48" s="54">
        <v>81506</v>
      </c>
      <c r="I48" s="32" t="s">
        <v>17</v>
      </c>
      <c r="J48" s="59">
        <v>53585245</v>
      </c>
      <c r="K48" s="23" t="s">
        <v>7153</v>
      </c>
      <c r="L48" s="22" t="s">
        <v>7156</v>
      </c>
      <c r="M48" s="24">
        <v>129900</v>
      </c>
      <c r="N48" s="21" t="str">
        <f t="shared" si="4"/>
        <v>BXGY</v>
      </c>
      <c r="O48" s="32" t="str">
        <f t="shared" si="4"/>
        <v>B1G1</v>
      </c>
      <c r="P48" s="50" t="s">
        <v>2569</v>
      </c>
    </row>
    <row r="49" spans="1:16" x14ac:dyDescent="0.35">
      <c r="A49" s="32" t="str">
        <f t="shared" si="5"/>
        <v>2025 JUL-SEPT B1G1 - 3284</v>
      </c>
      <c r="B49" s="33">
        <f t="shared" si="5"/>
        <v>46121</v>
      </c>
      <c r="C49" s="33">
        <f t="shared" si="5"/>
        <v>46127</v>
      </c>
      <c r="D49" s="32">
        <v>3284</v>
      </c>
      <c r="E49" s="32">
        <v>338</v>
      </c>
      <c r="F49" s="70">
        <v>4</v>
      </c>
      <c r="G49" s="23">
        <v>8</v>
      </c>
      <c r="H49" s="54">
        <v>81506</v>
      </c>
      <c r="I49" s="32" t="s">
        <v>17</v>
      </c>
      <c r="J49" s="59">
        <v>53585254</v>
      </c>
      <c r="K49" s="23" t="s">
        <v>7153</v>
      </c>
      <c r="L49" s="22" t="s">
        <v>7157</v>
      </c>
      <c r="M49" s="24">
        <v>129900</v>
      </c>
      <c r="N49" s="21" t="str">
        <f t="shared" si="4"/>
        <v>BXGY</v>
      </c>
      <c r="O49" s="32" t="str">
        <f t="shared" si="4"/>
        <v>B1G1</v>
      </c>
      <c r="P49" s="50" t="s">
        <v>2569</v>
      </c>
    </row>
    <row r="50" spans="1:16" x14ac:dyDescent="0.35">
      <c r="A50" s="32" t="str">
        <f t="shared" si="5"/>
        <v>2025 JUL-SEPT B1G1 - 3284</v>
      </c>
      <c r="B50" s="33">
        <f t="shared" si="5"/>
        <v>46121</v>
      </c>
      <c r="C50" s="33">
        <f t="shared" si="5"/>
        <v>46127</v>
      </c>
      <c r="D50" s="32">
        <v>3284</v>
      </c>
      <c r="E50" s="32">
        <v>338</v>
      </c>
      <c r="F50" s="70">
        <v>4</v>
      </c>
      <c r="G50" s="23">
        <v>8</v>
      </c>
      <c r="H50" s="52">
        <v>80942</v>
      </c>
      <c r="I50" s="32" t="s">
        <v>17</v>
      </c>
      <c r="J50" s="59">
        <v>59173778</v>
      </c>
      <c r="K50" s="23" t="s">
        <v>6126</v>
      </c>
      <c r="L50" s="22" t="s">
        <v>6129</v>
      </c>
      <c r="M50" s="24">
        <v>79900</v>
      </c>
      <c r="N50" s="21" t="str">
        <f t="shared" si="4"/>
        <v>BXGY</v>
      </c>
      <c r="O50" s="32" t="str">
        <f t="shared" si="4"/>
        <v>B1G1</v>
      </c>
      <c r="P50" s="50" t="s">
        <v>2569</v>
      </c>
    </row>
    <row r="51" spans="1:16" x14ac:dyDescent="0.35">
      <c r="A51" s="32" t="str">
        <f t="shared" si="5"/>
        <v>2025 JUL-SEPT B1G1 - 3284</v>
      </c>
      <c r="B51" s="33">
        <f t="shared" si="5"/>
        <v>46121</v>
      </c>
      <c r="C51" s="33">
        <f t="shared" si="5"/>
        <v>46127</v>
      </c>
      <c r="D51" s="32">
        <v>3284</v>
      </c>
      <c r="E51" s="32">
        <v>338</v>
      </c>
      <c r="F51" s="70">
        <v>4</v>
      </c>
      <c r="G51" s="23">
        <v>8</v>
      </c>
      <c r="H51" s="54">
        <v>80942</v>
      </c>
      <c r="I51" s="32" t="s">
        <v>17</v>
      </c>
      <c r="J51" s="59">
        <v>59173787</v>
      </c>
      <c r="K51" s="23" t="s">
        <v>6126</v>
      </c>
      <c r="L51" s="22" t="s">
        <v>6127</v>
      </c>
      <c r="M51" s="24">
        <v>79900</v>
      </c>
      <c r="N51" s="21" t="str">
        <f t="shared" si="4"/>
        <v>BXGY</v>
      </c>
      <c r="O51" s="32" t="str">
        <f t="shared" si="4"/>
        <v>B1G1</v>
      </c>
      <c r="P51" s="50" t="s">
        <v>2569</v>
      </c>
    </row>
    <row r="52" spans="1:16" x14ac:dyDescent="0.35">
      <c r="A52" s="32" t="str">
        <f t="shared" ref="A52:C65" si="6">A51</f>
        <v>2025 JUL-SEPT B1G1 - 3284</v>
      </c>
      <c r="B52" s="33">
        <f t="shared" si="6"/>
        <v>46121</v>
      </c>
      <c r="C52" s="33">
        <f t="shared" si="6"/>
        <v>46127</v>
      </c>
      <c r="D52" s="32">
        <v>3284</v>
      </c>
      <c r="E52" s="32">
        <v>338</v>
      </c>
      <c r="F52" s="70">
        <v>4</v>
      </c>
      <c r="G52" s="23">
        <v>8</v>
      </c>
      <c r="H52" s="54">
        <v>80942</v>
      </c>
      <c r="I52" s="32" t="s">
        <v>17</v>
      </c>
      <c r="J52" s="59">
        <v>59173796</v>
      </c>
      <c r="K52" s="23" t="s">
        <v>6126</v>
      </c>
      <c r="L52" s="22" t="s">
        <v>6128</v>
      </c>
      <c r="M52" s="24">
        <v>79900</v>
      </c>
      <c r="N52" s="21" t="str">
        <f t="shared" si="4"/>
        <v>BXGY</v>
      </c>
      <c r="O52" s="32" t="str">
        <f t="shared" si="4"/>
        <v>B1G1</v>
      </c>
      <c r="P52" s="50" t="s">
        <v>2569</v>
      </c>
    </row>
    <row r="53" spans="1:16" x14ac:dyDescent="0.35">
      <c r="A53" s="32" t="str">
        <f t="shared" si="6"/>
        <v>2025 JUL-SEPT B1G1 - 3284</v>
      </c>
      <c r="B53" s="33">
        <f t="shared" si="6"/>
        <v>46121</v>
      </c>
      <c r="C53" s="33">
        <f t="shared" si="6"/>
        <v>46127</v>
      </c>
      <c r="D53" s="32">
        <v>3284</v>
      </c>
      <c r="E53" s="32">
        <v>338</v>
      </c>
      <c r="F53" s="70">
        <v>4</v>
      </c>
      <c r="G53" s="23">
        <v>8</v>
      </c>
      <c r="H53" s="54">
        <v>80942</v>
      </c>
      <c r="I53" s="32" t="s">
        <v>17</v>
      </c>
      <c r="J53" s="59">
        <v>59173803</v>
      </c>
      <c r="K53" s="23" t="s">
        <v>6126</v>
      </c>
      <c r="L53" s="22" t="s">
        <v>6130</v>
      </c>
      <c r="M53" s="24">
        <v>79900</v>
      </c>
      <c r="N53" s="21" t="str">
        <f t="shared" si="4"/>
        <v>BXGY</v>
      </c>
      <c r="O53" s="32" t="str">
        <f t="shared" si="4"/>
        <v>B1G1</v>
      </c>
      <c r="P53" s="50" t="s">
        <v>2569</v>
      </c>
    </row>
    <row r="54" spans="1:16" x14ac:dyDescent="0.35">
      <c r="A54" s="32" t="str">
        <f t="shared" si="6"/>
        <v>2025 JUL-SEPT B1G1 - 3284</v>
      </c>
      <c r="B54" s="33">
        <f t="shared" si="6"/>
        <v>46121</v>
      </c>
      <c r="C54" s="33">
        <f t="shared" si="6"/>
        <v>46127</v>
      </c>
      <c r="D54" s="32">
        <v>3284</v>
      </c>
      <c r="E54" s="32">
        <v>338</v>
      </c>
      <c r="F54" s="70">
        <v>4</v>
      </c>
      <c r="G54" s="23">
        <v>8</v>
      </c>
      <c r="H54" s="52">
        <v>80942</v>
      </c>
      <c r="I54" s="32" t="s">
        <v>17</v>
      </c>
      <c r="J54" s="59">
        <v>54871219</v>
      </c>
      <c r="K54" s="23" t="s">
        <v>5829</v>
      </c>
      <c r="L54" s="22" t="s">
        <v>5837</v>
      </c>
      <c r="M54" s="24">
        <v>79900</v>
      </c>
      <c r="N54" s="21" t="str">
        <f t="shared" si="4"/>
        <v>BXGY</v>
      </c>
      <c r="O54" s="32" t="str">
        <f t="shared" si="4"/>
        <v>B1G1</v>
      </c>
      <c r="P54" s="50" t="s">
        <v>2569</v>
      </c>
    </row>
    <row r="55" spans="1:16" x14ac:dyDescent="0.35">
      <c r="A55" s="32" t="str">
        <f t="shared" si="6"/>
        <v>2025 JUL-SEPT B1G1 - 3284</v>
      </c>
      <c r="B55" s="33">
        <f t="shared" si="6"/>
        <v>46121</v>
      </c>
      <c r="C55" s="33">
        <f t="shared" si="6"/>
        <v>46127</v>
      </c>
      <c r="D55" s="32">
        <v>3284</v>
      </c>
      <c r="E55" s="32">
        <v>338</v>
      </c>
      <c r="F55" s="70">
        <v>4</v>
      </c>
      <c r="G55" s="23">
        <v>8</v>
      </c>
      <c r="H55" s="54">
        <v>80942</v>
      </c>
      <c r="I55" s="32" t="s">
        <v>17</v>
      </c>
      <c r="J55" s="59">
        <v>54871228</v>
      </c>
      <c r="K55" s="23" t="s">
        <v>5829</v>
      </c>
      <c r="L55" s="22" t="s">
        <v>5831</v>
      </c>
      <c r="M55" s="24">
        <v>79900</v>
      </c>
      <c r="N55" s="21" t="str">
        <f t="shared" si="4"/>
        <v>BXGY</v>
      </c>
      <c r="O55" s="32" t="str">
        <f t="shared" si="4"/>
        <v>B1G1</v>
      </c>
      <c r="P55" s="50" t="s">
        <v>2569</v>
      </c>
    </row>
    <row r="56" spans="1:16" x14ac:dyDescent="0.35">
      <c r="A56" s="32" t="str">
        <f t="shared" si="6"/>
        <v>2025 JUL-SEPT B1G1 - 3284</v>
      </c>
      <c r="B56" s="33">
        <f t="shared" si="6"/>
        <v>46121</v>
      </c>
      <c r="C56" s="33">
        <f t="shared" si="6"/>
        <v>46127</v>
      </c>
      <c r="D56" s="32">
        <v>3284</v>
      </c>
      <c r="E56" s="32">
        <v>338</v>
      </c>
      <c r="F56" s="70">
        <v>4</v>
      </c>
      <c r="G56" s="23">
        <v>8</v>
      </c>
      <c r="H56" s="54">
        <v>80942</v>
      </c>
      <c r="I56" s="32" t="s">
        <v>17</v>
      </c>
      <c r="J56" s="59">
        <v>54871237</v>
      </c>
      <c r="K56" s="23" t="s">
        <v>5829</v>
      </c>
      <c r="L56" s="22" t="s">
        <v>5835</v>
      </c>
      <c r="M56" s="24">
        <v>79900</v>
      </c>
      <c r="N56" s="21" t="str">
        <f t="shared" si="4"/>
        <v>BXGY</v>
      </c>
      <c r="O56" s="32" t="str">
        <f t="shared" si="4"/>
        <v>B1G1</v>
      </c>
      <c r="P56" s="50" t="s">
        <v>2569</v>
      </c>
    </row>
    <row r="57" spans="1:16" x14ac:dyDescent="0.35">
      <c r="A57" s="32" t="str">
        <f t="shared" si="6"/>
        <v>2025 JUL-SEPT B1G1 - 3284</v>
      </c>
      <c r="B57" s="33">
        <f t="shared" si="6"/>
        <v>46121</v>
      </c>
      <c r="C57" s="33">
        <f t="shared" si="6"/>
        <v>46127</v>
      </c>
      <c r="D57" s="32">
        <v>3284</v>
      </c>
      <c r="E57" s="32">
        <v>338</v>
      </c>
      <c r="F57" s="70">
        <v>4</v>
      </c>
      <c r="G57" s="23">
        <v>8</v>
      </c>
      <c r="H57" s="54">
        <v>80942</v>
      </c>
      <c r="I57" s="32" t="s">
        <v>17</v>
      </c>
      <c r="J57" s="59">
        <v>54871246</v>
      </c>
      <c r="K57" s="23" t="s">
        <v>5829</v>
      </c>
      <c r="L57" s="22" t="s">
        <v>5830</v>
      </c>
      <c r="M57" s="24">
        <v>79900</v>
      </c>
      <c r="N57" s="21" t="str">
        <f t="shared" si="4"/>
        <v>BXGY</v>
      </c>
      <c r="O57" s="32" t="str">
        <f t="shared" si="4"/>
        <v>B1G1</v>
      </c>
      <c r="P57" s="50" t="s">
        <v>2569</v>
      </c>
    </row>
    <row r="58" spans="1:16" x14ac:dyDescent="0.35">
      <c r="A58" s="32" t="str">
        <f t="shared" si="6"/>
        <v>2025 JUL-SEPT B1G1 - 3284</v>
      </c>
      <c r="B58" s="33">
        <f t="shared" si="6"/>
        <v>46121</v>
      </c>
      <c r="C58" s="33">
        <f t="shared" si="6"/>
        <v>46127</v>
      </c>
      <c r="D58" s="32">
        <v>3284</v>
      </c>
      <c r="E58" s="32">
        <v>338</v>
      </c>
      <c r="F58" s="70">
        <v>4</v>
      </c>
      <c r="G58" s="23">
        <v>8</v>
      </c>
      <c r="H58" s="52">
        <v>80942</v>
      </c>
      <c r="I58" s="32" t="s">
        <v>17</v>
      </c>
      <c r="J58" s="59">
        <v>54871255</v>
      </c>
      <c r="K58" s="23" t="s">
        <v>5833</v>
      </c>
      <c r="L58" s="22" t="s">
        <v>5839</v>
      </c>
      <c r="M58" s="24">
        <v>79900</v>
      </c>
      <c r="N58" s="21" t="str">
        <f t="shared" ref="N58:O65" si="7">N57</f>
        <v>BXGY</v>
      </c>
      <c r="O58" s="32" t="str">
        <f t="shared" si="7"/>
        <v>B1G1</v>
      </c>
      <c r="P58" s="50" t="s">
        <v>2569</v>
      </c>
    </row>
    <row r="59" spans="1:16" x14ac:dyDescent="0.35">
      <c r="A59" s="32" t="str">
        <f t="shared" si="6"/>
        <v>2025 JUL-SEPT B1G1 - 3284</v>
      </c>
      <c r="B59" s="33">
        <f t="shared" si="6"/>
        <v>46121</v>
      </c>
      <c r="C59" s="33">
        <f t="shared" si="6"/>
        <v>46127</v>
      </c>
      <c r="D59" s="32">
        <v>3284</v>
      </c>
      <c r="E59" s="32">
        <v>338</v>
      </c>
      <c r="F59" s="70">
        <v>4</v>
      </c>
      <c r="G59" s="23">
        <v>8</v>
      </c>
      <c r="H59" s="54">
        <v>80942</v>
      </c>
      <c r="I59" s="32" t="s">
        <v>17</v>
      </c>
      <c r="J59" s="59">
        <v>54871264</v>
      </c>
      <c r="K59" s="23" t="s">
        <v>5833</v>
      </c>
      <c r="L59" s="22" t="s">
        <v>5838</v>
      </c>
      <c r="M59" s="24">
        <v>79900</v>
      </c>
      <c r="N59" s="21" t="str">
        <f t="shared" si="7"/>
        <v>BXGY</v>
      </c>
      <c r="O59" s="32" t="str">
        <f t="shared" si="7"/>
        <v>B1G1</v>
      </c>
      <c r="P59" s="50" t="s">
        <v>2569</v>
      </c>
    </row>
    <row r="60" spans="1:16" x14ac:dyDescent="0.35">
      <c r="A60" s="32" t="str">
        <f t="shared" si="6"/>
        <v>2025 JUL-SEPT B1G1 - 3284</v>
      </c>
      <c r="B60" s="33">
        <f t="shared" si="6"/>
        <v>46121</v>
      </c>
      <c r="C60" s="33">
        <f t="shared" si="6"/>
        <v>46127</v>
      </c>
      <c r="D60" s="32">
        <v>3284</v>
      </c>
      <c r="E60" s="32">
        <v>338</v>
      </c>
      <c r="F60" s="70">
        <v>4</v>
      </c>
      <c r="G60" s="23">
        <v>8</v>
      </c>
      <c r="H60" s="54">
        <v>80942</v>
      </c>
      <c r="I60" s="32" t="s">
        <v>17</v>
      </c>
      <c r="J60" s="59">
        <v>54871273</v>
      </c>
      <c r="K60" s="23" t="s">
        <v>5833</v>
      </c>
      <c r="L60" s="22" t="s">
        <v>5836</v>
      </c>
      <c r="M60" s="24">
        <v>79900</v>
      </c>
      <c r="N60" s="21" t="str">
        <f t="shared" si="7"/>
        <v>BXGY</v>
      </c>
      <c r="O60" s="32" t="str">
        <f t="shared" si="7"/>
        <v>B1G1</v>
      </c>
      <c r="P60" s="50" t="s">
        <v>2569</v>
      </c>
    </row>
    <row r="61" spans="1:16" x14ac:dyDescent="0.35">
      <c r="A61" s="32" t="str">
        <f t="shared" si="6"/>
        <v>2025 JUL-SEPT B1G1 - 3284</v>
      </c>
      <c r="B61" s="33">
        <f t="shared" si="6"/>
        <v>46121</v>
      </c>
      <c r="C61" s="33">
        <f t="shared" si="6"/>
        <v>46127</v>
      </c>
      <c r="D61" s="32">
        <v>3284</v>
      </c>
      <c r="E61" s="32">
        <v>338</v>
      </c>
      <c r="F61" s="70">
        <v>4</v>
      </c>
      <c r="G61" s="23">
        <v>8</v>
      </c>
      <c r="H61" s="54">
        <v>80942</v>
      </c>
      <c r="I61" s="32" t="s">
        <v>17</v>
      </c>
      <c r="J61" s="59">
        <v>54871282</v>
      </c>
      <c r="K61" s="23" t="s">
        <v>5833</v>
      </c>
      <c r="L61" s="22" t="s">
        <v>5834</v>
      </c>
      <c r="M61" s="24">
        <v>79900</v>
      </c>
      <c r="N61" s="21" t="str">
        <f t="shared" si="7"/>
        <v>BXGY</v>
      </c>
      <c r="O61" s="32" t="str">
        <f t="shared" si="7"/>
        <v>B1G1</v>
      </c>
      <c r="P61" s="50" t="s">
        <v>2569</v>
      </c>
    </row>
    <row r="62" spans="1:16" x14ac:dyDescent="0.35">
      <c r="A62" s="18" t="str">
        <f t="shared" si="6"/>
        <v>2025 JUL-SEPT B1G1 - 3284</v>
      </c>
      <c r="B62" s="56">
        <f t="shared" si="6"/>
        <v>46121</v>
      </c>
      <c r="C62" s="56">
        <f t="shared" si="6"/>
        <v>46127</v>
      </c>
      <c r="D62" s="18">
        <v>3284</v>
      </c>
      <c r="E62" s="18">
        <v>338</v>
      </c>
      <c r="F62" s="73">
        <v>4</v>
      </c>
      <c r="G62" s="47">
        <v>8</v>
      </c>
      <c r="H62" s="52">
        <v>81676</v>
      </c>
      <c r="I62" s="18" t="s">
        <v>17</v>
      </c>
      <c r="J62" s="59">
        <v>55538579</v>
      </c>
      <c r="K62" s="47" t="s">
        <v>5896</v>
      </c>
      <c r="L62" s="22" t="s">
        <v>5897</v>
      </c>
      <c r="M62" s="75">
        <v>129900</v>
      </c>
      <c r="N62" s="80" t="str">
        <f t="shared" si="7"/>
        <v>BXGY</v>
      </c>
      <c r="O62" s="18" t="str">
        <f t="shared" si="7"/>
        <v>B1G1</v>
      </c>
      <c r="P62" s="81" t="s">
        <v>2569</v>
      </c>
    </row>
    <row r="63" spans="1:16" x14ac:dyDescent="0.35">
      <c r="A63" s="32" t="str">
        <f t="shared" si="6"/>
        <v>2025 JUL-SEPT B1G1 - 3284</v>
      </c>
      <c r="B63" s="33">
        <f t="shared" si="6"/>
        <v>46121</v>
      </c>
      <c r="C63" s="33">
        <f t="shared" si="6"/>
        <v>46127</v>
      </c>
      <c r="D63" s="32">
        <v>3284</v>
      </c>
      <c r="E63" s="32">
        <v>338</v>
      </c>
      <c r="F63" s="32">
        <v>4</v>
      </c>
      <c r="G63" s="23">
        <v>8</v>
      </c>
      <c r="H63" s="23">
        <v>81676</v>
      </c>
      <c r="I63" s="32" t="s">
        <v>17</v>
      </c>
      <c r="J63" s="22">
        <v>55538588</v>
      </c>
      <c r="K63" s="23" t="s">
        <v>5896</v>
      </c>
      <c r="L63" s="22" t="s">
        <v>5898</v>
      </c>
      <c r="M63" s="24">
        <v>129900</v>
      </c>
      <c r="N63" s="20" t="str">
        <f t="shared" si="7"/>
        <v>BXGY</v>
      </c>
      <c r="O63" s="32" t="str">
        <f t="shared" si="7"/>
        <v>B1G1</v>
      </c>
      <c r="P63" s="50" t="s">
        <v>2569</v>
      </c>
    </row>
    <row r="64" spans="1:16" x14ac:dyDescent="0.35">
      <c r="A64" s="32" t="str">
        <f t="shared" si="6"/>
        <v>2025 JUL-SEPT B1G1 - 3284</v>
      </c>
      <c r="B64" s="33">
        <f t="shared" si="6"/>
        <v>46121</v>
      </c>
      <c r="C64" s="33">
        <f t="shared" si="6"/>
        <v>46127</v>
      </c>
      <c r="D64" s="32">
        <v>3284</v>
      </c>
      <c r="E64" s="32">
        <v>338</v>
      </c>
      <c r="F64" s="32">
        <v>4</v>
      </c>
      <c r="G64" s="23">
        <v>8</v>
      </c>
      <c r="H64" s="23">
        <v>81676</v>
      </c>
      <c r="I64" s="32" t="s">
        <v>17</v>
      </c>
      <c r="J64" s="22">
        <v>55538597</v>
      </c>
      <c r="K64" s="23" t="s">
        <v>5896</v>
      </c>
      <c r="L64" s="22" t="s">
        <v>5900</v>
      </c>
      <c r="M64" s="24">
        <v>129900</v>
      </c>
      <c r="N64" s="20" t="str">
        <f t="shared" si="7"/>
        <v>BXGY</v>
      </c>
      <c r="O64" s="32" t="str">
        <f t="shared" si="7"/>
        <v>B1G1</v>
      </c>
      <c r="P64" s="50" t="s">
        <v>2569</v>
      </c>
    </row>
    <row r="65" spans="1:16" x14ac:dyDescent="0.35">
      <c r="A65" s="32" t="str">
        <f t="shared" si="6"/>
        <v>2025 JUL-SEPT B1G1 - 3284</v>
      </c>
      <c r="B65" s="33">
        <f t="shared" si="6"/>
        <v>46121</v>
      </c>
      <c r="C65" s="33">
        <f t="shared" si="6"/>
        <v>46127</v>
      </c>
      <c r="D65" s="32">
        <v>3284</v>
      </c>
      <c r="E65" s="32">
        <v>338</v>
      </c>
      <c r="F65" s="32">
        <v>4</v>
      </c>
      <c r="G65" s="23">
        <v>8</v>
      </c>
      <c r="H65" s="23">
        <v>81676</v>
      </c>
      <c r="I65" s="32" t="s">
        <v>17</v>
      </c>
      <c r="J65" s="22">
        <v>55538604</v>
      </c>
      <c r="K65" s="23" t="s">
        <v>5896</v>
      </c>
      <c r="L65" s="22" t="s">
        <v>5899</v>
      </c>
      <c r="M65" s="24">
        <v>129900</v>
      </c>
      <c r="N65" s="20" t="str">
        <f t="shared" si="7"/>
        <v>BXGY</v>
      </c>
      <c r="O65" s="32" t="str">
        <f t="shared" si="7"/>
        <v>B1G1</v>
      </c>
      <c r="P65" s="50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4FC5-330C-4C4B-AAB4-F3FDC3D9CD12}">
  <dimension ref="A1:P13"/>
  <sheetViews>
    <sheetView topLeftCell="A9" zoomScale="98" workbookViewId="0">
      <selection activeCell="F26" sqref="F26"/>
    </sheetView>
  </sheetViews>
  <sheetFormatPr defaultRowHeight="14.5" x14ac:dyDescent="0.35"/>
  <cols>
    <col min="1" max="16" width="17.08984375" customWidth="1"/>
  </cols>
  <sheetData>
    <row r="1" spans="1:16" s="31" customFormat="1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s="31" customFormat="1" x14ac:dyDescent="0.35">
      <c r="A2" s="32" t="s">
        <v>6297</v>
      </c>
      <c r="B2" s="33">
        <f>'2019 ALL D95 - 3281'!B2</f>
        <v>46121</v>
      </c>
      <c r="C2" s="33">
        <f>'2019 ALL D95 - 3281'!C2</f>
        <v>46127</v>
      </c>
      <c r="D2" s="32">
        <v>3284</v>
      </c>
      <c r="E2" s="32">
        <v>338</v>
      </c>
      <c r="F2" s="32">
        <v>4</v>
      </c>
      <c r="G2" s="32">
        <v>4</v>
      </c>
      <c r="H2" s="32">
        <v>81506</v>
      </c>
      <c r="I2" s="32" t="s">
        <v>17</v>
      </c>
      <c r="J2" s="14">
        <v>53168473</v>
      </c>
      <c r="K2" s="32" t="s">
        <v>5405</v>
      </c>
      <c r="L2" s="38" t="s">
        <v>5407</v>
      </c>
      <c r="M2" s="34">
        <v>199900</v>
      </c>
      <c r="N2" s="34" t="s">
        <v>2569</v>
      </c>
      <c r="O2" s="32" t="s">
        <v>2577</v>
      </c>
      <c r="P2" s="34" t="s">
        <v>2569</v>
      </c>
    </row>
    <row r="3" spans="1:16" s="31" customFormat="1" x14ac:dyDescent="0.35">
      <c r="A3" s="32" t="s">
        <v>6297</v>
      </c>
      <c r="B3" s="33">
        <f>B2</f>
        <v>46121</v>
      </c>
      <c r="C3" s="33">
        <f>C2</f>
        <v>46127</v>
      </c>
      <c r="D3" s="32">
        <v>3284</v>
      </c>
      <c r="E3" s="32">
        <v>338</v>
      </c>
      <c r="F3" s="32">
        <v>4</v>
      </c>
      <c r="G3" s="32">
        <v>4</v>
      </c>
      <c r="H3" s="32">
        <v>81506</v>
      </c>
      <c r="I3" s="32" t="s">
        <v>17</v>
      </c>
      <c r="J3" s="14">
        <v>53168482</v>
      </c>
      <c r="K3" s="32" t="s">
        <v>5405</v>
      </c>
      <c r="L3" s="38" t="s">
        <v>5408</v>
      </c>
      <c r="M3" s="34">
        <v>199900</v>
      </c>
      <c r="N3" s="34" t="s">
        <v>2569</v>
      </c>
      <c r="O3" s="32" t="s">
        <v>2577</v>
      </c>
      <c r="P3" s="34" t="s">
        <v>2569</v>
      </c>
    </row>
    <row r="4" spans="1:16" s="31" customFormat="1" x14ac:dyDescent="0.35">
      <c r="A4" s="32" t="s">
        <v>6297</v>
      </c>
      <c r="B4" s="33">
        <f t="shared" ref="B4:C13" si="0">B3</f>
        <v>46121</v>
      </c>
      <c r="C4" s="33">
        <f t="shared" si="0"/>
        <v>46127</v>
      </c>
      <c r="D4" s="32">
        <v>3284</v>
      </c>
      <c r="E4" s="32">
        <v>338</v>
      </c>
      <c r="F4" s="32">
        <v>4</v>
      </c>
      <c r="G4" s="32">
        <v>4</v>
      </c>
      <c r="H4" s="32">
        <v>81506</v>
      </c>
      <c r="I4" s="32" t="s">
        <v>17</v>
      </c>
      <c r="J4" s="14">
        <v>53168491</v>
      </c>
      <c r="K4" s="32" t="s">
        <v>5405</v>
      </c>
      <c r="L4" s="38" t="s">
        <v>5406</v>
      </c>
      <c r="M4" s="34">
        <v>199900</v>
      </c>
      <c r="N4" s="34" t="s">
        <v>2569</v>
      </c>
      <c r="O4" s="32" t="s">
        <v>2577</v>
      </c>
      <c r="P4" s="34" t="s">
        <v>2569</v>
      </c>
    </row>
    <row r="5" spans="1:16" s="31" customFormat="1" x14ac:dyDescent="0.35">
      <c r="A5" s="32" t="s">
        <v>6297</v>
      </c>
      <c r="B5" s="33">
        <f t="shared" si="0"/>
        <v>46121</v>
      </c>
      <c r="C5" s="33">
        <f t="shared" si="0"/>
        <v>46127</v>
      </c>
      <c r="D5" s="32">
        <v>3284</v>
      </c>
      <c r="E5" s="32">
        <v>338</v>
      </c>
      <c r="F5" s="32">
        <v>4</v>
      </c>
      <c r="G5" s="32">
        <v>4</v>
      </c>
      <c r="H5" s="32">
        <v>81506</v>
      </c>
      <c r="I5" s="32" t="s">
        <v>17</v>
      </c>
      <c r="J5" s="14">
        <v>53168508</v>
      </c>
      <c r="K5" s="32" t="s">
        <v>5405</v>
      </c>
      <c r="L5" s="38" t="s">
        <v>5409</v>
      </c>
      <c r="M5" s="34">
        <v>199900</v>
      </c>
      <c r="N5" s="34" t="s">
        <v>2569</v>
      </c>
      <c r="O5" s="32" t="s">
        <v>2577</v>
      </c>
      <c r="P5" s="34" t="s">
        <v>2569</v>
      </c>
    </row>
    <row r="6" spans="1:16" s="31" customFormat="1" x14ac:dyDescent="0.35">
      <c r="A6" s="32" t="s">
        <v>6297</v>
      </c>
      <c r="B6" s="33">
        <f t="shared" si="0"/>
        <v>46121</v>
      </c>
      <c r="C6" s="33">
        <f t="shared" si="0"/>
        <v>46127</v>
      </c>
      <c r="D6" s="32">
        <v>3284</v>
      </c>
      <c r="E6" s="32">
        <v>338</v>
      </c>
      <c r="F6" s="32">
        <v>4</v>
      </c>
      <c r="G6" s="32">
        <v>5</v>
      </c>
      <c r="H6" s="32">
        <v>81146</v>
      </c>
      <c r="I6" s="32" t="s">
        <v>17</v>
      </c>
      <c r="J6" s="32">
        <v>53168517</v>
      </c>
      <c r="K6" s="32" t="s">
        <v>5400</v>
      </c>
      <c r="L6" s="38" t="s">
        <v>5403</v>
      </c>
      <c r="M6" s="34">
        <v>219900</v>
      </c>
      <c r="N6" s="34" t="s">
        <v>2569</v>
      </c>
      <c r="O6" s="32" t="s">
        <v>2577</v>
      </c>
      <c r="P6" s="34" t="s">
        <v>2569</v>
      </c>
    </row>
    <row r="7" spans="1:16" s="31" customFormat="1" x14ac:dyDescent="0.35">
      <c r="A7" s="32" t="s">
        <v>6297</v>
      </c>
      <c r="B7" s="33">
        <f t="shared" si="0"/>
        <v>46121</v>
      </c>
      <c r="C7" s="33">
        <f t="shared" si="0"/>
        <v>46127</v>
      </c>
      <c r="D7" s="32">
        <v>3284</v>
      </c>
      <c r="E7" s="32">
        <v>338</v>
      </c>
      <c r="F7" s="32">
        <v>4</v>
      </c>
      <c r="G7" s="32">
        <v>5</v>
      </c>
      <c r="H7" s="32">
        <v>81146</v>
      </c>
      <c r="I7" s="32" t="s">
        <v>17</v>
      </c>
      <c r="J7" s="32">
        <v>53168526</v>
      </c>
      <c r="K7" s="32" t="s">
        <v>5400</v>
      </c>
      <c r="L7" s="38" t="s">
        <v>5404</v>
      </c>
      <c r="M7" s="34">
        <v>219900</v>
      </c>
      <c r="N7" s="34" t="s">
        <v>2569</v>
      </c>
      <c r="O7" s="32" t="s">
        <v>2577</v>
      </c>
      <c r="P7" s="34" t="s">
        <v>2569</v>
      </c>
    </row>
    <row r="8" spans="1:16" s="31" customFormat="1" x14ac:dyDescent="0.35">
      <c r="A8" s="32" t="s">
        <v>6297</v>
      </c>
      <c r="B8" s="33">
        <f t="shared" si="0"/>
        <v>46121</v>
      </c>
      <c r="C8" s="33">
        <f t="shared" si="0"/>
        <v>46127</v>
      </c>
      <c r="D8" s="32">
        <v>3284</v>
      </c>
      <c r="E8" s="32">
        <v>338</v>
      </c>
      <c r="F8" s="32">
        <v>4</v>
      </c>
      <c r="G8" s="32">
        <v>5</v>
      </c>
      <c r="H8" s="32">
        <v>81146</v>
      </c>
      <c r="I8" s="32" t="s">
        <v>17</v>
      </c>
      <c r="J8" s="32">
        <v>53168535</v>
      </c>
      <c r="K8" s="32" t="s">
        <v>5400</v>
      </c>
      <c r="L8" s="38" t="s">
        <v>5402</v>
      </c>
      <c r="M8" s="34">
        <v>219900</v>
      </c>
      <c r="N8" s="34" t="s">
        <v>2569</v>
      </c>
      <c r="O8" s="32" t="s">
        <v>2577</v>
      </c>
      <c r="P8" s="34" t="s">
        <v>2569</v>
      </c>
    </row>
    <row r="9" spans="1:16" s="31" customFormat="1" x14ac:dyDescent="0.35">
      <c r="A9" s="32" t="s">
        <v>6297</v>
      </c>
      <c r="B9" s="33">
        <f t="shared" si="0"/>
        <v>46121</v>
      </c>
      <c r="C9" s="33">
        <f t="shared" si="0"/>
        <v>46127</v>
      </c>
      <c r="D9" s="32">
        <v>3284</v>
      </c>
      <c r="E9" s="32">
        <v>338</v>
      </c>
      <c r="F9" s="32">
        <v>4</v>
      </c>
      <c r="G9" s="32">
        <v>5</v>
      </c>
      <c r="H9" s="32">
        <v>81146</v>
      </c>
      <c r="I9" s="32" t="s">
        <v>17</v>
      </c>
      <c r="J9" s="32">
        <v>53168544</v>
      </c>
      <c r="K9" s="32" t="s">
        <v>5400</v>
      </c>
      <c r="L9" s="38" t="s">
        <v>5401</v>
      </c>
      <c r="M9" s="34">
        <v>219900</v>
      </c>
      <c r="N9" s="34" t="s">
        <v>2569</v>
      </c>
      <c r="O9" s="32" t="s">
        <v>2577</v>
      </c>
      <c r="P9" s="34" t="s">
        <v>2569</v>
      </c>
    </row>
    <row r="10" spans="1:16" s="31" customFormat="1" x14ac:dyDescent="0.35">
      <c r="A10" s="32" t="s">
        <v>6297</v>
      </c>
      <c r="B10" s="33">
        <f t="shared" si="0"/>
        <v>46121</v>
      </c>
      <c r="C10" s="33">
        <f t="shared" si="0"/>
        <v>46127</v>
      </c>
      <c r="D10" s="32">
        <v>3284</v>
      </c>
      <c r="E10" s="32">
        <v>338</v>
      </c>
      <c r="F10" s="32">
        <v>4</v>
      </c>
      <c r="G10" s="32">
        <v>3</v>
      </c>
      <c r="H10" s="32">
        <v>80920</v>
      </c>
      <c r="I10" s="32" t="s">
        <v>17</v>
      </c>
      <c r="J10" s="14">
        <v>53168553</v>
      </c>
      <c r="K10" s="32" t="s">
        <v>5395</v>
      </c>
      <c r="L10" s="38" t="s">
        <v>5399</v>
      </c>
      <c r="M10" s="34">
        <v>189900</v>
      </c>
      <c r="N10" s="34" t="s">
        <v>2569</v>
      </c>
      <c r="O10" s="32" t="s">
        <v>2577</v>
      </c>
      <c r="P10" s="34" t="s">
        <v>2569</v>
      </c>
    </row>
    <row r="11" spans="1:16" s="31" customFormat="1" x14ac:dyDescent="0.35">
      <c r="A11" s="32" t="s">
        <v>6297</v>
      </c>
      <c r="B11" s="33">
        <f t="shared" si="0"/>
        <v>46121</v>
      </c>
      <c r="C11" s="33">
        <f t="shared" si="0"/>
        <v>46127</v>
      </c>
      <c r="D11" s="32">
        <v>3284</v>
      </c>
      <c r="E11" s="32">
        <v>338</v>
      </c>
      <c r="F11" s="32">
        <v>4</v>
      </c>
      <c r="G11" s="32">
        <v>3</v>
      </c>
      <c r="H11" s="32">
        <v>80920</v>
      </c>
      <c r="I11" s="32" t="s">
        <v>17</v>
      </c>
      <c r="J11" s="14">
        <v>53168562</v>
      </c>
      <c r="K11" s="32" t="s">
        <v>5395</v>
      </c>
      <c r="L11" s="38" t="s">
        <v>5396</v>
      </c>
      <c r="M11" s="34">
        <v>189900</v>
      </c>
      <c r="N11" s="34" t="s">
        <v>2569</v>
      </c>
      <c r="O11" s="32" t="s">
        <v>2577</v>
      </c>
      <c r="P11" s="34" t="s">
        <v>2569</v>
      </c>
    </row>
    <row r="12" spans="1:16" s="31" customFormat="1" x14ac:dyDescent="0.35">
      <c r="A12" s="32" t="s">
        <v>6297</v>
      </c>
      <c r="B12" s="33">
        <f t="shared" si="0"/>
        <v>46121</v>
      </c>
      <c r="C12" s="33">
        <f t="shared" si="0"/>
        <v>46127</v>
      </c>
      <c r="D12" s="32">
        <v>3284</v>
      </c>
      <c r="E12" s="32">
        <v>338</v>
      </c>
      <c r="F12" s="32">
        <v>4</v>
      </c>
      <c r="G12" s="32">
        <v>3</v>
      </c>
      <c r="H12" s="32">
        <v>80920</v>
      </c>
      <c r="I12" s="32" t="s">
        <v>17</v>
      </c>
      <c r="J12" s="14">
        <v>53168571</v>
      </c>
      <c r="K12" s="32" t="s">
        <v>5395</v>
      </c>
      <c r="L12" s="38" t="s">
        <v>5398</v>
      </c>
      <c r="M12" s="34">
        <v>189900</v>
      </c>
      <c r="N12" s="34" t="s">
        <v>2569</v>
      </c>
      <c r="O12" s="32" t="s">
        <v>2577</v>
      </c>
      <c r="P12" s="34" t="s">
        <v>2569</v>
      </c>
    </row>
    <row r="13" spans="1:16" s="31" customFormat="1" x14ac:dyDescent="0.35">
      <c r="A13" s="32" t="s">
        <v>6297</v>
      </c>
      <c r="B13" s="33">
        <f t="shared" si="0"/>
        <v>46121</v>
      </c>
      <c r="C13" s="33">
        <f t="shared" si="0"/>
        <v>46127</v>
      </c>
      <c r="D13" s="32">
        <v>3284</v>
      </c>
      <c r="E13" s="32">
        <v>338</v>
      </c>
      <c r="F13" s="32">
        <v>4</v>
      </c>
      <c r="G13" s="32">
        <v>3</v>
      </c>
      <c r="H13" s="32">
        <v>80920</v>
      </c>
      <c r="I13" s="32" t="s">
        <v>17</v>
      </c>
      <c r="J13" s="14">
        <v>53168580</v>
      </c>
      <c r="K13" s="32" t="s">
        <v>5395</v>
      </c>
      <c r="L13" s="38" t="s">
        <v>5397</v>
      </c>
      <c r="M13" s="34">
        <v>189900</v>
      </c>
      <c r="N13" s="34" t="s">
        <v>2569</v>
      </c>
      <c r="O13" s="32" t="s">
        <v>2577</v>
      </c>
      <c r="P13" s="34" t="s">
        <v>2569</v>
      </c>
    </row>
  </sheetData>
  <phoneticPr fontId="8" type="noConversion"/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E775-09EF-460A-B62E-522A53C95949}">
  <dimension ref="A1:P118"/>
  <sheetViews>
    <sheetView zoomScale="65" zoomScaleNormal="100" workbookViewId="0">
      <pane ySplit="1" topLeftCell="A95" activePane="bottomLeft" state="frozen"/>
      <selection activeCell="B2" sqref="B2:C2"/>
      <selection pane="bottomLeft" activeCell="B2" sqref="B2:C2"/>
    </sheetView>
  </sheetViews>
  <sheetFormatPr defaultColWidth="8.6328125" defaultRowHeight="14.5" x14ac:dyDescent="0.35"/>
  <cols>
    <col min="1" max="1" width="34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1.81640625" style="2" customWidth="1"/>
    <col min="12" max="12" width="77.1796875" style="17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7158</v>
      </c>
      <c r="B2" s="33">
        <f>'2025 HILITE D80 - 3321'!B2</f>
        <v>46121</v>
      </c>
      <c r="C2" s="33">
        <f>'2025 HILITE D80 - 3321'!C2</f>
        <v>46127</v>
      </c>
      <c r="D2" s="32">
        <v>3284</v>
      </c>
      <c r="E2" s="32">
        <v>338</v>
      </c>
      <c r="F2" s="32">
        <v>4</v>
      </c>
      <c r="G2" s="32">
        <v>8</v>
      </c>
      <c r="H2" s="32">
        <v>190</v>
      </c>
      <c r="I2" s="32" t="s">
        <v>17</v>
      </c>
      <c r="J2" s="32">
        <v>51992522</v>
      </c>
      <c r="K2" s="32" t="s">
        <v>5361</v>
      </c>
      <c r="L2" s="38" t="s">
        <v>5370</v>
      </c>
      <c r="M2" s="34">
        <v>119900</v>
      </c>
      <c r="N2" s="35">
        <v>0.75</v>
      </c>
      <c r="O2" s="69">
        <f>M2-((75*M2))/100</f>
        <v>29975</v>
      </c>
      <c r="P2" s="34" t="s">
        <v>16</v>
      </c>
    </row>
    <row r="3" spans="1:16" x14ac:dyDescent="0.35">
      <c r="A3" s="32" t="str">
        <f>A2</f>
        <v>2025 JAN-JUN DISC 75%</v>
      </c>
      <c r="B3" s="33">
        <f t="shared" ref="B3:C18" si="0">B2</f>
        <v>46121</v>
      </c>
      <c r="C3" s="33">
        <f t="shared" si="0"/>
        <v>46127</v>
      </c>
      <c r="D3" s="32">
        <v>3284</v>
      </c>
      <c r="E3" s="32">
        <v>338</v>
      </c>
      <c r="F3" s="32">
        <v>4</v>
      </c>
      <c r="G3" s="32">
        <v>8</v>
      </c>
      <c r="H3" s="32">
        <v>190</v>
      </c>
      <c r="I3" s="32" t="s">
        <v>17</v>
      </c>
      <c r="J3" s="32">
        <v>51992531</v>
      </c>
      <c r="K3" s="32" t="s">
        <v>5361</v>
      </c>
      <c r="L3" s="38" t="s">
        <v>5362</v>
      </c>
      <c r="M3" s="34">
        <v>119900</v>
      </c>
      <c r="N3" s="35">
        <v>0.75</v>
      </c>
      <c r="O3" s="69">
        <f t="shared" ref="O3:O66" si="1">M3-((75*M3))/100</f>
        <v>29975</v>
      </c>
      <c r="P3" s="34" t="str">
        <f>P2</f>
        <v>PERCENTAGE</v>
      </c>
    </row>
    <row r="4" spans="1:16" x14ac:dyDescent="0.35">
      <c r="A4" s="32" t="str">
        <f t="shared" ref="A4:C19" si="2">A3</f>
        <v>2025 JAN-JUN DISC 75%</v>
      </c>
      <c r="B4" s="33">
        <f t="shared" si="0"/>
        <v>46121</v>
      </c>
      <c r="C4" s="33">
        <f t="shared" si="0"/>
        <v>46127</v>
      </c>
      <c r="D4" s="32">
        <v>3284</v>
      </c>
      <c r="E4" s="32">
        <v>338</v>
      </c>
      <c r="F4" s="32">
        <v>4</v>
      </c>
      <c r="G4" s="32">
        <v>8</v>
      </c>
      <c r="H4" s="32">
        <v>190</v>
      </c>
      <c r="I4" s="32" t="s">
        <v>17</v>
      </c>
      <c r="J4" s="32">
        <v>51992540</v>
      </c>
      <c r="K4" s="32" t="s">
        <v>5361</v>
      </c>
      <c r="L4" s="38" t="s">
        <v>5383</v>
      </c>
      <c r="M4" s="34">
        <v>119900</v>
      </c>
      <c r="N4" s="35">
        <v>0.75</v>
      </c>
      <c r="O4" s="69">
        <f t="shared" si="1"/>
        <v>29975</v>
      </c>
      <c r="P4" s="34" t="str">
        <f t="shared" ref="P4:P67" si="3">P3</f>
        <v>PERCENTAGE</v>
      </c>
    </row>
    <row r="5" spans="1:16" x14ac:dyDescent="0.35">
      <c r="A5" s="32" t="str">
        <f t="shared" si="2"/>
        <v>2025 JAN-JUN DISC 75%</v>
      </c>
      <c r="B5" s="33">
        <f t="shared" si="0"/>
        <v>46121</v>
      </c>
      <c r="C5" s="33">
        <f t="shared" si="0"/>
        <v>46127</v>
      </c>
      <c r="D5" s="32">
        <v>3284</v>
      </c>
      <c r="E5" s="32">
        <v>338</v>
      </c>
      <c r="F5" s="32">
        <v>4</v>
      </c>
      <c r="G5" s="32">
        <v>8</v>
      </c>
      <c r="H5" s="32">
        <v>190</v>
      </c>
      <c r="I5" s="32" t="s">
        <v>17</v>
      </c>
      <c r="J5" s="32">
        <v>51992559</v>
      </c>
      <c r="K5" s="32" t="s">
        <v>5361</v>
      </c>
      <c r="L5" s="38" t="s">
        <v>5382</v>
      </c>
      <c r="M5" s="34">
        <v>119900</v>
      </c>
      <c r="N5" s="35">
        <v>0.75</v>
      </c>
      <c r="O5" s="69">
        <f t="shared" si="1"/>
        <v>29975</v>
      </c>
      <c r="P5" s="34" t="str">
        <f t="shared" si="3"/>
        <v>PERCENTAGE</v>
      </c>
    </row>
    <row r="6" spans="1:16" x14ac:dyDescent="0.35">
      <c r="A6" s="32" t="str">
        <f t="shared" si="2"/>
        <v>2025 JAN-JUN DISC 75%</v>
      </c>
      <c r="B6" s="33">
        <f t="shared" si="0"/>
        <v>46121</v>
      </c>
      <c r="C6" s="33">
        <f t="shared" si="0"/>
        <v>46127</v>
      </c>
      <c r="D6" s="32">
        <v>3284</v>
      </c>
      <c r="E6" s="32">
        <v>338</v>
      </c>
      <c r="F6" s="32">
        <v>4</v>
      </c>
      <c r="G6" s="32">
        <v>8</v>
      </c>
      <c r="H6" s="32">
        <v>190</v>
      </c>
      <c r="I6" s="32" t="s">
        <v>17</v>
      </c>
      <c r="J6" s="32">
        <v>51992568</v>
      </c>
      <c r="K6" s="32" t="s">
        <v>5363</v>
      </c>
      <c r="L6" s="38" t="s">
        <v>5365</v>
      </c>
      <c r="M6" s="34">
        <v>119900</v>
      </c>
      <c r="N6" s="35">
        <v>0.75</v>
      </c>
      <c r="O6" s="69">
        <f t="shared" si="1"/>
        <v>29975</v>
      </c>
      <c r="P6" s="34" t="str">
        <f t="shared" si="3"/>
        <v>PERCENTAGE</v>
      </c>
    </row>
    <row r="7" spans="1:16" x14ac:dyDescent="0.35">
      <c r="A7" s="32" t="str">
        <f t="shared" si="2"/>
        <v>2025 JAN-JUN DISC 75%</v>
      </c>
      <c r="B7" s="33">
        <f t="shared" si="0"/>
        <v>46121</v>
      </c>
      <c r="C7" s="33">
        <f t="shared" si="0"/>
        <v>46127</v>
      </c>
      <c r="D7" s="32">
        <v>3284</v>
      </c>
      <c r="E7" s="32">
        <v>338</v>
      </c>
      <c r="F7" s="32">
        <v>4</v>
      </c>
      <c r="G7" s="32">
        <v>8</v>
      </c>
      <c r="H7" s="32">
        <v>190</v>
      </c>
      <c r="I7" s="32" t="s">
        <v>17</v>
      </c>
      <c r="J7" s="32">
        <v>51992577</v>
      </c>
      <c r="K7" s="32" t="s">
        <v>5363</v>
      </c>
      <c r="L7" s="38" t="s">
        <v>5364</v>
      </c>
      <c r="M7" s="34">
        <v>119900</v>
      </c>
      <c r="N7" s="35">
        <v>0.75</v>
      </c>
      <c r="O7" s="69">
        <f t="shared" si="1"/>
        <v>29975</v>
      </c>
      <c r="P7" s="34" t="str">
        <f t="shared" si="3"/>
        <v>PERCENTAGE</v>
      </c>
    </row>
    <row r="8" spans="1:16" x14ac:dyDescent="0.35">
      <c r="A8" s="32" t="str">
        <f t="shared" si="2"/>
        <v>2025 JAN-JUN DISC 75%</v>
      </c>
      <c r="B8" s="33">
        <f t="shared" si="0"/>
        <v>46121</v>
      </c>
      <c r="C8" s="33">
        <f t="shared" si="0"/>
        <v>46127</v>
      </c>
      <c r="D8" s="32">
        <v>3284</v>
      </c>
      <c r="E8" s="32">
        <v>338</v>
      </c>
      <c r="F8" s="32">
        <v>4</v>
      </c>
      <c r="G8" s="32">
        <v>8</v>
      </c>
      <c r="H8" s="32">
        <v>190</v>
      </c>
      <c r="I8" s="32" t="s">
        <v>17</v>
      </c>
      <c r="J8" s="32">
        <v>51992586</v>
      </c>
      <c r="K8" s="32" t="s">
        <v>5363</v>
      </c>
      <c r="L8" s="38" t="s">
        <v>5376</v>
      </c>
      <c r="M8" s="34">
        <v>119900</v>
      </c>
      <c r="N8" s="35">
        <v>0.75</v>
      </c>
      <c r="O8" s="69">
        <f t="shared" si="1"/>
        <v>29975</v>
      </c>
      <c r="P8" s="34" t="str">
        <f t="shared" si="3"/>
        <v>PERCENTAGE</v>
      </c>
    </row>
    <row r="9" spans="1:16" x14ac:dyDescent="0.35">
      <c r="A9" s="32" t="str">
        <f t="shared" si="2"/>
        <v>2025 JAN-JUN DISC 75%</v>
      </c>
      <c r="B9" s="33">
        <f t="shared" si="0"/>
        <v>46121</v>
      </c>
      <c r="C9" s="33">
        <f t="shared" si="0"/>
        <v>46127</v>
      </c>
      <c r="D9" s="32">
        <v>3284</v>
      </c>
      <c r="E9" s="32">
        <v>338</v>
      </c>
      <c r="F9" s="32">
        <v>4</v>
      </c>
      <c r="G9" s="32">
        <v>8</v>
      </c>
      <c r="H9" s="32">
        <v>190</v>
      </c>
      <c r="I9" s="32" t="s">
        <v>17</v>
      </c>
      <c r="J9" s="32">
        <v>51992595</v>
      </c>
      <c r="K9" s="32" t="s">
        <v>5363</v>
      </c>
      <c r="L9" s="38" t="s">
        <v>5373</v>
      </c>
      <c r="M9" s="34">
        <v>119900</v>
      </c>
      <c r="N9" s="35">
        <v>0.75</v>
      </c>
      <c r="O9" s="69">
        <f t="shared" si="1"/>
        <v>29975</v>
      </c>
      <c r="P9" s="34" t="str">
        <f t="shared" si="3"/>
        <v>PERCENTAGE</v>
      </c>
    </row>
    <row r="10" spans="1:16" s="15" customFormat="1" x14ac:dyDescent="0.35">
      <c r="A10" s="32" t="str">
        <f t="shared" si="2"/>
        <v>2025 JAN-JUN DISC 75%</v>
      </c>
      <c r="B10" s="33">
        <f t="shared" si="0"/>
        <v>46121</v>
      </c>
      <c r="C10" s="33">
        <f t="shared" si="0"/>
        <v>46127</v>
      </c>
      <c r="D10" s="32">
        <v>3284</v>
      </c>
      <c r="E10" s="32">
        <v>338</v>
      </c>
      <c r="F10" s="32">
        <v>4</v>
      </c>
      <c r="G10" s="32">
        <v>8</v>
      </c>
      <c r="H10" s="32">
        <v>190</v>
      </c>
      <c r="I10" s="32" t="s">
        <v>17</v>
      </c>
      <c r="J10" s="32">
        <v>51992602</v>
      </c>
      <c r="K10" s="32" t="s">
        <v>5368</v>
      </c>
      <c r="L10" s="38" t="s">
        <v>5369</v>
      </c>
      <c r="M10" s="34">
        <v>199900</v>
      </c>
      <c r="N10" s="35">
        <v>0.75</v>
      </c>
      <c r="O10" s="69">
        <f t="shared" si="1"/>
        <v>49975</v>
      </c>
      <c r="P10" s="34" t="str">
        <f t="shared" si="3"/>
        <v>PERCENTAGE</v>
      </c>
    </row>
    <row r="11" spans="1:16" s="15" customFormat="1" x14ac:dyDescent="0.35">
      <c r="A11" s="32" t="str">
        <f t="shared" si="2"/>
        <v>2025 JAN-JUN DISC 75%</v>
      </c>
      <c r="B11" s="33">
        <f t="shared" si="0"/>
        <v>46121</v>
      </c>
      <c r="C11" s="33">
        <f t="shared" si="0"/>
        <v>46127</v>
      </c>
      <c r="D11" s="32">
        <v>3284</v>
      </c>
      <c r="E11" s="32">
        <v>338</v>
      </c>
      <c r="F11" s="32">
        <v>4</v>
      </c>
      <c r="G11" s="32">
        <v>8</v>
      </c>
      <c r="H11" s="32">
        <v>190</v>
      </c>
      <c r="I11" s="32" t="s">
        <v>17</v>
      </c>
      <c r="J11" s="32">
        <v>51992611</v>
      </c>
      <c r="K11" s="32" t="s">
        <v>5368</v>
      </c>
      <c r="L11" s="38" t="s">
        <v>5371</v>
      </c>
      <c r="M11" s="34">
        <v>199900</v>
      </c>
      <c r="N11" s="35">
        <v>0.75</v>
      </c>
      <c r="O11" s="69">
        <f t="shared" si="1"/>
        <v>49975</v>
      </c>
      <c r="P11" s="34" t="str">
        <f t="shared" si="3"/>
        <v>PERCENTAGE</v>
      </c>
    </row>
    <row r="12" spans="1:16" s="15" customFormat="1" x14ac:dyDescent="0.35">
      <c r="A12" s="32" t="str">
        <f t="shared" si="2"/>
        <v>2025 JAN-JUN DISC 75%</v>
      </c>
      <c r="B12" s="33">
        <f t="shared" si="0"/>
        <v>46121</v>
      </c>
      <c r="C12" s="33">
        <f t="shared" si="0"/>
        <v>46127</v>
      </c>
      <c r="D12" s="32">
        <v>3284</v>
      </c>
      <c r="E12" s="32">
        <v>338</v>
      </c>
      <c r="F12" s="32">
        <v>4</v>
      </c>
      <c r="G12" s="32">
        <v>8</v>
      </c>
      <c r="H12" s="32">
        <v>190</v>
      </c>
      <c r="I12" s="32" t="s">
        <v>17</v>
      </c>
      <c r="J12" s="32">
        <v>51992620</v>
      </c>
      <c r="K12" s="32" t="s">
        <v>5368</v>
      </c>
      <c r="L12" s="38" t="s">
        <v>5378</v>
      </c>
      <c r="M12" s="34">
        <v>199900</v>
      </c>
      <c r="N12" s="35">
        <v>0.75</v>
      </c>
      <c r="O12" s="69">
        <f t="shared" si="1"/>
        <v>49975</v>
      </c>
      <c r="P12" s="34" t="str">
        <f t="shared" si="3"/>
        <v>PERCENTAGE</v>
      </c>
    </row>
    <row r="13" spans="1:16" s="15" customFormat="1" x14ac:dyDescent="0.35">
      <c r="A13" s="32" t="str">
        <f t="shared" si="2"/>
        <v>2025 JAN-JUN DISC 75%</v>
      </c>
      <c r="B13" s="33">
        <f t="shared" si="0"/>
        <v>46121</v>
      </c>
      <c r="C13" s="33">
        <f t="shared" si="0"/>
        <v>46127</v>
      </c>
      <c r="D13" s="32">
        <v>3284</v>
      </c>
      <c r="E13" s="32">
        <v>338</v>
      </c>
      <c r="F13" s="32">
        <v>4</v>
      </c>
      <c r="G13" s="32">
        <v>8</v>
      </c>
      <c r="H13" s="32">
        <v>190</v>
      </c>
      <c r="I13" s="32" t="s">
        <v>17</v>
      </c>
      <c r="J13" s="32">
        <v>51992639</v>
      </c>
      <c r="K13" s="32" t="s">
        <v>5368</v>
      </c>
      <c r="L13" s="38" t="s">
        <v>5379</v>
      </c>
      <c r="M13" s="34">
        <v>199900</v>
      </c>
      <c r="N13" s="35">
        <v>0.75</v>
      </c>
      <c r="O13" s="69">
        <f t="shared" si="1"/>
        <v>49975</v>
      </c>
      <c r="P13" s="34" t="str">
        <f t="shared" si="3"/>
        <v>PERCENTAGE</v>
      </c>
    </row>
    <row r="14" spans="1:16" x14ac:dyDescent="0.35">
      <c r="A14" s="32" t="str">
        <f t="shared" si="2"/>
        <v>2025 JAN-JUN DISC 75%</v>
      </c>
      <c r="B14" s="33">
        <f t="shared" si="0"/>
        <v>46121</v>
      </c>
      <c r="C14" s="33">
        <f t="shared" si="0"/>
        <v>46127</v>
      </c>
      <c r="D14" s="32">
        <v>3284</v>
      </c>
      <c r="E14" s="32">
        <v>338</v>
      </c>
      <c r="F14" s="32">
        <v>4</v>
      </c>
      <c r="G14" s="32">
        <v>8</v>
      </c>
      <c r="H14" s="32">
        <v>190</v>
      </c>
      <c r="I14" s="32" t="s">
        <v>17</v>
      </c>
      <c r="J14" s="32">
        <v>51992648</v>
      </c>
      <c r="K14" s="32" t="s">
        <v>5366</v>
      </c>
      <c r="L14" s="38" t="s">
        <v>5372</v>
      </c>
      <c r="M14" s="34">
        <v>199900</v>
      </c>
      <c r="N14" s="35">
        <v>0.75</v>
      </c>
      <c r="O14" s="69">
        <f t="shared" si="1"/>
        <v>49975</v>
      </c>
      <c r="P14" s="34" t="str">
        <f t="shared" si="3"/>
        <v>PERCENTAGE</v>
      </c>
    </row>
    <row r="15" spans="1:16" x14ac:dyDescent="0.35">
      <c r="A15" s="32" t="str">
        <f t="shared" si="2"/>
        <v>2025 JAN-JUN DISC 75%</v>
      </c>
      <c r="B15" s="33">
        <f t="shared" si="0"/>
        <v>46121</v>
      </c>
      <c r="C15" s="33">
        <f t="shared" si="0"/>
        <v>46127</v>
      </c>
      <c r="D15" s="32">
        <v>3284</v>
      </c>
      <c r="E15" s="32">
        <v>338</v>
      </c>
      <c r="F15" s="32">
        <v>4</v>
      </c>
      <c r="G15" s="32">
        <v>8</v>
      </c>
      <c r="H15" s="32">
        <v>190</v>
      </c>
      <c r="I15" s="32" t="s">
        <v>17</v>
      </c>
      <c r="J15" s="32">
        <v>51992657</v>
      </c>
      <c r="K15" s="32" t="s">
        <v>5366</v>
      </c>
      <c r="L15" s="38" t="s">
        <v>5367</v>
      </c>
      <c r="M15" s="34">
        <v>199900</v>
      </c>
      <c r="N15" s="35">
        <v>0.75</v>
      </c>
      <c r="O15" s="69">
        <f t="shared" si="1"/>
        <v>49975</v>
      </c>
      <c r="P15" s="34" t="str">
        <f t="shared" si="3"/>
        <v>PERCENTAGE</v>
      </c>
    </row>
    <row r="16" spans="1:16" x14ac:dyDescent="0.35">
      <c r="A16" s="32" t="str">
        <f t="shared" si="2"/>
        <v>2025 JAN-JUN DISC 75%</v>
      </c>
      <c r="B16" s="33">
        <f t="shared" si="0"/>
        <v>46121</v>
      </c>
      <c r="C16" s="33">
        <f t="shared" si="0"/>
        <v>46127</v>
      </c>
      <c r="D16" s="32">
        <v>3284</v>
      </c>
      <c r="E16" s="32">
        <v>338</v>
      </c>
      <c r="F16" s="32">
        <v>4</v>
      </c>
      <c r="G16" s="32">
        <v>8</v>
      </c>
      <c r="H16" s="32">
        <v>190</v>
      </c>
      <c r="I16" s="32" t="s">
        <v>17</v>
      </c>
      <c r="J16" s="32">
        <v>51992666</v>
      </c>
      <c r="K16" s="32" t="s">
        <v>5366</v>
      </c>
      <c r="L16" s="38" t="s">
        <v>5381</v>
      </c>
      <c r="M16" s="34">
        <v>199900</v>
      </c>
      <c r="N16" s="35">
        <v>0.75</v>
      </c>
      <c r="O16" s="69">
        <f t="shared" si="1"/>
        <v>49975</v>
      </c>
      <c r="P16" s="34" t="str">
        <f t="shared" si="3"/>
        <v>PERCENTAGE</v>
      </c>
    </row>
    <row r="17" spans="1:16" x14ac:dyDescent="0.35">
      <c r="A17" s="32" t="str">
        <f t="shared" si="2"/>
        <v>2025 JAN-JUN DISC 75%</v>
      </c>
      <c r="B17" s="33">
        <f t="shared" si="0"/>
        <v>46121</v>
      </c>
      <c r="C17" s="33">
        <f t="shared" si="0"/>
        <v>46127</v>
      </c>
      <c r="D17" s="32">
        <v>3284</v>
      </c>
      <c r="E17" s="32">
        <v>338</v>
      </c>
      <c r="F17" s="32">
        <v>4</v>
      </c>
      <c r="G17" s="32">
        <v>8</v>
      </c>
      <c r="H17" s="32">
        <v>190</v>
      </c>
      <c r="I17" s="32" t="s">
        <v>17</v>
      </c>
      <c r="J17" s="32">
        <v>51992675</v>
      </c>
      <c r="K17" s="32" t="s">
        <v>5366</v>
      </c>
      <c r="L17" s="38" t="s">
        <v>5380</v>
      </c>
      <c r="M17" s="34">
        <v>199900</v>
      </c>
      <c r="N17" s="35">
        <v>0.75</v>
      </c>
      <c r="O17" s="69">
        <f t="shared" si="1"/>
        <v>49975</v>
      </c>
      <c r="P17" s="34" t="str">
        <f t="shared" si="3"/>
        <v>PERCENTAGE</v>
      </c>
    </row>
    <row r="18" spans="1:16" x14ac:dyDescent="0.35">
      <c r="A18" s="32" t="str">
        <f t="shared" si="2"/>
        <v>2025 JAN-JUN DISC 75%</v>
      </c>
      <c r="B18" s="33">
        <f t="shared" si="0"/>
        <v>46121</v>
      </c>
      <c r="C18" s="33">
        <f t="shared" si="0"/>
        <v>46127</v>
      </c>
      <c r="D18" s="32">
        <v>3284</v>
      </c>
      <c r="E18" s="32">
        <v>338</v>
      </c>
      <c r="F18" s="32">
        <v>4</v>
      </c>
      <c r="G18" s="32">
        <v>8</v>
      </c>
      <c r="H18" s="32">
        <v>190</v>
      </c>
      <c r="I18" s="32" t="s">
        <v>17</v>
      </c>
      <c r="J18" s="32">
        <v>51992684</v>
      </c>
      <c r="K18" s="32" t="s">
        <v>5359</v>
      </c>
      <c r="L18" s="38" t="s">
        <v>5360</v>
      </c>
      <c r="M18" s="34">
        <v>199900</v>
      </c>
      <c r="N18" s="35">
        <v>0.75</v>
      </c>
      <c r="O18" s="69">
        <f t="shared" si="1"/>
        <v>49975</v>
      </c>
      <c r="P18" s="34" t="str">
        <f t="shared" si="3"/>
        <v>PERCENTAGE</v>
      </c>
    </row>
    <row r="19" spans="1:16" x14ac:dyDescent="0.35">
      <c r="A19" s="32" t="str">
        <f t="shared" si="2"/>
        <v>2025 JAN-JUN DISC 75%</v>
      </c>
      <c r="B19" s="33">
        <f t="shared" si="2"/>
        <v>46121</v>
      </c>
      <c r="C19" s="33">
        <f t="shared" si="2"/>
        <v>46127</v>
      </c>
      <c r="D19" s="32">
        <v>3284</v>
      </c>
      <c r="E19" s="32">
        <v>338</v>
      </c>
      <c r="F19" s="32">
        <v>4</v>
      </c>
      <c r="G19" s="32">
        <v>8</v>
      </c>
      <c r="H19" s="32">
        <v>190</v>
      </c>
      <c r="I19" s="32" t="s">
        <v>17</v>
      </c>
      <c r="J19" s="32">
        <v>51992693</v>
      </c>
      <c r="K19" s="32" t="s">
        <v>5359</v>
      </c>
      <c r="L19" s="38" t="s">
        <v>5377</v>
      </c>
      <c r="M19" s="34">
        <v>199900</v>
      </c>
      <c r="N19" s="35">
        <v>0.75</v>
      </c>
      <c r="O19" s="69">
        <f t="shared" si="1"/>
        <v>49975</v>
      </c>
      <c r="P19" s="34" t="str">
        <f t="shared" si="3"/>
        <v>PERCENTAGE</v>
      </c>
    </row>
    <row r="20" spans="1:16" x14ac:dyDescent="0.35">
      <c r="A20" s="32" t="str">
        <f t="shared" ref="A20:C35" si="4">A19</f>
        <v>2025 JAN-JUN DISC 75%</v>
      </c>
      <c r="B20" s="33">
        <f t="shared" si="4"/>
        <v>46121</v>
      </c>
      <c r="C20" s="33">
        <f t="shared" si="4"/>
        <v>46127</v>
      </c>
      <c r="D20" s="32">
        <v>3284</v>
      </c>
      <c r="E20" s="32">
        <v>338</v>
      </c>
      <c r="F20" s="32">
        <v>4</v>
      </c>
      <c r="G20" s="32">
        <v>8</v>
      </c>
      <c r="H20" s="32">
        <v>190</v>
      </c>
      <c r="I20" s="32" t="s">
        <v>17</v>
      </c>
      <c r="J20" s="32">
        <v>51992700</v>
      </c>
      <c r="K20" s="32" t="s">
        <v>5359</v>
      </c>
      <c r="L20" s="38" t="s">
        <v>5375</v>
      </c>
      <c r="M20" s="34">
        <v>199900</v>
      </c>
      <c r="N20" s="35">
        <v>0.75</v>
      </c>
      <c r="O20" s="69">
        <f t="shared" si="1"/>
        <v>49975</v>
      </c>
      <c r="P20" s="34" t="str">
        <f t="shared" si="3"/>
        <v>PERCENTAGE</v>
      </c>
    </row>
    <row r="21" spans="1:16" x14ac:dyDescent="0.35">
      <c r="A21" s="32" t="str">
        <f t="shared" si="4"/>
        <v>2025 JAN-JUN DISC 75%</v>
      </c>
      <c r="B21" s="33">
        <f t="shared" si="4"/>
        <v>46121</v>
      </c>
      <c r="C21" s="33">
        <f t="shared" si="4"/>
        <v>46127</v>
      </c>
      <c r="D21" s="32">
        <v>3284</v>
      </c>
      <c r="E21" s="32">
        <v>338</v>
      </c>
      <c r="F21" s="32">
        <v>4</v>
      </c>
      <c r="G21" s="32">
        <v>8</v>
      </c>
      <c r="H21" s="32">
        <v>190</v>
      </c>
      <c r="I21" s="32" t="s">
        <v>17</v>
      </c>
      <c r="J21" s="32">
        <v>51992719</v>
      </c>
      <c r="K21" s="32" t="s">
        <v>5359</v>
      </c>
      <c r="L21" s="38" t="s">
        <v>5374</v>
      </c>
      <c r="M21" s="34">
        <v>199900</v>
      </c>
      <c r="N21" s="35">
        <v>0.75</v>
      </c>
      <c r="O21" s="69">
        <f t="shared" si="1"/>
        <v>49975</v>
      </c>
      <c r="P21" s="34" t="str">
        <f t="shared" si="3"/>
        <v>PERCENTAGE</v>
      </c>
    </row>
    <row r="22" spans="1:16" x14ac:dyDescent="0.35">
      <c r="A22" s="32" t="str">
        <f t="shared" si="4"/>
        <v>2025 JAN-JUN DISC 75%</v>
      </c>
      <c r="B22" s="33">
        <f t="shared" si="4"/>
        <v>46121</v>
      </c>
      <c r="C22" s="33">
        <f t="shared" si="4"/>
        <v>46127</v>
      </c>
      <c r="D22" s="32">
        <v>3284</v>
      </c>
      <c r="E22" s="32">
        <v>338</v>
      </c>
      <c r="F22" s="32">
        <v>4</v>
      </c>
      <c r="G22" s="32">
        <v>8</v>
      </c>
      <c r="H22" s="32">
        <v>81698</v>
      </c>
      <c r="I22" s="32" t="s">
        <v>17</v>
      </c>
      <c r="J22" s="32">
        <v>52480449</v>
      </c>
      <c r="K22" s="32" t="s">
        <v>5384</v>
      </c>
      <c r="L22" s="38" t="s">
        <v>5389</v>
      </c>
      <c r="M22" s="34">
        <v>229900</v>
      </c>
      <c r="N22" s="35">
        <v>0.75</v>
      </c>
      <c r="O22" s="69">
        <f t="shared" si="1"/>
        <v>57475</v>
      </c>
      <c r="P22" s="34" t="str">
        <f t="shared" si="3"/>
        <v>PERCENTAGE</v>
      </c>
    </row>
    <row r="23" spans="1:16" x14ac:dyDescent="0.35">
      <c r="A23" s="32" t="str">
        <f t="shared" si="4"/>
        <v>2025 JAN-JUN DISC 75%</v>
      </c>
      <c r="B23" s="33">
        <f t="shared" si="4"/>
        <v>46121</v>
      </c>
      <c r="C23" s="33">
        <f t="shared" si="4"/>
        <v>46127</v>
      </c>
      <c r="D23" s="32">
        <v>3284</v>
      </c>
      <c r="E23" s="32">
        <v>338</v>
      </c>
      <c r="F23" s="32">
        <v>4</v>
      </c>
      <c r="G23" s="32">
        <v>8</v>
      </c>
      <c r="H23" s="32">
        <v>81698</v>
      </c>
      <c r="I23" s="32" t="s">
        <v>17</v>
      </c>
      <c r="J23" s="32">
        <v>52480458</v>
      </c>
      <c r="K23" s="32" t="s">
        <v>5384</v>
      </c>
      <c r="L23" s="38" t="s">
        <v>5387</v>
      </c>
      <c r="M23" s="34">
        <v>229900</v>
      </c>
      <c r="N23" s="35">
        <v>0.75</v>
      </c>
      <c r="O23" s="69">
        <f t="shared" si="1"/>
        <v>57475</v>
      </c>
      <c r="P23" s="34" t="str">
        <f t="shared" si="3"/>
        <v>PERCENTAGE</v>
      </c>
    </row>
    <row r="24" spans="1:16" x14ac:dyDescent="0.35">
      <c r="A24" s="32" t="str">
        <f t="shared" si="4"/>
        <v>2025 JAN-JUN DISC 75%</v>
      </c>
      <c r="B24" s="33">
        <f t="shared" si="4"/>
        <v>46121</v>
      </c>
      <c r="C24" s="33">
        <f t="shared" si="4"/>
        <v>46127</v>
      </c>
      <c r="D24" s="32">
        <v>3284</v>
      </c>
      <c r="E24" s="32">
        <v>338</v>
      </c>
      <c r="F24" s="32">
        <v>4</v>
      </c>
      <c r="G24" s="32">
        <v>8</v>
      </c>
      <c r="H24" s="32">
        <v>81698</v>
      </c>
      <c r="I24" s="32" t="s">
        <v>17</v>
      </c>
      <c r="J24" s="32">
        <v>52480467</v>
      </c>
      <c r="K24" s="32" t="s">
        <v>5384</v>
      </c>
      <c r="L24" s="38" t="s">
        <v>5385</v>
      </c>
      <c r="M24" s="34">
        <v>229900</v>
      </c>
      <c r="N24" s="35">
        <v>0.75</v>
      </c>
      <c r="O24" s="69">
        <f t="shared" si="1"/>
        <v>57475</v>
      </c>
      <c r="P24" s="34" t="str">
        <f t="shared" si="3"/>
        <v>PERCENTAGE</v>
      </c>
    </row>
    <row r="25" spans="1:16" x14ac:dyDescent="0.35">
      <c r="A25" s="32" t="str">
        <f t="shared" si="4"/>
        <v>2025 JAN-JUN DISC 75%</v>
      </c>
      <c r="B25" s="33">
        <f t="shared" si="4"/>
        <v>46121</v>
      </c>
      <c r="C25" s="33">
        <f t="shared" si="4"/>
        <v>46127</v>
      </c>
      <c r="D25" s="32">
        <v>3284</v>
      </c>
      <c r="E25" s="32">
        <v>338</v>
      </c>
      <c r="F25" s="32">
        <v>4</v>
      </c>
      <c r="G25" s="32">
        <v>8</v>
      </c>
      <c r="H25" s="32">
        <v>81698</v>
      </c>
      <c r="I25" s="32" t="s">
        <v>17</v>
      </c>
      <c r="J25" s="32">
        <v>52480476</v>
      </c>
      <c r="K25" s="32" t="s">
        <v>5384</v>
      </c>
      <c r="L25" s="38" t="s">
        <v>5388</v>
      </c>
      <c r="M25" s="34">
        <v>229900</v>
      </c>
      <c r="N25" s="35">
        <v>0.75</v>
      </c>
      <c r="O25" s="69">
        <f t="shared" si="1"/>
        <v>57475</v>
      </c>
      <c r="P25" s="34" t="str">
        <f t="shared" si="3"/>
        <v>PERCENTAGE</v>
      </c>
    </row>
    <row r="26" spans="1:16" x14ac:dyDescent="0.35">
      <c r="A26" s="32" t="str">
        <f t="shared" si="4"/>
        <v>2025 JAN-JUN DISC 75%</v>
      </c>
      <c r="B26" s="33">
        <f t="shared" si="4"/>
        <v>46121</v>
      </c>
      <c r="C26" s="33">
        <f t="shared" si="4"/>
        <v>46127</v>
      </c>
      <c r="D26" s="32">
        <v>3284</v>
      </c>
      <c r="E26" s="32">
        <v>338</v>
      </c>
      <c r="F26" s="32">
        <v>4</v>
      </c>
      <c r="G26" s="32">
        <v>8</v>
      </c>
      <c r="H26" s="32">
        <v>81698</v>
      </c>
      <c r="I26" s="32" t="s">
        <v>17</v>
      </c>
      <c r="J26" s="32">
        <v>52480485</v>
      </c>
      <c r="K26" s="32" t="s">
        <v>5384</v>
      </c>
      <c r="L26" s="38" t="s">
        <v>5386</v>
      </c>
      <c r="M26" s="34">
        <v>229900</v>
      </c>
      <c r="N26" s="35">
        <v>0.75</v>
      </c>
      <c r="O26" s="69">
        <f t="shared" si="1"/>
        <v>57475</v>
      </c>
      <c r="P26" s="34" t="str">
        <f t="shared" si="3"/>
        <v>PERCENTAGE</v>
      </c>
    </row>
    <row r="27" spans="1:16" s="31" customFormat="1" x14ac:dyDescent="0.35">
      <c r="A27" s="32" t="str">
        <f t="shared" si="4"/>
        <v>2025 JAN-JUN DISC 75%</v>
      </c>
      <c r="B27" s="33">
        <f t="shared" si="4"/>
        <v>46121</v>
      </c>
      <c r="C27" s="33">
        <f t="shared" si="4"/>
        <v>46127</v>
      </c>
      <c r="D27" s="32">
        <v>3284</v>
      </c>
      <c r="E27" s="32">
        <v>338</v>
      </c>
      <c r="F27" s="32">
        <v>4</v>
      </c>
      <c r="G27" s="32">
        <v>4</v>
      </c>
      <c r="H27" s="32">
        <v>81146</v>
      </c>
      <c r="I27" s="32" t="s">
        <v>17</v>
      </c>
      <c r="J27" s="32">
        <v>51764911</v>
      </c>
      <c r="K27" s="32" t="s">
        <v>4708</v>
      </c>
      <c r="L27" s="38" t="s">
        <v>4710</v>
      </c>
      <c r="M27" s="34">
        <v>219900</v>
      </c>
      <c r="N27" s="35">
        <v>0.75</v>
      </c>
      <c r="O27" s="69">
        <f t="shared" si="1"/>
        <v>54975</v>
      </c>
      <c r="P27" s="34" t="str">
        <f t="shared" si="3"/>
        <v>PERCENTAGE</v>
      </c>
    </row>
    <row r="28" spans="1:16" s="31" customFormat="1" x14ac:dyDescent="0.35">
      <c r="A28" s="32" t="str">
        <f t="shared" si="4"/>
        <v>2025 JAN-JUN DISC 75%</v>
      </c>
      <c r="B28" s="33">
        <f t="shared" si="4"/>
        <v>46121</v>
      </c>
      <c r="C28" s="33">
        <f t="shared" si="4"/>
        <v>46127</v>
      </c>
      <c r="D28" s="32">
        <v>3284</v>
      </c>
      <c r="E28" s="32">
        <v>338</v>
      </c>
      <c r="F28" s="32">
        <v>4</v>
      </c>
      <c r="G28" s="32">
        <v>4</v>
      </c>
      <c r="H28" s="32">
        <v>81146</v>
      </c>
      <c r="I28" s="32" t="s">
        <v>17</v>
      </c>
      <c r="J28" s="32">
        <v>51764920</v>
      </c>
      <c r="K28" s="32" t="s">
        <v>4708</v>
      </c>
      <c r="L28" s="38" t="s">
        <v>4711</v>
      </c>
      <c r="M28" s="34">
        <v>219900</v>
      </c>
      <c r="N28" s="35">
        <v>0.75</v>
      </c>
      <c r="O28" s="69">
        <f t="shared" si="1"/>
        <v>54975</v>
      </c>
      <c r="P28" s="34" t="str">
        <f t="shared" si="3"/>
        <v>PERCENTAGE</v>
      </c>
    </row>
    <row r="29" spans="1:16" s="31" customFormat="1" x14ac:dyDescent="0.35">
      <c r="A29" s="32" t="str">
        <f t="shared" si="4"/>
        <v>2025 JAN-JUN DISC 75%</v>
      </c>
      <c r="B29" s="33">
        <f t="shared" si="4"/>
        <v>46121</v>
      </c>
      <c r="C29" s="33">
        <f t="shared" si="4"/>
        <v>46127</v>
      </c>
      <c r="D29" s="32">
        <v>3284</v>
      </c>
      <c r="E29" s="32">
        <v>338</v>
      </c>
      <c r="F29" s="32">
        <v>4</v>
      </c>
      <c r="G29" s="32">
        <v>4</v>
      </c>
      <c r="H29" s="32">
        <v>81146</v>
      </c>
      <c r="I29" s="32" t="s">
        <v>17</v>
      </c>
      <c r="J29" s="32">
        <v>51764939</v>
      </c>
      <c r="K29" s="32" t="s">
        <v>4708</v>
      </c>
      <c r="L29" s="38" t="s">
        <v>4712</v>
      </c>
      <c r="M29" s="34">
        <v>219900</v>
      </c>
      <c r="N29" s="35">
        <v>0.75</v>
      </c>
      <c r="O29" s="69">
        <f t="shared" si="1"/>
        <v>54975</v>
      </c>
      <c r="P29" s="34" t="str">
        <f t="shared" si="3"/>
        <v>PERCENTAGE</v>
      </c>
    </row>
    <row r="30" spans="1:16" s="31" customFormat="1" x14ac:dyDescent="0.35">
      <c r="A30" s="32" t="str">
        <f t="shared" si="4"/>
        <v>2025 JAN-JUN DISC 75%</v>
      </c>
      <c r="B30" s="33">
        <f t="shared" si="4"/>
        <v>46121</v>
      </c>
      <c r="C30" s="33">
        <f t="shared" si="4"/>
        <v>46127</v>
      </c>
      <c r="D30" s="32">
        <v>3284</v>
      </c>
      <c r="E30" s="32">
        <v>338</v>
      </c>
      <c r="F30" s="32">
        <v>4</v>
      </c>
      <c r="G30" s="32">
        <v>4</v>
      </c>
      <c r="H30" s="32">
        <v>81146</v>
      </c>
      <c r="I30" s="32" t="s">
        <v>17</v>
      </c>
      <c r="J30" s="32">
        <v>51764948</v>
      </c>
      <c r="K30" s="32" t="s">
        <v>4708</v>
      </c>
      <c r="L30" s="38" t="s">
        <v>4709</v>
      </c>
      <c r="M30" s="34">
        <v>219900</v>
      </c>
      <c r="N30" s="35">
        <v>0.75</v>
      </c>
      <c r="O30" s="69">
        <f t="shared" si="1"/>
        <v>54975</v>
      </c>
      <c r="P30" s="34" t="str">
        <f t="shared" si="3"/>
        <v>PERCENTAGE</v>
      </c>
    </row>
    <row r="31" spans="1:16" s="31" customFormat="1" x14ac:dyDescent="0.35">
      <c r="A31" s="32" t="str">
        <f t="shared" si="4"/>
        <v>2025 JAN-JUN DISC 75%</v>
      </c>
      <c r="B31" s="33">
        <f t="shared" si="4"/>
        <v>46121</v>
      </c>
      <c r="C31" s="33">
        <f t="shared" si="4"/>
        <v>46127</v>
      </c>
      <c r="D31" s="32">
        <v>3284</v>
      </c>
      <c r="E31" s="32">
        <v>338</v>
      </c>
      <c r="F31" s="32">
        <v>4</v>
      </c>
      <c r="G31" s="32">
        <v>5</v>
      </c>
      <c r="H31" s="32">
        <v>80920</v>
      </c>
      <c r="I31" s="32" t="s">
        <v>17</v>
      </c>
      <c r="J31" s="32">
        <v>51765036</v>
      </c>
      <c r="K31" s="32" t="s">
        <v>4604</v>
      </c>
      <c r="L31" s="38" t="s">
        <v>4608</v>
      </c>
      <c r="M31" s="34">
        <v>219900</v>
      </c>
      <c r="N31" s="35">
        <v>0.75</v>
      </c>
      <c r="O31" s="69">
        <f t="shared" si="1"/>
        <v>54975</v>
      </c>
      <c r="P31" s="34" t="str">
        <f t="shared" si="3"/>
        <v>PERCENTAGE</v>
      </c>
    </row>
    <row r="32" spans="1:16" s="31" customFormat="1" x14ac:dyDescent="0.35">
      <c r="A32" s="32" t="str">
        <f t="shared" si="4"/>
        <v>2025 JAN-JUN DISC 75%</v>
      </c>
      <c r="B32" s="33">
        <f t="shared" si="4"/>
        <v>46121</v>
      </c>
      <c r="C32" s="33">
        <f t="shared" si="4"/>
        <v>46127</v>
      </c>
      <c r="D32" s="32">
        <v>3284</v>
      </c>
      <c r="E32" s="32">
        <v>338</v>
      </c>
      <c r="F32" s="32">
        <v>4</v>
      </c>
      <c r="G32" s="32">
        <v>5</v>
      </c>
      <c r="H32" s="32">
        <v>80920</v>
      </c>
      <c r="I32" s="32" t="s">
        <v>17</v>
      </c>
      <c r="J32" s="32">
        <v>51765045</v>
      </c>
      <c r="K32" s="32" t="s">
        <v>4604</v>
      </c>
      <c r="L32" s="38" t="s">
        <v>4606</v>
      </c>
      <c r="M32" s="34">
        <v>219900</v>
      </c>
      <c r="N32" s="35">
        <v>0.75</v>
      </c>
      <c r="O32" s="69">
        <f t="shared" si="1"/>
        <v>54975</v>
      </c>
      <c r="P32" s="34" t="str">
        <f t="shared" si="3"/>
        <v>PERCENTAGE</v>
      </c>
    </row>
    <row r="33" spans="1:16" s="31" customFormat="1" x14ac:dyDescent="0.35">
      <c r="A33" s="32" t="str">
        <f t="shared" si="4"/>
        <v>2025 JAN-JUN DISC 75%</v>
      </c>
      <c r="B33" s="33">
        <f t="shared" si="4"/>
        <v>46121</v>
      </c>
      <c r="C33" s="33">
        <f t="shared" si="4"/>
        <v>46127</v>
      </c>
      <c r="D33" s="32">
        <v>3284</v>
      </c>
      <c r="E33" s="32">
        <v>338</v>
      </c>
      <c r="F33" s="32">
        <v>4</v>
      </c>
      <c r="G33" s="32">
        <v>5</v>
      </c>
      <c r="H33" s="32">
        <v>80920</v>
      </c>
      <c r="I33" s="32" t="s">
        <v>17</v>
      </c>
      <c r="J33" s="32">
        <v>51765054</v>
      </c>
      <c r="K33" s="32" t="s">
        <v>4604</v>
      </c>
      <c r="L33" s="38" t="s">
        <v>4607</v>
      </c>
      <c r="M33" s="34">
        <v>219900</v>
      </c>
      <c r="N33" s="35">
        <v>0.75</v>
      </c>
      <c r="O33" s="69">
        <f t="shared" si="1"/>
        <v>54975</v>
      </c>
      <c r="P33" s="34" t="str">
        <f t="shared" si="3"/>
        <v>PERCENTAGE</v>
      </c>
    </row>
    <row r="34" spans="1:16" s="31" customFormat="1" x14ac:dyDescent="0.35">
      <c r="A34" s="32" t="str">
        <f t="shared" si="4"/>
        <v>2025 JAN-JUN DISC 75%</v>
      </c>
      <c r="B34" s="33">
        <f t="shared" si="4"/>
        <v>46121</v>
      </c>
      <c r="C34" s="33">
        <f t="shared" si="4"/>
        <v>46127</v>
      </c>
      <c r="D34" s="32">
        <v>3284</v>
      </c>
      <c r="E34" s="32">
        <v>338</v>
      </c>
      <c r="F34" s="32">
        <v>4</v>
      </c>
      <c r="G34" s="32">
        <v>5</v>
      </c>
      <c r="H34" s="32">
        <v>80920</v>
      </c>
      <c r="I34" s="32" t="s">
        <v>17</v>
      </c>
      <c r="J34" s="32">
        <v>51765063</v>
      </c>
      <c r="K34" s="32" t="s">
        <v>4604</v>
      </c>
      <c r="L34" s="38" t="s">
        <v>4605</v>
      </c>
      <c r="M34" s="34">
        <v>219900</v>
      </c>
      <c r="N34" s="35">
        <v>0.75</v>
      </c>
      <c r="O34" s="69">
        <f t="shared" si="1"/>
        <v>54975</v>
      </c>
      <c r="P34" s="34" t="str">
        <f t="shared" si="3"/>
        <v>PERCENTAGE</v>
      </c>
    </row>
    <row r="35" spans="1:16" s="31" customFormat="1" x14ac:dyDescent="0.35">
      <c r="A35" s="32" t="str">
        <f t="shared" si="4"/>
        <v>2025 JAN-JUN DISC 75%</v>
      </c>
      <c r="B35" s="33">
        <f t="shared" si="4"/>
        <v>46121</v>
      </c>
      <c r="C35" s="33">
        <f t="shared" si="4"/>
        <v>46127</v>
      </c>
      <c r="D35" s="32">
        <v>3284</v>
      </c>
      <c r="E35" s="32">
        <v>338</v>
      </c>
      <c r="F35" s="32">
        <v>4</v>
      </c>
      <c r="G35" s="32">
        <v>5</v>
      </c>
      <c r="H35" s="32">
        <v>80920</v>
      </c>
      <c r="I35" s="32" t="s">
        <v>17</v>
      </c>
      <c r="J35" s="32">
        <v>51765072</v>
      </c>
      <c r="K35" s="32" t="s">
        <v>4609</v>
      </c>
      <c r="L35" s="38" t="s">
        <v>4612</v>
      </c>
      <c r="M35" s="34">
        <v>219900</v>
      </c>
      <c r="N35" s="35">
        <v>0.75</v>
      </c>
      <c r="O35" s="69">
        <f t="shared" si="1"/>
        <v>54975</v>
      </c>
      <c r="P35" s="34" t="str">
        <f t="shared" si="3"/>
        <v>PERCENTAGE</v>
      </c>
    </row>
    <row r="36" spans="1:16" s="31" customFormat="1" x14ac:dyDescent="0.35">
      <c r="A36" s="32" t="str">
        <f t="shared" ref="A36:C51" si="5">A35</f>
        <v>2025 JAN-JUN DISC 75%</v>
      </c>
      <c r="B36" s="33">
        <f t="shared" si="5"/>
        <v>46121</v>
      </c>
      <c r="C36" s="33">
        <f t="shared" si="5"/>
        <v>46127</v>
      </c>
      <c r="D36" s="32">
        <v>3284</v>
      </c>
      <c r="E36" s="32">
        <v>338</v>
      </c>
      <c r="F36" s="32">
        <v>4</v>
      </c>
      <c r="G36" s="32">
        <v>5</v>
      </c>
      <c r="H36" s="32">
        <v>80920</v>
      </c>
      <c r="I36" s="32" t="s">
        <v>17</v>
      </c>
      <c r="J36" s="32">
        <v>51765081</v>
      </c>
      <c r="K36" s="32" t="s">
        <v>4609</v>
      </c>
      <c r="L36" s="38" t="s">
        <v>4613</v>
      </c>
      <c r="M36" s="34">
        <v>219900</v>
      </c>
      <c r="N36" s="35">
        <v>0.75</v>
      </c>
      <c r="O36" s="69">
        <f t="shared" si="1"/>
        <v>54975</v>
      </c>
      <c r="P36" s="34" t="str">
        <f t="shared" si="3"/>
        <v>PERCENTAGE</v>
      </c>
    </row>
    <row r="37" spans="1:16" s="31" customFormat="1" x14ac:dyDescent="0.35">
      <c r="A37" s="32" t="str">
        <f t="shared" si="5"/>
        <v>2025 JAN-JUN DISC 75%</v>
      </c>
      <c r="B37" s="33">
        <f t="shared" si="5"/>
        <v>46121</v>
      </c>
      <c r="C37" s="33">
        <f t="shared" si="5"/>
        <v>46127</v>
      </c>
      <c r="D37" s="32">
        <v>3284</v>
      </c>
      <c r="E37" s="32">
        <v>338</v>
      </c>
      <c r="F37" s="32">
        <v>4</v>
      </c>
      <c r="G37" s="32">
        <v>5</v>
      </c>
      <c r="H37" s="32">
        <v>80920</v>
      </c>
      <c r="I37" s="32" t="s">
        <v>17</v>
      </c>
      <c r="J37" s="32">
        <v>51765090</v>
      </c>
      <c r="K37" s="32" t="s">
        <v>4609</v>
      </c>
      <c r="L37" s="38" t="s">
        <v>4610</v>
      </c>
      <c r="M37" s="34">
        <v>219900</v>
      </c>
      <c r="N37" s="35">
        <v>0.75</v>
      </c>
      <c r="O37" s="69">
        <f t="shared" si="1"/>
        <v>54975</v>
      </c>
      <c r="P37" s="34" t="str">
        <f t="shared" si="3"/>
        <v>PERCENTAGE</v>
      </c>
    </row>
    <row r="38" spans="1:16" s="31" customFormat="1" x14ac:dyDescent="0.35">
      <c r="A38" s="32" t="str">
        <f t="shared" si="5"/>
        <v>2025 JAN-JUN DISC 75%</v>
      </c>
      <c r="B38" s="33">
        <f t="shared" si="5"/>
        <v>46121</v>
      </c>
      <c r="C38" s="33">
        <f t="shared" si="5"/>
        <v>46127</v>
      </c>
      <c r="D38" s="32">
        <v>3284</v>
      </c>
      <c r="E38" s="32">
        <v>338</v>
      </c>
      <c r="F38" s="32">
        <v>4</v>
      </c>
      <c r="G38" s="32">
        <v>5</v>
      </c>
      <c r="H38" s="32">
        <v>80920</v>
      </c>
      <c r="I38" s="32" t="s">
        <v>17</v>
      </c>
      <c r="J38" s="32">
        <v>51765107</v>
      </c>
      <c r="K38" s="32" t="s">
        <v>4609</v>
      </c>
      <c r="L38" s="38" t="s">
        <v>4611</v>
      </c>
      <c r="M38" s="34">
        <v>219900</v>
      </c>
      <c r="N38" s="35">
        <v>0.75</v>
      </c>
      <c r="O38" s="69">
        <f t="shared" si="1"/>
        <v>54975</v>
      </c>
      <c r="P38" s="34" t="str">
        <f t="shared" si="3"/>
        <v>PERCENTAGE</v>
      </c>
    </row>
    <row r="39" spans="1:16" s="31" customFormat="1" x14ac:dyDescent="0.35">
      <c r="A39" s="32" t="str">
        <f t="shared" si="5"/>
        <v>2025 JAN-JUN DISC 75%</v>
      </c>
      <c r="B39" s="33">
        <f t="shared" si="5"/>
        <v>46121</v>
      </c>
      <c r="C39" s="33">
        <f t="shared" si="5"/>
        <v>46127</v>
      </c>
      <c r="D39" s="32">
        <v>3284</v>
      </c>
      <c r="E39" s="32">
        <v>338</v>
      </c>
      <c r="F39" s="32">
        <v>4</v>
      </c>
      <c r="G39" s="32">
        <v>3</v>
      </c>
      <c r="H39" s="32">
        <v>81146</v>
      </c>
      <c r="I39" s="32" t="s">
        <v>17</v>
      </c>
      <c r="J39" s="32">
        <v>51983934</v>
      </c>
      <c r="K39" s="32" t="s">
        <v>4713</v>
      </c>
      <c r="L39" s="38" t="s">
        <v>4717</v>
      </c>
      <c r="M39" s="34">
        <v>189900</v>
      </c>
      <c r="N39" s="35">
        <v>0.75</v>
      </c>
      <c r="O39" s="69">
        <f t="shared" si="1"/>
        <v>47475</v>
      </c>
      <c r="P39" s="34" t="str">
        <f t="shared" si="3"/>
        <v>PERCENTAGE</v>
      </c>
    </row>
    <row r="40" spans="1:16" s="31" customFormat="1" x14ac:dyDescent="0.35">
      <c r="A40" s="32" t="str">
        <f t="shared" si="5"/>
        <v>2025 JAN-JUN DISC 75%</v>
      </c>
      <c r="B40" s="33">
        <f t="shared" si="5"/>
        <v>46121</v>
      </c>
      <c r="C40" s="33">
        <f t="shared" si="5"/>
        <v>46127</v>
      </c>
      <c r="D40" s="32">
        <v>3284</v>
      </c>
      <c r="E40" s="32">
        <v>338</v>
      </c>
      <c r="F40" s="32">
        <v>4</v>
      </c>
      <c r="G40" s="32">
        <v>3</v>
      </c>
      <c r="H40" s="32">
        <v>81146</v>
      </c>
      <c r="I40" s="32" t="s">
        <v>17</v>
      </c>
      <c r="J40" s="32">
        <v>51983943</v>
      </c>
      <c r="K40" s="32" t="s">
        <v>4713</v>
      </c>
      <c r="L40" s="38" t="s">
        <v>4714</v>
      </c>
      <c r="M40" s="34">
        <v>189900</v>
      </c>
      <c r="N40" s="35">
        <v>0.75</v>
      </c>
      <c r="O40" s="69">
        <f t="shared" si="1"/>
        <v>47475</v>
      </c>
      <c r="P40" s="34" t="str">
        <f t="shared" si="3"/>
        <v>PERCENTAGE</v>
      </c>
    </row>
    <row r="41" spans="1:16" s="31" customFormat="1" x14ac:dyDescent="0.35">
      <c r="A41" s="32" t="str">
        <f t="shared" si="5"/>
        <v>2025 JAN-JUN DISC 75%</v>
      </c>
      <c r="B41" s="33">
        <f t="shared" si="5"/>
        <v>46121</v>
      </c>
      <c r="C41" s="33">
        <f t="shared" si="5"/>
        <v>46127</v>
      </c>
      <c r="D41" s="32">
        <v>3284</v>
      </c>
      <c r="E41" s="32">
        <v>338</v>
      </c>
      <c r="F41" s="32">
        <v>4</v>
      </c>
      <c r="G41" s="32">
        <v>3</v>
      </c>
      <c r="H41" s="32">
        <v>81146</v>
      </c>
      <c r="I41" s="32" t="s">
        <v>17</v>
      </c>
      <c r="J41" s="32">
        <v>51983952</v>
      </c>
      <c r="K41" s="32" t="s">
        <v>4713</v>
      </c>
      <c r="L41" s="38" t="s">
        <v>4715</v>
      </c>
      <c r="M41" s="34">
        <v>189900</v>
      </c>
      <c r="N41" s="35">
        <v>0.75</v>
      </c>
      <c r="O41" s="69">
        <f t="shared" si="1"/>
        <v>47475</v>
      </c>
      <c r="P41" s="34" t="str">
        <f t="shared" si="3"/>
        <v>PERCENTAGE</v>
      </c>
    </row>
    <row r="42" spans="1:16" s="31" customFormat="1" x14ac:dyDescent="0.35">
      <c r="A42" s="32" t="str">
        <f t="shared" si="5"/>
        <v>2025 JAN-JUN DISC 75%</v>
      </c>
      <c r="B42" s="33">
        <f t="shared" si="5"/>
        <v>46121</v>
      </c>
      <c r="C42" s="33">
        <f t="shared" si="5"/>
        <v>46127</v>
      </c>
      <c r="D42" s="32">
        <v>3284</v>
      </c>
      <c r="E42" s="32">
        <v>338</v>
      </c>
      <c r="F42" s="32">
        <v>4</v>
      </c>
      <c r="G42" s="32">
        <v>3</v>
      </c>
      <c r="H42" s="32">
        <v>81146</v>
      </c>
      <c r="I42" s="32" t="s">
        <v>17</v>
      </c>
      <c r="J42" s="32">
        <v>51983961</v>
      </c>
      <c r="K42" s="32" t="s">
        <v>4713</v>
      </c>
      <c r="L42" s="38" t="s">
        <v>4716</v>
      </c>
      <c r="M42" s="34">
        <v>189900</v>
      </c>
      <c r="N42" s="35">
        <v>0.75</v>
      </c>
      <c r="O42" s="69">
        <f t="shared" si="1"/>
        <v>47475</v>
      </c>
      <c r="P42" s="34" t="str">
        <f t="shared" si="3"/>
        <v>PERCENTAGE</v>
      </c>
    </row>
    <row r="43" spans="1:16" s="31" customFormat="1" x14ac:dyDescent="0.35">
      <c r="A43" s="32" t="str">
        <f t="shared" si="5"/>
        <v>2025 JAN-JUN DISC 75%</v>
      </c>
      <c r="B43" s="33">
        <f t="shared" si="5"/>
        <v>46121</v>
      </c>
      <c r="C43" s="33">
        <f t="shared" si="5"/>
        <v>46127</v>
      </c>
      <c r="D43" s="32">
        <v>3284</v>
      </c>
      <c r="E43" s="32">
        <v>338</v>
      </c>
      <c r="F43" s="32">
        <v>4</v>
      </c>
      <c r="G43" s="32">
        <v>3</v>
      </c>
      <c r="H43" s="32">
        <v>81146</v>
      </c>
      <c r="I43" s="32" t="s">
        <v>17</v>
      </c>
      <c r="J43" s="32">
        <v>51983970</v>
      </c>
      <c r="K43" s="32" t="s">
        <v>4624</v>
      </c>
      <c r="L43" s="38" t="s">
        <v>4628</v>
      </c>
      <c r="M43" s="34">
        <v>219900</v>
      </c>
      <c r="N43" s="35">
        <v>0.75</v>
      </c>
      <c r="O43" s="69">
        <f t="shared" si="1"/>
        <v>54975</v>
      </c>
      <c r="P43" s="34" t="str">
        <f t="shared" si="3"/>
        <v>PERCENTAGE</v>
      </c>
    </row>
    <row r="44" spans="1:16" s="31" customFormat="1" x14ac:dyDescent="0.35">
      <c r="A44" s="32" t="str">
        <f t="shared" si="5"/>
        <v>2025 JAN-JUN DISC 75%</v>
      </c>
      <c r="B44" s="33">
        <f t="shared" si="5"/>
        <v>46121</v>
      </c>
      <c r="C44" s="33">
        <f t="shared" si="5"/>
        <v>46127</v>
      </c>
      <c r="D44" s="32">
        <v>3284</v>
      </c>
      <c r="E44" s="32">
        <v>338</v>
      </c>
      <c r="F44" s="32">
        <v>4</v>
      </c>
      <c r="G44" s="32">
        <v>3</v>
      </c>
      <c r="H44" s="32">
        <v>81146</v>
      </c>
      <c r="I44" s="32" t="s">
        <v>17</v>
      </c>
      <c r="J44" s="32">
        <v>51983989</v>
      </c>
      <c r="K44" s="32" t="s">
        <v>4624</v>
      </c>
      <c r="L44" s="38" t="s">
        <v>4625</v>
      </c>
      <c r="M44" s="34">
        <v>219900</v>
      </c>
      <c r="N44" s="35">
        <v>0.75</v>
      </c>
      <c r="O44" s="69">
        <f t="shared" si="1"/>
        <v>54975</v>
      </c>
      <c r="P44" s="34" t="str">
        <f t="shared" si="3"/>
        <v>PERCENTAGE</v>
      </c>
    </row>
    <row r="45" spans="1:16" s="31" customFormat="1" x14ac:dyDescent="0.35">
      <c r="A45" s="32" t="str">
        <f t="shared" si="5"/>
        <v>2025 JAN-JUN DISC 75%</v>
      </c>
      <c r="B45" s="33">
        <f t="shared" si="5"/>
        <v>46121</v>
      </c>
      <c r="C45" s="33">
        <f t="shared" si="5"/>
        <v>46127</v>
      </c>
      <c r="D45" s="32">
        <v>3284</v>
      </c>
      <c r="E45" s="32">
        <v>338</v>
      </c>
      <c r="F45" s="32">
        <v>4</v>
      </c>
      <c r="G45" s="32">
        <v>3</v>
      </c>
      <c r="H45" s="32">
        <v>81146</v>
      </c>
      <c r="I45" s="32" t="s">
        <v>17</v>
      </c>
      <c r="J45" s="32">
        <v>51983998</v>
      </c>
      <c r="K45" s="32" t="s">
        <v>4624</v>
      </c>
      <c r="L45" s="38" t="s">
        <v>4627</v>
      </c>
      <c r="M45" s="34">
        <v>219900</v>
      </c>
      <c r="N45" s="35">
        <v>0.75</v>
      </c>
      <c r="O45" s="69">
        <f t="shared" si="1"/>
        <v>54975</v>
      </c>
      <c r="P45" s="34" t="str">
        <f t="shared" si="3"/>
        <v>PERCENTAGE</v>
      </c>
    </row>
    <row r="46" spans="1:16" s="31" customFormat="1" x14ac:dyDescent="0.35">
      <c r="A46" s="32" t="str">
        <f t="shared" si="5"/>
        <v>2025 JAN-JUN DISC 75%</v>
      </c>
      <c r="B46" s="33">
        <f t="shared" si="5"/>
        <v>46121</v>
      </c>
      <c r="C46" s="33">
        <f t="shared" si="5"/>
        <v>46127</v>
      </c>
      <c r="D46" s="32">
        <v>3284</v>
      </c>
      <c r="E46" s="32">
        <v>338</v>
      </c>
      <c r="F46" s="32">
        <v>4</v>
      </c>
      <c r="G46" s="32">
        <v>3</v>
      </c>
      <c r="H46" s="32">
        <v>81146</v>
      </c>
      <c r="I46" s="32" t="s">
        <v>17</v>
      </c>
      <c r="J46" s="32">
        <v>51984004</v>
      </c>
      <c r="K46" s="32" t="s">
        <v>4624</v>
      </c>
      <c r="L46" s="38" t="s">
        <v>4626</v>
      </c>
      <c r="M46" s="34">
        <v>219900</v>
      </c>
      <c r="N46" s="35">
        <v>0.75</v>
      </c>
      <c r="O46" s="69">
        <f t="shared" si="1"/>
        <v>54975</v>
      </c>
      <c r="P46" s="34" t="str">
        <f t="shared" si="3"/>
        <v>PERCENTAGE</v>
      </c>
    </row>
    <row r="47" spans="1:16" s="31" customFormat="1" x14ac:dyDescent="0.35">
      <c r="A47" s="32" t="str">
        <f t="shared" si="5"/>
        <v>2025 JAN-JUN DISC 75%</v>
      </c>
      <c r="B47" s="33">
        <f t="shared" si="5"/>
        <v>46121</v>
      </c>
      <c r="C47" s="33">
        <f t="shared" si="5"/>
        <v>46127</v>
      </c>
      <c r="D47" s="32">
        <v>3284</v>
      </c>
      <c r="E47" s="32">
        <v>338</v>
      </c>
      <c r="F47" s="32">
        <v>4</v>
      </c>
      <c r="G47" s="32">
        <v>3</v>
      </c>
      <c r="H47" s="32">
        <v>81146</v>
      </c>
      <c r="I47" s="32" t="s">
        <v>17</v>
      </c>
      <c r="J47" s="32">
        <v>51984013</v>
      </c>
      <c r="K47" s="32" t="s">
        <v>4614</v>
      </c>
      <c r="L47" s="38" t="s">
        <v>4615</v>
      </c>
      <c r="M47" s="34">
        <v>189900</v>
      </c>
      <c r="N47" s="35">
        <v>0.75</v>
      </c>
      <c r="O47" s="69">
        <f t="shared" si="1"/>
        <v>47475</v>
      </c>
      <c r="P47" s="34" t="str">
        <f t="shared" si="3"/>
        <v>PERCENTAGE</v>
      </c>
    </row>
    <row r="48" spans="1:16" s="31" customFormat="1" x14ac:dyDescent="0.35">
      <c r="A48" s="32" t="str">
        <f t="shared" si="5"/>
        <v>2025 JAN-JUN DISC 75%</v>
      </c>
      <c r="B48" s="33">
        <f t="shared" si="5"/>
        <v>46121</v>
      </c>
      <c r="C48" s="33">
        <f t="shared" si="5"/>
        <v>46127</v>
      </c>
      <c r="D48" s="32">
        <v>3284</v>
      </c>
      <c r="E48" s="32">
        <v>338</v>
      </c>
      <c r="F48" s="32">
        <v>4</v>
      </c>
      <c r="G48" s="32">
        <v>3</v>
      </c>
      <c r="H48" s="32">
        <v>81146</v>
      </c>
      <c r="I48" s="32" t="s">
        <v>17</v>
      </c>
      <c r="J48" s="32">
        <v>51984022</v>
      </c>
      <c r="K48" s="32" t="s">
        <v>4614</v>
      </c>
      <c r="L48" s="38" t="s">
        <v>4618</v>
      </c>
      <c r="M48" s="34">
        <v>189900</v>
      </c>
      <c r="N48" s="35">
        <v>0.75</v>
      </c>
      <c r="O48" s="69">
        <f t="shared" si="1"/>
        <v>47475</v>
      </c>
      <c r="P48" s="34" t="str">
        <f t="shared" si="3"/>
        <v>PERCENTAGE</v>
      </c>
    </row>
    <row r="49" spans="1:16" s="31" customFormat="1" x14ac:dyDescent="0.35">
      <c r="A49" s="32" t="str">
        <f t="shared" si="5"/>
        <v>2025 JAN-JUN DISC 75%</v>
      </c>
      <c r="B49" s="33">
        <f t="shared" si="5"/>
        <v>46121</v>
      </c>
      <c r="C49" s="33">
        <f t="shared" si="5"/>
        <v>46127</v>
      </c>
      <c r="D49" s="32">
        <v>3284</v>
      </c>
      <c r="E49" s="32">
        <v>338</v>
      </c>
      <c r="F49" s="32">
        <v>4</v>
      </c>
      <c r="G49" s="32">
        <v>3</v>
      </c>
      <c r="H49" s="32">
        <v>81146</v>
      </c>
      <c r="I49" s="32" t="s">
        <v>17</v>
      </c>
      <c r="J49" s="32">
        <v>51984031</v>
      </c>
      <c r="K49" s="32" t="s">
        <v>4614</v>
      </c>
      <c r="L49" s="38" t="s">
        <v>4617</v>
      </c>
      <c r="M49" s="34">
        <v>189900</v>
      </c>
      <c r="N49" s="35">
        <v>0.75</v>
      </c>
      <c r="O49" s="69">
        <f t="shared" si="1"/>
        <v>47475</v>
      </c>
      <c r="P49" s="34" t="str">
        <f t="shared" si="3"/>
        <v>PERCENTAGE</v>
      </c>
    </row>
    <row r="50" spans="1:16" s="31" customFormat="1" x14ac:dyDescent="0.35">
      <c r="A50" s="32" t="str">
        <f t="shared" si="5"/>
        <v>2025 JAN-JUN DISC 75%</v>
      </c>
      <c r="B50" s="33">
        <f t="shared" si="5"/>
        <v>46121</v>
      </c>
      <c r="C50" s="33">
        <f t="shared" si="5"/>
        <v>46127</v>
      </c>
      <c r="D50" s="32">
        <v>3284</v>
      </c>
      <c r="E50" s="32">
        <v>338</v>
      </c>
      <c r="F50" s="32">
        <v>4</v>
      </c>
      <c r="G50" s="32">
        <v>3</v>
      </c>
      <c r="H50" s="32">
        <v>81146</v>
      </c>
      <c r="I50" s="32" t="s">
        <v>17</v>
      </c>
      <c r="J50" s="32">
        <v>51984040</v>
      </c>
      <c r="K50" s="32" t="s">
        <v>4614</v>
      </c>
      <c r="L50" s="38" t="s">
        <v>4616</v>
      </c>
      <c r="M50" s="34">
        <v>189900</v>
      </c>
      <c r="N50" s="35">
        <v>0.75</v>
      </c>
      <c r="O50" s="69">
        <f t="shared" si="1"/>
        <v>47475</v>
      </c>
      <c r="P50" s="34" t="str">
        <f t="shared" si="3"/>
        <v>PERCENTAGE</v>
      </c>
    </row>
    <row r="51" spans="1:16" s="31" customFormat="1" x14ac:dyDescent="0.35">
      <c r="A51" s="32" t="str">
        <f t="shared" si="5"/>
        <v>2025 JAN-JUN DISC 75%</v>
      </c>
      <c r="B51" s="33">
        <f t="shared" si="5"/>
        <v>46121</v>
      </c>
      <c r="C51" s="33">
        <f t="shared" si="5"/>
        <v>46127</v>
      </c>
      <c r="D51" s="32">
        <v>3284</v>
      </c>
      <c r="E51" s="32">
        <v>338</v>
      </c>
      <c r="F51" s="32">
        <v>4</v>
      </c>
      <c r="G51" s="32">
        <v>3</v>
      </c>
      <c r="H51" s="32">
        <v>81146</v>
      </c>
      <c r="I51" s="32" t="s">
        <v>17</v>
      </c>
      <c r="J51" s="32">
        <v>51984059</v>
      </c>
      <c r="K51" s="32" t="s">
        <v>4619</v>
      </c>
      <c r="L51" s="38" t="s">
        <v>4621</v>
      </c>
      <c r="M51" s="34">
        <v>189900</v>
      </c>
      <c r="N51" s="35">
        <v>0.75</v>
      </c>
      <c r="O51" s="69">
        <f t="shared" si="1"/>
        <v>47475</v>
      </c>
      <c r="P51" s="34" t="str">
        <f t="shared" si="3"/>
        <v>PERCENTAGE</v>
      </c>
    </row>
    <row r="52" spans="1:16" s="31" customFormat="1" x14ac:dyDescent="0.35">
      <c r="A52" s="32" t="str">
        <f t="shared" ref="A52:C67" si="6">A51</f>
        <v>2025 JAN-JUN DISC 75%</v>
      </c>
      <c r="B52" s="33">
        <f t="shared" si="6"/>
        <v>46121</v>
      </c>
      <c r="C52" s="33">
        <f t="shared" si="6"/>
        <v>46127</v>
      </c>
      <c r="D52" s="32">
        <v>3284</v>
      </c>
      <c r="E52" s="32">
        <v>338</v>
      </c>
      <c r="F52" s="32">
        <v>4</v>
      </c>
      <c r="G52" s="32">
        <v>3</v>
      </c>
      <c r="H52" s="32">
        <v>81146</v>
      </c>
      <c r="I52" s="32" t="s">
        <v>17</v>
      </c>
      <c r="J52" s="32">
        <v>51984068</v>
      </c>
      <c r="K52" s="32" t="s">
        <v>4619</v>
      </c>
      <c r="L52" s="38" t="s">
        <v>4623</v>
      </c>
      <c r="M52" s="34">
        <v>189900</v>
      </c>
      <c r="N52" s="35">
        <v>0.75</v>
      </c>
      <c r="O52" s="69">
        <f t="shared" si="1"/>
        <v>47475</v>
      </c>
      <c r="P52" s="34" t="str">
        <f t="shared" si="3"/>
        <v>PERCENTAGE</v>
      </c>
    </row>
    <row r="53" spans="1:16" s="31" customFormat="1" x14ac:dyDescent="0.35">
      <c r="A53" s="32" t="str">
        <f t="shared" si="6"/>
        <v>2025 JAN-JUN DISC 75%</v>
      </c>
      <c r="B53" s="33">
        <f t="shared" si="6"/>
        <v>46121</v>
      </c>
      <c r="C53" s="33">
        <f t="shared" si="6"/>
        <v>46127</v>
      </c>
      <c r="D53" s="32">
        <v>3284</v>
      </c>
      <c r="E53" s="32">
        <v>338</v>
      </c>
      <c r="F53" s="32">
        <v>4</v>
      </c>
      <c r="G53" s="32">
        <v>3</v>
      </c>
      <c r="H53" s="32">
        <v>81146</v>
      </c>
      <c r="I53" s="32" t="s">
        <v>17</v>
      </c>
      <c r="J53" s="32">
        <v>51984077</v>
      </c>
      <c r="K53" s="32" t="s">
        <v>4619</v>
      </c>
      <c r="L53" s="38" t="s">
        <v>4620</v>
      </c>
      <c r="M53" s="34">
        <v>189900</v>
      </c>
      <c r="N53" s="35">
        <v>0.75</v>
      </c>
      <c r="O53" s="69">
        <f t="shared" si="1"/>
        <v>47475</v>
      </c>
      <c r="P53" s="34" t="str">
        <f t="shared" si="3"/>
        <v>PERCENTAGE</v>
      </c>
    </row>
    <row r="54" spans="1:16" s="31" customFormat="1" x14ac:dyDescent="0.35">
      <c r="A54" s="32" t="str">
        <f t="shared" si="6"/>
        <v>2025 JAN-JUN DISC 75%</v>
      </c>
      <c r="B54" s="33">
        <f t="shared" si="6"/>
        <v>46121</v>
      </c>
      <c r="C54" s="33">
        <f t="shared" si="6"/>
        <v>46127</v>
      </c>
      <c r="D54" s="32">
        <v>3284</v>
      </c>
      <c r="E54" s="32">
        <v>338</v>
      </c>
      <c r="F54" s="32">
        <v>4</v>
      </c>
      <c r="G54" s="32">
        <v>3</v>
      </c>
      <c r="H54" s="32">
        <v>81146</v>
      </c>
      <c r="I54" s="32" t="s">
        <v>17</v>
      </c>
      <c r="J54" s="32">
        <v>51984086</v>
      </c>
      <c r="K54" s="32" t="s">
        <v>4619</v>
      </c>
      <c r="L54" s="38" t="s">
        <v>4622</v>
      </c>
      <c r="M54" s="34">
        <v>189900</v>
      </c>
      <c r="N54" s="35">
        <v>0.75</v>
      </c>
      <c r="O54" s="69">
        <f t="shared" si="1"/>
        <v>47475</v>
      </c>
      <c r="P54" s="34" t="str">
        <f t="shared" si="3"/>
        <v>PERCENTAGE</v>
      </c>
    </row>
    <row r="55" spans="1:16" s="31" customFormat="1" x14ac:dyDescent="0.35">
      <c r="A55" s="32" t="str">
        <f t="shared" si="6"/>
        <v>2025 JAN-JUN DISC 75%</v>
      </c>
      <c r="B55" s="33">
        <f t="shared" si="6"/>
        <v>46121</v>
      </c>
      <c r="C55" s="33">
        <f t="shared" si="6"/>
        <v>46127</v>
      </c>
      <c r="D55" s="32">
        <v>3284</v>
      </c>
      <c r="E55" s="32">
        <v>338</v>
      </c>
      <c r="F55" s="32">
        <v>4</v>
      </c>
      <c r="G55" s="32">
        <v>3</v>
      </c>
      <c r="H55" s="32">
        <v>81506</v>
      </c>
      <c r="I55" s="32" t="s">
        <v>17</v>
      </c>
      <c r="J55" s="32">
        <v>52297611</v>
      </c>
      <c r="K55" s="32" t="s">
        <v>4703</v>
      </c>
      <c r="L55" s="38" t="s">
        <v>4704</v>
      </c>
      <c r="M55" s="34">
        <v>219900</v>
      </c>
      <c r="N55" s="35">
        <v>0.75</v>
      </c>
      <c r="O55" s="69">
        <f t="shared" si="1"/>
        <v>54975</v>
      </c>
      <c r="P55" s="34" t="str">
        <f t="shared" si="3"/>
        <v>PERCENTAGE</v>
      </c>
    </row>
    <row r="56" spans="1:16" s="31" customFormat="1" x14ac:dyDescent="0.35">
      <c r="A56" s="32" t="str">
        <f t="shared" si="6"/>
        <v>2025 JAN-JUN DISC 75%</v>
      </c>
      <c r="B56" s="33">
        <f t="shared" si="6"/>
        <v>46121</v>
      </c>
      <c r="C56" s="33">
        <f t="shared" si="6"/>
        <v>46127</v>
      </c>
      <c r="D56" s="32">
        <v>3284</v>
      </c>
      <c r="E56" s="32">
        <v>338</v>
      </c>
      <c r="F56" s="32">
        <v>4</v>
      </c>
      <c r="G56" s="32">
        <v>3</v>
      </c>
      <c r="H56" s="32">
        <v>81506</v>
      </c>
      <c r="I56" s="32" t="s">
        <v>17</v>
      </c>
      <c r="J56" s="32">
        <v>52297620</v>
      </c>
      <c r="K56" s="32" t="s">
        <v>4703</v>
      </c>
      <c r="L56" s="38" t="s">
        <v>4706</v>
      </c>
      <c r="M56" s="34">
        <v>219900</v>
      </c>
      <c r="N56" s="35">
        <v>0.75</v>
      </c>
      <c r="O56" s="69">
        <f t="shared" si="1"/>
        <v>54975</v>
      </c>
      <c r="P56" s="34" t="str">
        <f t="shared" si="3"/>
        <v>PERCENTAGE</v>
      </c>
    </row>
    <row r="57" spans="1:16" s="31" customFormat="1" x14ac:dyDescent="0.35">
      <c r="A57" s="32" t="str">
        <f t="shared" si="6"/>
        <v>2025 JAN-JUN DISC 75%</v>
      </c>
      <c r="B57" s="33">
        <f t="shared" si="6"/>
        <v>46121</v>
      </c>
      <c r="C57" s="33">
        <f t="shared" si="6"/>
        <v>46127</v>
      </c>
      <c r="D57" s="32">
        <v>3284</v>
      </c>
      <c r="E57" s="32">
        <v>338</v>
      </c>
      <c r="F57" s="32">
        <v>4</v>
      </c>
      <c r="G57" s="32">
        <v>3</v>
      </c>
      <c r="H57" s="32">
        <v>81506</v>
      </c>
      <c r="I57" s="32" t="s">
        <v>17</v>
      </c>
      <c r="J57" s="32">
        <v>52297639</v>
      </c>
      <c r="K57" s="32" t="s">
        <v>4703</v>
      </c>
      <c r="L57" s="38" t="s">
        <v>4707</v>
      </c>
      <c r="M57" s="34">
        <v>219900</v>
      </c>
      <c r="N57" s="35">
        <v>0.75</v>
      </c>
      <c r="O57" s="69">
        <f t="shared" si="1"/>
        <v>54975</v>
      </c>
      <c r="P57" s="34" t="str">
        <f t="shared" si="3"/>
        <v>PERCENTAGE</v>
      </c>
    </row>
    <row r="58" spans="1:16" s="31" customFormat="1" x14ac:dyDescent="0.35">
      <c r="A58" s="32" t="str">
        <f t="shared" si="6"/>
        <v>2025 JAN-JUN DISC 75%</v>
      </c>
      <c r="B58" s="33">
        <f t="shared" si="6"/>
        <v>46121</v>
      </c>
      <c r="C58" s="33">
        <f t="shared" si="6"/>
        <v>46127</v>
      </c>
      <c r="D58" s="32">
        <v>3284</v>
      </c>
      <c r="E58" s="32">
        <v>338</v>
      </c>
      <c r="F58" s="32">
        <v>4</v>
      </c>
      <c r="G58" s="32">
        <v>3</v>
      </c>
      <c r="H58" s="32">
        <v>81506</v>
      </c>
      <c r="I58" s="32" t="s">
        <v>17</v>
      </c>
      <c r="J58" s="32">
        <v>52297648</v>
      </c>
      <c r="K58" s="32" t="s">
        <v>4703</v>
      </c>
      <c r="L58" s="38" t="s">
        <v>4705</v>
      </c>
      <c r="M58" s="34">
        <v>219900</v>
      </c>
      <c r="N58" s="35">
        <v>0.75</v>
      </c>
      <c r="O58" s="69">
        <f t="shared" si="1"/>
        <v>54975</v>
      </c>
      <c r="P58" s="34" t="str">
        <f t="shared" si="3"/>
        <v>PERCENTAGE</v>
      </c>
    </row>
    <row r="59" spans="1:16" s="31" customFormat="1" x14ac:dyDescent="0.35">
      <c r="A59" s="32" t="str">
        <f t="shared" si="6"/>
        <v>2025 JAN-JUN DISC 75%</v>
      </c>
      <c r="B59" s="33">
        <f t="shared" si="6"/>
        <v>46121</v>
      </c>
      <c r="C59" s="33">
        <f t="shared" si="6"/>
        <v>46127</v>
      </c>
      <c r="D59" s="32">
        <v>3284</v>
      </c>
      <c r="E59" s="32">
        <v>338</v>
      </c>
      <c r="F59" s="32">
        <v>4</v>
      </c>
      <c r="G59" s="32">
        <v>3</v>
      </c>
      <c r="H59" s="32">
        <v>80920</v>
      </c>
      <c r="I59" s="32" t="s">
        <v>17</v>
      </c>
      <c r="J59" s="32">
        <v>51764797</v>
      </c>
      <c r="K59" s="32" t="s">
        <v>5344</v>
      </c>
      <c r="L59" s="38" t="s">
        <v>5348</v>
      </c>
      <c r="M59" s="34">
        <v>189900</v>
      </c>
      <c r="N59" s="35">
        <v>0.75</v>
      </c>
      <c r="O59" s="69">
        <f t="shared" si="1"/>
        <v>47475</v>
      </c>
      <c r="P59" s="34" t="str">
        <f t="shared" si="3"/>
        <v>PERCENTAGE</v>
      </c>
    </row>
    <row r="60" spans="1:16" s="31" customFormat="1" x14ac:dyDescent="0.35">
      <c r="A60" s="32" t="str">
        <f t="shared" si="6"/>
        <v>2025 JAN-JUN DISC 75%</v>
      </c>
      <c r="B60" s="33">
        <f t="shared" si="6"/>
        <v>46121</v>
      </c>
      <c r="C60" s="33">
        <f t="shared" si="6"/>
        <v>46127</v>
      </c>
      <c r="D60" s="32">
        <v>3284</v>
      </c>
      <c r="E60" s="32">
        <v>338</v>
      </c>
      <c r="F60" s="32">
        <v>4</v>
      </c>
      <c r="G60" s="32">
        <v>3</v>
      </c>
      <c r="H60" s="32">
        <v>80920</v>
      </c>
      <c r="I60" s="32" t="s">
        <v>17</v>
      </c>
      <c r="J60" s="32">
        <v>51764804</v>
      </c>
      <c r="K60" s="32" t="s">
        <v>5344</v>
      </c>
      <c r="L60" s="38" t="s">
        <v>5346</v>
      </c>
      <c r="M60" s="34">
        <v>189900</v>
      </c>
      <c r="N60" s="35">
        <v>0.75</v>
      </c>
      <c r="O60" s="69">
        <f t="shared" si="1"/>
        <v>47475</v>
      </c>
      <c r="P60" s="34" t="str">
        <f t="shared" si="3"/>
        <v>PERCENTAGE</v>
      </c>
    </row>
    <row r="61" spans="1:16" s="31" customFormat="1" x14ac:dyDescent="0.35">
      <c r="A61" s="32" t="str">
        <f t="shared" si="6"/>
        <v>2025 JAN-JUN DISC 75%</v>
      </c>
      <c r="B61" s="33">
        <f t="shared" si="6"/>
        <v>46121</v>
      </c>
      <c r="C61" s="33">
        <f t="shared" si="6"/>
        <v>46127</v>
      </c>
      <c r="D61" s="32">
        <v>3284</v>
      </c>
      <c r="E61" s="32">
        <v>338</v>
      </c>
      <c r="F61" s="32">
        <v>4</v>
      </c>
      <c r="G61" s="32">
        <v>3</v>
      </c>
      <c r="H61" s="32">
        <v>80920</v>
      </c>
      <c r="I61" s="32" t="s">
        <v>17</v>
      </c>
      <c r="J61" s="32">
        <v>51764813</v>
      </c>
      <c r="K61" s="32" t="s">
        <v>5344</v>
      </c>
      <c r="L61" s="38" t="s">
        <v>5347</v>
      </c>
      <c r="M61" s="34">
        <v>189900</v>
      </c>
      <c r="N61" s="35">
        <v>0.75</v>
      </c>
      <c r="O61" s="69">
        <f t="shared" si="1"/>
        <v>47475</v>
      </c>
      <c r="P61" s="34" t="str">
        <f t="shared" si="3"/>
        <v>PERCENTAGE</v>
      </c>
    </row>
    <row r="62" spans="1:16" s="31" customFormat="1" x14ac:dyDescent="0.35">
      <c r="A62" s="32" t="str">
        <f t="shared" si="6"/>
        <v>2025 JAN-JUN DISC 75%</v>
      </c>
      <c r="B62" s="33">
        <f t="shared" si="6"/>
        <v>46121</v>
      </c>
      <c r="C62" s="33">
        <f t="shared" si="6"/>
        <v>46127</v>
      </c>
      <c r="D62" s="32">
        <v>3284</v>
      </c>
      <c r="E62" s="32">
        <v>338</v>
      </c>
      <c r="F62" s="32">
        <v>4</v>
      </c>
      <c r="G62" s="32">
        <v>3</v>
      </c>
      <c r="H62" s="32">
        <v>80920</v>
      </c>
      <c r="I62" s="32" t="s">
        <v>17</v>
      </c>
      <c r="J62" s="32">
        <v>51764822</v>
      </c>
      <c r="K62" s="32" t="s">
        <v>5344</v>
      </c>
      <c r="L62" s="38" t="s">
        <v>5345</v>
      </c>
      <c r="M62" s="34">
        <v>189900</v>
      </c>
      <c r="N62" s="35">
        <v>0.75</v>
      </c>
      <c r="O62" s="69">
        <f t="shared" si="1"/>
        <v>47475</v>
      </c>
      <c r="P62" s="34" t="str">
        <f t="shared" si="3"/>
        <v>PERCENTAGE</v>
      </c>
    </row>
    <row r="63" spans="1:16" s="31" customFormat="1" x14ac:dyDescent="0.35">
      <c r="A63" s="32" t="str">
        <f t="shared" si="6"/>
        <v>2025 JAN-JUN DISC 75%</v>
      </c>
      <c r="B63" s="33">
        <f t="shared" si="6"/>
        <v>46121</v>
      </c>
      <c r="C63" s="33">
        <f t="shared" si="6"/>
        <v>46127</v>
      </c>
      <c r="D63" s="32">
        <v>3284</v>
      </c>
      <c r="E63" s="32">
        <v>338</v>
      </c>
      <c r="F63" s="32">
        <v>4</v>
      </c>
      <c r="G63" s="32">
        <v>4</v>
      </c>
      <c r="H63" s="32">
        <v>81146</v>
      </c>
      <c r="I63" s="32" t="s">
        <v>17</v>
      </c>
      <c r="J63" s="32">
        <v>51764877</v>
      </c>
      <c r="K63" s="32" t="s">
        <v>4728</v>
      </c>
      <c r="L63" s="38" t="s">
        <v>4732</v>
      </c>
      <c r="M63" s="34">
        <v>219900</v>
      </c>
      <c r="N63" s="35">
        <v>0.75</v>
      </c>
      <c r="O63" s="69">
        <f t="shared" si="1"/>
        <v>54975</v>
      </c>
      <c r="P63" s="34" t="str">
        <f t="shared" si="3"/>
        <v>PERCENTAGE</v>
      </c>
    </row>
    <row r="64" spans="1:16" s="31" customFormat="1" x14ac:dyDescent="0.35">
      <c r="A64" s="32" t="str">
        <f t="shared" si="6"/>
        <v>2025 JAN-JUN DISC 75%</v>
      </c>
      <c r="B64" s="33">
        <f t="shared" si="6"/>
        <v>46121</v>
      </c>
      <c r="C64" s="33">
        <f t="shared" si="6"/>
        <v>46127</v>
      </c>
      <c r="D64" s="32">
        <v>3284</v>
      </c>
      <c r="E64" s="32">
        <v>338</v>
      </c>
      <c r="F64" s="32">
        <v>4</v>
      </c>
      <c r="G64" s="32">
        <v>4</v>
      </c>
      <c r="H64" s="32">
        <v>81146</v>
      </c>
      <c r="I64" s="32" t="s">
        <v>17</v>
      </c>
      <c r="J64" s="32">
        <v>51764886</v>
      </c>
      <c r="K64" s="32" t="s">
        <v>4728</v>
      </c>
      <c r="L64" s="38" t="s">
        <v>4730</v>
      </c>
      <c r="M64" s="34">
        <v>219900</v>
      </c>
      <c r="N64" s="35">
        <v>0.75</v>
      </c>
      <c r="O64" s="69">
        <f t="shared" si="1"/>
        <v>54975</v>
      </c>
      <c r="P64" s="34" t="str">
        <f t="shared" si="3"/>
        <v>PERCENTAGE</v>
      </c>
    </row>
    <row r="65" spans="1:16" s="31" customFormat="1" x14ac:dyDescent="0.35">
      <c r="A65" s="32" t="str">
        <f t="shared" si="6"/>
        <v>2025 JAN-JUN DISC 75%</v>
      </c>
      <c r="B65" s="33">
        <f t="shared" si="6"/>
        <v>46121</v>
      </c>
      <c r="C65" s="33">
        <f t="shared" si="6"/>
        <v>46127</v>
      </c>
      <c r="D65" s="32">
        <v>3284</v>
      </c>
      <c r="E65" s="32">
        <v>338</v>
      </c>
      <c r="F65" s="32">
        <v>4</v>
      </c>
      <c r="G65" s="32">
        <v>4</v>
      </c>
      <c r="H65" s="32">
        <v>81146</v>
      </c>
      <c r="I65" s="32" t="s">
        <v>17</v>
      </c>
      <c r="J65" s="32">
        <v>51764895</v>
      </c>
      <c r="K65" s="32" t="s">
        <v>4728</v>
      </c>
      <c r="L65" s="38" t="s">
        <v>4729</v>
      </c>
      <c r="M65" s="34">
        <v>219900</v>
      </c>
      <c r="N65" s="35">
        <v>0.75</v>
      </c>
      <c r="O65" s="69">
        <f t="shared" si="1"/>
        <v>54975</v>
      </c>
      <c r="P65" s="34" t="str">
        <f t="shared" si="3"/>
        <v>PERCENTAGE</v>
      </c>
    </row>
    <row r="66" spans="1:16" s="31" customFormat="1" x14ac:dyDescent="0.35">
      <c r="A66" s="32" t="str">
        <f t="shared" si="6"/>
        <v>2025 JAN-JUN DISC 75%</v>
      </c>
      <c r="B66" s="33">
        <f t="shared" si="6"/>
        <v>46121</v>
      </c>
      <c r="C66" s="33">
        <f t="shared" si="6"/>
        <v>46127</v>
      </c>
      <c r="D66" s="32">
        <v>3284</v>
      </c>
      <c r="E66" s="32">
        <v>338</v>
      </c>
      <c r="F66" s="32">
        <v>4</v>
      </c>
      <c r="G66" s="32">
        <v>4</v>
      </c>
      <c r="H66" s="32">
        <v>81146</v>
      </c>
      <c r="I66" s="32" t="s">
        <v>17</v>
      </c>
      <c r="J66" s="32">
        <v>51764902</v>
      </c>
      <c r="K66" s="32" t="s">
        <v>4728</v>
      </c>
      <c r="L66" s="38" t="s">
        <v>4731</v>
      </c>
      <c r="M66" s="34">
        <v>219900</v>
      </c>
      <c r="N66" s="35">
        <v>0.75</v>
      </c>
      <c r="O66" s="69">
        <f t="shared" si="1"/>
        <v>54975</v>
      </c>
      <c r="P66" s="34" t="str">
        <f t="shared" si="3"/>
        <v>PERCENTAGE</v>
      </c>
    </row>
    <row r="67" spans="1:16" s="31" customFormat="1" x14ac:dyDescent="0.35">
      <c r="A67" s="32" t="str">
        <f t="shared" si="6"/>
        <v>2025 JAN-JUN DISC 75%</v>
      </c>
      <c r="B67" s="33">
        <f t="shared" si="6"/>
        <v>46121</v>
      </c>
      <c r="C67" s="33">
        <f t="shared" si="6"/>
        <v>46127</v>
      </c>
      <c r="D67" s="32">
        <v>3284</v>
      </c>
      <c r="E67" s="32">
        <v>338</v>
      </c>
      <c r="F67" s="32">
        <v>4</v>
      </c>
      <c r="G67" s="32">
        <v>4</v>
      </c>
      <c r="H67" s="32">
        <v>81146</v>
      </c>
      <c r="I67" s="32" t="s">
        <v>17</v>
      </c>
      <c r="J67" s="32">
        <v>51764957</v>
      </c>
      <c r="K67" s="32" t="s">
        <v>4723</v>
      </c>
      <c r="L67" s="38" t="s">
        <v>4725</v>
      </c>
      <c r="M67" s="34">
        <v>219900</v>
      </c>
      <c r="N67" s="35">
        <v>0.75</v>
      </c>
      <c r="O67" s="69">
        <f t="shared" ref="O67:O118" si="7">M67-((75*M67))/100</f>
        <v>54975</v>
      </c>
      <c r="P67" s="34" t="str">
        <f t="shared" si="3"/>
        <v>PERCENTAGE</v>
      </c>
    </row>
    <row r="68" spans="1:16" s="31" customFormat="1" x14ac:dyDescent="0.35">
      <c r="A68" s="32" t="str">
        <f t="shared" ref="A68:C83" si="8">A67</f>
        <v>2025 JAN-JUN DISC 75%</v>
      </c>
      <c r="B68" s="33">
        <f t="shared" si="8"/>
        <v>46121</v>
      </c>
      <c r="C68" s="33">
        <f t="shared" si="8"/>
        <v>46127</v>
      </c>
      <c r="D68" s="32">
        <v>3284</v>
      </c>
      <c r="E68" s="32">
        <v>338</v>
      </c>
      <c r="F68" s="32">
        <v>4</v>
      </c>
      <c r="G68" s="32">
        <v>4</v>
      </c>
      <c r="H68" s="32">
        <v>81146</v>
      </c>
      <c r="I68" s="32" t="s">
        <v>17</v>
      </c>
      <c r="J68" s="32">
        <v>51764966</v>
      </c>
      <c r="K68" s="32" t="s">
        <v>4723</v>
      </c>
      <c r="L68" s="38" t="s">
        <v>4727</v>
      </c>
      <c r="M68" s="34">
        <v>219900</v>
      </c>
      <c r="N68" s="35">
        <v>0.75</v>
      </c>
      <c r="O68" s="69">
        <f t="shared" si="7"/>
        <v>54975</v>
      </c>
      <c r="P68" s="34" t="str">
        <f t="shared" ref="P68:P118" si="9">P67</f>
        <v>PERCENTAGE</v>
      </c>
    </row>
    <row r="69" spans="1:16" s="31" customFormat="1" x14ac:dyDescent="0.35">
      <c r="A69" s="32" t="str">
        <f t="shared" si="8"/>
        <v>2025 JAN-JUN DISC 75%</v>
      </c>
      <c r="B69" s="33">
        <f t="shared" si="8"/>
        <v>46121</v>
      </c>
      <c r="C69" s="33">
        <f t="shared" si="8"/>
        <v>46127</v>
      </c>
      <c r="D69" s="32">
        <v>3284</v>
      </c>
      <c r="E69" s="32">
        <v>338</v>
      </c>
      <c r="F69" s="32">
        <v>4</v>
      </c>
      <c r="G69" s="32">
        <v>4</v>
      </c>
      <c r="H69" s="32">
        <v>81146</v>
      </c>
      <c r="I69" s="32" t="s">
        <v>17</v>
      </c>
      <c r="J69" s="32">
        <v>51764975</v>
      </c>
      <c r="K69" s="32" t="s">
        <v>4723</v>
      </c>
      <c r="L69" s="38" t="s">
        <v>4724</v>
      </c>
      <c r="M69" s="34">
        <v>219900</v>
      </c>
      <c r="N69" s="35">
        <v>0.75</v>
      </c>
      <c r="O69" s="69">
        <f t="shared" si="7"/>
        <v>54975</v>
      </c>
      <c r="P69" s="34" t="str">
        <f t="shared" si="9"/>
        <v>PERCENTAGE</v>
      </c>
    </row>
    <row r="70" spans="1:16" s="31" customFormat="1" x14ac:dyDescent="0.35">
      <c r="A70" s="32" t="str">
        <f t="shared" si="8"/>
        <v>2025 JAN-JUN DISC 75%</v>
      </c>
      <c r="B70" s="33">
        <f t="shared" si="8"/>
        <v>46121</v>
      </c>
      <c r="C70" s="33">
        <f t="shared" si="8"/>
        <v>46127</v>
      </c>
      <c r="D70" s="32">
        <v>3284</v>
      </c>
      <c r="E70" s="32">
        <v>338</v>
      </c>
      <c r="F70" s="32">
        <v>4</v>
      </c>
      <c r="G70" s="32">
        <v>4</v>
      </c>
      <c r="H70" s="32">
        <v>81146</v>
      </c>
      <c r="I70" s="32" t="s">
        <v>17</v>
      </c>
      <c r="J70" s="32">
        <v>51764984</v>
      </c>
      <c r="K70" s="32" t="s">
        <v>4723</v>
      </c>
      <c r="L70" s="38" t="s">
        <v>4726</v>
      </c>
      <c r="M70" s="34">
        <v>219900</v>
      </c>
      <c r="N70" s="35">
        <v>0.75</v>
      </c>
      <c r="O70" s="69">
        <f t="shared" si="7"/>
        <v>54975</v>
      </c>
      <c r="P70" s="34" t="str">
        <f t="shared" si="9"/>
        <v>PERCENTAGE</v>
      </c>
    </row>
    <row r="71" spans="1:16" s="31" customFormat="1" x14ac:dyDescent="0.35">
      <c r="A71" s="32" t="str">
        <f t="shared" si="8"/>
        <v>2025 JAN-JUN DISC 75%</v>
      </c>
      <c r="B71" s="33">
        <f t="shared" si="8"/>
        <v>46121</v>
      </c>
      <c r="C71" s="33">
        <f t="shared" si="8"/>
        <v>46127</v>
      </c>
      <c r="D71" s="32">
        <v>3284</v>
      </c>
      <c r="E71" s="32">
        <v>338</v>
      </c>
      <c r="F71" s="32">
        <v>4</v>
      </c>
      <c r="G71" s="32">
        <v>5</v>
      </c>
      <c r="H71" s="32">
        <v>80920</v>
      </c>
      <c r="I71" s="32" t="s">
        <v>17</v>
      </c>
      <c r="J71" s="32">
        <v>51764993</v>
      </c>
      <c r="K71" s="32" t="s">
        <v>4718</v>
      </c>
      <c r="L71" s="38" t="s">
        <v>4722</v>
      </c>
      <c r="M71" s="34">
        <v>219900</v>
      </c>
      <c r="N71" s="35">
        <v>0.75</v>
      </c>
      <c r="O71" s="69">
        <f t="shared" si="7"/>
        <v>54975</v>
      </c>
      <c r="P71" s="34" t="str">
        <f t="shared" si="9"/>
        <v>PERCENTAGE</v>
      </c>
    </row>
    <row r="72" spans="1:16" s="31" customFormat="1" x14ac:dyDescent="0.35">
      <c r="A72" s="32" t="str">
        <f t="shared" si="8"/>
        <v>2025 JAN-JUN DISC 75%</v>
      </c>
      <c r="B72" s="33">
        <f t="shared" si="8"/>
        <v>46121</v>
      </c>
      <c r="C72" s="33">
        <f t="shared" si="8"/>
        <v>46127</v>
      </c>
      <c r="D72" s="32">
        <v>3284</v>
      </c>
      <c r="E72" s="32">
        <v>338</v>
      </c>
      <c r="F72" s="32">
        <v>4</v>
      </c>
      <c r="G72" s="32">
        <v>5</v>
      </c>
      <c r="H72" s="32">
        <v>80920</v>
      </c>
      <c r="I72" s="32" t="s">
        <v>17</v>
      </c>
      <c r="J72" s="32">
        <v>51765009</v>
      </c>
      <c r="K72" s="32" t="s">
        <v>4718</v>
      </c>
      <c r="L72" s="38" t="s">
        <v>4721</v>
      </c>
      <c r="M72" s="34">
        <v>219900</v>
      </c>
      <c r="N72" s="35">
        <v>0.75</v>
      </c>
      <c r="O72" s="69">
        <f t="shared" si="7"/>
        <v>54975</v>
      </c>
      <c r="P72" s="34" t="str">
        <f t="shared" si="9"/>
        <v>PERCENTAGE</v>
      </c>
    </row>
    <row r="73" spans="1:16" s="31" customFormat="1" x14ac:dyDescent="0.35">
      <c r="A73" s="32" t="str">
        <f t="shared" si="8"/>
        <v>2025 JAN-JUN DISC 75%</v>
      </c>
      <c r="B73" s="33">
        <f t="shared" si="8"/>
        <v>46121</v>
      </c>
      <c r="C73" s="33">
        <f t="shared" si="8"/>
        <v>46127</v>
      </c>
      <c r="D73" s="32">
        <v>3284</v>
      </c>
      <c r="E73" s="32">
        <v>338</v>
      </c>
      <c r="F73" s="32">
        <v>4</v>
      </c>
      <c r="G73" s="32">
        <v>5</v>
      </c>
      <c r="H73" s="32">
        <v>80920</v>
      </c>
      <c r="I73" s="32" t="s">
        <v>17</v>
      </c>
      <c r="J73" s="32">
        <v>51765018</v>
      </c>
      <c r="K73" s="32" t="s">
        <v>4718</v>
      </c>
      <c r="L73" s="38" t="s">
        <v>4719</v>
      </c>
      <c r="M73" s="34">
        <v>219900</v>
      </c>
      <c r="N73" s="35">
        <v>0.75</v>
      </c>
      <c r="O73" s="69">
        <f t="shared" si="7"/>
        <v>54975</v>
      </c>
      <c r="P73" s="34" t="str">
        <f t="shared" si="9"/>
        <v>PERCENTAGE</v>
      </c>
    </row>
    <row r="74" spans="1:16" s="31" customFormat="1" x14ac:dyDescent="0.35">
      <c r="A74" s="32" t="str">
        <f t="shared" si="8"/>
        <v>2025 JAN-JUN DISC 75%</v>
      </c>
      <c r="B74" s="33">
        <f t="shared" si="8"/>
        <v>46121</v>
      </c>
      <c r="C74" s="33">
        <f t="shared" si="8"/>
        <v>46127</v>
      </c>
      <c r="D74" s="32">
        <v>3284</v>
      </c>
      <c r="E74" s="32">
        <v>338</v>
      </c>
      <c r="F74" s="32">
        <v>4</v>
      </c>
      <c r="G74" s="32">
        <v>5</v>
      </c>
      <c r="H74" s="32">
        <v>80920</v>
      </c>
      <c r="I74" s="32" t="s">
        <v>17</v>
      </c>
      <c r="J74" s="32">
        <v>51765027</v>
      </c>
      <c r="K74" s="32" t="s">
        <v>4718</v>
      </c>
      <c r="L74" s="38" t="s">
        <v>4720</v>
      </c>
      <c r="M74" s="34">
        <v>219900</v>
      </c>
      <c r="N74" s="35">
        <v>0.75</v>
      </c>
      <c r="O74" s="69">
        <f t="shared" si="7"/>
        <v>54975</v>
      </c>
      <c r="P74" s="34" t="str">
        <f t="shared" si="9"/>
        <v>PERCENTAGE</v>
      </c>
    </row>
    <row r="75" spans="1:16" s="31" customFormat="1" x14ac:dyDescent="0.35">
      <c r="A75" s="32" t="str">
        <f t="shared" si="8"/>
        <v>2025 JAN-JUN DISC 75%</v>
      </c>
      <c r="B75" s="33">
        <f t="shared" si="8"/>
        <v>46121</v>
      </c>
      <c r="C75" s="33">
        <f t="shared" si="8"/>
        <v>46127</v>
      </c>
      <c r="D75" s="32">
        <v>3284</v>
      </c>
      <c r="E75" s="32">
        <v>338</v>
      </c>
      <c r="F75" s="32">
        <v>4</v>
      </c>
      <c r="G75" s="32">
        <v>3</v>
      </c>
      <c r="H75" s="32">
        <v>81146</v>
      </c>
      <c r="I75" s="32" t="s">
        <v>17</v>
      </c>
      <c r="J75" s="32">
        <v>51984139</v>
      </c>
      <c r="K75" s="32" t="s">
        <v>4738</v>
      </c>
      <c r="L75" s="38" t="s">
        <v>4739</v>
      </c>
      <c r="M75" s="34">
        <v>219900</v>
      </c>
      <c r="N75" s="35">
        <v>0.75</v>
      </c>
      <c r="O75" s="69">
        <f t="shared" si="7"/>
        <v>54975</v>
      </c>
      <c r="P75" s="34" t="str">
        <f t="shared" si="9"/>
        <v>PERCENTAGE</v>
      </c>
    </row>
    <row r="76" spans="1:16" s="31" customFormat="1" x14ac:dyDescent="0.35">
      <c r="A76" s="32" t="str">
        <f t="shared" si="8"/>
        <v>2025 JAN-JUN DISC 75%</v>
      </c>
      <c r="B76" s="33">
        <f t="shared" si="8"/>
        <v>46121</v>
      </c>
      <c r="C76" s="33">
        <f t="shared" si="8"/>
        <v>46127</v>
      </c>
      <c r="D76" s="32">
        <v>3284</v>
      </c>
      <c r="E76" s="32">
        <v>338</v>
      </c>
      <c r="F76" s="32">
        <v>4</v>
      </c>
      <c r="G76" s="32">
        <v>3</v>
      </c>
      <c r="H76" s="32">
        <v>81146</v>
      </c>
      <c r="I76" s="32" t="s">
        <v>17</v>
      </c>
      <c r="J76" s="32">
        <v>51984148</v>
      </c>
      <c r="K76" s="32" t="s">
        <v>4738</v>
      </c>
      <c r="L76" s="38" t="s">
        <v>4742</v>
      </c>
      <c r="M76" s="34">
        <v>219900</v>
      </c>
      <c r="N76" s="35">
        <v>0.75</v>
      </c>
      <c r="O76" s="69">
        <f t="shared" si="7"/>
        <v>54975</v>
      </c>
      <c r="P76" s="34" t="str">
        <f t="shared" si="9"/>
        <v>PERCENTAGE</v>
      </c>
    </row>
    <row r="77" spans="1:16" s="31" customFormat="1" x14ac:dyDescent="0.35">
      <c r="A77" s="32" t="str">
        <f t="shared" si="8"/>
        <v>2025 JAN-JUN DISC 75%</v>
      </c>
      <c r="B77" s="33">
        <f t="shared" si="8"/>
        <v>46121</v>
      </c>
      <c r="C77" s="33">
        <f t="shared" si="8"/>
        <v>46127</v>
      </c>
      <c r="D77" s="32">
        <v>3284</v>
      </c>
      <c r="E77" s="32">
        <v>338</v>
      </c>
      <c r="F77" s="32">
        <v>4</v>
      </c>
      <c r="G77" s="32">
        <v>3</v>
      </c>
      <c r="H77" s="32">
        <v>81146</v>
      </c>
      <c r="I77" s="32" t="s">
        <v>17</v>
      </c>
      <c r="J77" s="32">
        <v>51984157</v>
      </c>
      <c r="K77" s="32" t="s">
        <v>4738</v>
      </c>
      <c r="L77" s="38" t="s">
        <v>4740</v>
      </c>
      <c r="M77" s="34">
        <v>219900</v>
      </c>
      <c r="N77" s="35">
        <v>0.75</v>
      </c>
      <c r="O77" s="69">
        <f t="shared" si="7"/>
        <v>54975</v>
      </c>
      <c r="P77" s="34" t="str">
        <f t="shared" si="9"/>
        <v>PERCENTAGE</v>
      </c>
    </row>
    <row r="78" spans="1:16" s="31" customFormat="1" x14ac:dyDescent="0.35">
      <c r="A78" s="32" t="str">
        <f t="shared" si="8"/>
        <v>2025 JAN-JUN DISC 75%</v>
      </c>
      <c r="B78" s="33">
        <f t="shared" si="8"/>
        <v>46121</v>
      </c>
      <c r="C78" s="33">
        <f t="shared" si="8"/>
        <v>46127</v>
      </c>
      <c r="D78" s="32">
        <v>3284</v>
      </c>
      <c r="E78" s="32">
        <v>338</v>
      </c>
      <c r="F78" s="32">
        <v>4</v>
      </c>
      <c r="G78" s="32">
        <v>3</v>
      </c>
      <c r="H78" s="32">
        <v>81146</v>
      </c>
      <c r="I78" s="32" t="s">
        <v>17</v>
      </c>
      <c r="J78" s="32">
        <v>51984166</v>
      </c>
      <c r="K78" s="32" t="s">
        <v>4738</v>
      </c>
      <c r="L78" s="38" t="s">
        <v>4741</v>
      </c>
      <c r="M78" s="34">
        <v>219900</v>
      </c>
      <c r="N78" s="35">
        <v>0.75</v>
      </c>
      <c r="O78" s="69">
        <f t="shared" si="7"/>
        <v>54975</v>
      </c>
      <c r="P78" s="34" t="str">
        <f t="shared" si="9"/>
        <v>PERCENTAGE</v>
      </c>
    </row>
    <row r="79" spans="1:16" s="31" customFormat="1" x14ac:dyDescent="0.35">
      <c r="A79" s="32" t="str">
        <f t="shared" si="8"/>
        <v>2025 JAN-JUN DISC 75%</v>
      </c>
      <c r="B79" s="33">
        <f t="shared" si="8"/>
        <v>46121</v>
      </c>
      <c r="C79" s="33">
        <f t="shared" si="8"/>
        <v>46127</v>
      </c>
      <c r="D79" s="32">
        <v>3284</v>
      </c>
      <c r="E79" s="32">
        <v>338</v>
      </c>
      <c r="F79" s="32">
        <v>4</v>
      </c>
      <c r="G79" s="32">
        <v>4</v>
      </c>
      <c r="H79" s="32">
        <v>81506</v>
      </c>
      <c r="I79" s="32" t="s">
        <v>17</v>
      </c>
      <c r="J79" s="32">
        <v>52297693</v>
      </c>
      <c r="K79" s="32" t="s">
        <v>5349</v>
      </c>
      <c r="L79" s="38" t="s">
        <v>5352</v>
      </c>
      <c r="M79" s="34">
        <v>219900</v>
      </c>
      <c r="N79" s="35">
        <v>0.75</v>
      </c>
      <c r="O79" s="69">
        <f t="shared" si="7"/>
        <v>54975</v>
      </c>
      <c r="P79" s="34" t="str">
        <f t="shared" si="9"/>
        <v>PERCENTAGE</v>
      </c>
    </row>
    <row r="80" spans="1:16" s="31" customFormat="1" x14ac:dyDescent="0.35">
      <c r="A80" s="32" t="str">
        <f t="shared" si="8"/>
        <v>2025 JAN-JUN DISC 75%</v>
      </c>
      <c r="B80" s="33">
        <f t="shared" si="8"/>
        <v>46121</v>
      </c>
      <c r="C80" s="33">
        <f t="shared" si="8"/>
        <v>46127</v>
      </c>
      <c r="D80" s="32">
        <v>3284</v>
      </c>
      <c r="E80" s="32">
        <v>338</v>
      </c>
      <c r="F80" s="32">
        <v>4</v>
      </c>
      <c r="G80" s="32">
        <v>4</v>
      </c>
      <c r="H80" s="32">
        <v>81506</v>
      </c>
      <c r="I80" s="32" t="s">
        <v>17</v>
      </c>
      <c r="J80" s="32">
        <v>52297700</v>
      </c>
      <c r="K80" s="32" t="s">
        <v>5349</v>
      </c>
      <c r="L80" s="38" t="s">
        <v>5350</v>
      </c>
      <c r="M80" s="34">
        <v>219900</v>
      </c>
      <c r="N80" s="35">
        <v>0.75</v>
      </c>
      <c r="O80" s="69">
        <f t="shared" si="7"/>
        <v>54975</v>
      </c>
      <c r="P80" s="34" t="str">
        <f t="shared" si="9"/>
        <v>PERCENTAGE</v>
      </c>
    </row>
    <row r="81" spans="1:16" s="31" customFormat="1" x14ac:dyDescent="0.35">
      <c r="A81" s="32" t="str">
        <f t="shared" si="8"/>
        <v>2025 JAN-JUN DISC 75%</v>
      </c>
      <c r="B81" s="33">
        <f t="shared" si="8"/>
        <v>46121</v>
      </c>
      <c r="C81" s="33">
        <f t="shared" si="8"/>
        <v>46127</v>
      </c>
      <c r="D81" s="32">
        <v>3284</v>
      </c>
      <c r="E81" s="32">
        <v>338</v>
      </c>
      <c r="F81" s="32">
        <v>4</v>
      </c>
      <c r="G81" s="32">
        <v>4</v>
      </c>
      <c r="H81" s="32">
        <v>81506</v>
      </c>
      <c r="I81" s="32" t="s">
        <v>17</v>
      </c>
      <c r="J81" s="32">
        <v>52297719</v>
      </c>
      <c r="K81" s="32" t="s">
        <v>5349</v>
      </c>
      <c r="L81" s="38" t="s">
        <v>5353</v>
      </c>
      <c r="M81" s="34">
        <v>219900</v>
      </c>
      <c r="N81" s="35">
        <v>0.75</v>
      </c>
      <c r="O81" s="69">
        <f t="shared" si="7"/>
        <v>54975</v>
      </c>
      <c r="P81" s="34" t="str">
        <f t="shared" si="9"/>
        <v>PERCENTAGE</v>
      </c>
    </row>
    <row r="82" spans="1:16" s="31" customFormat="1" x14ac:dyDescent="0.35">
      <c r="A82" s="32" t="str">
        <f t="shared" si="8"/>
        <v>2025 JAN-JUN DISC 75%</v>
      </c>
      <c r="B82" s="33">
        <f t="shared" si="8"/>
        <v>46121</v>
      </c>
      <c r="C82" s="33">
        <f t="shared" si="8"/>
        <v>46127</v>
      </c>
      <c r="D82" s="32">
        <v>3284</v>
      </c>
      <c r="E82" s="32">
        <v>338</v>
      </c>
      <c r="F82" s="32">
        <v>4</v>
      </c>
      <c r="G82" s="32">
        <v>4</v>
      </c>
      <c r="H82" s="32">
        <v>81506</v>
      </c>
      <c r="I82" s="32" t="s">
        <v>17</v>
      </c>
      <c r="J82" s="32">
        <v>52297728</v>
      </c>
      <c r="K82" s="32" t="s">
        <v>5349</v>
      </c>
      <c r="L82" s="38" t="s">
        <v>5351</v>
      </c>
      <c r="M82" s="34">
        <v>219900</v>
      </c>
      <c r="N82" s="35">
        <v>0.75</v>
      </c>
      <c r="O82" s="69">
        <f t="shared" si="7"/>
        <v>54975</v>
      </c>
      <c r="P82" s="34" t="str">
        <f t="shared" si="9"/>
        <v>PERCENTAGE</v>
      </c>
    </row>
    <row r="83" spans="1:16" s="31" customFormat="1" x14ac:dyDescent="0.35">
      <c r="A83" s="32" t="str">
        <f t="shared" si="8"/>
        <v>2025 JAN-JUN DISC 75%</v>
      </c>
      <c r="B83" s="33">
        <f t="shared" si="8"/>
        <v>46121</v>
      </c>
      <c r="C83" s="33">
        <f t="shared" si="8"/>
        <v>46127</v>
      </c>
      <c r="D83" s="32">
        <v>3284</v>
      </c>
      <c r="E83" s="32">
        <v>338</v>
      </c>
      <c r="F83" s="32">
        <v>4</v>
      </c>
      <c r="G83" s="32">
        <v>5</v>
      </c>
      <c r="H83" s="32">
        <v>81146</v>
      </c>
      <c r="I83" s="32" t="s">
        <v>17</v>
      </c>
      <c r="J83" s="32">
        <v>52297817</v>
      </c>
      <c r="K83" s="32" t="s">
        <v>5354</v>
      </c>
      <c r="L83" s="38" t="s">
        <v>5355</v>
      </c>
      <c r="M83" s="34">
        <v>219900</v>
      </c>
      <c r="N83" s="35">
        <v>0.75</v>
      </c>
      <c r="O83" s="69">
        <f t="shared" si="7"/>
        <v>54975</v>
      </c>
      <c r="P83" s="34" t="str">
        <f t="shared" si="9"/>
        <v>PERCENTAGE</v>
      </c>
    </row>
    <row r="84" spans="1:16" s="31" customFormat="1" x14ac:dyDescent="0.35">
      <c r="A84" s="32" t="str">
        <f t="shared" ref="A84:C99" si="10">A83</f>
        <v>2025 JAN-JUN DISC 75%</v>
      </c>
      <c r="B84" s="33">
        <f t="shared" si="10"/>
        <v>46121</v>
      </c>
      <c r="C84" s="33">
        <f t="shared" si="10"/>
        <v>46127</v>
      </c>
      <c r="D84" s="32">
        <v>3284</v>
      </c>
      <c r="E84" s="32">
        <v>338</v>
      </c>
      <c r="F84" s="32">
        <v>4</v>
      </c>
      <c r="G84" s="32">
        <v>5</v>
      </c>
      <c r="H84" s="32">
        <v>81146</v>
      </c>
      <c r="I84" s="32" t="s">
        <v>17</v>
      </c>
      <c r="J84" s="32">
        <v>52297826</v>
      </c>
      <c r="K84" s="32" t="s">
        <v>5354</v>
      </c>
      <c r="L84" s="38" t="s">
        <v>5356</v>
      </c>
      <c r="M84" s="34">
        <v>219900</v>
      </c>
      <c r="N84" s="35">
        <v>0.75</v>
      </c>
      <c r="O84" s="69">
        <f t="shared" si="7"/>
        <v>54975</v>
      </c>
      <c r="P84" s="34" t="str">
        <f t="shared" si="9"/>
        <v>PERCENTAGE</v>
      </c>
    </row>
    <row r="85" spans="1:16" s="31" customFormat="1" x14ac:dyDescent="0.35">
      <c r="A85" s="32" t="str">
        <f t="shared" si="10"/>
        <v>2025 JAN-JUN DISC 75%</v>
      </c>
      <c r="B85" s="33">
        <f t="shared" si="10"/>
        <v>46121</v>
      </c>
      <c r="C85" s="33">
        <f t="shared" si="10"/>
        <v>46127</v>
      </c>
      <c r="D85" s="32">
        <v>3284</v>
      </c>
      <c r="E85" s="32">
        <v>338</v>
      </c>
      <c r="F85" s="32">
        <v>4</v>
      </c>
      <c r="G85" s="32">
        <v>5</v>
      </c>
      <c r="H85" s="32">
        <v>81146</v>
      </c>
      <c r="I85" s="32" t="s">
        <v>17</v>
      </c>
      <c r="J85" s="32">
        <v>52297835</v>
      </c>
      <c r="K85" s="32" t="s">
        <v>5354</v>
      </c>
      <c r="L85" s="38" t="s">
        <v>5357</v>
      </c>
      <c r="M85" s="34">
        <v>219900</v>
      </c>
      <c r="N85" s="35">
        <v>0.75</v>
      </c>
      <c r="O85" s="69">
        <f t="shared" si="7"/>
        <v>54975</v>
      </c>
      <c r="P85" s="34" t="str">
        <f t="shared" si="9"/>
        <v>PERCENTAGE</v>
      </c>
    </row>
    <row r="86" spans="1:16" s="31" customFormat="1" x14ac:dyDescent="0.35">
      <c r="A86" s="32" t="str">
        <f t="shared" si="10"/>
        <v>2025 JAN-JUN DISC 75%</v>
      </c>
      <c r="B86" s="33">
        <f t="shared" si="10"/>
        <v>46121</v>
      </c>
      <c r="C86" s="33">
        <f t="shared" si="10"/>
        <v>46127</v>
      </c>
      <c r="D86" s="32">
        <v>3284</v>
      </c>
      <c r="E86" s="32">
        <v>338</v>
      </c>
      <c r="F86" s="32">
        <v>4</v>
      </c>
      <c r="G86" s="32">
        <v>5</v>
      </c>
      <c r="H86" s="32">
        <v>81146</v>
      </c>
      <c r="I86" s="32" t="s">
        <v>17</v>
      </c>
      <c r="J86" s="32">
        <v>52297844</v>
      </c>
      <c r="K86" s="32" t="s">
        <v>5354</v>
      </c>
      <c r="L86" s="38" t="s">
        <v>5358</v>
      </c>
      <c r="M86" s="34">
        <v>219900</v>
      </c>
      <c r="N86" s="35">
        <v>0.75</v>
      </c>
      <c r="O86" s="69">
        <f t="shared" si="7"/>
        <v>54975</v>
      </c>
      <c r="P86" s="34" t="str">
        <f t="shared" si="9"/>
        <v>PERCENTAGE</v>
      </c>
    </row>
    <row r="87" spans="1:16" s="31" customFormat="1" x14ac:dyDescent="0.35">
      <c r="A87" s="32" t="str">
        <f t="shared" si="10"/>
        <v>2025 JAN-JUN DISC 75%</v>
      </c>
      <c r="B87" s="33">
        <f t="shared" si="10"/>
        <v>46121</v>
      </c>
      <c r="C87" s="33">
        <f t="shared" si="10"/>
        <v>46127</v>
      </c>
      <c r="D87" s="32">
        <v>3284</v>
      </c>
      <c r="E87" s="32">
        <v>338</v>
      </c>
      <c r="F87" s="32">
        <v>4</v>
      </c>
      <c r="G87" s="32">
        <v>7</v>
      </c>
      <c r="H87" s="32">
        <v>81676</v>
      </c>
      <c r="I87" s="32" t="s">
        <v>17</v>
      </c>
      <c r="J87" s="32">
        <v>52297853</v>
      </c>
      <c r="K87" s="32" t="s">
        <v>4698</v>
      </c>
      <c r="L87" s="38" t="s">
        <v>4700</v>
      </c>
      <c r="M87" s="34">
        <v>99900</v>
      </c>
      <c r="N87" s="35">
        <v>0.75</v>
      </c>
      <c r="O87" s="69">
        <f t="shared" si="7"/>
        <v>24975</v>
      </c>
      <c r="P87" s="34" t="str">
        <f t="shared" si="9"/>
        <v>PERCENTAGE</v>
      </c>
    </row>
    <row r="88" spans="1:16" s="31" customFormat="1" x14ac:dyDescent="0.35">
      <c r="A88" s="32" t="str">
        <f t="shared" si="10"/>
        <v>2025 JAN-JUN DISC 75%</v>
      </c>
      <c r="B88" s="33">
        <f t="shared" si="10"/>
        <v>46121</v>
      </c>
      <c r="C88" s="33">
        <f t="shared" si="10"/>
        <v>46127</v>
      </c>
      <c r="D88" s="32">
        <v>3284</v>
      </c>
      <c r="E88" s="32">
        <v>338</v>
      </c>
      <c r="F88" s="32">
        <v>4</v>
      </c>
      <c r="G88" s="32">
        <v>7</v>
      </c>
      <c r="H88" s="32">
        <v>81676</v>
      </c>
      <c r="I88" s="32" t="s">
        <v>17</v>
      </c>
      <c r="J88" s="32">
        <v>52297862</v>
      </c>
      <c r="K88" s="32" t="s">
        <v>4698</v>
      </c>
      <c r="L88" s="38" t="s">
        <v>4701</v>
      </c>
      <c r="M88" s="34">
        <v>99900</v>
      </c>
      <c r="N88" s="35">
        <v>0.75</v>
      </c>
      <c r="O88" s="69">
        <f t="shared" si="7"/>
        <v>24975</v>
      </c>
      <c r="P88" s="34" t="str">
        <f t="shared" si="9"/>
        <v>PERCENTAGE</v>
      </c>
    </row>
    <row r="89" spans="1:16" s="31" customFormat="1" x14ac:dyDescent="0.35">
      <c r="A89" s="32" t="str">
        <f t="shared" si="10"/>
        <v>2025 JAN-JUN DISC 75%</v>
      </c>
      <c r="B89" s="33">
        <f t="shared" si="10"/>
        <v>46121</v>
      </c>
      <c r="C89" s="33">
        <f t="shared" si="10"/>
        <v>46127</v>
      </c>
      <c r="D89" s="32">
        <v>3284</v>
      </c>
      <c r="E89" s="32">
        <v>338</v>
      </c>
      <c r="F89" s="32">
        <v>4</v>
      </c>
      <c r="G89" s="32">
        <v>7</v>
      </c>
      <c r="H89" s="32">
        <v>81676</v>
      </c>
      <c r="I89" s="32" t="s">
        <v>17</v>
      </c>
      <c r="J89" s="32">
        <v>52297871</v>
      </c>
      <c r="K89" s="32" t="s">
        <v>4698</v>
      </c>
      <c r="L89" s="38" t="s">
        <v>4699</v>
      </c>
      <c r="M89" s="34">
        <v>99900</v>
      </c>
      <c r="N89" s="35">
        <v>0.75</v>
      </c>
      <c r="O89" s="69">
        <f t="shared" si="7"/>
        <v>24975</v>
      </c>
      <c r="P89" s="34" t="str">
        <f t="shared" si="9"/>
        <v>PERCENTAGE</v>
      </c>
    </row>
    <row r="90" spans="1:16" s="31" customFormat="1" x14ac:dyDescent="0.35">
      <c r="A90" s="32" t="str">
        <f t="shared" si="10"/>
        <v>2025 JAN-JUN DISC 75%</v>
      </c>
      <c r="B90" s="33">
        <f t="shared" si="10"/>
        <v>46121</v>
      </c>
      <c r="C90" s="33">
        <f t="shared" si="10"/>
        <v>46127</v>
      </c>
      <c r="D90" s="32">
        <v>3284</v>
      </c>
      <c r="E90" s="32">
        <v>338</v>
      </c>
      <c r="F90" s="32">
        <v>4</v>
      </c>
      <c r="G90" s="32">
        <v>7</v>
      </c>
      <c r="H90" s="32">
        <v>81676</v>
      </c>
      <c r="I90" s="32" t="s">
        <v>17</v>
      </c>
      <c r="J90" s="32">
        <v>52297880</v>
      </c>
      <c r="K90" s="32" t="s">
        <v>4698</v>
      </c>
      <c r="L90" s="38" t="s">
        <v>4702</v>
      </c>
      <c r="M90" s="34">
        <v>99900</v>
      </c>
      <c r="N90" s="35">
        <v>0.75</v>
      </c>
      <c r="O90" s="69">
        <f t="shared" si="7"/>
        <v>24975</v>
      </c>
      <c r="P90" s="34" t="str">
        <f t="shared" si="9"/>
        <v>PERCENTAGE</v>
      </c>
    </row>
    <row r="91" spans="1:16" s="31" customFormat="1" x14ac:dyDescent="0.35">
      <c r="A91" s="32" t="str">
        <f t="shared" si="10"/>
        <v>2025 JAN-JUN DISC 75%</v>
      </c>
      <c r="B91" s="33">
        <f t="shared" si="10"/>
        <v>46121</v>
      </c>
      <c r="C91" s="33">
        <f t="shared" si="10"/>
        <v>46127</v>
      </c>
      <c r="D91" s="32">
        <v>3284</v>
      </c>
      <c r="E91" s="32">
        <v>338</v>
      </c>
      <c r="F91" s="32">
        <v>4</v>
      </c>
      <c r="G91" s="32">
        <v>7</v>
      </c>
      <c r="H91" s="32">
        <v>81676</v>
      </c>
      <c r="I91" s="32" t="s">
        <v>17</v>
      </c>
      <c r="J91" s="32">
        <v>52297899</v>
      </c>
      <c r="K91" s="32" t="s">
        <v>4743</v>
      </c>
      <c r="L91" s="38" t="s">
        <v>4745</v>
      </c>
      <c r="M91" s="34">
        <v>169900</v>
      </c>
      <c r="N91" s="35">
        <v>0.75</v>
      </c>
      <c r="O91" s="69">
        <f t="shared" si="7"/>
        <v>42475</v>
      </c>
      <c r="P91" s="34" t="str">
        <f t="shared" si="9"/>
        <v>PERCENTAGE</v>
      </c>
    </row>
    <row r="92" spans="1:16" s="31" customFormat="1" x14ac:dyDescent="0.35">
      <c r="A92" s="32" t="str">
        <f t="shared" si="10"/>
        <v>2025 JAN-JUN DISC 75%</v>
      </c>
      <c r="B92" s="33">
        <f t="shared" si="10"/>
        <v>46121</v>
      </c>
      <c r="C92" s="33">
        <f t="shared" si="10"/>
        <v>46127</v>
      </c>
      <c r="D92" s="32">
        <v>3284</v>
      </c>
      <c r="E92" s="32">
        <v>338</v>
      </c>
      <c r="F92" s="32">
        <v>4</v>
      </c>
      <c r="G92" s="32">
        <v>7</v>
      </c>
      <c r="H92" s="32">
        <v>81676</v>
      </c>
      <c r="I92" s="32" t="s">
        <v>17</v>
      </c>
      <c r="J92" s="32">
        <v>52297906</v>
      </c>
      <c r="K92" s="32" t="s">
        <v>4743</v>
      </c>
      <c r="L92" s="38" t="s">
        <v>4744</v>
      </c>
      <c r="M92" s="34">
        <v>169900</v>
      </c>
      <c r="N92" s="35">
        <v>0.75</v>
      </c>
      <c r="O92" s="69">
        <f t="shared" si="7"/>
        <v>42475</v>
      </c>
      <c r="P92" s="34" t="str">
        <f t="shared" si="9"/>
        <v>PERCENTAGE</v>
      </c>
    </row>
    <row r="93" spans="1:16" s="31" customFormat="1" x14ac:dyDescent="0.35">
      <c r="A93" s="32" t="str">
        <f t="shared" si="10"/>
        <v>2025 JAN-JUN DISC 75%</v>
      </c>
      <c r="B93" s="33">
        <f t="shared" si="10"/>
        <v>46121</v>
      </c>
      <c r="C93" s="33">
        <f t="shared" si="10"/>
        <v>46127</v>
      </c>
      <c r="D93" s="32">
        <v>3284</v>
      </c>
      <c r="E93" s="32">
        <v>338</v>
      </c>
      <c r="F93" s="32">
        <v>4</v>
      </c>
      <c r="G93" s="32">
        <v>7</v>
      </c>
      <c r="H93" s="32">
        <v>81676</v>
      </c>
      <c r="I93" s="32" t="s">
        <v>17</v>
      </c>
      <c r="J93" s="32">
        <v>52297915</v>
      </c>
      <c r="K93" s="32" t="s">
        <v>4743</v>
      </c>
      <c r="L93" s="38" t="s">
        <v>4747</v>
      </c>
      <c r="M93" s="34">
        <v>169900</v>
      </c>
      <c r="N93" s="35">
        <v>0.75</v>
      </c>
      <c r="O93" s="69">
        <f t="shared" si="7"/>
        <v>42475</v>
      </c>
      <c r="P93" s="34" t="str">
        <f t="shared" si="9"/>
        <v>PERCENTAGE</v>
      </c>
    </row>
    <row r="94" spans="1:16" s="31" customFormat="1" x14ac:dyDescent="0.35">
      <c r="A94" s="32" t="str">
        <f t="shared" si="10"/>
        <v>2025 JAN-JUN DISC 75%</v>
      </c>
      <c r="B94" s="33">
        <f t="shared" si="10"/>
        <v>46121</v>
      </c>
      <c r="C94" s="33">
        <f t="shared" si="10"/>
        <v>46127</v>
      </c>
      <c r="D94" s="32">
        <v>3284</v>
      </c>
      <c r="E94" s="32">
        <v>338</v>
      </c>
      <c r="F94" s="32">
        <v>4</v>
      </c>
      <c r="G94" s="32">
        <v>7</v>
      </c>
      <c r="H94" s="32">
        <v>81676</v>
      </c>
      <c r="I94" s="32" t="s">
        <v>17</v>
      </c>
      <c r="J94" s="32">
        <v>52297924</v>
      </c>
      <c r="K94" s="32" t="s">
        <v>4743</v>
      </c>
      <c r="L94" s="38" t="s">
        <v>4746</v>
      </c>
      <c r="M94" s="34">
        <v>169900</v>
      </c>
      <c r="N94" s="35">
        <v>0.75</v>
      </c>
      <c r="O94" s="69">
        <f t="shared" si="7"/>
        <v>42475</v>
      </c>
      <c r="P94" s="34" t="str">
        <f t="shared" si="9"/>
        <v>PERCENTAGE</v>
      </c>
    </row>
    <row r="95" spans="1:16" s="15" customFormat="1" x14ac:dyDescent="0.35">
      <c r="A95" s="32" t="str">
        <f t="shared" si="10"/>
        <v>2025 JAN-JUN DISC 75%</v>
      </c>
      <c r="B95" s="33">
        <f t="shared" si="10"/>
        <v>46121</v>
      </c>
      <c r="C95" s="33">
        <f t="shared" si="10"/>
        <v>46127</v>
      </c>
      <c r="D95" s="32">
        <v>3284</v>
      </c>
      <c r="E95" s="32">
        <v>338</v>
      </c>
      <c r="F95" s="32">
        <v>4</v>
      </c>
      <c r="G95" s="32">
        <v>7</v>
      </c>
      <c r="H95" s="32">
        <v>81676</v>
      </c>
      <c r="I95" s="32" t="s">
        <v>17</v>
      </c>
      <c r="J95" s="32">
        <v>52297933</v>
      </c>
      <c r="K95" s="32" t="s">
        <v>4748</v>
      </c>
      <c r="L95" s="38" t="s">
        <v>4749</v>
      </c>
      <c r="M95" s="34">
        <v>139900</v>
      </c>
      <c r="N95" s="35">
        <v>0.75</v>
      </c>
      <c r="O95" s="69">
        <f t="shared" si="7"/>
        <v>34975</v>
      </c>
      <c r="P95" s="34" t="str">
        <f t="shared" si="9"/>
        <v>PERCENTAGE</v>
      </c>
    </row>
    <row r="96" spans="1:16" s="15" customFormat="1" x14ac:dyDescent="0.35">
      <c r="A96" s="32" t="str">
        <f t="shared" si="10"/>
        <v>2025 JAN-JUN DISC 75%</v>
      </c>
      <c r="B96" s="33">
        <f t="shared" si="10"/>
        <v>46121</v>
      </c>
      <c r="C96" s="33">
        <f t="shared" si="10"/>
        <v>46127</v>
      </c>
      <c r="D96" s="32">
        <v>3284</v>
      </c>
      <c r="E96" s="32">
        <v>338</v>
      </c>
      <c r="F96" s="32">
        <v>4</v>
      </c>
      <c r="G96" s="32">
        <v>7</v>
      </c>
      <c r="H96" s="32">
        <v>81676</v>
      </c>
      <c r="I96" s="32" t="s">
        <v>17</v>
      </c>
      <c r="J96" s="32">
        <v>52297942</v>
      </c>
      <c r="K96" s="32" t="s">
        <v>4748</v>
      </c>
      <c r="L96" s="38" t="s">
        <v>4752</v>
      </c>
      <c r="M96" s="34">
        <v>139900</v>
      </c>
      <c r="N96" s="35">
        <v>0.75</v>
      </c>
      <c r="O96" s="69">
        <f t="shared" si="7"/>
        <v>34975</v>
      </c>
      <c r="P96" s="34" t="str">
        <f t="shared" si="9"/>
        <v>PERCENTAGE</v>
      </c>
    </row>
    <row r="97" spans="1:16" s="15" customFormat="1" x14ac:dyDescent="0.35">
      <c r="A97" s="32" t="str">
        <f t="shared" si="10"/>
        <v>2025 JAN-JUN DISC 75%</v>
      </c>
      <c r="B97" s="33">
        <f t="shared" si="10"/>
        <v>46121</v>
      </c>
      <c r="C97" s="33">
        <f t="shared" si="10"/>
        <v>46127</v>
      </c>
      <c r="D97" s="32">
        <v>3284</v>
      </c>
      <c r="E97" s="32">
        <v>338</v>
      </c>
      <c r="F97" s="32">
        <v>4</v>
      </c>
      <c r="G97" s="32">
        <v>7</v>
      </c>
      <c r="H97" s="32">
        <v>81676</v>
      </c>
      <c r="I97" s="32" t="s">
        <v>17</v>
      </c>
      <c r="J97" s="32">
        <v>52297951</v>
      </c>
      <c r="K97" s="32" t="s">
        <v>4748</v>
      </c>
      <c r="L97" s="38" t="s">
        <v>4751</v>
      </c>
      <c r="M97" s="34">
        <v>139900</v>
      </c>
      <c r="N97" s="35">
        <v>0.75</v>
      </c>
      <c r="O97" s="69">
        <f t="shared" si="7"/>
        <v>34975</v>
      </c>
      <c r="P97" s="34" t="str">
        <f t="shared" si="9"/>
        <v>PERCENTAGE</v>
      </c>
    </row>
    <row r="98" spans="1:16" s="15" customFormat="1" x14ac:dyDescent="0.35">
      <c r="A98" s="32" t="str">
        <f t="shared" si="10"/>
        <v>2025 JAN-JUN DISC 75%</v>
      </c>
      <c r="B98" s="33">
        <f t="shared" si="10"/>
        <v>46121</v>
      </c>
      <c r="C98" s="33">
        <f t="shared" si="10"/>
        <v>46127</v>
      </c>
      <c r="D98" s="32">
        <v>3284</v>
      </c>
      <c r="E98" s="32">
        <v>338</v>
      </c>
      <c r="F98" s="32">
        <v>4</v>
      </c>
      <c r="G98" s="32">
        <v>7</v>
      </c>
      <c r="H98" s="32">
        <v>81676</v>
      </c>
      <c r="I98" s="32" t="s">
        <v>17</v>
      </c>
      <c r="J98" s="32">
        <v>52297960</v>
      </c>
      <c r="K98" s="32" t="s">
        <v>4748</v>
      </c>
      <c r="L98" s="38" t="s">
        <v>4750</v>
      </c>
      <c r="M98" s="34">
        <v>139900</v>
      </c>
      <c r="N98" s="35">
        <v>0.75</v>
      </c>
      <c r="O98" s="69">
        <f t="shared" si="7"/>
        <v>34975</v>
      </c>
      <c r="P98" s="34" t="str">
        <f t="shared" si="9"/>
        <v>PERCENTAGE</v>
      </c>
    </row>
    <row r="99" spans="1:16" s="31" customFormat="1" x14ac:dyDescent="0.35">
      <c r="A99" s="32" t="str">
        <f t="shared" si="10"/>
        <v>2025 JAN-JUN DISC 75%</v>
      </c>
      <c r="B99" s="33">
        <f t="shared" si="10"/>
        <v>46121</v>
      </c>
      <c r="C99" s="33">
        <f t="shared" si="10"/>
        <v>46127</v>
      </c>
      <c r="D99" s="32">
        <v>3284</v>
      </c>
      <c r="E99" s="32">
        <v>338</v>
      </c>
      <c r="F99" s="32">
        <v>4</v>
      </c>
      <c r="G99" s="32">
        <v>7</v>
      </c>
      <c r="H99" s="32">
        <v>81676</v>
      </c>
      <c r="I99" s="32" t="s">
        <v>17</v>
      </c>
      <c r="J99" s="32">
        <v>52297979</v>
      </c>
      <c r="K99" s="32" t="s">
        <v>4753</v>
      </c>
      <c r="L99" s="38" t="s">
        <v>4755</v>
      </c>
      <c r="M99" s="34">
        <v>189900</v>
      </c>
      <c r="N99" s="35">
        <v>0.75</v>
      </c>
      <c r="O99" s="69">
        <f t="shared" si="7"/>
        <v>47475</v>
      </c>
      <c r="P99" s="34" t="str">
        <f t="shared" si="9"/>
        <v>PERCENTAGE</v>
      </c>
    </row>
    <row r="100" spans="1:16" s="31" customFormat="1" x14ac:dyDescent="0.35">
      <c r="A100" s="32" t="str">
        <f t="shared" ref="A100:C115" si="11">A99</f>
        <v>2025 JAN-JUN DISC 75%</v>
      </c>
      <c r="B100" s="33">
        <f t="shared" si="11"/>
        <v>46121</v>
      </c>
      <c r="C100" s="33">
        <f t="shared" si="11"/>
        <v>46127</v>
      </c>
      <c r="D100" s="32">
        <v>3284</v>
      </c>
      <c r="E100" s="32">
        <v>338</v>
      </c>
      <c r="F100" s="32">
        <v>4</v>
      </c>
      <c r="G100" s="32">
        <v>7</v>
      </c>
      <c r="H100" s="32">
        <v>81676</v>
      </c>
      <c r="I100" s="32" t="s">
        <v>17</v>
      </c>
      <c r="J100" s="32">
        <v>52297988</v>
      </c>
      <c r="K100" s="32" t="s">
        <v>4753</v>
      </c>
      <c r="L100" s="38" t="s">
        <v>4756</v>
      </c>
      <c r="M100" s="34">
        <v>189900</v>
      </c>
      <c r="N100" s="35">
        <v>0.75</v>
      </c>
      <c r="O100" s="69">
        <f t="shared" si="7"/>
        <v>47475</v>
      </c>
      <c r="P100" s="34" t="str">
        <f t="shared" si="9"/>
        <v>PERCENTAGE</v>
      </c>
    </row>
    <row r="101" spans="1:16" s="31" customFormat="1" x14ac:dyDescent="0.35">
      <c r="A101" s="32" t="str">
        <f t="shared" si="11"/>
        <v>2025 JAN-JUN DISC 75%</v>
      </c>
      <c r="B101" s="33">
        <f t="shared" si="11"/>
        <v>46121</v>
      </c>
      <c r="C101" s="33">
        <f t="shared" si="11"/>
        <v>46127</v>
      </c>
      <c r="D101" s="32">
        <v>3284</v>
      </c>
      <c r="E101" s="32">
        <v>338</v>
      </c>
      <c r="F101" s="32">
        <v>4</v>
      </c>
      <c r="G101" s="32">
        <v>7</v>
      </c>
      <c r="H101" s="32">
        <v>81676</v>
      </c>
      <c r="I101" s="32" t="s">
        <v>17</v>
      </c>
      <c r="J101" s="32">
        <v>52297997</v>
      </c>
      <c r="K101" s="32" t="s">
        <v>4753</v>
      </c>
      <c r="L101" s="38" t="s">
        <v>4754</v>
      </c>
      <c r="M101" s="34">
        <v>189900</v>
      </c>
      <c r="N101" s="35">
        <v>0.75</v>
      </c>
      <c r="O101" s="69">
        <f t="shared" si="7"/>
        <v>47475</v>
      </c>
      <c r="P101" s="34" t="str">
        <f t="shared" si="9"/>
        <v>PERCENTAGE</v>
      </c>
    </row>
    <row r="102" spans="1:16" s="31" customFormat="1" x14ac:dyDescent="0.35">
      <c r="A102" s="32" t="str">
        <f t="shared" si="11"/>
        <v>2025 JAN-JUN DISC 75%</v>
      </c>
      <c r="B102" s="33">
        <f t="shared" si="11"/>
        <v>46121</v>
      </c>
      <c r="C102" s="33">
        <f t="shared" si="11"/>
        <v>46127</v>
      </c>
      <c r="D102" s="32">
        <v>3284</v>
      </c>
      <c r="E102" s="32">
        <v>338</v>
      </c>
      <c r="F102" s="32">
        <v>4</v>
      </c>
      <c r="G102" s="32">
        <v>7</v>
      </c>
      <c r="H102" s="32">
        <v>81676</v>
      </c>
      <c r="I102" s="32" t="s">
        <v>17</v>
      </c>
      <c r="J102" s="32">
        <v>52298003</v>
      </c>
      <c r="K102" s="32" t="s">
        <v>4753</v>
      </c>
      <c r="L102" s="38" t="s">
        <v>4757</v>
      </c>
      <c r="M102" s="34">
        <v>189900</v>
      </c>
      <c r="N102" s="35">
        <v>0.75</v>
      </c>
      <c r="O102" s="69">
        <f t="shared" si="7"/>
        <v>47475</v>
      </c>
      <c r="P102" s="34" t="str">
        <f t="shared" si="9"/>
        <v>PERCENTAGE</v>
      </c>
    </row>
    <row r="103" spans="1:16" s="31" customFormat="1" x14ac:dyDescent="0.35">
      <c r="A103" s="32" t="str">
        <f t="shared" si="11"/>
        <v>2025 JAN-JUN DISC 75%</v>
      </c>
      <c r="B103" s="33">
        <f t="shared" si="11"/>
        <v>46121</v>
      </c>
      <c r="C103" s="33">
        <f t="shared" si="11"/>
        <v>46127</v>
      </c>
      <c r="D103" s="32">
        <v>3284</v>
      </c>
      <c r="E103" s="32">
        <v>338</v>
      </c>
      <c r="F103" s="32">
        <v>4</v>
      </c>
      <c r="G103" s="32">
        <v>7</v>
      </c>
      <c r="H103" s="32">
        <v>81676</v>
      </c>
      <c r="I103" s="32" t="s">
        <v>17</v>
      </c>
      <c r="J103" s="32">
        <v>52298012</v>
      </c>
      <c r="K103" s="32" t="s">
        <v>4733</v>
      </c>
      <c r="L103" s="38" t="s">
        <v>4734</v>
      </c>
      <c r="M103" s="34">
        <v>189900</v>
      </c>
      <c r="N103" s="35">
        <v>0.75</v>
      </c>
      <c r="O103" s="69">
        <f t="shared" si="7"/>
        <v>47475</v>
      </c>
      <c r="P103" s="34" t="str">
        <f t="shared" si="9"/>
        <v>PERCENTAGE</v>
      </c>
    </row>
    <row r="104" spans="1:16" s="31" customFormat="1" x14ac:dyDescent="0.35">
      <c r="A104" s="32" t="str">
        <f t="shared" si="11"/>
        <v>2025 JAN-JUN DISC 75%</v>
      </c>
      <c r="B104" s="33">
        <f t="shared" si="11"/>
        <v>46121</v>
      </c>
      <c r="C104" s="33">
        <f t="shared" si="11"/>
        <v>46127</v>
      </c>
      <c r="D104" s="32">
        <v>3284</v>
      </c>
      <c r="E104" s="32">
        <v>338</v>
      </c>
      <c r="F104" s="32">
        <v>4</v>
      </c>
      <c r="G104" s="32">
        <v>7</v>
      </c>
      <c r="H104" s="32">
        <v>81676</v>
      </c>
      <c r="I104" s="32" t="s">
        <v>17</v>
      </c>
      <c r="J104" s="32">
        <v>52298021</v>
      </c>
      <c r="K104" s="32" t="s">
        <v>4733</v>
      </c>
      <c r="L104" s="38" t="s">
        <v>4736</v>
      </c>
      <c r="M104" s="34">
        <v>189900</v>
      </c>
      <c r="N104" s="35">
        <v>0.75</v>
      </c>
      <c r="O104" s="69">
        <f t="shared" si="7"/>
        <v>47475</v>
      </c>
      <c r="P104" s="34" t="str">
        <f t="shared" si="9"/>
        <v>PERCENTAGE</v>
      </c>
    </row>
    <row r="105" spans="1:16" s="31" customFormat="1" x14ac:dyDescent="0.35">
      <c r="A105" s="32" t="str">
        <f t="shared" si="11"/>
        <v>2025 JAN-JUN DISC 75%</v>
      </c>
      <c r="B105" s="33">
        <f t="shared" si="11"/>
        <v>46121</v>
      </c>
      <c r="C105" s="33">
        <f t="shared" si="11"/>
        <v>46127</v>
      </c>
      <c r="D105" s="32">
        <v>3284</v>
      </c>
      <c r="E105" s="32">
        <v>338</v>
      </c>
      <c r="F105" s="32">
        <v>4</v>
      </c>
      <c r="G105" s="32">
        <v>7</v>
      </c>
      <c r="H105" s="32">
        <v>81676</v>
      </c>
      <c r="I105" s="32" t="s">
        <v>17</v>
      </c>
      <c r="J105" s="32">
        <v>52298030</v>
      </c>
      <c r="K105" s="32" t="s">
        <v>4733</v>
      </c>
      <c r="L105" s="38" t="s">
        <v>4737</v>
      </c>
      <c r="M105" s="34">
        <v>189900</v>
      </c>
      <c r="N105" s="35">
        <v>0.75</v>
      </c>
      <c r="O105" s="69">
        <f t="shared" si="7"/>
        <v>47475</v>
      </c>
      <c r="P105" s="34" t="str">
        <f t="shared" si="9"/>
        <v>PERCENTAGE</v>
      </c>
    </row>
    <row r="106" spans="1:16" s="31" customFormat="1" x14ac:dyDescent="0.35">
      <c r="A106" s="32" t="str">
        <f t="shared" si="11"/>
        <v>2025 JAN-JUN DISC 75%</v>
      </c>
      <c r="B106" s="33">
        <f t="shared" si="11"/>
        <v>46121</v>
      </c>
      <c r="C106" s="33">
        <f t="shared" si="11"/>
        <v>46127</v>
      </c>
      <c r="D106" s="32">
        <v>3284</v>
      </c>
      <c r="E106" s="32">
        <v>338</v>
      </c>
      <c r="F106" s="32">
        <v>4</v>
      </c>
      <c r="G106" s="32">
        <v>7</v>
      </c>
      <c r="H106" s="32">
        <v>81676</v>
      </c>
      <c r="I106" s="32" t="s">
        <v>17</v>
      </c>
      <c r="J106" s="32">
        <v>52298049</v>
      </c>
      <c r="K106" s="32" t="s">
        <v>4733</v>
      </c>
      <c r="L106" s="38" t="s">
        <v>4735</v>
      </c>
      <c r="M106" s="34">
        <v>189900</v>
      </c>
      <c r="N106" s="35">
        <v>0.75</v>
      </c>
      <c r="O106" s="69">
        <f t="shared" si="7"/>
        <v>47475</v>
      </c>
      <c r="P106" s="34" t="str">
        <f t="shared" si="9"/>
        <v>PERCENTAGE</v>
      </c>
    </row>
    <row r="107" spans="1:16" s="31" customFormat="1" x14ac:dyDescent="0.35">
      <c r="A107" s="32" t="str">
        <f t="shared" si="11"/>
        <v>2025 JAN-JUN DISC 75%</v>
      </c>
      <c r="B107" s="33">
        <f t="shared" si="11"/>
        <v>46121</v>
      </c>
      <c r="C107" s="33">
        <f t="shared" si="11"/>
        <v>46127</v>
      </c>
      <c r="D107" s="32">
        <v>3284</v>
      </c>
      <c r="E107" s="32">
        <v>338</v>
      </c>
      <c r="F107" s="32">
        <v>4</v>
      </c>
      <c r="G107" s="32">
        <v>7</v>
      </c>
      <c r="H107" s="32">
        <v>81676</v>
      </c>
      <c r="I107" s="32" t="s">
        <v>17</v>
      </c>
      <c r="J107" s="32">
        <v>52298058</v>
      </c>
      <c r="K107" s="32" t="s">
        <v>4763</v>
      </c>
      <c r="L107" s="38" t="s">
        <v>4766</v>
      </c>
      <c r="M107" s="34">
        <v>219900</v>
      </c>
      <c r="N107" s="35">
        <v>0.75</v>
      </c>
      <c r="O107" s="69">
        <f t="shared" si="7"/>
        <v>54975</v>
      </c>
      <c r="P107" s="34" t="str">
        <f t="shared" si="9"/>
        <v>PERCENTAGE</v>
      </c>
    </row>
    <row r="108" spans="1:16" s="31" customFormat="1" x14ac:dyDescent="0.35">
      <c r="A108" s="32" t="str">
        <f t="shared" si="11"/>
        <v>2025 JAN-JUN DISC 75%</v>
      </c>
      <c r="B108" s="33">
        <f t="shared" si="11"/>
        <v>46121</v>
      </c>
      <c r="C108" s="33">
        <f t="shared" si="11"/>
        <v>46127</v>
      </c>
      <c r="D108" s="32">
        <v>3284</v>
      </c>
      <c r="E108" s="32">
        <v>338</v>
      </c>
      <c r="F108" s="32">
        <v>4</v>
      </c>
      <c r="G108" s="32">
        <v>7</v>
      </c>
      <c r="H108" s="32">
        <v>81676</v>
      </c>
      <c r="I108" s="32" t="s">
        <v>17</v>
      </c>
      <c r="J108" s="32">
        <v>52298067</v>
      </c>
      <c r="K108" s="32" t="s">
        <v>4763</v>
      </c>
      <c r="L108" s="38" t="s">
        <v>4765</v>
      </c>
      <c r="M108" s="34">
        <v>219900</v>
      </c>
      <c r="N108" s="35">
        <v>0.75</v>
      </c>
      <c r="O108" s="69">
        <f t="shared" si="7"/>
        <v>54975</v>
      </c>
      <c r="P108" s="34" t="str">
        <f t="shared" si="9"/>
        <v>PERCENTAGE</v>
      </c>
    </row>
    <row r="109" spans="1:16" s="31" customFormat="1" x14ac:dyDescent="0.35">
      <c r="A109" s="32" t="str">
        <f t="shared" si="11"/>
        <v>2025 JAN-JUN DISC 75%</v>
      </c>
      <c r="B109" s="33">
        <f t="shared" si="11"/>
        <v>46121</v>
      </c>
      <c r="C109" s="33">
        <f t="shared" si="11"/>
        <v>46127</v>
      </c>
      <c r="D109" s="32">
        <v>3284</v>
      </c>
      <c r="E109" s="32">
        <v>338</v>
      </c>
      <c r="F109" s="32">
        <v>4</v>
      </c>
      <c r="G109" s="32">
        <v>7</v>
      </c>
      <c r="H109" s="32">
        <v>81676</v>
      </c>
      <c r="I109" s="32" t="s">
        <v>17</v>
      </c>
      <c r="J109" s="32">
        <v>52298076</v>
      </c>
      <c r="K109" s="32" t="s">
        <v>4763</v>
      </c>
      <c r="L109" s="38" t="s">
        <v>4764</v>
      </c>
      <c r="M109" s="34">
        <v>219900</v>
      </c>
      <c r="N109" s="35">
        <v>0.75</v>
      </c>
      <c r="O109" s="69">
        <f t="shared" si="7"/>
        <v>54975</v>
      </c>
      <c r="P109" s="34" t="str">
        <f t="shared" si="9"/>
        <v>PERCENTAGE</v>
      </c>
    </row>
    <row r="110" spans="1:16" s="31" customFormat="1" x14ac:dyDescent="0.35">
      <c r="A110" s="32" t="str">
        <f t="shared" si="11"/>
        <v>2025 JAN-JUN DISC 75%</v>
      </c>
      <c r="B110" s="33">
        <f t="shared" si="11"/>
        <v>46121</v>
      </c>
      <c r="C110" s="33">
        <f t="shared" si="11"/>
        <v>46127</v>
      </c>
      <c r="D110" s="32">
        <v>3284</v>
      </c>
      <c r="E110" s="32">
        <v>338</v>
      </c>
      <c r="F110" s="32">
        <v>4</v>
      </c>
      <c r="G110" s="32">
        <v>7</v>
      </c>
      <c r="H110" s="32">
        <v>81676</v>
      </c>
      <c r="I110" s="32" t="s">
        <v>17</v>
      </c>
      <c r="J110" s="32">
        <v>52298085</v>
      </c>
      <c r="K110" s="32" t="s">
        <v>4763</v>
      </c>
      <c r="L110" s="38" t="s">
        <v>4767</v>
      </c>
      <c r="M110" s="34">
        <v>219900</v>
      </c>
      <c r="N110" s="35">
        <v>0.75</v>
      </c>
      <c r="O110" s="69">
        <f t="shared" si="7"/>
        <v>54975</v>
      </c>
      <c r="P110" s="34" t="str">
        <f t="shared" si="9"/>
        <v>PERCENTAGE</v>
      </c>
    </row>
    <row r="111" spans="1:16" s="31" customFormat="1" x14ac:dyDescent="0.35">
      <c r="A111" s="32" t="str">
        <f t="shared" si="11"/>
        <v>2025 JAN-JUN DISC 75%</v>
      </c>
      <c r="B111" s="33">
        <f t="shared" si="11"/>
        <v>46121</v>
      </c>
      <c r="C111" s="33">
        <f t="shared" si="11"/>
        <v>46127</v>
      </c>
      <c r="D111" s="32">
        <v>3284</v>
      </c>
      <c r="E111" s="32">
        <v>338</v>
      </c>
      <c r="F111" s="32">
        <v>4</v>
      </c>
      <c r="G111" s="32">
        <v>7</v>
      </c>
      <c r="H111" s="32">
        <v>81676</v>
      </c>
      <c r="I111" s="32" t="s">
        <v>17</v>
      </c>
      <c r="J111" s="32">
        <v>52298094</v>
      </c>
      <c r="K111" s="32" t="s">
        <v>4758</v>
      </c>
      <c r="L111" s="38" t="s">
        <v>4761</v>
      </c>
      <c r="M111" s="34">
        <v>219900</v>
      </c>
      <c r="N111" s="35">
        <v>0.75</v>
      </c>
      <c r="O111" s="69">
        <f t="shared" si="7"/>
        <v>54975</v>
      </c>
      <c r="P111" s="34" t="str">
        <f t="shared" si="9"/>
        <v>PERCENTAGE</v>
      </c>
    </row>
    <row r="112" spans="1:16" s="31" customFormat="1" x14ac:dyDescent="0.35">
      <c r="A112" s="32" t="str">
        <f t="shared" si="11"/>
        <v>2025 JAN-JUN DISC 75%</v>
      </c>
      <c r="B112" s="33">
        <f t="shared" si="11"/>
        <v>46121</v>
      </c>
      <c r="C112" s="33">
        <f t="shared" si="11"/>
        <v>46127</v>
      </c>
      <c r="D112" s="32">
        <v>3284</v>
      </c>
      <c r="E112" s="32">
        <v>338</v>
      </c>
      <c r="F112" s="32">
        <v>4</v>
      </c>
      <c r="G112" s="32">
        <v>7</v>
      </c>
      <c r="H112" s="32">
        <v>81676</v>
      </c>
      <c r="I112" s="32" t="s">
        <v>17</v>
      </c>
      <c r="J112" s="32">
        <v>52298101</v>
      </c>
      <c r="K112" s="32" t="s">
        <v>4758</v>
      </c>
      <c r="L112" s="38" t="s">
        <v>4762</v>
      </c>
      <c r="M112" s="34">
        <v>219900</v>
      </c>
      <c r="N112" s="35">
        <v>0.75</v>
      </c>
      <c r="O112" s="69">
        <f t="shared" si="7"/>
        <v>54975</v>
      </c>
      <c r="P112" s="34" t="str">
        <f t="shared" si="9"/>
        <v>PERCENTAGE</v>
      </c>
    </row>
    <row r="113" spans="1:16" s="31" customFormat="1" x14ac:dyDescent="0.35">
      <c r="A113" s="32" t="str">
        <f t="shared" si="11"/>
        <v>2025 JAN-JUN DISC 75%</v>
      </c>
      <c r="B113" s="33">
        <f t="shared" si="11"/>
        <v>46121</v>
      </c>
      <c r="C113" s="33">
        <f t="shared" si="11"/>
        <v>46127</v>
      </c>
      <c r="D113" s="32">
        <v>3284</v>
      </c>
      <c r="E113" s="32">
        <v>338</v>
      </c>
      <c r="F113" s="32">
        <v>4</v>
      </c>
      <c r="G113" s="32">
        <v>7</v>
      </c>
      <c r="H113" s="32">
        <v>81676</v>
      </c>
      <c r="I113" s="32" t="s">
        <v>17</v>
      </c>
      <c r="J113" s="32">
        <v>52298110</v>
      </c>
      <c r="K113" s="32" t="s">
        <v>4758</v>
      </c>
      <c r="L113" s="38" t="s">
        <v>4760</v>
      </c>
      <c r="M113" s="34">
        <v>219900</v>
      </c>
      <c r="N113" s="35">
        <v>0.75</v>
      </c>
      <c r="O113" s="69">
        <f t="shared" si="7"/>
        <v>54975</v>
      </c>
      <c r="P113" s="34" t="str">
        <f t="shared" si="9"/>
        <v>PERCENTAGE</v>
      </c>
    </row>
    <row r="114" spans="1:16" s="31" customFormat="1" x14ac:dyDescent="0.35">
      <c r="A114" s="32" t="str">
        <f t="shared" si="11"/>
        <v>2025 JAN-JUN DISC 75%</v>
      </c>
      <c r="B114" s="33">
        <f t="shared" si="11"/>
        <v>46121</v>
      </c>
      <c r="C114" s="33">
        <f t="shared" si="11"/>
        <v>46127</v>
      </c>
      <c r="D114" s="32">
        <v>3284</v>
      </c>
      <c r="E114" s="32">
        <v>338</v>
      </c>
      <c r="F114" s="32">
        <v>4</v>
      </c>
      <c r="G114" s="32">
        <v>7</v>
      </c>
      <c r="H114" s="32">
        <v>81676</v>
      </c>
      <c r="I114" s="32" t="s">
        <v>17</v>
      </c>
      <c r="J114" s="32">
        <v>52298129</v>
      </c>
      <c r="K114" s="32" t="s">
        <v>4758</v>
      </c>
      <c r="L114" s="38" t="s">
        <v>4759</v>
      </c>
      <c r="M114" s="34">
        <v>219900</v>
      </c>
      <c r="N114" s="35">
        <v>0.75</v>
      </c>
      <c r="O114" s="69">
        <f t="shared" si="7"/>
        <v>54975</v>
      </c>
      <c r="P114" s="34" t="str">
        <f t="shared" si="9"/>
        <v>PERCENTAGE</v>
      </c>
    </row>
    <row r="115" spans="1:16" s="31" customFormat="1" x14ac:dyDescent="0.35">
      <c r="A115" s="32" t="str">
        <f t="shared" si="11"/>
        <v>2025 JAN-JUN DISC 75%</v>
      </c>
      <c r="B115" s="33">
        <f t="shared" si="11"/>
        <v>46121</v>
      </c>
      <c r="C115" s="33">
        <f t="shared" si="11"/>
        <v>46127</v>
      </c>
      <c r="D115" s="32">
        <v>3284</v>
      </c>
      <c r="E115" s="32">
        <v>338</v>
      </c>
      <c r="F115" s="32">
        <v>4</v>
      </c>
      <c r="G115" s="32">
        <v>4</v>
      </c>
      <c r="H115" s="32">
        <v>80920</v>
      </c>
      <c r="I115" s="32" t="s">
        <v>17</v>
      </c>
      <c r="J115" s="32">
        <v>53168599</v>
      </c>
      <c r="K115" s="32" t="s">
        <v>5390</v>
      </c>
      <c r="L115" s="38" t="s">
        <v>5392</v>
      </c>
      <c r="M115" s="34">
        <v>219900</v>
      </c>
      <c r="N115" s="35">
        <v>0.75</v>
      </c>
      <c r="O115" s="69">
        <f t="shared" si="7"/>
        <v>54975</v>
      </c>
      <c r="P115" s="34" t="str">
        <f t="shared" si="9"/>
        <v>PERCENTAGE</v>
      </c>
    </row>
    <row r="116" spans="1:16" s="31" customFormat="1" x14ac:dyDescent="0.35">
      <c r="A116" s="32" t="str">
        <f t="shared" ref="A116:C118" si="12">A115</f>
        <v>2025 JAN-JUN DISC 75%</v>
      </c>
      <c r="B116" s="33">
        <f t="shared" si="12"/>
        <v>46121</v>
      </c>
      <c r="C116" s="33">
        <f t="shared" si="12"/>
        <v>46127</v>
      </c>
      <c r="D116" s="32">
        <v>3284</v>
      </c>
      <c r="E116" s="32">
        <v>338</v>
      </c>
      <c r="F116" s="32">
        <v>4</v>
      </c>
      <c r="G116" s="32">
        <v>4</v>
      </c>
      <c r="H116" s="32">
        <v>80920</v>
      </c>
      <c r="I116" s="32" t="s">
        <v>17</v>
      </c>
      <c r="J116" s="32">
        <v>53168606</v>
      </c>
      <c r="K116" s="32" t="s">
        <v>5390</v>
      </c>
      <c r="L116" s="38" t="s">
        <v>5394</v>
      </c>
      <c r="M116" s="34">
        <v>219900</v>
      </c>
      <c r="N116" s="35">
        <v>0.75</v>
      </c>
      <c r="O116" s="69">
        <f t="shared" si="7"/>
        <v>54975</v>
      </c>
      <c r="P116" s="34" t="str">
        <f t="shared" si="9"/>
        <v>PERCENTAGE</v>
      </c>
    </row>
    <row r="117" spans="1:16" s="31" customFormat="1" x14ac:dyDescent="0.35">
      <c r="A117" s="32" t="str">
        <f t="shared" si="12"/>
        <v>2025 JAN-JUN DISC 75%</v>
      </c>
      <c r="B117" s="33">
        <f t="shared" si="12"/>
        <v>46121</v>
      </c>
      <c r="C117" s="33">
        <f t="shared" si="12"/>
        <v>46127</v>
      </c>
      <c r="D117" s="32">
        <v>3284</v>
      </c>
      <c r="E117" s="32">
        <v>338</v>
      </c>
      <c r="F117" s="32">
        <v>4</v>
      </c>
      <c r="G117" s="32">
        <v>4</v>
      </c>
      <c r="H117" s="32">
        <v>80920</v>
      </c>
      <c r="I117" s="32" t="s">
        <v>17</v>
      </c>
      <c r="J117" s="32">
        <v>53168615</v>
      </c>
      <c r="K117" s="32" t="s">
        <v>5390</v>
      </c>
      <c r="L117" s="38" t="s">
        <v>5393</v>
      </c>
      <c r="M117" s="34">
        <v>219900</v>
      </c>
      <c r="N117" s="35">
        <v>0.75</v>
      </c>
      <c r="O117" s="69">
        <f t="shared" si="7"/>
        <v>54975</v>
      </c>
      <c r="P117" s="34" t="str">
        <f t="shared" si="9"/>
        <v>PERCENTAGE</v>
      </c>
    </row>
    <row r="118" spans="1:16" s="31" customFormat="1" x14ac:dyDescent="0.35">
      <c r="A118" s="32" t="str">
        <f t="shared" si="12"/>
        <v>2025 JAN-JUN DISC 75%</v>
      </c>
      <c r="B118" s="33">
        <f t="shared" si="12"/>
        <v>46121</v>
      </c>
      <c r="C118" s="33">
        <f t="shared" si="12"/>
        <v>46127</v>
      </c>
      <c r="D118" s="32">
        <v>3284</v>
      </c>
      <c r="E118" s="32">
        <v>338</v>
      </c>
      <c r="F118" s="32">
        <v>4</v>
      </c>
      <c r="G118" s="32">
        <v>4</v>
      </c>
      <c r="H118" s="32">
        <v>80920</v>
      </c>
      <c r="I118" s="32" t="s">
        <v>17</v>
      </c>
      <c r="J118" s="32">
        <v>53168624</v>
      </c>
      <c r="K118" s="32" t="s">
        <v>5390</v>
      </c>
      <c r="L118" s="38" t="s">
        <v>5391</v>
      </c>
      <c r="M118" s="34">
        <v>219900</v>
      </c>
      <c r="N118" s="35">
        <v>0.75</v>
      </c>
      <c r="O118" s="69">
        <f t="shared" si="7"/>
        <v>54975</v>
      </c>
      <c r="P118" s="34" t="str">
        <f t="shared" si="9"/>
        <v>PERCENTAGE</v>
      </c>
    </row>
  </sheetData>
  <autoFilter ref="A1:P1" xr:uid="{00000000-0009-0000-0000-00000E000000}">
    <sortState xmlns:xlrd2="http://schemas.microsoft.com/office/spreadsheetml/2017/richdata2" ref="A2:P130">
      <sortCondition ref="J1"/>
    </sortState>
  </autoFilter>
  <phoneticPr fontId="8" type="noConversion"/>
  <conditionalFormatting sqref="J1 J119:J1048576">
    <cfRule type="duplicateValues" dxfId="12" priority="2"/>
  </conditionalFormatting>
  <conditionalFormatting sqref="J2:J118">
    <cfRule type="duplicateValues" dxfId="1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51CC-A37E-4F64-881F-43750E20BE2C}">
  <dimension ref="A1:P205"/>
  <sheetViews>
    <sheetView zoomScale="82" zoomScaleNormal="100" workbookViewId="0">
      <pane ySplit="1" topLeftCell="A2" activePane="bottomLeft" state="frozen"/>
      <selection activeCell="C13" sqref="C13"/>
      <selection pane="bottomLeft" activeCell="B13" sqref="B13"/>
    </sheetView>
  </sheetViews>
  <sheetFormatPr defaultColWidth="8.6328125" defaultRowHeight="14.5" x14ac:dyDescent="0.35"/>
  <cols>
    <col min="1" max="1" width="35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0" style="2" customWidth="1"/>
    <col min="12" max="12" width="80.1796875" style="17" customWidth="1"/>
    <col min="13" max="13" width="17.6328125" style="4" customWidth="1"/>
    <col min="14" max="14" width="9.6328125" style="5" customWidth="1"/>
    <col min="15" max="15" width="18.08984375" style="4" customWidth="1"/>
    <col min="16" max="16" width="18.089843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7159</v>
      </c>
      <c r="B2" s="7">
        <f>'2025 HILITE D80 - 3321'!B2</f>
        <v>46121</v>
      </c>
      <c r="C2" s="7">
        <f>'2025 HILITE D80 - 3321'!C2</f>
        <v>46127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15617620</v>
      </c>
      <c r="K2" s="6" t="s">
        <v>2920</v>
      </c>
      <c r="L2" s="16" t="s">
        <v>2921</v>
      </c>
      <c r="M2" s="8">
        <v>149900</v>
      </c>
      <c r="N2" s="9">
        <v>0.7</v>
      </c>
      <c r="O2" s="8">
        <f>M2-((70*M2)/100)</f>
        <v>44970</v>
      </c>
      <c r="P2" s="20" t="s">
        <v>16</v>
      </c>
    </row>
    <row r="3" spans="1:16" x14ac:dyDescent="0.35">
      <c r="A3" s="14" t="str">
        <f>A2</f>
        <v xml:space="preserve"> 2024 JAN-DEC D70 LICENSE BABY</v>
      </c>
      <c r="B3" s="7">
        <f>B2</f>
        <v>46121</v>
      </c>
      <c r="C3" s="7">
        <f>C2</f>
        <v>46127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15617639</v>
      </c>
      <c r="K3" s="6" t="s">
        <v>2920</v>
      </c>
      <c r="L3" s="16" t="s">
        <v>3286</v>
      </c>
      <c r="M3" s="8">
        <v>149900</v>
      </c>
      <c r="N3" s="35">
        <f>N2</f>
        <v>0.7</v>
      </c>
      <c r="O3" s="34">
        <f t="shared" ref="O3:O66" si="0">M3-((70*M3)/100)</f>
        <v>44970</v>
      </c>
      <c r="P3" s="20" t="s">
        <v>16</v>
      </c>
    </row>
    <row r="4" spans="1:16" x14ac:dyDescent="0.35">
      <c r="A4" s="14" t="str">
        <f t="shared" ref="A4:A67" si="1">A3</f>
        <v xml:space="preserve"> 2024 JAN-DEC D70 LICENSE BABY</v>
      </c>
      <c r="B4" s="7">
        <f t="shared" ref="B4:C19" si="2">B3</f>
        <v>46121</v>
      </c>
      <c r="C4" s="7">
        <f t="shared" si="2"/>
        <v>46127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15617648</v>
      </c>
      <c r="K4" s="6" t="s">
        <v>2920</v>
      </c>
      <c r="L4" s="16" t="s">
        <v>2922</v>
      </c>
      <c r="M4" s="8">
        <v>149900</v>
      </c>
      <c r="N4" s="35">
        <f t="shared" ref="N4:N67" si="3">N3</f>
        <v>0.7</v>
      </c>
      <c r="O4" s="34">
        <f t="shared" si="0"/>
        <v>44970</v>
      </c>
      <c r="P4" s="20" t="s">
        <v>16</v>
      </c>
    </row>
    <row r="5" spans="1:16" x14ac:dyDescent="0.35">
      <c r="A5" s="14" t="str">
        <f t="shared" si="1"/>
        <v xml:space="preserve"> 2024 JAN-DEC D70 LICENSE BABY</v>
      </c>
      <c r="B5" s="7">
        <f t="shared" si="2"/>
        <v>46121</v>
      </c>
      <c r="C5" s="7">
        <f t="shared" si="2"/>
        <v>46127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15617657</v>
      </c>
      <c r="K5" s="6" t="s">
        <v>2920</v>
      </c>
      <c r="L5" s="16" t="s">
        <v>2923</v>
      </c>
      <c r="M5" s="8">
        <v>149900</v>
      </c>
      <c r="N5" s="35">
        <f t="shared" si="3"/>
        <v>0.7</v>
      </c>
      <c r="O5" s="34">
        <f t="shared" si="0"/>
        <v>44970</v>
      </c>
      <c r="P5" s="20" t="s">
        <v>16</v>
      </c>
    </row>
    <row r="6" spans="1:16" x14ac:dyDescent="0.35">
      <c r="A6" s="14" t="str">
        <f t="shared" si="1"/>
        <v xml:space="preserve"> 2024 JAN-DEC D70 LICENSE BABY</v>
      </c>
      <c r="B6" s="7">
        <f t="shared" si="2"/>
        <v>46121</v>
      </c>
      <c r="C6" s="7">
        <f t="shared" si="2"/>
        <v>46127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16621444</v>
      </c>
      <c r="K6" s="6" t="s">
        <v>3287</v>
      </c>
      <c r="L6" s="16" t="s">
        <v>3288</v>
      </c>
      <c r="M6" s="8">
        <v>199900</v>
      </c>
      <c r="N6" s="35">
        <f t="shared" si="3"/>
        <v>0.7</v>
      </c>
      <c r="O6" s="34">
        <f t="shared" si="0"/>
        <v>59970</v>
      </c>
      <c r="P6" s="20" t="s">
        <v>16</v>
      </c>
    </row>
    <row r="7" spans="1:16" x14ac:dyDescent="0.35">
      <c r="A7" s="14" t="str">
        <f t="shared" si="1"/>
        <v xml:space="preserve"> 2024 JAN-DEC D70 LICENSE BABY</v>
      </c>
      <c r="B7" s="7">
        <f t="shared" si="2"/>
        <v>46121</v>
      </c>
      <c r="C7" s="7">
        <f t="shared" si="2"/>
        <v>46127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16621453</v>
      </c>
      <c r="K7" s="6" t="s">
        <v>3287</v>
      </c>
      <c r="L7" s="16" t="s">
        <v>3289</v>
      </c>
      <c r="M7" s="8">
        <v>199900</v>
      </c>
      <c r="N7" s="35">
        <f t="shared" si="3"/>
        <v>0.7</v>
      </c>
      <c r="O7" s="34">
        <f t="shared" si="0"/>
        <v>59970</v>
      </c>
      <c r="P7" s="20" t="s">
        <v>16</v>
      </c>
    </row>
    <row r="8" spans="1:16" x14ac:dyDescent="0.35">
      <c r="A8" s="14" t="str">
        <f t="shared" si="1"/>
        <v xml:space="preserve"> 2024 JAN-DEC D70 LICENSE BABY</v>
      </c>
      <c r="B8" s="7">
        <f t="shared" si="2"/>
        <v>46121</v>
      </c>
      <c r="C8" s="7">
        <f t="shared" si="2"/>
        <v>46127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16621462</v>
      </c>
      <c r="K8" s="6" t="s">
        <v>3287</v>
      </c>
      <c r="L8" s="16" t="s">
        <v>3290</v>
      </c>
      <c r="M8" s="8">
        <v>199900</v>
      </c>
      <c r="N8" s="35">
        <f t="shared" si="3"/>
        <v>0.7</v>
      </c>
      <c r="O8" s="34">
        <f t="shared" si="0"/>
        <v>59970</v>
      </c>
      <c r="P8" s="20" t="s">
        <v>16</v>
      </c>
    </row>
    <row r="9" spans="1:16" x14ac:dyDescent="0.35">
      <c r="A9" s="14" t="str">
        <f t="shared" si="1"/>
        <v xml:space="preserve"> 2024 JAN-DEC D70 LICENSE BABY</v>
      </c>
      <c r="B9" s="7">
        <f t="shared" si="2"/>
        <v>46121</v>
      </c>
      <c r="C9" s="7">
        <f t="shared" si="2"/>
        <v>46127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16621471</v>
      </c>
      <c r="K9" s="6" t="s">
        <v>3287</v>
      </c>
      <c r="L9" s="16" t="s">
        <v>3291</v>
      </c>
      <c r="M9" s="8">
        <v>199900</v>
      </c>
      <c r="N9" s="35">
        <f t="shared" si="3"/>
        <v>0.7</v>
      </c>
      <c r="O9" s="34">
        <f t="shared" si="0"/>
        <v>59970</v>
      </c>
      <c r="P9" s="20" t="s">
        <v>16</v>
      </c>
    </row>
    <row r="10" spans="1:16" x14ac:dyDescent="0.35">
      <c r="A10" s="14" t="str">
        <f t="shared" si="1"/>
        <v xml:space="preserve"> 2024 JAN-DEC D70 LICENSE BABY</v>
      </c>
      <c r="B10" s="7">
        <f t="shared" si="2"/>
        <v>46121</v>
      </c>
      <c r="C10" s="7">
        <f t="shared" si="2"/>
        <v>46127</v>
      </c>
      <c r="D10" s="6">
        <v>3284</v>
      </c>
      <c r="E10" s="6">
        <v>338</v>
      </c>
      <c r="F10" s="6">
        <v>4</v>
      </c>
      <c r="G10" s="6">
        <v>1</v>
      </c>
      <c r="H10" s="6">
        <v>80920</v>
      </c>
      <c r="I10" s="6" t="s">
        <v>17</v>
      </c>
      <c r="J10" s="6">
        <v>15617988</v>
      </c>
      <c r="K10" s="6" t="s">
        <v>2924</v>
      </c>
      <c r="L10" s="16" t="s">
        <v>2925</v>
      </c>
      <c r="M10" s="8">
        <v>129900</v>
      </c>
      <c r="N10" s="35">
        <f t="shared" si="3"/>
        <v>0.7</v>
      </c>
      <c r="O10" s="34">
        <f t="shared" si="0"/>
        <v>38970</v>
      </c>
      <c r="P10" s="20" t="s">
        <v>16</v>
      </c>
    </row>
    <row r="11" spans="1:16" x14ac:dyDescent="0.35">
      <c r="A11" s="14" t="str">
        <f t="shared" si="1"/>
        <v xml:space="preserve"> 2024 JAN-DEC D70 LICENSE BABY</v>
      </c>
      <c r="B11" s="7">
        <f t="shared" si="2"/>
        <v>46121</v>
      </c>
      <c r="C11" s="7">
        <f t="shared" si="2"/>
        <v>46127</v>
      </c>
      <c r="D11" s="6">
        <v>3284</v>
      </c>
      <c r="E11" s="6">
        <v>338</v>
      </c>
      <c r="F11" s="6">
        <v>4</v>
      </c>
      <c r="G11" s="6">
        <v>1</v>
      </c>
      <c r="H11" s="6">
        <v>80920</v>
      </c>
      <c r="I11" s="6" t="s">
        <v>17</v>
      </c>
      <c r="J11" s="6">
        <v>15617997</v>
      </c>
      <c r="K11" s="6" t="s">
        <v>2924</v>
      </c>
      <c r="L11" s="16" t="s">
        <v>2926</v>
      </c>
      <c r="M11" s="8">
        <v>129900</v>
      </c>
      <c r="N11" s="35">
        <f t="shared" si="3"/>
        <v>0.7</v>
      </c>
      <c r="O11" s="34">
        <f t="shared" si="0"/>
        <v>38970</v>
      </c>
      <c r="P11" s="20" t="s">
        <v>16</v>
      </c>
    </row>
    <row r="12" spans="1:16" x14ac:dyDescent="0.35">
      <c r="A12" s="14" t="str">
        <f t="shared" si="1"/>
        <v xml:space="preserve"> 2024 JAN-DEC D70 LICENSE BABY</v>
      </c>
      <c r="B12" s="7">
        <f t="shared" si="2"/>
        <v>46121</v>
      </c>
      <c r="C12" s="7">
        <f t="shared" si="2"/>
        <v>46127</v>
      </c>
      <c r="D12" s="6">
        <v>3284</v>
      </c>
      <c r="E12" s="6">
        <v>338</v>
      </c>
      <c r="F12" s="6">
        <v>4</v>
      </c>
      <c r="G12" s="6">
        <v>1</v>
      </c>
      <c r="H12" s="6">
        <v>80920</v>
      </c>
      <c r="I12" s="6" t="s">
        <v>17</v>
      </c>
      <c r="J12" s="6">
        <v>15618003</v>
      </c>
      <c r="K12" s="6" t="s">
        <v>2924</v>
      </c>
      <c r="L12" s="16" t="s">
        <v>2927</v>
      </c>
      <c r="M12" s="8">
        <v>129900</v>
      </c>
      <c r="N12" s="35">
        <f t="shared" si="3"/>
        <v>0.7</v>
      </c>
      <c r="O12" s="34">
        <f t="shared" si="0"/>
        <v>38970</v>
      </c>
      <c r="P12" s="20" t="s">
        <v>16</v>
      </c>
    </row>
    <row r="13" spans="1:16" x14ac:dyDescent="0.35">
      <c r="A13" s="14" t="str">
        <f t="shared" si="1"/>
        <v xml:space="preserve"> 2024 JAN-DEC D70 LICENSE BABY</v>
      </c>
      <c r="B13" s="7">
        <f t="shared" si="2"/>
        <v>46121</v>
      </c>
      <c r="C13" s="7">
        <f t="shared" si="2"/>
        <v>46127</v>
      </c>
      <c r="D13" s="6">
        <v>3284</v>
      </c>
      <c r="E13" s="6">
        <v>338</v>
      </c>
      <c r="F13" s="6">
        <v>4</v>
      </c>
      <c r="G13" s="6">
        <v>1</v>
      </c>
      <c r="H13" s="6">
        <v>80920</v>
      </c>
      <c r="I13" s="6" t="s">
        <v>17</v>
      </c>
      <c r="J13" s="6">
        <v>15618012</v>
      </c>
      <c r="K13" s="6" t="s">
        <v>2924</v>
      </c>
      <c r="L13" s="16" t="s">
        <v>2928</v>
      </c>
      <c r="M13" s="8">
        <v>129900</v>
      </c>
      <c r="N13" s="35">
        <f t="shared" si="3"/>
        <v>0.7</v>
      </c>
      <c r="O13" s="34">
        <f t="shared" si="0"/>
        <v>38970</v>
      </c>
      <c r="P13" s="20" t="s">
        <v>16</v>
      </c>
    </row>
    <row r="14" spans="1:16" x14ac:dyDescent="0.35">
      <c r="A14" s="14" t="str">
        <f t="shared" si="1"/>
        <v xml:space="preserve"> 2024 JAN-DEC D70 LICENSE BABY</v>
      </c>
      <c r="B14" s="7">
        <f t="shared" si="2"/>
        <v>46121</v>
      </c>
      <c r="C14" s="7">
        <f t="shared" si="2"/>
        <v>46127</v>
      </c>
      <c r="D14" s="6">
        <v>3284</v>
      </c>
      <c r="E14" s="6">
        <v>338</v>
      </c>
      <c r="F14" s="6">
        <v>4</v>
      </c>
      <c r="G14" s="6">
        <v>1</v>
      </c>
      <c r="H14" s="6">
        <v>80920</v>
      </c>
      <c r="I14" s="6" t="s">
        <v>17</v>
      </c>
      <c r="J14" s="6">
        <v>15618021</v>
      </c>
      <c r="K14" s="6" t="s">
        <v>3292</v>
      </c>
      <c r="L14" s="16" t="s">
        <v>3293</v>
      </c>
      <c r="M14" s="8">
        <v>99900</v>
      </c>
      <c r="N14" s="35">
        <f t="shared" si="3"/>
        <v>0.7</v>
      </c>
      <c r="O14" s="34">
        <f t="shared" si="0"/>
        <v>29970</v>
      </c>
      <c r="P14" s="20" t="s">
        <v>16</v>
      </c>
    </row>
    <row r="15" spans="1:16" x14ac:dyDescent="0.35">
      <c r="A15" s="14" t="str">
        <f t="shared" si="1"/>
        <v xml:space="preserve"> 2024 JAN-DEC D70 LICENSE BABY</v>
      </c>
      <c r="B15" s="7">
        <f t="shared" si="2"/>
        <v>46121</v>
      </c>
      <c r="C15" s="7">
        <f t="shared" si="2"/>
        <v>46127</v>
      </c>
      <c r="D15" s="6">
        <v>3284</v>
      </c>
      <c r="E15" s="6">
        <v>338</v>
      </c>
      <c r="F15" s="6">
        <v>4</v>
      </c>
      <c r="G15" s="6">
        <v>1</v>
      </c>
      <c r="H15" s="6">
        <v>80920</v>
      </c>
      <c r="I15" s="6" t="s">
        <v>17</v>
      </c>
      <c r="J15" s="6">
        <v>15618030</v>
      </c>
      <c r="K15" s="6" t="s">
        <v>3292</v>
      </c>
      <c r="L15" s="16" t="s">
        <v>3294</v>
      </c>
      <c r="M15" s="8">
        <v>99900</v>
      </c>
      <c r="N15" s="35">
        <f t="shared" si="3"/>
        <v>0.7</v>
      </c>
      <c r="O15" s="34">
        <f t="shared" si="0"/>
        <v>29970</v>
      </c>
      <c r="P15" s="20" t="s">
        <v>16</v>
      </c>
    </row>
    <row r="16" spans="1:16" x14ac:dyDescent="0.35">
      <c r="A16" s="14" t="str">
        <f t="shared" si="1"/>
        <v xml:space="preserve"> 2024 JAN-DEC D70 LICENSE BABY</v>
      </c>
      <c r="B16" s="7">
        <f t="shared" si="2"/>
        <v>46121</v>
      </c>
      <c r="C16" s="7">
        <f t="shared" si="2"/>
        <v>46127</v>
      </c>
      <c r="D16" s="6">
        <v>3284</v>
      </c>
      <c r="E16" s="6">
        <v>338</v>
      </c>
      <c r="F16" s="6">
        <v>4</v>
      </c>
      <c r="G16" s="6">
        <v>1</v>
      </c>
      <c r="H16" s="6">
        <v>80920</v>
      </c>
      <c r="I16" s="6" t="s">
        <v>17</v>
      </c>
      <c r="J16" s="6">
        <v>15618049</v>
      </c>
      <c r="K16" s="6" t="s">
        <v>3292</v>
      </c>
      <c r="L16" s="16" t="s">
        <v>3295</v>
      </c>
      <c r="M16" s="8">
        <v>99900</v>
      </c>
      <c r="N16" s="35">
        <f t="shared" si="3"/>
        <v>0.7</v>
      </c>
      <c r="O16" s="34">
        <f t="shared" si="0"/>
        <v>29970</v>
      </c>
      <c r="P16" s="20" t="s">
        <v>16</v>
      </c>
    </row>
    <row r="17" spans="1:16" x14ac:dyDescent="0.35">
      <c r="A17" s="14" t="str">
        <f t="shared" si="1"/>
        <v xml:space="preserve"> 2024 JAN-DEC D70 LICENSE BABY</v>
      </c>
      <c r="B17" s="7">
        <f t="shared" si="2"/>
        <v>46121</v>
      </c>
      <c r="C17" s="7">
        <f t="shared" si="2"/>
        <v>46127</v>
      </c>
      <c r="D17" s="6">
        <v>3284</v>
      </c>
      <c r="E17" s="6">
        <v>338</v>
      </c>
      <c r="F17" s="6">
        <v>4</v>
      </c>
      <c r="G17" s="6">
        <v>1</v>
      </c>
      <c r="H17" s="6">
        <v>80920</v>
      </c>
      <c r="I17" s="6" t="s">
        <v>17</v>
      </c>
      <c r="J17" s="6">
        <v>15618058</v>
      </c>
      <c r="K17" s="6" t="s">
        <v>3292</v>
      </c>
      <c r="L17" s="16" t="s">
        <v>3296</v>
      </c>
      <c r="M17" s="8">
        <v>99900</v>
      </c>
      <c r="N17" s="35">
        <f t="shared" si="3"/>
        <v>0.7</v>
      </c>
      <c r="O17" s="34">
        <f t="shared" si="0"/>
        <v>29970</v>
      </c>
      <c r="P17" s="20" t="s">
        <v>16</v>
      </c>
    </row>
    <row r="18" spans="1:16" x14ac:dyDescent="0.35">
      <c r="A18" s="14" t="str">
        <f t="shared" si="1"/>
        <v xml:space="preserve"> 2024 JAN-DEC D70 LICENSE BABY</v>
      </c>
      <c r="B18" s="7">
        <f t="shared" si="2"/>
        <v>46121</v>
      </c>
      <c r="C18" s="7">
        <f t="shared" si="2"/>
        <v>46127</v>
      </c>
      <c r="D18" s="6">
        <v>3284</v>
      </c>
      <c r="E18" s="6">
        <v>338</v>
      </c>
      <c r="F18" s="6">
        <v>4</v>
      </c>
      <c r="G18" s="6">
        <v>1</v>
      </c>
      <c r="H18" s="6">
        <v>81676</v>
      </c>
      <c r="I18" s="6" t="s">
        <v>17</v>
      </c>
      <c r="J18" s="6">
        <v>15743369</v>
      </c>
      <c r="K18" s="6" t="s">
        <v>2929</v>
      </c>
      <c r="L18" s="16" t="s">
        <v>2930</v>
      </c>
      <c r="M18" s="8">
        <v>99900</v>
      </c>
      <c r="N18" s="35">
        <f t="shared" si="3"/>
        <v>0.7</v>
      </c>
      <c r="O18" s="34">
        <f t="shared" si="0"/>
        <v>29970</v>
      </c>
      <c r="P18" s="20" t="s">
        <v>16</v>
      </c>
    </row>
    <row r="19" spans="1:16" x14ac:dyDescent="0.35">
      <c r="A19" s="14" t="str">
        <f t="shared" si="1"/>
        <v xml:space="preserve"> 2024 JAN-DEC D70 LICENSE BABY</v>
      </c>
      <c r="B19" s="7">
        <f t="shared" si="2"/>
        <v>46121</v>
      </c>
      <c r="C19" s="7">
        <f t="shared" si="2"/>
        <v>46127</v>
      </c>
      <c r="D19" s="6">
        <v>3284</v>
      </c>
      <c r="E19" s="6">
        <v>338</v>
      </c>
      <c r="F19" s="6">
        <v>4</v>
      </c>
      <c r="G19" s="6">
        <v>1</v>
      </c>
      <c r="H19" s="6">
        <v>81676</v>
      </c>
      <c r="I19" s="6" t="s">
        <v>17</v>
      </c>
      <c r="J19" s="6">
        <v>15743378</v>
      </c>
      <c r="K19" s="6" t="s">
        <v>2929</v>
      </c>
      <c r="L19" s="16" t="s">
        <v>3297</v>
      </c>
      <c r="M19" s="8">
        <v>99900</v>
      </c>
      <c r="N19" s="35">
        <f t="shared" si="3"/>
        <v>0.7</v>
      </c>
      <c r="O19" s="34">
        <f t="shared" si="0"/>
        <v>29970</v>
      </c>
      <c r="P19" s="20" t="s">
        <v>16</v>
      </c>
    </row>
    <row r="20" spans="1:16" x14ac:dyDescent="0.35">
      <c r="A20" s="14" t="str">
        <f t="shared" si="1"/>
        <v xml:space="preserve"> 2024 JAN-DEC D70 LICENSE BABY</v>
      </c>
      <c r="B20" s="7">
        <f t="shared" ref="B20:C29" si="4">B19</f>
        <v>46121</v>
      </c>
      <c r="C20" s="7">
        <f t="shared" si="4"/>
        <v>46127</v>
      </c>
      <c r="D20" s="6">
        <v>3284</v>
      </c>
      <c r="E20" s="6">
        <v>338</v>
      </c>
      <c r="F20" s="6">
        <v>4</v>
      </c>
      <c r="G20" s="6">
        <v>1</v>
      </c>
      <c r="H20" s="6">
        <v>81676</v>
      </c>
      <c r="I20" s="6" t="s">
        <v>17</v>
      </c>
      <c r="J20" s="6">
        <v>15743387</v>
      </c>
      <c r="K20" s="6" t="s">
        <v>2929</v>
      </c>
      <c r="L20" s="16" t="s">
        <v>2931</v>
      </c>
      <c r="M20" s="8">
        <v>99900</v>
      </c>
      <c r="N20" s="35">
        <f t="shared" si="3"/>
        <v>0.7</v>
      </c>
      <c r="O20" s="34">
        <f t="shared" si="0"/>
        <v>29970</v>
      </c>
      <c r="P20" s="20" t="s">
        <v>16</v>
      </c>
    </row>
    <row r="21" spans="1:16" x14ac:dyDescent="0.35">
      <c r="A21" s="14" t="str">
        <f t="shared" si="1"/>
        <v xml:space="preserve"> 2024 JAN-DEC D70 LICENSE BABY</v>
      </c>
      <c r="B21" s="7">
        <f t="shared" si="4"/>
        <v>46121</v>
      </c>
      <c r="C21" s="7">
        <f t="shared" si="4"/>
        <v>46127</v>
      </c>
      <c r="D21" s="6">
        <v>3284</v>
      </c>
      <c r="E21" s="6">
        <v>338</v>
      </c>
      <c r="F21" s="6">
        <v>4</v>
      </c>
      <c r="G21" s="6">
        <v>1</v>
      </c>
      <c r="H21" s="6">
        <v>81676</v>
      </c>
      <c r="I21" s="6" t="s">
        <v>17</v>
      </c>
      <c r="J21" s="6">
        <v>15743396</v>
      </c>
      <c r="K21" s="6" t="s">
        <v>2929</v>
      </c>
      <c r="L21" s="16" t="s">
        <v>2932</v>
      </c>
      <c r="M21" s="8">
        <v>99900</v>
      </c>
      <c r="N21" s="35">
        <f t="shared" si="3"/>
        <v>0.7</v>
      </c>
      <c r="O21" s="34">
        <f t="shared" si="0"/>
        <v>29970</v>
      </c>
      <c r="P21" s="20" t="s">
        <v>16</v>
      </c>
    </row>
    <row r="22" spans="1:16" x14ac:dyDescent="0.35">
      <c r="A22" s="14" t="str">
        <f t="shared" si="1"/>
        <v xml:space="preserve"> 2024 JAN-DEC D70 LICENSE BABY</v>
      </c>
      <c r="B22" s="7">
        <f t="shared" si="4"/>
        <v>46121</v>
      </c>
      <c r="C22" s="7">
        <f t="shared" si="4"/>
        <v>46127</v>
      </c>
      <c r="D22" s="6">
        <v>3284</v>
      </c>
      <c r="E22" s="6">
        <v>338</v>
      </c>
      <c r="F22" s="6">
        <v>4</v>
      </c>
      <c r="G22" s="6">
        <v>2</v>
      </c>
      <c r="H22" s="6">
        <v>81574</v>
      </c>
      <c r="I22" s="6" t="s">
        <v>17</v>
      </c>
      <c r="J22" s="6">
        <v>16621480</v>
      </c>
      <c r="K22" s="6" t="s">
        <v>404</v>
      </c>
      <c r="L22" s="16" t="s">
        <v>3298</v>
      </c>
      <c r="M22" s="8">
        <v>229900</v>
      </c>
      <c r="N22" s="35">
        <f t="shared" si="3"/>
        <v>0.7</v>
      </c>
      <c r="O22" s="34">
        <f t="shared" si="0"/>
        <v>68970</v>
      </c>
      <c r="P22" s="20" t="s">
        <v>16</v>
      </c>
    </row>
    <row r="23" spans="1:16" x14ac:dyDescent="0.35">
      <c r="A23" s="14" t="str">
        <f t="shared" si="1"/>
        <v xml:space="preserve"> 2024 JAN-DEC D70 LICENSE BABY</v>
      </c>
      <c r="B23" s="7">
        <f t="shared" si="4"/>
        <v>46121</v>
      </c>
      <c r="C23" s="7">
        <f t="shared" si="4"/>
        <v>46127</v>
      </c>
      <c r="D23" s="6">
        <v>3284</v>
      </c>
      <c r="E23" s="6">
        <v>338</v>
      </c>
      <c r="F23" s="6">
        <v>4</v>
      </c>
      <c r="G23" s="6">
        <v>2</v>
      </c>
      <c r="H23" s="6">
        <v>81574</v>
      </c>
      <c r="I23" s="6" t="s">
        <v>17</v>
      </c>
      <c r="J23" s="6">
        <v>16621499</v>
      </c>
      <c r="K23" s="6" t="s">
        <v>404</v>
      </c>
      <c r="L23" s="16" t="s">
        <v>3299</v>
      </c>
      <c r="M23" s="8">
        <v>229900</v>
      </c>
      <c r="N23" s="35">
        <f t="shared" si="3"/>
        <v>0.7</v>
      </c>
      <c r="O23" s="34">
        <f t="shared" si="0"/>
        <v>68970</v>
      </c>
      <c r="P23" s="20" t="s">
        <v>16</v>
      </c>
    </row>
    <row r="24" spans="1:16" x14ac:dyDescent="0.35">
      <c r="A24" s="14" t="str">
        <f t="shared" si="1"/>
        <v xml:space="preserve"> 2024 JAN-DEC D70 LICENSE BABY</v>
      </c>
      <c r="B24" s="7">
        <f t="shared" si="4"/>
        <v>46121</v>
      </c>
      <c r="C24" s="7">
        <f t="shared" si="4"/>
        <v>46127</v>
      </c>
      <c r="D24" s="6">
        <v>3284</v>
      </c>
      <c r="E24" s="6">
        <v>338</v>
      </c>
      <c r="F24" s="6">
        <v>4</v>
      </c>
      <c r="G24" s="6">
        <v>2</v>
      </c>
      <c r="H24" s="6">
        <v>81574</v>
      </c>
      <c r="I24" s="6" t="s">
        <v>17</v>
      </c>
      <c r="J24" s="6">
        <v>16621506</v>
      </c>
      <c r="K24" s="6" t="s">
        <v>404</v>
      </c>
      <c r="L24" s="16" t="s">
        <v>3300</v>
      </c>
      <c r="M24" s="8">
        <v>229900</v>
      </c>
      <c r="N24" s="35">
        <f t="shared" si="3"/>
        <v>0.7</v>
      </c>
      <c r="O24" s="34">
        <f t="shared" si="0"/>
        <v>68970</v>
      </c>
      <c r="P24" s="20" t="s">
        <v>16</v>
      </c>
    </row>
    <row r="25" spans="1:16" x14ac:dyDescent="0.35">
      <c r="A25" s="14" t="str">
        <f t="shared" si="1"/>
        <v xml:space="preserve"> 2024 JAN-DEC D70 LICENSE BABY</v>
      </c>
      <c r="B25" s="7">
        <f t="shared" si="4"/>
        <v>46121</v>
      </c>
      <c r="C25" s="7">
        <f t="shared" si="4"/>
        <v>46127</v>
      </c>
      <c r="D25" s="6">
        <v>3284</v>
      </c>
      <c r="E25" s="6">
        <v>338</v>
      </c>
      <c r="F25" s="6">
        <v>4</v>
      </c>
      <c r="G25" s="6">
        <v>2</v>
      </c>
      <c r="H25" s="6">
        <v>81574</v>
      </c>
      <c r="I25" s="6" t="s">
        <v>17</v>
      </c>
      <c r="J25" s="6">
        <v>16621515</v>
      </c>
      <c r="K25" s="6" t="s">
        <v>404</v>
      </c>
      <c r="L25" s="16" t="s">
        <v>3301</v>
      </c>
      <c r="M25" s="8">
        <v>229900</v>
      </c>
      <c r="N25" s="35">
        <f t="shared" si="3"/>
        <v>0.7</v>
      </c>
      <c r="O25" s="34">
        <f t="shared" si="0"/>
        <v>68970</v>
      </c>
      <c r="P25" s="20" t="s">
        <v>16</v>
      </c>
    </row>
    <row r="26" spans="1:16" x14ac:dyDescent="0.35">
      <c r="A26" s="14" t="str">
        <f t="shared" si="1"/>
        <v xml:space="preserve"> 2024 JAN-DEC D70 LICENSE BABY</v>
      </c>
      <c r="B26" s="7">
        <f t="shared" si="4"/>
        <v>46121</v>
      </c>
      <c r="C26" s="7">
        <f t="shared" si="4"/>
        <v>46127</v>
      </c>
      <c r="D26" s="6">
        <v>3284</v>
      </c>
      <c r="E26" s="6">
        <v>338</v>
      </c>
      <c r="F26" s="6">
        <v>4</v>
      </c>
      <c r="G26" s="6">
        <v>3</v>
      </c>
      <c r="H26" s="6">
        <v>81146</v>
      </c>
      <c r="I26" s="6" t="s">
        <v>17</v>
      </c>
      <c r="J26" s="6">
        <v>16621686</v>
      </c>
      <c r="K26" s="6" t="s">
        <v>3302</v>
      </c>
      <c r="L26" s="16" t="s">
        <v>3303</v>
      </c>
      <c r="M26" s="8">
        <v>179900</v>
      </c>
      <c r="N26" s="35">
        <f t="shared" si="3"/>
        <v>0.7</v>
      </c>
      <c r="O26" s="34">
        <f t="shared" si="0"/>
        <v>53970</v>
      </c>
      <c r="P26" s="20" t="s">
        <v>16</v>
      </c>
    </row>
    <row r="27" spans="1:16" x14ac:dyDescent="0.35">
      <c r="A27" s="14" t="str">
        <f t="shared" si="1"/>
        <v xml:space="preserve"> 2024 JAN-DEC D70 LICENSE BABY</v>
      </c>
      <c r="B27" s="7">
        <f t="shared" si="4"/>
        <v>46121</v>
      </c>
      <c r="C27" s="7">
        <f t="shared" si="4"/>
        <v>46127</v>
      </c>
      <c r="D27" s="6">
        <v>3284</v>
      </c>
      <c r="E27" s="6">
        <v>338</v>
      </c>
      <c r="F27" s="6">
        <v>4</v>
      </c>
      <c r="G27" s="6">
        <v>3</v>
      </c>
      <c r="H27" s="6">
        <v>81146</v>
      </c>
      <c r="I27" s="6" t="s">
        <v>17</v>
      </c>
      <c r="J27" s="6">
        <v>16621695</v>
      </c>
      <c r="K27" s="6" t="s">
        <v>3302</v>
      </c>
      <c r="L27" s="16" t="s">
        <v>3304</v>
      </c>
      <c r="M27" s="8">
        <v>179900</v>
      </c>
      <c r="N27" s="35">
        <f t="shared" si="3"/>
        <v>0.7</v>
      </c>
      <c r="O27" s="34">
        <f t="shared" si="0"/>
        <v>53970</v>
      </c>
      <c r="P27" s="20" t="s">
        <v>16</v>
      </c>
    </row>
    <row r="28" spans="1:16" x14ac:dyDescent="0.35">
      <c r="A28" s="14" t="str">
        <f t="shared" si="1"/>
        <v xml:space="preserve"> 2024 JAN-DEC D70 LICENSE BABY</v>
      </c>
      <c r="B28" s="7">
        <f t="shared" si="4"/>
        <v>46121</v>
      </c>
      <c r="C28" s="7">
        <f t="shared" si="4"/>
        <v>46127</v>
      </c>
      <c r="D28" s="6">
        <v>3284</v>
      </c>
      <c r="E28" s="6">
        <v>338</v>
      </c>
      <c r="F28" s="6">
        <v>4</v>
      </c>
      <c r="G28" s="6">
        <v>3</v>
      </c>
      <c r="H28" s="6">
        <v>81146</v>
      </c>
      <c r="I28" s="6" t="s">
        <v>17</v>
      </c>
      <c r="J28" s="6">
        <v>16621702</v>
      </c>
      <c r="K28" s="6" t="s">
        <v>3302</v>
      </c>
      <c r="L28" s="16" t="s">
        <v>3305</v>
      </c>
      <c r="M28" s="8">
        <v>179900</v>
      </c>
      <c r="N28" s="35">
        <f t="shared" si="3"/>
        <v>0.7</v>
      </c>
      <c r="O28" s="34">
        <f t="shared" si="0"/>
        <v>53970</v>
      </c>
      <c r="P28" s="20" t="s">
        <v>16</v>
      </c>
    </row>
    <row r="29" spans="1:16" x14ac:dyDescent="0.35">
      <c r="A29" s="14" t="str">
        <f t="shared" si="1"/>
        <v xml:space="preserve"> 2024 JAN-DEC D70 LICENSE BABY</v>
      </c>
      <c r="B29" s="7">
        <f t="shared" si="4"/>
        <v>46121</v>
      </c>
      <c r="C29" s="7">
        <f t="shared" si="4"/>
        <v>46127</v>
      </c>
      <c r="D29" s="6">
        <v>3284</v>
      </c>
      <c r="E29" s="6">
        <v>338</v>
      </c>
      <c r="F29" s="6">
        <v>4</v>
      </c>
      <c r="G29" s="6">
        <v>3</v>
      </c>
      <c r="H29" s="6">
        <v>81146</v>
      </c>
      <c r="I29" s="6" t="s">
        <v>17</v>
      </c>
      <c r="J29" s="6">
        <v>16621711</v>
      </c>
      <c r="K29" s="6" t="s">
        <v>3302</v>
      </c>
      <c r="L29" s="16" t="s">
        <v>3306</v>
      </c>
      <c r="M29" s="8">
        <v>179900</v>
      </c>
      <c r="N29" s="35">
        <f t="shared" si="3"/>
        <v>0.7</v>
      </c>
      <c r="O29" s="34">
        <f t="shared" si="0"/>
        <v>53970</v>
      </c>
      <c r="P29" s="20" t="s">
        <v>16</v>
      </c>
    </row>
    <row r="30" spans="1:16" x14ac:dyDescent="0.35">
      <c r="A30" s="14" t="str">
        <f t="shared" si="1"/>
        <v xml:space="preserve"> 2024 JAN-DEC D70 LICENSE BABY</v>
      </c>
      <c r="B30" s="7">
        <f t="shared" ref="B30:B61" si="5">B29</f>
        <v>46121</v>
      </c>
      <c r="C30" s="7">
        <f t="shared" ref="C30:C61" si="6">C29</f>
        <v>46127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15617675</v>
      </c>
      <c r="K30" s="6" t="s">
        <v>2933</v>
      </c>
      <c r="L30" s="16" t="s">
        <v>2934</v>
      </c>
      <c r="M30" s="8">
        <v>179900</v>
      </c>
      <c r="N30" s="35">
        <f t="shared" si="3"/>
        <v>0.7</v>
      </c>
      <c r="O30" s="34">
        <f t="shared" si="0"/>
        <v>53970</v>
      </c>
      <c r="P30" s="20" t="s">
        <v>16</v>
      </c>
    </row>
    <row r="31" spans="1:16" x14ac:dyDescent="0.35">
      <c r="A31" s="14" t="str">
        <f t="shared" si="1"/>
        <v xml:space="preserve"> 2024 JAN-DEC D70 LICENSE BABY</v>
      </c>
      <c r="B31" s="7">
        <f t="shared" si="5"/>
        <v>46121</v>
      </c>
      <c r="C31" s="7">
        <f t="shared" si="6"/>
        <v>46127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15617684</v>
      </c>
      <c r="K31" s="6" t="s">
        <v>2933</v>
      </c>
      <c r="L31" s="16" t="s">
        <v>3307</v>
      </c>
      <c r="M31" s="8">
        <v>179900</v>
      </c>
      <c r="N31" s="35">
        <f t="shared" si="3"/>
        <v>0.7</v>
      </c>
      <c r="O31" s="34">
        <f t="shared" si="0"/>
        <v>53970</v>
      </c>
      <c r="P31" s="20" t="s">
        <v>16</v>
      </c>
    </row>
    <row r="32" spans="1:16" x14ac:dyDescent="0.35">
      <c r="A32" s="14" t="str">
        <f t="shared" si="1"/>
        <v xml:space="preserve"> 2024 JAN-DEC D70 LICENSE BABY</v>
      </c>
      <c r="B32" s="7">
        <f t="shared" si="5"/>
        <v>46121</v>
      </c>
      <c r="C32" s="7">
        <f t="shared" si="6"/>
        <v>46127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15617693</v>
      </c>
      <c r="K32" s="6" t="s">
        <v>2933</v>
      </c>
      <c r="L32" s="16" t="s">
        <v>2935</v>
      </c>
      <c r="M32" s="8">
        <v>179900</v>
      </c>
      <c r="N32" s="35">
        <f t="shared" si="3"/>
        <v>0.7</v>
      </c>
      <c r="O32" s="34">
        <f t="shared" si="0"/>
        <v>53970</v>
      </c>
      <c r="P32" s="20" t="s">
        <v>16</v>
      </c>
    </row>
    <row r="33" spans="1:16" x14ac:dyDescent="0.35">
      <c r="A33" s="14" t="str">
        <f t="shared" si="1"/>
        <v xml:space="preserve"> 2024 JAN-DEC D70 LICENSE BABY</v>
      </c>
      <c r="B33" s="7">
        <f t="shared" si="5"/>
        <v>46121</v>
      </c>
      <c r="C33" s="7">
        <f t="shared" si="6"/>
        <v>46127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15743332</v>
      </c>
      <c r="K33" s="6" t="s">
        <v>2933</v>
      </c>
      <c r="L33" s="16" t="s">
        <v>2936</v>
      </c>
      <c r="M33" s="8">
        <v>179900</v>
      </c>
      <c r="N33" s="35">
        <f t="shared" si="3"/>
        <v>0.7</v>
      </c>
      <c r="O33" s="34">
        <f t="shared" si="0"/>
        <v>53970</v>
      </c>
      <c r="P33" s="20" t="s">
        <v>16</v>
      </c>
    </row>
    <row r="34" spans="1:16" x14ac:dyDescent="0.35">
      <c r="A34" s="14" t="str">
        <f t="shared" si="1"/>
        <v xml:space="preserve"> 2024 JAN-DEC D70 LICENSE BABY</v>
      </c>
      <c r="B34" s="7">
        <f t="shared" si="5"/>
        <v>46121</v>
      </c>
      <c r="C34" s="7">
        <f t="shared" si="6"/>
        <v>46127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16859635</v>
      </c>
      <c r="K34" s="6" t="s">
        <v>3308</v>
      </c>
      <c r="L34" s="16" t="s">
        <v>3309</v>
      </c>
      <c r="M34" s="8">
        <v>179900</v>
      </c>
      <c r="N34" s="35">
        <f t="shared" si="3"/>
        <v>0.7</v>
      </c>
      <c r="O34" s="34">
        <f t="shared" si="0"/>
        <v>53970</v>
      </c>
      <c r="P34" s="20" t="s">
        <v>16</v>
      </c>
    </row>
    <row r="35" spans="1:16" x14ac:dyDescent="0.35">
      <c r="A35" s="14" t="str">
        <f t="shared" si="1"/>
        <v xml:space="preserve"> 2024 JAN-DEC D70 LICENSE BABY</v>
      </c>
      <c r="B35" s="7">
        <f t="shared" si="5"/>
        <v>46121</v>
      </c>
      <c r="C35" s="7">
        <f t="shared" si="6"/>
        <v>46127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16859644</v>
      </c>
      <c r="K35" s="6" t="s">
        <v>3308</v>
      </c>
      <c r="L35" s="16" t="s">
        <v>3310</v>
      </c>
      <c r="M35" s="8">
        <v>179900</v>
      </c>
      <c r="N35" s="35">
        <f t="shared" si="3"/>
        <v>0.7</v>
      </c>
      <c r="O35" s="34">
        <f t="shared" si="0"/>
        <v>53970</v>
      </c>
      <c r="P35" s="20" t="s">
        <v>16</v>
      </c>
    </row>
    <row r="36" spans="1:16" x14ac:dyDescent="0.35">
      <c r="A36" s="14" t="str">
        <f t="shared" si="1"/>
        <v xml:space="preserve"> 2024 JAN-DEC D70 LICENSE BABY</v>
      </c>
      <c r="B36" s="7">
        <f t="shared" si="5"/>
        <v>46121</v>
      </c>
      <c r="C36" s="7">
        <f t="shared" si="6"/>
        <v>46127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16859653</v>
      </c>
      <c r="K36" s="6" t="s">
        <v>3308</v>
      </c>
      <c r="L36" s="16" t="s">
        <v>3311</v>
      </c>
      <c r="M36" s="8">
        <v>179900</v>
      </c>
      <c r="N36" s="35">
        <f t="shared" si="3"/>
        <v>0.7</v>
      </c>
      <c r="O36" s="34">
        <f t="shared" si="0"/>
        <v>53970</v>
      </c>
      <c r="P36" s="20" t="s">
        <v>16</v>
      </c>
    </row>
    <row r="37" spans="1:16" x14ac:dyDescent="0.35">
      <c r="A37" s="14" t="str">
        <f t="shared" si="1"/>
        <v xml:space="preserve"> 2024 JAN-DEC D70 LICENSE BABY</v>
      </c>
      <c r="B37" s="7">
        <f t="shared" si="5"/>
        <v>46121</v>
      </c>
      <c r="C37" s="7">
        <f t="shared" si="6"/>
        <v>46127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16859662</v>
      </c>
      <c r="K37" s="6" t="s">
        <v>3308</v>
      </c>
      <c r="L37" s="16" t="s">
        <v>3312</v>
      </c>
      <c r="M37" s="8">
        <v>179900</v>
      </c>
      <c r="N37" s="35">
        <f t="shared" si="3"/>
        <v>0.7</v>
      </c>
      <c r="O37" s="34">
        <f t="shared" si="0"/>
        <v>53970</v>
      </c>
      <c r="P37" s="20" t="s">
        <v>16</v>
      </c>
    </row>
    <row r="38" spans="1:16" x14ac:dyDescent="0.35">
      <c r="A38" s="14" t="str">
        <f t="shared" si="1"/>
        <v xml:space="preserve"> 2024 JAN-DEC D70 LICENSE BABY</v>
      </c>
      <c r="B38" s="7">
        <f t="shared" si="5"/>
        <v>46121</v>
      </c>
      <c r="C38" s="7">
        <f t="shared" si="6"/>
        <v>46127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18757278</v>
      </c>
      <c r="K38" s="6" t="s">
        <v>3640</v>
      </c>
      <c r="L38" s="16" t="s">
        <v>3641</v>
      </c>
      <c r="M38" s="8">
        <v>179900</v>
      </c>
      <c r="N38" s="35">
        <f t="shared" si="3"/>
        <v>0.7</v>
      </c>
      <c r="O38" s="34">
        <f t="shared" si="0"/>
        <v>53970</v>
      </c>
      <c r="P38" s="20" t="s">
        <v>16</v>
      </c>
    </row>
    <row r="39" spans="1:16" x14ac:dyDescent="0.35">
      <c r="A39" s="14" t="str">
        <f t="shared" si="1"/>
        <v xml:space="preserve"> 2024 JAN-DEC D70 LICENSE BABY</v>
      </c>
      <c r="B39" s="7">
        <f t="shared" si="5"/>
        <v>46121</v>
      </c>
      <c r="C39" s="7">
        <f t="shared" si="6"/>
        <v>46127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18757296</v>
      </c>
      <c r="K39" s="6" t="s">
        <v>3640</v>
      </c>
      <c r="L39" s="16" t="s">
        <v>3642</v>
      </c>
      <c r="M39" s="8">
        <v>179900</v>
      </c>
      <c r="N39" s="35">
        <f t="shared" si="3"/>
        <v>0.7</v>
      </c>
      <c r="O39" s="34">
        <f t="shared" si="0"/>
        <v>53970</v>
      </c>
      <c r="P39" s="20" t="s">
        <v>16</v>
      </c>
    </row>
    <row r="40" spans="1:16" x14ac:dyDescent="0.35">
      <c r="A40" s="14" t="str">
        <f t="shared" si="1"/>
        <v xml:space="preserve"> 2024 JAN-DEC D70 LICENSE BABY</v>
      </c>
      <c r="B40" s="7">
        <f t="shared" si="5"/>
        <v>46121</v>
      </c>
      <c r="C40" s="7">
        <f t="shared" si="6"/>
        <v>46127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18757303</v>
      </c>
      <c r="K40" s="6" t="s">
        <v>3640</v>
      </c>
      <c r="L40" s="16" t="s">
        <v>3643</v>
      </c>
      <c r="M40" s="8">
        <v>179900</v>
      </c>
      <c r="N40" s="35">
        <f t="shared" si="3"/>
        <v>0.7</v>
      </c>
      <c r="O40" s="34">
        <f t="shared" si="0"/>
        <v>53970</v>
      </c>
      <c r="P40" s="20" t="s">
        <v>16</v>
      </c>
    </row>
    <row r="41" spans="1:16" x14ac:dyDescent="0.35">
      <c r="A41" s="14" t="str">
        <f t="shared" si="1"/>
        <v xml:space="preserve"> 2024 JAN-DEC D70 LICENSE BABY</v>
      </c>
      <c r="B41" s="7">
        <f t="shared" si="5"/>
        <v>46121</v>
      </c>
      <c r="C41" s="7">
        <f t="shared" si="6"/>
        <v>46127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18757312</v>
      </c>
      <c r="K41" s="6" t="s">
        <v>3640</v>
      </c>
      <c r="L41" s="16" t="s">
        <v>3644</v>
      </c>
      <c r="M41" s="8">
        <v>179900</v>
      </c>
      <c r="N41" s="35">
        <f t="shared" si="3"/>
        <v>0.7</v>
      </c>
      <c r="O41" s="34">
        <f t="shared" si="0"/>
        <v>53970</v>
      </c>
      <c r="P41" s="20" t="s">
        <v>16</v>
      </c>
    </row>
    <row r="42" spans="1:16" x14ac:dyDescent="0.35">
      <c r="A42" s="14" t="str">
        <f t="shared" si="1"/>
        <v xml:space="preserve"> 2024 JAN-DEC D70 LICENSE BABY</v>
      </c>
      <c r="B42" s="7">
        <f t="shared" si="5"/>
        <v>46121</v>
      </c>
      <c r="C42" s="7">
        <f t="shared" si="6"/>
        <v>46127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15617906</v>
      </c>
      <c r="K42" s="6" t="s">
        <v>2937</v>
      </c>
      <c r="L42" s="16" t="s">
        <v>2938</v>
      </c>
      <c r="M42" s="8">
        <v>179900</v>
      </c>
      <c r="N42" s="35">
        <f t="shared" si="3"/>
        <v>0.7</v>
      </c>
      <c r="O42" s="34">
        <f t="shared" si="0"/>
        <v>53970</v>
      </c>
      <c r="P42" s="20" t="s">
        <v>16</v>
      </c>
    </row>
    <row r="43" spans="1:16" x14ac:dyDescent="0.35">
      <c r="A43" s="14" t="str">
        <f t="shared" si="1"/>
        <v xml:space="preserve"> 2024 JAN-DEC D70 LICENSE BABY</v>
      </c>
      <c r="B43" s="7">
        <f t="shared" si="5"/>
        <v>46121</v>
      </c>
      <c r="C43" s="7">
        <f t="shared" si="6"/>
        <v>46127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15617915</v>
      </c>
      <c r="K43" s="6" t="s">
        <v>2937</v>
      </c>
      <c r="L43" s="16" t="s">
        <v>2939</v>
      </c>
      <c r="M43" s="8">
        <v>179900</v>
      </c>
      <c r="N43" s="35">
        <f t="shared" si="3"/>
        <v>0.7</v>
      </c>
      <c r="O43" s="34">
        <f t="shared" si="0"/>
        <v>53970</v>
      </c>
      <c r="P43" s="20" t="s">
        <v>16</v>
      </c>
    </row>
    <row r="44" spans="1:16" x14ac:dyDescent="0.35">
      <c r="A44" s="14" t="str">
        <f t="shared" si="1"/>
        <v xml:space="preserve"> 2024 JAN-DEC D70 LICENSE BABY</v>
      </c>
      <c r="B44" s="7">
        <f t="shared" si="5"/>
        <v>46121</v>
      </c>
      <c r="C44" s="7">
        <f t="shared" si="6"/>
        <v>46127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15617924</v>
      </c>
      <c r="K44" s="6" t="s">
        <v>2937</v>
      </c>
      <c r="L44" s="16" t="s">
        <v>2940</v>
      </c>
      <c r="M44" s="8">
        <v>179900</v>
      </c>
      <c r="N44" s="35">
        <f t="shared" si="3"/>
        <v>0.7</v>
      </c>
      <c r="O44" s="34">
        <f t="shared" si="0"/>
        <v>53970</v>
      </c>
      <c r="P44" s="20" t="s">
        <v>16</v>
      </c>
    </row>
    <row r="45" spans="1:16" x14ac:dyDescent="0.35">
      <c r="A45" s="14" t="str">
        <f t="shared" si="1"/>
        <v xml:space="preserve"> 2024 JAN-DEC D70 LICENSE BABY</v>
      </c>
      <c r="B45" s="7">
        <f t="shared" si="5"/>
        <v>46121</v>
      </c>
      <c r="C45" s="7">
        <f t="shared" si="6"/>
        <v>46127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15617933</v>
      </c>
      <c r="K45" s="6" t="s">
        <v>2937</v>
      </c>
      <c r="L45" s="16" t="s">
        <v>2941</v>
      </c>
      <c r="M45" s="8">
        <v>179900</v>
      </c>
      <c r="N45" s="35">
        <f t="shared" si="3"/>
        <v>0.7</v>
      </c>
      <c r="O45" s="34">
        <f t="shared" si="0"/>
        <v>53970</v>
      </c>
      <c r="P45" s="20" t="s">
        <v>16</v>
      </c>
    </row>
    <row r="46" spans="1:16" x14ac:dyDescent="0.35">
      <c r="A46" s="14" t="str">
        <f t="shared" si="1"/>
        <v xml:space="preserve"> 2024 JAN-DEC D70 LICENSE BABY</v>
      </c>
      <c r="B46" s="7">
        <f t="shared" si="5"/>
        <v>46121</v>
      </c>
      <c r="C46" s="7">
        <f t="shared" si="6"/>
        <v>46127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15618067</v>
      </c>
      <c r="K46" s="6" t="s">
        <v>2942</v>
      </c>
      <c r="L46" s="16" t="s">
        <v>2943</v>
      </c>
      <c r="M46" s="8">
        <v>179900</v>
      </c>
      <c r="N46" s="35">
        <f t="shared" si="3"/>
        <v>0.7</v>
      </c>
      <c r="O46" s="34">
        <f t="shared" si="0"/>
        <v>53970</v>
      </c>
      <c r="P46" s="20" t="s">
        <v>16</v>
      </c>
    </row>
    <row r="47" spans="1:16" x14ac:dyDescent="0.35">
      <c r="A47" s="14" t="str">
        <f t="shared" si="1"/>
        <v xml:space="preserve"> 2024 JAN-DEC D70 LICENSE BABY</v>
      </c>
      <c r="B47" s="7">
        <f t="shared" si="5"/>
        <v>46121</v>
      </c>
      <c r="C47" s="7">
        <f t="shared" si="6"/>
        <v>46127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15618076</v>
      </c>
      <c r="K47" s="6" t="s">
        <v>2942</v>
      </c>
      <c r="L47" s="16" t="s">
        <v>2944</v>
      </c>
      <c r="M47" s="8">
        <v>179900</v>
      </c>
      <c r="N47" s="35">
        <f t="shared" si="3"/>
        <v>0.7</v>
      </c>
      <c r="O47" s="34">
        <f t="shared" si="0"/>
        <v>53970</v>
      </c>
      <c r="P47" s="20" t="s">
        <v>16</v>
      </c>
    </row>
    <row r="48" spans="1:16" x14ac:dyDescent="0.35">
      <c r="A48" s="14" t="str">
        <f t="shared" si="1"/>
        <v xml:space="preserve"> 2024 JAN-DEC D70 LICENSE BABY</v>
      </c>
      <c r="B48" s="7">
        <f t="shared" si="5"/>
        <v>46121</v>
      </c>
      <c r="C48" s="7">
        <f t="shared" si="6"/>
        <v>46127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15618085</v>
      </c>
      <c r="K48" s="6" t="s">
        <v>2942</v>
      </c>
      <c r="L48" s="16" t="s">
        <v>2945</v>
      </c>
      <c r="M48" s="8">
        <v>179900</v>
      </c>
      <c r="N48" s="35">
        <f t="shared" si="3"/>
        <v>0.7</v>
      </c>
      <c r="O48" s="34">
        <f t="shared" si="0"/>
        <v>53970</v>
      </c>
      <c r="P48" s="20" t="s">
        <v>16</v>
      </c>
    </row>
    <row r="49" spans="1:16" x14ac:dyDescent="0.35">
      <c r="A49" s="14" t="str">
        <f t="shared" si="1"/>
        <v xml:space="preserve"> 2024 JAN-DEC D70 LICENSE BABY</v>
      </c>
      <c r="B49" s="7">
        <f t="shared" si="5"/>
        <v>46121</v>
      </c>
      <c r="C49" s="7">
        <f t="shared" si="6"/>
        <v>46127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15618094</v>
      </c>
      <c r="K49" s="6" t="s">
        <v>2942</v>
      </c>
      <c r="L49" s="16" t="s">
        <v>2946</v>
      </c>
      <c r="M49" s="8">
        <v>179900</v>
      </c>
      <c r="N49" s="35">
        <f t="shared" si="3"/>
        <v>0.7</v>
      </c>
      <c r="O49" s="34">
        <f t="shared" si="0"/>
        <v>53970</v>
      </c>
      <c r="P49" s="20" t="s">
        <v>16</v>
      </c>
    </row>
    <row r="50" spans="1:16" x14ac:dyDescent="0.35">
      <c r="A50" s="14" t="str">
        <f t="shared" si="1"/>
        <v xml:space="preserve"> 2024 JAN-DEC D70 LICENSE BABY</v>
      </c>
      <c r="B50" s="7">
        <f t="shared" si="5"/>
        <v>46121</v>
      </c>
      <c r="C50" s="7">
        <f t="shared" si="6"/>
        <v>46127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18757321</v>
      </c>
      <c r="K50" s="6" t="s">
        <v>3645</v>
      </c>
      <c r="L50" s="16" t="s">
        <v>3646</v>
      </c>
      <c r="M50" s="8">
        <v>189900</v>
      </c>
      <c r="N50" s="35">
        <f t="shared" si="3"/>
        <v>0.7</v>
      </c>
      <c r="O50" s="34">
        <f t="shared" si="0"/>
        <v>56970</v>
      </c>
      <c r="P50" s="20" t="s">
        <v>16</v>
      </c>
    </row>
    <row r="51" spans="1:16" x14ac:dyDescent="0.35">
      <c r="A51" s="14" t="str">
        <f t="shared" si="1"/>
        <v xml:space="preserve"> 2024 JAN-DEC D70 LICENSE BABY</v>
      </c>
      <c r="B51" s="7">
        <f t="shared" si="5"/>
        <v>46121</v>
      </c>
      <c r="C51" s="7">
        <f t="shared" si="6"/>
        <v>46127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18757330</v>
      </c>
      <c r="K51" s="6" t="s">
        <v>3645</v>
      </c>
      <c r="L51" s="16" t="s">
        <v>3647</v>
      </c>
      <c r="M51" s="8">
        <v>189900</v>
      </c>
      <c r="N51" s="35">
        <f t="shared" si="3"/>
        <v>0.7</v>
      </c>
      <c r="O51" s="34">
        <f t="shared" si="0"/>
        <v>56970</v>
      </c>
      <c r="P51" s="20" t="s">
        <v>16</v>
      </c>
    </row>
    <row r="52" spans="1:16" x14ac:dyDescent="0.35">
      <c r="A52" s="14" t="str">
        <f t="shared" si="1"/>
        <v xml:space="preserve"> 2024 JAN-DEC D70 LICENSE BABY</v>
      </c>
      <c r="B52" s="7">
        <f t="shared" si="5"/>
        <v>46121</v>
      </c>
      <c r="C52" s="7">
        <f t="shared" si="6"/>
        <v>46127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18757349</v>
      </c>
      <c r="K52" s="6" t="s">
        <v>3645</v>
      </c>
      <c r="L52" s="16" t="s">
        <v>3648</v>
      </c>
      <c r="M52" s="8">
        <v>189900</v>
      </c>
      <c r="N52" s="35">
        <f t="shared" si="3"/>
        <v>0.7</v>
      </c>
      <c r="O52" s="34">
        <f t="shared" si="0"/>
        <v>56970</v>
      </c>
      <c r="P52" s="20" t="s">
        <v>16</v>
      </c>
    </row>
    <row r="53" spans="1:16" x14ac:dyDescent="0.35">
      <c r="A53" s="14" t="str">
        <f t="shared" si="1"/>
        <v xml:space="preserve"> 2024 JAN-DEC D70 LICENSE BABY</v>
      </c>
      <c r="B53" s="7">
        <f t="shared" si="5"/>
        <v>46121</v>
      </c>
      <c r="C53" s="7">
        <f t="shared" si="6"/>
        <v>46127</v>
      </c>
      <c r="D53" s="6">
        <v>3284</v>
      </c>
      <c r="E53" s="6">
        <v>338</v>
      </c>
      <c r="F53" s="6">
        <v>4</v>
      </c>
      <c r="G53" s="6">
        <v>3</v>
      </c>
      <c r="H53" s="6">
        <v>80920</v>
      </c>
      <c r="I53" s="6" t="s">
        <v>17</v>
      </c>
      <c r="J53" s="6">
        <v>18757358</v>
      </c>
      <c r="K53" s="6" t="s">
        <v>3645</v>
      </c>
      <c r="L53" s="16" t="s">
        <v>3649</v>
      </c>
      <c r="M53" s="8">
        <v>189900</v>
      </c>
      <c r="N53" s="35">
        <f t="shared" si="3"/>
        <v>0.7</v>
      </c>
      <c r="O53" s="34">
        <f t="shared" si="0"/>
        <v>56970</v>
      </c>
      <c r="P53" s="20" t="s">
        <v>16</v>
      </c>
    </row>
    <row r="54" spans="1:16" x14ac:dyDescent="0.35">
      <c r="A54" s="14" t="str">
        <f t="shared" si="1"/>
        <v xml:space="preserve"> 2024 JAN-DEC D70 LICENSE BABY</v>
      </c>
      <c r="B54" s="7">
        <f t="shared" si="5"/>
        <v>46121</v>
      </c>
      <c r="C54" s="7">
        <f t="shared" si="6"/>
        <v>46127</v>
      </c>
      <c r="D54" s="6">
        <v>3284</v>
      </c>
      <c r="E54" s="6">
        <v>338</v>
      </c>
      <c r="F54" s="6">
        <v>4</v>
      </c>
      <c r="G54" s="6">
        <v>3</v>
      </c>
      <c r="H54" s="6">
        <v>81506</v>
      </c>
      <c r="I54" s="6" t="s">
        <v>17</v>
      </c>
      <c r="J54" s="6">
        <v>16859671</v>
      </c>
      <c r="K54" s="6" t="s">
        <v>3313</v>
      </c>
      <c r="L54" s="16" t="s">
        <v>3314</v>
      </c>
      <c r="M54" s="8">
        <v>219900</v>
      </c>
      <c r="N54" s="35">
        <f t="shared" si="3"/>
        <v>0.7</v>
      </c>
      <c r="O54" s="34">
        <f t="shared" si="0"/>
        <v>65970</v>
      </c>
      <c r="P54" s="20" t="s">
        <v>16</v>
      </c>
    </row>
    <row r="55" spans="1:16" x14ac:dyDescent="0.35">
      <c r="A55" s="14" t="str">
        <f t="shared" si="1"/>
        <v xml:space="preserve"> 2024 JAN-DEC D70 LICENSE BABY</v>
      </c>
      <c r="B55" s="7">
        <f t="shared" si="5"/>
        <v>46121</v>
      </c>
      <c r="C55" s="7">
        <f t="shared" si="6"/>
        <v>46127</v>
      </c>
      <c r="D55" s="6">
        <v>3284</v>
      </c>
      <c r="E55" s="6">
        <v>338</v>
      </c>
      <c r="F55" s="6">
        <v>4</v>
      </c>
      <c r="G55" s="6">
        <v>3</v>
      </c>
      <c r="H55" s="6">
        <v>81506</v>
      </c>
      <c r="I55" s="6" t="s">
        <v>17</v>
      </c>
      <c r="J55" s="6">
        <v>16859680</v>
      </c>
      <c r="K55" s="6" t="s">
        <v>3313</v>
      </c>
      <c r="L55" s="16" t="s">
        <v>3315</v>
      </c>
      <c r="M55" s="8">
        <v>219900</v>
      </c>
      <c r="N55" s="35">
        <f t="shared" si="3"/>
        <v>0.7</v>
      </c>
      <c r="O55" s="34">
        <f t="shared" si="0"/>
        <v>65970</v>
      </c>
      <c r="P55" s="20" t="s">
        <v>16</v>
      </c>
    </row>
    <row r="56" spans="1:16" x14ac:dyDescent="0.35">
      <c r="A56" s="14" t="str">
        <f t="shared" si="1"/>
        <v xml:space="preserve"> 2024 JAN-DEC D70 LICENSE BABY</v>
      </c>
      <c r="B56" s="7">
        <f t="shared" si="5"/>
        <v>46121</v>
      </c>
      <c r="C56" s="7">
        <f t="shared" si="6"/>
        <v>46127</v>
      </c>
      <c r="D56" s="6">
        <v>3284</v>
      </c>
      <c r="E56" s="6">
        <v>338</v>
      </c>
      <c r="F56" s="6">
        <v>4</v>
      </c>
      <c r="G56" s="6">
        <v>3</v>
      </c>
      <c r="H56" s="6">
        <v>81506</v>
      </c>
      <c r="I56" s="6" t="s">
        <v>17</v>
      </c>
      <c r="J56" s="6">
        <v>16859699</v>
      </c>
      <c r="K56" s="6" t="s">
        <v>3313</v>
      </c>
      <c r="L56" s="16" t="s">
        <v>3316</v>
      </c>
      <c r="M56" s="8">
        <v>219900</v>
      </c>
      <c r="N56" s="35">
        <f t="shared" si="3"/>
        <v>0.7</v>
      </c>
      <c r="O56" s="34">
        <f t="shared" si="0"/>
        <v>65970</v>
      </c>
      <c r="P56" s="20" t="s">
        <v>16</v>
      </c>
    </row>
    <row r="57" spans="1:16" x14ac:dyDescent="0.35">
      <c r="A57" s="14" t="str">
        <f t="shared" si="1"/>
        <v xml:space="preserve"> 2024 JAN-DEC D70 LICENSE BABY</v>
      </c>
      <c r="B57" s="7">
        <f t="shared" si="5"/>
        <v>46121</v>
      </c>
      <c r="C57" s="7">
        <f t="shared" si="6"/>
        <v>46127</v>
      </c>
      <c r="D57" s="6">
        <v>3284</v>
      </c>
      <c r="E57" s="6">
        <v>338</v>
      </c>
      <c r="F57" s="6">
        <v>4</v>
      </c>
      <c r="G57" s="6">
        <v>3</v>
      </c>
      <c r="H57" s="6">
        <v>81506</v>
      </c>
      <c r="I57" s="6" t="s">
        <v>17</v>
      </c>
      <c r="J57" s="6">
        <v>16859706</v>
      </c>
      <c r="K57" s="6" t="s">
        <v>3313</v>
      </c>
      <c r="L57" s="16" t="s">
        <v>3317</v>
      </c>
      <c r="M57" s="8">
        <v>219900</v>
      </c>
      <c r="N57" s="35">
        <f t="shared" si="3"/>
        <v>0.7</v>
      </c>
      <c r="O57" s="34">
        <f t="shared" si="0"/>
        <v>65970</v>
      </c>
      <c r="P57" s="20" t="s">
        <v>16</v>
      </c>
    </row>
    <row r="58" spans="1:16" x14ac:dyDescent="0.35">
      <c r="A58" s="14" t="str">
        <f t="shared" si="1"/>
        <v xml:space="preserve"> 2024 JAN-DEC D70 LICENSE BABY</v>
      </c>
      <c r="B58" s="7">
        <f t="shared" si="5"/>
        <v>46121</v>
      </c>
      <c r="C58" s="7">
        <f t="shared" si="6"/>
        <v>46127</v>
      </c>
      <c r="D58" s="6">
        <v>3284</v>
      </c>
      <c r="E58" s="6">
        <v>338</v>
      </c>
      <c r="F58" s="6">
        <v>4</v>
      </c>
      <c r="G58" s="6">
        <v>3</v>
      </c>
      <c r="H58" s="6">
        <v>81506</v>
      </c>
      <c r="I58" s="6" t="s">
        <v>17</v>
      </c>
      <c r="J58" s="6">
        <v>16859715</v>
      </c>
      <c r="K58" s="6" t="s">
        <v>3318</v>
      </c>
      <c r="L58" s="16" t="s">
        <v>3319</v>
      </c>
      <c r="M58" s="8">
        <v>189900</v>
      </c>
      <c r="N58" s="35">
        <f t="shared" si="3"/>
        <v>0.7</v>
      </c>
      <c r="O58" s="34">
        <f t="shared" si="0"/>
        <v>56970</v>
      </c>
      <c r="P58" s="20" t="s">
        <v>16</v>
      </c>
    </row>
    <row r="59" spans="1:16" x14ac:dyDescent="0.35">
      <c r="A59" s="14" t="str">
        <f t="shared" si="1"/>
        <v xml:space="preserve"> 2024 JAN-DEC D70 LICENSE BABY</v>
      </c>
      <c r="B59" s="7">
        <f t="shared" si="5"/>
        <v>46121</v>
      </c>
      <c r="C59" s="7">
        <f t="shared" si="6"/>
        <v>46127</v>
      </c>
      <c r="D59" s="6">
        <v>3284</v>
      </c>
      <c r="E59" s="6">
        <v>338</v>
      </c>
      <c r="F59" s="6">
        <v>4</v>
      </c>
      <c r="G59" s="6">
        <v>3</v>
      </c>
      <c r="H59" s="6">
        <v>81506</v>
      </c>
      <c r="I59" s="6" t="s">
        <v>17</v>
      </c>
      <c r="J59" s="6">
        <v>16859724</v>
      </c>
      <c r="K59" s="6" t="s">
        <v>3318</v>
      </c>
      <c r="L59" s="16" t="s">
        <v>3320</v>
      </c>
      <c r="M59" s="8">
        <v>189900</v>
      </c>
      <c r="N59" s="35">
        <f t="shared" si="3"/>
        <v>0.7</v>
      </c>
      <c r="O59" s="34">
        <f t="shared" si="0"/>
        <v>56970</v>
      </c>
      <c r="P59" s="20" t="s">
        <v>16</v>
      </c>
    </row>
    <row r="60" spans="1:16" x14ac:dyDescent="0.35">
      <c r="A60" s="14" t="str">
        <f t="shared" si="1"/>
        <v xml:space="preserve"> 2024 JAN-DEC D70 LICENSE BABY</v>
      </c>
      <c r="B60" s="7">
        <f t="shared" si="5"/>
        <v>46121</v>
      </c>
      <c r="C60" s="7">
        <f t="shared" si="6"/>
        <v>46127</v>
      </c>
      <c r="D60" s="6">
        <v>3284</v>
      </c>
      <c r="E60" s="6">
        <v>338</v>
      </c>
      <c r="F60" s="6">
        <v>4</v>
      </c>
      <c r="G60" s="6">
        <v>3</v>
      </c>
      <c r="H60" s="6">
        <v>81506</v>
      </c>
      <c r="I60" s="6" t="s">
        <v>17</v>
      </c>
      <c r="J60" s="6">
        <v>16859733</v>
      </c>
      <c r="K60" s="6" t="s">
        <v>3318</v>
      </c>
      <c r="L60" s="16" t="s">
        <v>3321</v>
      </c>
      <c r="M60" s="8">
        <v>189900</v>
      </c>
      <c r="N60" s="35">
        <f t="shared" si="3"/>
        <v>0.7</v>
      </c>
      <c r="O60" s="34">
        <f t="shared" si="0"/>
        <v>56970</v>
      </c>
      <c r="P60" s="20" t="s">
        <v>16</v>
      </c>
    </row>
    <row r="61" spans="1:16" x14ac:dyDescent="0.35">
      <c r="A61" s="14" t="str">
        <f t="shared" si="1"/>
        <v xml:space="preserve"> 2024 JAN-DEC D70 LICENSE BABY</v>
      </c>
      <c r="B61" s="7">
        <f t="shared" si="5"/>
        <v>46121</v>
      </c>
      <c r="C61" s="7">
        <f t="shared" si="6"/>
        <v>46127</v>
      </c>
      <c r="D61" s="6">
        <v>3284</v>
      </c>
      <c r="E61" s="6">
        <v>338</v>
      </c>
      <c r="F61" s="6">
        <v>4</v>
      </c>
      <c r="G61" s="6">
        <v>3</v>
      </c>
      <c r="H61" s="6">
        <v>81506</v>
      </c>
      <c r="I61" s="6" t="s">
        <v>17</v>
      </c>
      <c r="J61" s="6">
        <v>16859742</v>
      </c>
      <c r="K61" s="6" t="s">
        <v>3318</v>
      </c>
      <c r="L61" s="16" t="s">
        <v>3322</v>
      </c>
      <c r="M61" s="8">
        <v>189900</v>
      </c>
      <c r="N61" s="35">
        <f t="shared" si="3"/>
        <v>0.7</v>
      </c>
      <c r="O61" s="34">
        <f t="shared" si="0"/>
        <v>56970</v>
      </c>
      <c r="P61" s="20" t="s">
        <v>16</v>
      </c>
    </row>
    <row r="62" spans="1:16" x14ac:dyDescent="0.35">
      <c r="A62" s="14" t="str">
        <f t="shared" si="1"/>
        <v xml:space="preserve"> 2024 JAN-DEC D70 LICENSE BABY</v>
      </c>
      <c r="B62" s="7">
        <f t="shared" ref="B62:B93" si="7">B61</f>
        <v>46121</v>
      </c>
      <c r="C62" s="7">
        <f t="shared" ref="C62:C93" si="8">C61</f>
        <v>46127</v>
      </c>
      <c r="D62" s="6">
        <v>3284</v>
      </c>
      <c r="E62" s="6">
        <v>338</v>
      </c>
      <c r="F62" s="6">
        <v>4</v>
      </c>
      <c r="G62" s="6">
        <v>3</v>
      </c>
      <c r="H62" s="6">
        <v>81506</v>
      </c>
      <c r="I62" s="6" t="s">
        <v>17</v>
      </c>
      <c r="J62" s="6">
        <v>18761192</v>
      </c>
      <c r="K62" s="6" t="s">
        <v>3650</v>
      </c>
      <c r="L62" s="16" t="s">
        <v>3651</v>
      </c>
      <c r="M62" s="8">
        <v>219900</v>
      </c>
      <c r="N62" s="35">
        <f t="shared" si="3"/>
        <v>0.7</v>
      </c>
      <c r="O62" s="34">
        <f t="shared" si="0"/>
        <v>65970</v>
      </c>
      <c r="P62" s="20" t="s">
        <v>16</v>
      </c>
    </row>
    <row r="63" spans="1:16" x14ac:dyDescent="0.35">
      <c r="A63" s="14" t="str">
        <f t="shared" si="1"/>
        <v xml:space="preserve"> 2024 JAN-DEC D70 LICENSE BABY</v>
      </c>
      <c r="B63" s="7">
        <f t="shared" si="7"/>
        <v>46121</v>
      </c>
      <c r="C63" s="7">
        <f t="shared" si="8"/>
        <v>46127</v>
      </c>
      <c r="D63" s="6">
        <v>3284</v>
      </c>
      <c r="E63" s="6">
        <v>338</v>
      </c>
      <c r="F63" s="6">
        <v>4</v>
      </c>
      <c r="G63" s="6">
        <v>3</v>
      </c>
      <c r="H63" s="6">
        <v>81506</v>
      </c>
      <c r="I63" s="6" t="s">
        <v>17</v>
      </c>
      <c r="J63" s="6">
        <v>18761209</v>
      </c>
      <c r="K63" s="6" t="s">
        <v>3650</v>
      </c>
      <c r="L63" s="16" t="s">
        <v>3652</v>
      </c>
      <c r="M63" s="8">
        <v>219900</v>
      </c>
      <c r="N63" s="35">
        <f t="shared" si="3"/>
        <v>0.7</v>
      </c>
      <c r="O63" s="34">
        <f t="shared" si="0"/>
        <v>65970</v>
      </c>
      <c r="P63" s="20" t="s">
        <v>16</v>
      </c>
    </row>
    <row r="64" spans="1:16" x14ac:dyDescent="0.35">
      <c r="A64" s="14" t="str">
        <f t="shared" si="1"/>
        <v xml:space="preserve"> 2024 JAN-DEC D70 LICENSE BABY</v>
      </c>
      <c r="B64" s="7">
        <f t="shared" si="7"/>
        <v>46121</v>
      </c>
      <c r="C64" s="7">
        <f t="shared" si="8"/>
        <v>46127</v>
      </c>
      <c r="D64" s="6">
        <v>3284</v>
      </c>
      <c r="E64" s="6">
        <v>338</v>
      </c>
      <c r="F64" s="6">
        <v>4</v>
      </c>
      <c r="G64" s="6">
        <v>3</v>
      </c>
      <c r="H64" s="6">
        <v>81506</v>
      </c>
      <c r="I64" s="6" t="s">
        <v>17</v>
      </c>
      <c r="J64" s="6">
        <v>18761218</v>
      </c>
      <c r="K64" s="6" t="s">
        <v>3650</v>
      </c>
      <c r="L64" s="16" t="s">
        <v>3653</v>
      </c>
      <c r="M64" s="8">
        <v>219900</v>
      </c>
      <c r="N64" s="35">
        <f t="shared" si="3"/>
        <v>0.7</v>
      </c>
      <c r="O64" s="34">
        <f t="shared" si="0"/>
        <v>65970</v>
      </c>
      <c r="P64" s="20" t="s">
        <v>16</v>
      </c>
    </row>
    <row r="65" spans="1:16" x14ac:dyDescent="0.35">
      <c r="A65" s="14" t="str">
        <f t="shared" si="1"/>
        <v xml:space="preserve"> 2024 JAN-DEC D70 LICENSE BABY</v>
      </c>
      <c r="B65" s="7">
        <f t="shared" si="7"/>
        <v>46121</v>
      </c>
      <c r="C65" s="7">
        <f t="shared" si="8"/>
        <v>46127</v>
      </c>
      <c r="D65" s="6">
        <v>3284</v>
      </c>
      <c r="E65" s="6">
        <v>338</v>
      </c>
      <c r="F65" s="6">
        <v>4</v>
      </c>
      <c r="G65" s="6">
        <v>3</v>
      </c>
      <c r="H65" s="6">
        <v>81506</v>
      </c>
      <c r="I65" s="6" t="s">
        <v>17</v>
      </c>
      <c r="J65" s="6">
        <v>18761227</v>
      </c>
      <c r="K65" s="6" t="s">
        <v>3650</v>
      </c>
      <c r="L65" s="16" t="s">
        <v>3654</v>
      </c>
      <c r="M65" s="8">
        <v>219900</v>
      </c>
      <c r="N65" s="35">
        <f t="shared" si="3"/>
        <v>0.7</v>
      </c>
      <c r="O65" s="34">
        <f t="shared" si="0"/>
        <v>65970</v>
      </c>
      <c r="P65" s="20" t="s">
        <v>16</v>
      </c>
    </row>
    <row r="66" spans="1:16" x14ac:dyDescent="0.35">
      <c r="A66" s="14" t="str">
        <f t="shared" si="1"/>
        <v xml:space="preserve"> 2024 JAN-DEC D70 LICENSE BABY</v>
      </c>
      <c r="B66" s="7">
        <f t="shared" si="7"/>
        <v>46121</v>
      </c>
      <c r="C66" s="7">
        <f t="shared" si="8"/>
        <v>46127</v>
      </c>
      <c r="D66" s="6">
        <v>3284</v>
      </c>
      <c r="E66" s="6">
        <v>338</v>
      </c>
      <c r="F66" s="6">
        <v>4</v>
      </c>
      <c r="G66" s="6">
        <v>3</v>
      </c>
      <c r="H66" s="6">
        <v>81676</v>
      </c>
      <c r="I66" s="6" t="s">
        <v>17</v>
      </c>
      <c r="J66" s="6">
        <v>16621408</v>
      </c>
      <c r="K66" s="6" t="s">
        <v>2947</v>
      </c>
      <c r="L66" s="16" t="s">
        <v>2948</v>
      </c>
      <c r="M66" s="8">
        <v>179900</v>
      </c>
      <c r="N66" s="35">
        <f t="shared" si="3"/>
        <v>0.7</v>
      </c>
      <c r="O66" s="34">
        <f t="shared" si="0"/>
        <v>53970</v>
      </c>
      <c r="P66" s="20" t="s">
        <v>16</v>
      </c>
    </row>
    <row r="67" spans="1:16" x14ac:dyDescent="0.35">
      <c r="A67" s="14" t="str">
        <f t="shared" si="1"/>
        <v xml:space="preserve"> 2024 JAN-DEC D70 LICENSE BABY</v>
      </c>
      <c r="B67" s="7">
        <f t="shared" si="7"/>
        <v>46121</v>
      </c>
      <c r="C67" s="7">
        <f t="shared" si="8"/>
        <v>46127</v>
      </c>
      <c r="D67" s="6">
        <v>3284</v>
      </c>
      <c r="E67" s="6">
        <v>338</v>
      </c>
      <c r="F67" s="6">
        <v>4</v>
      </c>
      <c r="G67" s="6">
        <v>3</v>
      </c>
      <c r="H67" s="6">
        <v>81676</v>
      </c>
      <c r="I67" s="6" t="s">
        <v>17</v>
      </c>
      <c r="J67" s="6">
        <v>16621417</v>
      </c>
      <c r="K67" s="6" t="s">
        <v>2947</v>
      </c>
      <c r="L67" s="16" t="s">
        <v>2949</v>
      </c>
      <c r="M67" s="8">
        <v>179900</v>
      </c>
      <c r="N67" s="35">
        <f t="shared" si="3"/>
        <v>0.7</v>
      </c>
      <c r="O67" s="34">
        <f t="shared" ref="O67:O130" si="9">M67-((70*M67)/100)</f>
        <v>53970</v>
      </c>
      <c r="P67" s="20" t="s">
        <v>16</v>
      </c>
    </row>
    <row r="68" spans="1:16" x14ac:dyDescent="0.35">
      <c r="A68" s="14" t="str">
        <f t="shared" ref="A68:A131" si="10">A67</f>
        <v xml:space="preserve"> 2024 JAN-DEC D70 LICENSE BABY</v>
      </c>
      <c r="B68" s="7">
        <f t="shared" si="7"/>
        <v>46121</v>
      </c>
      <c r="C68" s="7">
        <f t="shared" si="8"/>
        <v>46127</v>
      </c>
      <c r="D68" s="6">
        <v>3284</v>
      </c>
      <c r="E68" s="6">
        <v>338</v>
      </c>
      <c r="F68" s="6">
        <v>4</v>
      </c>
      <c r="G68" s="6">
        <v>3</v>
      </c>
      <c r="H68" s="6">
        <v>81676</v>
      </c>
      <c r="I68" s="6" t="s">
        <v>17</v>
      </c>
      <c r="J68" s="6">
        <v>16621426</v>
      </c>
      <c r="K68" s="6" t="s">
        <v>2947</v>
      </c>
      <c r="L68" s="16" t="s">
        <v>2950</v>
      </c>
      <c r="M68" s="8">
        <v>179900</v>
      </c>
      <c r="N68" s="35">
        <f t="shared" ref="N68:N131" si="11">N67</f>
        <v>0.7</v>
      </c>
      <c r="O68" s="34">
        <f t="shared" si="9"/>
        <v>53970</v>
      </c>
      <c r="P68" s="20" t="s">
        <v>16</v>
      </c>
    </row>
    <row r="69" spans="1:16" x14ac:dyDescent="0.35">
      <c r="A69" s="14" t="str">
        <f t="shared" si="10"/>
        <v xml:space="preserve"> 2024 JAN-DEC D70 LICENSE BABY</v>
      </c>
      <c r="B69" s="7">
        <f t="shared" si="7"/>
        <v>46121</v>
      </c>
      <c r="C69" s="7">
        <f t="shared" si="8"/>
        <v>46127</v>
      </c>
      <c r="D69" s="6">
        <v>3284</v>
      </c>
      <c r="E69" s="6">
        <v>338</v>
      </c>
      <c r="F69" s="6">
        <v>4</v>
      </c>
      <c r="G69" s="6">
        <v>3</v>
      </c>
      <c r="H69" s="6">
        <v>81676</v>
      </c>
      <c r="I69" s="6" t="s">
        <v>17</v>
      </c>
      <c r="J69" s="6">
        <v>16621435</v>
      </c>
      <c r="K69" s="6" t="s">
        <v>2947</v>
      </c>
      <c r="L69" s="16" t="s">
        <v>2951</v>
      </c>
      <c r="M69" s="8">
        <v>179900</v>
      </c>
      <c r="N69" s="35">
        <f t="shared" si="11"/>
        <v>0.7</v>
      </c>
      <c r="O69" s="34">
        <f t="shared" si="9"/>
        <v>53970</v>
      </c>
      <c r="P69" s="20" t="s">
        <v>16</v>
      </c>
    </row>
    <row r="70" spans="1:16" x14ac:dyDescent="0.35">
      <c r="A70" s="14" t="str">
        <f t="shared" si="10"/>
        <v xml:space="preserve"> 2024 JAN-DEC D70 LICENSE BABY</v>
      </c>
      <c r="B70" s="7">
        <f t="shared" si="7"/>
        <v>46121</v>
      </c>
      <c r="C70" s="7">
        <f t="shared" si="8"/>
        <v>46127</v>
      </c>
      <c r="D70" s="6">
        <v>3284</v>
      </c>
      <c r="E70" s="6">
        <v>338</v>
      </c>
      <c r="F70" s="6">
        <v>4</v>
      </c>
      <c r="G70" s="6">
        <v>3</v>
      </c>
      <c r="H70" s="6">
        <v>81676</v>
      </c>
      <c r="I70" s="6" t="s">
        <v>17</v>
      </c>
      <c r="J70" s="6">
        <v>16621524</v>
      </c>
      <c r="K70" s="6" t="s">
        <v>3323</v>
      </c>
      <c r="L70" s="16" t="s">
        <v>3324</v>
      </c>
      <c r="M70" s="8">
        <v>179900</v>
      </c>
      <c r="N70" s="35">
        <f t="shared" si="11"/>
        <v>0.7</v>
      </c>
      <c r="O70" s="34">
        <f t="shared" si="9"/>
        <v>53970</v>
      </c>
      <c r="P70" s="20" t="s">
        <v>16</v>
      </c>
    </row>
    <row r="71" spans="1:16" x14ac:dyDescent="0.35">
      <c r="A71" s="14" t="str">
        <f t="shared" si="10"/>
        <v xml:space="preserve"> 2024 JAN-DEC D70 LICENSE BABY</v>
      </c>
      <c r="B71" s="7">
        <f t="shared" si="7"/>
        <v>46121</v>
      </c>
      <c r="C71" s="7">
        <f t="shared" si="8"/>
        <v>46127</v>
      </c>
      <c r="D71" s="6">
        <v>3284</v>
      </c>
      <c r="E71" s="6">
        <v>338</v>
      </c>
      <c r="F71" s="6">
        <v>4</v>
      </c>
      <c r="G71" s="6">
        <v>3</v>
      </c>
      <c r="H71" s="6">
        <v>81676</v>
      </c>
      <c r="I71" s="6" t="s">
        <v>17</v>
      </c>
      <c r="J71" s="6">
        <v>16621533</v>
      </c>
      <c r="K71" s="6" t="s">
        <v>3323</v>
      </c>
      <c r="L71" s="16" t="s">
        <v>3325</v>
      </c>
      <c r="M71" s="8">
        <v>179900</v>
      </c>
      <c r="N71" s="35">
        <f t="shared" si="11"/>
        <v>0.7</v>
      </c>
      <c r="O71" s="34">
        <f t="shared" si="9"/>
        <v>53970</v>
      </c>
      <c r="P71" s="20" t="s">
        <v>16</v>
      </c>
    </row>
    <row r="72" spans="1:16" x14ac:dyDescent="0.35">
      <c r="A72" s="14" t="str">
        <f t="shared" si="10"/>
        <v xml:space="preserve"> 2024 JAN-DEC D70 LICENSE BABY</v>
      </c>
      <c r="B72" s="7">
        <f t="shared" si="7"/>
        <v>46121</v>
      </c>
      <c r="C72" s="7">
        <f t="shared" si="8"/>
        <v>46127</v>
      </c>
      <c r="D72" s="6">
        <v>3284</v>
      </c>
      <c r="E72" s="6">
        <v>338</v>
      </c>
      <c r="F72" s="6">
        <v>4</v>
      </c>
      <c r="G72" s="6">
        <v>3</v>
      </c>
      <c r="H72" s="6">
        <v>81676</v>
      </c>
      <c r="I72" s="6" t="s">
        <v>17</v>
      </c>
      <c r="J72" s="6">
        <v>16621542</v>
      </c>
      <c r="K72" s="6" t="s">
        <v>3323</v>
      </c>
      <c r="L72" s="16" t="s">
        <v>3326</v>
      </c>
      <c r="M72" s="8">
        <v>179900</v>
      </c>
      <c r="N72" s="35">
        <f t="shared" si="11"/>
        <v>0.7</v>
      </c>
      <c r="O72" s="34">
        <f t="shared" si="9"/>
        <v>53970</v>
      </c>
      <c r="P72" s="20" t="s">
        <v>16</v>
      </c>
    </row>
    <row r="73" spans="1:16" x14ac:dyDescent="0.35">
      <c r="A73" s="14" t="str">
        <f t="shared" si="10"/>
        <v xml:space="preserve"> 2024 JAN-DEC D70 LICENSE BABY</v>
      </c>
      <c r="B73" s="7">
        <f t="shared" si="7"/>
        <v>46121</v>
      </c>
      <c r="C73" s="7">
        <f t="shared" si="8"/>
        <v>46127</v>
      </c>
      <c r="D73" s="6">
        <v>3284</v>
      </c>
      <c r="E73" s="6">
        <v>338</v>
      </c>
      <c r="F73" s="6">
        <v>4</v>
      </c>
      <c r="G73" s="6">
        <v>3</v>
      </c>
      <c r="H73" s="6">
        <v>81676</v>
      </c>
      <c r="I73" s="6" t="s">
        <v>17</v>
      </c>
      <c r="J73" s="6">
        <v>16621551</v>
      </c>
      <c r="K73" s="6" t="s">
        <v>3323</v>
      </c>
      <c r="L73" s="16" t="s">
        <v>3327</v>
      </c>
      <c r="M73" s="8">
        <v>179900</v>
      </c>
      <c r="N73" s="35">
        <f t="shared" si="11"/>
        <v>0.7</v>
      </c>
      <c r="O73" s="34">
        <f t="shared" si="9"/>
        <v>53970</v>
      </c>
      <c r="P73" s="20" t="s">
        <v>16</v>
      </c>
    </row>
    <row r="74" spans="1:16" x14ac:dyDescent="0.35">
      <c r="A74" s="14" t="str">
        <f t="shared" si="10"/>
        <v xml:space="preserve"> 2024 JAN-DEC D70 LICENSE BABY</v>
      </c>
      <c r="B74" s="7">
        <f t="shared" si="7"/>
        <v>46121</v>
      </c>
      <c r="C74" s="7">
        <f t="shared" si="8"/>
        <v>46127</v>
      </c>
      <c r="D74" s="6">
        <v>3284</v>
      </c>
      <c r="E74" s="6">
        <v>338</v>
      </c>
      <c r="F74" s="6">
        <v>4</v>
      </c>
      <c r="G74" s="6">
        <v>3</v>
      </c>
      <c r="H74" s="6">
        <v>81676</v>
      </c>
      <c r="I74" s="6" t="s">
        <v>17</v>
      </c>
      <c r="J74" s="6">
        <v>17059962</v>
      </c>
      <c r="K74" s="6" t="s">
        <v>3655</v>
      </c>
      <c r="L74" s="16" t="s">
        <v>3656</v>
      </c>
      <c r="M74" s="8">
        <v>169900</v>
      </c>
      <c r="N74" s="35">
        <f t="shared" si="11"/>
        <v>0.7</v>
      </c>
      <c r="O74" s="34">
        <f t="shared" si="9"/>
        <v>50970</v>
      </c>
      <c r="P74" s="20" t="s">
        <v>16</v>
      </c>
    </row>
    <row r="75" spans="1:16" x14ac:dyDescent="0.35">
      <c r="A75" s="14" t="str">
        <f t="shared" si="10"/>
        <v xml:space="preserve"> 2024 JAN-DEC D70 LICENSE BABY</v>
      </c>
      <c r="B75" s="7">
        <f t="shared" si="7"/>
        <v>46121</v>
      </c>
      <c r="C75" s="7">
        <f t="shared" si="8"/>
        <v>46127</v>
      </c>
      <c r="D75" s="6">
        <v>3284</v>
      </c>
      <c r="E75" s="6">
        <v>338</v>
      </c>
      <c r="F75" s="6">
        <v>4</v>
      </c>
      <c r="G75" s="6">
        <v>3</v>
      </c>
      <c r="H75" s="6">
        <v>81676</v>
      </c>
      <c r="I75" s="6" t="s">
        <v>17</v>
      </c>
      <c r="J75" s="6">
        <v>17059971</v>
      </c>
      <c r="K75" s="6" t="s">
        <v>3655</v>
      </c>
      <c r="L75" s="16" t="s">
        <v>3657</v>
      </c>
      <c r="M75" s="8">
        <v>169900</v>
      </c>
      <c r="N75" s="35">
        <f t="shared" si="11"/>
        <v>0.7</v>
      </c>
      <c r="O75" s="34">
        <f t="shared" si="9"/>
        <v>50970</v>
      </c>
      <c r="P75" s="20" t="s">
        <v>16</v>
      </c>
    </row>
    <row r="76" spans="1:16" x14ac:dyDescent="0.35">
      <c r="A76" s="14" t="str">
        <f t="shared" si="10"/>
        <v xml:space="preserve"> 2024 JAN-DEC D70 LICENSE BABY</v>
      </c>
      <c r="B76" s="7">
        <f t="shared" si="7"/>
        <v>46121</v>
      </c>
      <c r="C76" s="7">
        <f t="shared" si="8"/>
        <v>46127</v>
      </c>
      <c r="D76" s="6">
        <v>3284</v>
      </c>
      <c r="E76" s="6">
        <v>338</v>
      </c>
      <c r="F76" s="6">
        <v>4</v>
      </c>
      <c r="G76" s="6">
        <v>3</v>
      </c>
      <c r="H76" s="6">
        <v>81676</v>
      </c>
      <c r="I76" s="6" t="s">
        <v>17</v>
      </c>
      <c r="J76" s="6">
        <v>17059980</v>
      </c>
      <c r="K76" s="6" t="s">
        <v>3655</v>
      </c>
      <c r="L76" s="16" t="s">
        <v>3658</v>
      </c>
      <c r="M76" s="8">
        <v>169900</v>
      </c>
      <c r="N76" s="35">
        <f t="shared" si="11"/>
        <v>0.7</v>
      </c>
      <c r="O76" s="34">
        <f t="shared" si="9"/>
        <v>50970</v>
      </c>
      <c r="P76" s="20" t="s">
        <v>16</v>
      </c>
    </row>
    <row r="77" spans="1:16" x14ac:dyDescent="0.35">
      <c r="A77" s="14" t="str">
        <f t="shared" si="10"/>
        <v xml:space="preserve"> 2024 JAN-DEC D70 LICENSE BABY</v>
      </c>
      <c r="B77" s="7">
        <f t="shared" si="7"/>
        <v>46121</v>
      </c>
      <c r="C77" s="7">
        <f t="shared" si="8"/>
        <v>46127</v>
      </c>
      <c r="D77" s="6">
        <v>3284</v>
      </c>
      <c r="E77" s="6">
        <v>338</v>
      </c>
      <c r="F77" s="6">
        <v>4</v>
      </c>
      <c r="G77" s="6">
        <v>3</v>
      </c>
      <c r="H77" s="6">
        <v>81676</v>
      </c>
      <c r="I77" s="6" t="s">
        <v>17</v>
      </c>
      <c r="J77" s="6">
        <v>17059999</v>
      </c>
      <c r="K77" s="6" t="s">
        <v>3655</v>
      </c>
      <c r="L77" s="16" t="s">
        <v>3659</v>
      </c>
      <c r="M77" s="8">
        <v>169900</v>
      </c>
      <c r="N77" s="35">
        <f t="shared" si="11"/>
        <v>0.7</v>
      </c>
      <c r="O77" s="34">
        <f t="shared" si="9"/>
        <v>50970</v>
      </c>
      <c r="P77" s="20" t="s">
        <v>16</v>
      </c>
    </row>
    <row r="78" spans="1:16" x14ac:dyDescent="0.35">
      <c r="A78" s="14" t="str">
        <f t="shared" si="10"/>
        <v xml:space="preserve"> 2024 JAN-DEC D70 LICENSE BABY</v>
      </c>
      <c r="B78" s="7">
        <f t="shared" si="7"/>
        <v>46121</v>
      </c>
      <c r="C78" s="7">
        <f t="shared" si="8"/>
        <v>46127</v>
      </c>
      <c r="D78" s="6">
        <v>3284</v>
      </c>
      <c r="E78" s="6">
        <v>338</v>
      </c>
      <c r="F78" s="6">
        <v>4</v>
      </c>
      <c r="G78" s="6">
        <v>3</v>
      </c>
      <c r="H78" s="6">
        <v>81574</v>
      </c>
      <c r="I78" s="6" t="s">
        <v>17</v>
      </c>
      <c r="J78" s="6">
        <v>15617344</v>
      </c>
      <c r="K78" s="6" t="s">
        <v>2952</v>
      </c>
      <c r="L78" s="16" t="s">
        <v>2953</v>
      </c>
      <c r="M78" s="8">
        <v>179900</v>
      </c>
      <c r="N78" s="35">
        <f t="shared" si="11"/>
        <v>0.7</v>
      </c>
      <c r="O78" s="34">
        <f t="shared" si="9"/>
        <v>53970</v>
      </c>
      <c r="P78" s="20" t="s">
        <v>16</v>
      </c>
    </row>
    <row r="79" spans="1:16" x14ac:dyDescent="0.35">
      <c r="A79" s="14" t="str">
        <f t="shared" si="10"/>
        <v xml:space="preserve"> 2024 JAN-DEC D70 LICENSE BABY</v>
      </c>
      <c r="B79" s="7">
        <f t="shared" si="7"/>
        <v>46121</v>
      </c>
      <c r="C79" s="7">
        <f t="shared" si="8"/>
        <v>46127</v>
      </c>
      <c r="D79" s="6">
        <v>3284</v>
      </c>
      <c r="E79" s="6">
        <v>338</v>
      </c>
      <c r="F79" s="6">
        <v>4</v>
      </c>
      <c r="G79" s="6">
        <v>3</v>
      </c>
      <c r="H79" s="6">
        <v>81574</v>
      </c>
      <c r="I79" s="6" t="s">
        <v>17</v>
      </c>
      <c r="J79" s="6">
        <v>15617353</v>
      </c>
      <c r="K79" s="6" t="s">
        <v>2952</v>
      </c>
      <c r="L79" s="16" t="s">
        <v>2954</v>
      </c>
      <c r="M79" s="8">
        <v>179900</v>
      </c>
      <c r="N79" s="35">
        <f t="shared" si="11"/>
        <v>0.7</v>
      </c>
      <c r="O79" s="34">
        <f t="shared" si="9"/>
        <v>53970</v>
      </c>
      <c r="P79" s="20" t="s">
        <v>16</v>
      </c>
    </row>
    <row r="80" spans="1:16" x14ac:dyDescent="0.35">
      <c r="A80" s="14" t="str">
        <f t="shared" si="10"/>
        <v xml:space="preserve"> 2024 JAN-DEC D70 LICENSE BABY</v>
      </c>
      <c r="B80" s="7">
        <f t="shared" si="7"/>
        <v>46121</v>
      </c>
      <c r="C80" s="7">
        <f t="shared" si="8"/>
        <v>46127</v>
      </c>
      <c r="D80" s="6">
        <v>3284</v>
      </c>
      <c r="E80" s="6">
        <v>338</v>
      </c>
      <c r="F80" s="6">
        <v>4</v>
      </c>
      <c r="G80" s="6">
        <v>3</v>
      </c>
      <c r="H80" s="6">
        <v>81574</v>
      </c>
      <c r="I80" s="6" t="s">
        <v>17</v>
      </c>
      <c r="J80" s="6">
        <v>15617362</v>
      </c>
      <c r="K80" s="6" t="s">
        <v>2952</v>
      </c>
      <c r="L80" s="16" t="s">
        <v>2955</v>
      </c>
      <c r="M80" s="8">
        <v>179900</v>
      </c>
      <c r="N80" s="35">
        <f t="shared" si="11"/>
        <v>0.7</v>
      </c>
      <c r="O80" s="34">
        <f t="shared" si="9"/>
        <v>53970</v>
      </c>
      <c r="P80" s="20" t="s">
        <v>16</v>
      </c>
    </row>
    <row r="81" spans="1:16" x14ac:dyDescent="0.35">
      <c r="A81" s="14" t="str">
        <f t="shared" si="10"/>
        <v xml:space="preserve"> 2024 JAN-DEC D70 LICENSE BABY</v>
      </c>
      <c r="B81" s="7">
        <f t="shared" si="7"/>
        <v>46121</v>
      </c>
      <c r="C81" s="7">
        <f t="shared" si="8"/>
        <v>46127</v>
      </c>
      <c r="D81" s="6">
        <v>3284</v>
      </c>
      <c r="E81" s="6">
        <v>338</v>
      </c>
      <c r="F81" s="6">
        <v>4</v>
      </c>
      <c r="G81" s="6">
        <v>3</v>
      </c>
      <c r="H81" s="6">
        <v>81574</v>
      </c>
      <c r="I81" s="6" t="s">
        <v>17</v>
      </c>
      <c r="J81" s="6">
        <v>15617371</v>
      </c>
      <c r="K81" s="6" t="s">
        <v>2952</v>
      </c>
      <c r="L81" s="16" t="s">
        <v>2956</v>
      </c>
      <c r="M81" s="8">
        <v>179900</v>
      </c>
      <c r="N81" s="35">
        <f t="shared" si="11"/>
        <v>0.7</v>
      </c>
      <c r="O81" s="34">
        <f t="shared" si="9"/>
        <v>53970</v>
      </c>
      <c r="P81" s="20" t="s">
        <v>16</v>
      </c>
    </row>
    <row r="82" spans="1:16" x14ac:dyDescent="0.35">
      <c r="A82" s="14" t="str">
        <f t="shared" si="10"/>
        <v xml:space="preserve"> 2024 JAN-DEC D70 LICENSE BABY</v>
      </c>
      <c r="B82" s="7">
        <f t="shared" si="7"/>
        <v>46121</v>
      </c>
      <c r="C82" s="7">
        <f t="shared" si="8"/>
        <v>46127</v>
      </c>
      <c r="D82" s="6">
        <v>3284</v>
      </c>
      <c r="E82" s="6">
        <v>338</v>
      </c>
      <c r="F82" s="6">
        <v>4</v>
      </c>
      <c r="G82" s="6">
        <v>4</v>
      </c>
      <c r="H82" s="6">
        <v>81421</v>
      </c>
      <c r="I82" s="6" t="s">
        <v>17</v>
      </c>
      <c r="J82" s="6">
        <v>81802279</v>
      </c>
      <c r="K82" s="6" t="s">
        <v>2957</v>
      </c>
      <c r="L82" s="16" t="s">
        <v>2958</v>
      </c>
      <c r="M82" s="8">
        <v>199900</v>
      </c>
      <c r="N82" s="35">
        <f t="shared" si="11"/>
        <v>0.7</v>
      </c>
      <c r="O82" s="34">
        <f t="shared" si="9"/>
        <v>59970</v>
      </c>
      <c r="P82" s="20" t="s">
        <v>16</v>
      </c>
    </row>
    <row r="83" spans="1:16" x14ac:dyDescent="0.35">
      <c r="A83" s="14" t="str">
        <f t="shared" si="10"/>
        <v xml:space="preserve"> 2024 JAN-DEC D70 LICENSE BABY</v>
      </c>
      <c r="B83" s="7">
        <f t="shared" si="7"/>
        <v>46121</v>
      </c>
      <c r="C83" s="7">
        <f t="shared" si="8"/>
        <v>46127</v>
      </c>
      <c r="D83" s="6">
        <v>3284</v>
      </c>
      <c r="E83" s="6">
        <v>338</v>
      </c>
      <c r="F83" s="6">
        <v>4</v>
      </c>
      <c r="G83" s="6">
        <v>4</v>
      </c>
      <c r="H83" s="6">
        <v>81421</v>
      </c>
      <c r="I83" s="6" t="s">
        <v>17</v>
      </c>
      <c r="J83" s="6">
        <v>81802288</v>
      </c>
      <c r="K83" s="6" t="s">
        <v>2957</v>
      </c>
      <c r="L83" s="16" t="s">
        <v>2959</v>
      </c>
      <c r="M83" s="8">
        <v>199900</v>
      </c>
      <c r="N83" s="35">
        <f t="shared" si="11"/>
        <v>0.7</v>
      </c>
      <c r="O83" s="34">
        <f t="shared" si="9"/>
        <v>59970</v>
      </c>
      <c r="P83" s="20" t="s">
        <v>16</v>
      </c>
    </row>
    <row r="84" spans="1:16" x14ac:dyDescent="0.35">
      <c r="A84" s="14" t="str">
        <f t="shared" si="10"/>
        <v xml:space="preserve"> 2024 JAN-DEC D70 LICENSE BABY</v>
      </c>
      <c r="B84" s="7">
        <f t="shared" si="7"/>
        <v>46121</v>
      </c>
      <c r="C84" s="7">
        <f t="shared" si="8"/>
        <v>46127</v>
      </c>
      <c r="D84" s="6">
        <v>3284</v>
      </c>
      <c r="E84" s="6">
        <v>338</v>
      </c>
      <c r="F84" s="6">
        <v>4</v>
      </c>
      <c r="G84" s="6">
        <v>4</v>
      </c>
      <c r="H84" s="6">
        <v>81421</v>
      </c>
      <c r="I84" s="6" t="s">
        <v>17</v>
      </c>
      <c r="J84" s="6">
        <v>81802297</v>
      </c>
      <c r="K84" s="6" t="s">
        <v>2957</v>
      </c>
      <c r="L84" s="16" t="s">
        <v>2960</v>
      </c>
      <c r="M84" s="8">
        <v>199900</v>
      </c>
      <c r="N84" s="35">
        <f t="shared" si="11"/>
        <v>0.7</v>
      </c>
      <c r="O84" s="34">
        <f t="shared" si="9"/>
        <v>59970</v>
      </c>
      <c r="P84" s="20" t="s">
        <v>16</v>
      </c>
    </row>
    <row r="85" spans="1:16" x14ac:dyDescent="0.35">
      <c r="A85" s="14" t="str">
        <f t="shared" si="10"/>
        <v xml:space="preserve"> 2024 JAN-DEC D70 LICENSE BABY</v>
      </c>
      <c r="B85" s="7">
        <f t="shared" si="7"/>
        <v>46121</v>
      </c>
      <c r="C85" s="7">
        <f t="shared" si="8"/>
        <v>46127</v>
      </c>
      <c r="D85" s="6">
        <v>3284</v>
      </c>
      <c r="E85" s="6">
        <v>338</v>
      </c>
      <c r="F85" s="6">
        <v>4</v>
      </c>
      <c r="G85" s="6">
        <v>4</v>
      </c>
      <c r="H85" s="6">
        <v>81421</v>
      </c>
      <c r="I85" s="6" t="s">
        <v>17</v>
      </c>
      <c r="J85" s="6">
        <v>81802304</v>
      </c>
      <c r="K85" s="6" t="s">
        <v>2957</v>
      </c>
      <c r="L85" s="16" t="s">
        <v>2961</v>
      </c>
      <c r="M85" s="8">
        <v>199900</v>
      </c>
      <c r="N85" s="35">
        <f t="shared" si="11"/>
        <v>0.7</v>
      </c>
      <c r="O85" s="34">
        <f t="shared" si="9"/>
        <v>59970</v>
      </c>
      <c r="P85" s="20" t="s">
        <v>16</v>
      </c>
    </row>
    <row r="86" spans="1:16" x14ac:dyDescent="0.35">
      <c r="A86" s="14" t="str">
        <f t="shared" si="10"/>
        <v xml:space="preserve"> 2024 JAN-DEC D70 LICENSE BABY</v>
      </c>
      <c r="B86" s="7">
        <f t="shared" si="7"/>
        <v>46121</v>
      </c>
      <c r="C86" s="7">
        <f t="shared" si="8"/>
        <v>46127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15617719</v>
      </c>
      <c r="K86" s="6" t="s">
        <v>2962</v>
      </c>
      <c r="L86" s="16" t="s">
        <v>2963</v>
      </c>
      <c r="M86" s="8">
        <v>199900</v>
      </c>
      <c r="N86" s="35">
        <f t="shared" si="11"/>
        <v>0.7</v>
      </c>
      <c r="O86" s="34">
        <f t="shared" si="9"/>
        <v>59970</v>
      </c>
      <c r="P86" s="20" t="s">
        <v>16</v>
      </c>
    </row>
    <row r="87" spans="1:16" x14ac:dyDescent="0.35">
      <c r="A87" s="14" t="str">
        <f t="shared" si="10"/>
        <v xml:space="preserve"> 2024 JAN-DEC D70 LICENSE BABY</v>
      </c>
      <c r="B87" s="7">
        <f t="shared" si="7"/>
        <v>46121</v>
      </c>
      <c r="C87" s="7">
        <f t="shared" si="8"/>
        <v>46127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15617728</v>
      </c>
      <c r="K87" s="6" t="s">
        <v>2962</v>
      </c>
      <c r="L87" s="16" t="s">
        <v>3328</v>
      </c>
      <c r="M87" s="8">
        <v>199900</v>
      </c>
      <c r="N87" s="35">
        <f t="shared" si="11"/>
        <v>0.7</v>
      </c>
      <c r="O87" s="34">
        <f t="shared" si="9"/>
        <v>59970</v>
      </c>
      <c r="P87" s="20" t="s">
        <v>16</v>
      </c>
    </row>
    <row r="88" spans="1:16" x14ac:dyDescent="0.35">
      <c r="A88" s="14" t="str">
        <f t="shared" si="10"/>
        <v xml:space="preserve"> 2024 JAN-DEC D70 LICENSE BABY</v>
      </c>
      <c r="B88" s="7">
        <f t="shared" si="7"/>
        <v>46121</v>
      </c>
      <c r="C88" s="7">
        <f t="shared" si="8"/>
        <v>46127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15617737</v>
      </c>
      <c r="K88" s="6" t="s">
        <v>2962</v>
      </c>
      <c r="L88" s="16" t="s">
        <v>2964</v>
      </c>
      <c r="M88" s="8">
        <v>199900</v>
      </c>
      <c r="N88" s="35">
        <f t="shared" si="11"/>
        <v>0.7</v>
      </c>
      <c r="O88" s="34">
        <f t="shared" si="9"/>
        <v>59970</v>
      </c>
      <c r="P88" s="20" t="s">
        <v>16</v>
      </c>
    </row>
    <row r="89" spans="1:16" x14ac:dyDescent="0.35">
      <c r="A89" s="14" t="str">
        <f t="shared" si="10"/>
        <v xml:space="preserve"> 2024 JAN-DEC D70 LICENSE BABY</v>
      </c>
      <c r="B89" s="7">
        <f t="shared" si="7"/>
        <v>46121</v>
      </c>
      <c r="C89" s="7">
        <f t="shared" si="8"/>
        <v>46127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15743341</v>
      </c>
      <c r="K89" s="6" t="s">
        <v>2962</v>
      </c>
      <c r="L89" s="16" t="s">
        <v>2965</v>
      </c>
      <c r="M89" s="8">
        <v>199900</v>
      </c>
      <c r="N89" s="35">
        <f t="shared" si="11"/>
        <v>0.7</v>
      </c>
      <c r="O89" s="34">
        <f t="shared" si="9"/>
        <v>59970</v>
      </c>
      <c r="P89" s="20" t="s">
        <v>16</v>
      </c>
    </row>
    <row r="90" spans="1:16" x14ac:dyDescent="0.35">
      <c r="A90" s="14" t="str">
        <f t="shared" si="10"/>
        <v xml:space="preserve"> 2024 JAN-DEC D70 LICENSE BABY</v>
      </c>
      <c r="B90" s="7">
        <f t="shared" si="7"/>
        <v>46121</v>
      </c>
      <c r="C90" s="7">
        <f t="shared" si="8"/>
        <v>46127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15617826</v>
      </c>
      <c r="K90" s="6" t="s">
        <v>2966</v>
      </c>
      <c r="L90" s="16" t="s">
        <v>2967</v>
      </c>
      <c r="M90" s="8">
        <v>219900</v>
      </c>
      <c r="N90" s="35">
        <f t="shared" si="11"/>
        <v>0.7</v>
      </c>
      <c r="O90" s="34">
        <f t="shared" si="9"/>
        <v>65970</v>
      </c>
      <c r="P90" s="20" t="s">
        <v>16</v>
      </c>
    </row>
    <row r="91" spans="1:16" x14ac:dyDescent="0.35">
      <c r="A91" s="14" t="str">
        <f t="shared" si="10"/>
        <v xml:space="preserve"> 2024 JAN-DEC D70 LICENSE BABY</v>
      </c>
      <c r="B91" s="7">
        <f t="shared" si="7"/>
        <v>46121</v>
      </c>
      <c r="C91" s="7">
        <f t="shared" si="8"/>
        <v>46127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15617835</v>
      </c>
      <c r="K91" s="6" t="s">
        <v>2966</v>
      </c>
      <c r="L91" s="16" t="s">
        <v>2968</v>
      </c>
      <c r="M91" s="8">
        <v>219900</v>
      </c>
      <c r="N91" s="35">
        <f t="shared" si="11"/>
        <v>0.7</v>
      </c>
      <c r="O91" s="34">
        <f t="shared" si="9"/>
        <v>65970</v>
      </c>
      <c r="P91" s="20" t="s">
        <v>16</v>
      </c>
    </row>
    <row r="92" spans="1:16" x14ac:dyDescent="0.35">
      <c r="A92" s="14" t="str">
        <f t="shared" si="10"/>
        <v xml:space="preserve"> 2024 JAN-DEC D70 LICENSE BABY</v>
      </c>
      <c r="B92" s="7">
        <f t="shared" si="7"/>
        <v>46121</v>
      </c>
      <c r="C92" s="7">
        <f t="shared" si="8"/>
        <v>46127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15617844</v>
      </c>
      <c r="K92" s="6" t="s">
        <v>2966</v>
      </c>
      <c r="L92" s="16" t="s">
        <v>2969</v>
      </c>
      <c r="M92" s="8">
        <v>219900</v>
      </c>
      <c r="N92" s="35">
        <f t="shared" si="11"/>
        <v>0.7</v>
      </c>
      <c r="O92" s="34">
        <f t="shared" si="9"/>
        <v>65970</v>
      </c>
      <c r="P92" s="20" t="s">
        <v>16</v>
      </c>
    </row>
    <row r="93" spans="1:16" x14ac:dyDescent="0.35">
      <c r="A93" s="14" t="str">
        <f t="shared" si="10"/>
        <v xml:space="preserve"> 2024 JAN-DEC D70 LICENSE BABY</v>
      </c>
      <c r="B93" s="7">
        <f t="shared" si="7"/>
        <v>46121</v>
      </c>
      <c r="C93" s="7">
        <f t="shared" si="8"/>
        <v>46127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15617853</v>
      </c>
      <c r="K93" s="6" t="s">
        <v>2966</v>
      </c>
      <c r="L93" s="16" t="s">
        <v>2970</v>
      </c>
      <c r="M93" s="8">
        <v>219900</v>
      </c>
      <c r="N93" s="35">
        <f t="shared" si="11"/>
        <v>0.7</v>
      </c>
      <c r="O93" s="34">
        <f t="shared" si="9"/>
        <v>65970</v>
      </c>
      <c r="P93" s="20" t="s">
        <v>16</v>
      </c>
    </row>
    <row r="94" spans="1:16" x14ac:dyDescent="0.35">
      <c r="A94" s="14" t="str">
        <f t="shared" si="10"/>
        <v xml:space="preserve"> 2024 JAN-DEC D70 LICENSE BABY</v>
      </c>
      <c r="B94" s="7">
        <f t="shared" ref="B94:B125" si="12">B93</f>
        <v>46121</v>
      </c>
      <c r="C94" s="7">
        <f t="shared" ref="C94:C125" si="13">C93</f>
        <v>46127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15617862</v>
      </c>
      <c r="K94" s="6" t="s">
        <v>2971</v>
      </c>
      <c r="L94" s="16" t="s">
        <v>2972</v>
      </c>
      <c r="M94" s="8">
        <v>199900</v>
      </c>
      <c r="N94" s="35">
        <f t="shared" si="11"/>
        <v>0.7</v>
      </c>
      <c r="O94" s="34">
        <f t="shared" si="9"/>
        <v>59970</v>
      </c>
      <c r="P94" s="20" t="s">
        <v>16</v>
      </c>
    </row>
    <row r="95" spans="1:16" x14ac:dyDescent="0.35">
      <c r="A95" s="14" t="str">
        <f t="shared" si="10"/>
        <v xml:space="preserve"> 2024 JAN-DEC D70 LICENSE BABY</v>
      </c>
      <c r="B95" s="7">
        <f t="shared" si="12"/>
        <v>46121</v>
      </c>
      <c r="C95" s="7">
        <f t="shared" si="13"/>
        <v>46127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15617871</v>
      </c>
      <c r="K95" s="6" t="s">
        <v>2971</v>
      </c>
      <c r="L95" s="16" t="s">
        <v>2973</v>
      </c>
      <c r="M95" s="8">
        <v>199900</v>
      </c>
      <c r="N95" s="35">
        <f t="shared" si="11"/>
        <v>0.7</v>
      </c>
      <c r="O95" s="34">
        <f t="shared" si="9"/>
        <v>59970</v>
      </c>
      <c r="P95" s="20" t="s">
        <v>16</v>
      </c>
    </row>
    <row r="96" spans="1:16" x14ac:dyDescent="0.35">
      <c r="A96" s="14" t="str">
        <f t="shared" si="10"/>
        <v xml:space="preserve"> 2024 JAN-DEC D70 LICENSE BABY</v>
      </c>
      <c r="B96" s="7">
        <f t="shared" si="12"/>
        <v>46121</v>
      </c>
      <c r="C96" s="7">
        <f t="shared" si="13"/>
        <v>46127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15617880</v>
      </c>
      <c r="K96" s="6" t="s">
        <v>2971</v>
      </c>
      <c r="L96" s="16" t="s">
        <v>2974</v>
      </c>
      <c r="M96" s="8">
        <v>199900</v>
      </c>
      <c r="N96" s="35">
        <f t="shared" si="11"/>
        <v>0.7</v>
      </c>
      <c r="O96" s="34">
        <f t="shared" si="9"/>
        <v>59970</v>
      </c>
      <c r="P96" s="20" t="s">
        <v>16</v>
      </c>
    </row>
    <row r="97" spans="1:16" x14ac:dyDescent="0.35">
      <c r="A97" s="14" t="str">
        <f t="shared" si="10"/>
        <v xml:space="preserve"> 2024 JAN-DEC D70 LICENSE BABY</v>
      </c>
      <c r="B97" s="7">
        <f t="shared" si="12"/>
        <v>46121</v>
      </c>
      <c r="C97" s="7">
        <f t="shared" si="13"/>
        <v>46127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15617899</v>
      </c>
      <c r="K97" s="6" t="s">
        <v>2971</v>
      </c>
      <c r="L97" s="16" t="s">
        <v>2975</v>
      </c>
      <c r="M97" s="8">
        <v>199900</v>
      </c>
      <c r="N97" s="35">
        <f t="shared" si="11"/>
        <v>0.7</v>
      </c>
      <c r="O97" s="34">
        <f t="shared" si="9"/>
        <v>59970</v>
      </c>
      <c r="P97" s="20" t="s">
        <v>16</v>
      </c>
    </row>
    <row r="98" spans="1:16" x14ac:dyDescent="0.35">
      <c r="A98" s="14" t="str">
        <f t="shared" si="10"/>
        <v xml:space="preserve"> 2024 JAN-DEC D70 LICENSE BABY</v>
      </c>
      <c r="B98" s="7">
        <f t="shared" si="12"/>
        <v>46121</v>
      </c>
      <c r="C98" s="7">
        <f t="shared" si="13"/>
        <v>46127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16859751</v>
      </c>
      <c r="K98" s="6" t="s">
        <v>3329</v>
      </c>
      <c r="L98" s="16" t="s">
        <v>3330</v>
      </c>
      <c r="M98" s="8">
        <v>219900</v>
      </c>
      <c r="N98" s="35">
        <f t="shared" si="11"/>
        <v>0.7</v>
      </c>
      <c r="O98" s="34">
        <f t="shared" si="9"/>
        <v>65970</v>
      </c>
      <c r="P98" s="20" t="s">
        <v>16</v>
      </c>
    </row>
    <row r="99" spans="1:16" x14ac:dyDescent="0.35">
      <c r="A99" s="14" t="str">
        <f t="shared" si="10"/>
        <v xml:space="preserve"> 2024 JAN-DEC D70 LICENSE BABY</v>
      </c>
      <c r="B99" s="7">
        <f t="shared" si="12"/>
        <v>46121</v>
      </c>
      <c r="C99" s="7">
        <f t="shared" si="13"/>
        <v>46127</v>
      </c>
      <c r="D99" s="6">
        <v>3284</v>
      </c>
      <c r="E99" s="6">
        <v>338</v>
      </c>
      <c r="F99" s="6">
        <v>4</v>
      </c>
      <c r="G99" s="6">
        <v>4</v>
      </c>
      <c r="H99" s="6">
        <v>81421</v>
      </c>
      <c r="I99" s="6" t="s">
        <v>17</v>
      </c>
      <c r="J99" s="6">
        <v>16859760</v>
      </c>
      <c r="K99" s="6" t="s">
        <v>3329</v>
      </c>
      <c r="L99" s="16" t="s">
        <v>3331</v>
      </c>
      <c r="M99" s="8">
        <v>219900</v>
      </c>
      <c r="N99" s="35">
        <f t="shared" si="11"/>
        <v>0.7</v>
      </c>
      <c r="O99" s="34">
        <f t="shared" si="9"/>
        <v>65970</v>
      </c>
      <c r="P99" s="20" t="s">
        <v>16</v>
      </c>
    </row>
    <row r="100" spans="1:16" x14ac:dyDescent="0.35">
      <c r="A100" s="14" t="str">
        <f t="shared" si="10"/>
        <v xml:space="preserve"> 2024 JAN-DEC D70 LICENSE BABY</v>
      </c>
      <c r="B100" s="7">
        <f t="shared" si="12"/>
        <v>46121</v>
      </c>
      <c r="C100" s="7">
        <f t="shared" si="13"/>
        <v>46127</v>
      </c>
      <c r="D100" s="6">
        <v>3284</v>
      </c>
      <c r="E100" s="6">
        <v>338</v>
      </c>
      <c r="F100" s="6">
        <v>4</v>
      </c>
      <c r="G100" s="6">
        <v>4</v>
      </c>
      <c r="H100" s="6">
        <v>81421</v>
      </c>
      <c r="I100" s="6" t="s">
        <v>17</v>
      </c>
      <c r="J100" s="6">
        <v>16859779</v>
      </c>
      <c r="K100" s="6" t="s">
        <v>3329</v>
      </c>
      <c r="L100" s="16" t="s">
        <v>3332</v>
      </c>
      <c r="M100" s="8">
        <v>219900</v>
      </c>
      <c r="N100" s="35">
        <f t="shared" si="11"/>
        <v>0.7</v>
      </c>
      <c r="O100" s="34">
        <f t="shared" si="9"/>
        <v>65970</v>
      </c>
      <c r="P100" s="20" t="s">
        <v>16</v>
      </c>
    </row>
    <row r="101" spans="1:16" x14ac:dyDescent="0.35">
      <c r="A101" s="14" t="str">
        <f t="shared" si="10"/>
        <v xml:space="preserve"> 2024 JAN-DEC D70 LICENSE BABY</v>
      </c>
      <c r="B101" s="7">
        <f t="shared" si="12"/>
        <v>46121</v>
      </c>
      <c r="C101" s="7">
        <f t="shared" si="13"/>
        <v>46127</v>
      </c>
      <c r="D101" s="6">
        <v>3284</v>
      </c>
      <c r="E101" s="6">
        <v>338</v>
      </c>
      <c r="F101" s="6">
        <v>4</v>
      </c>
      <c r="G101" s="6">
        <v>4</v>
      </c>
      <c r="H101" s="6">
        <v>81421</v>
      </c>
      <c r="I101" s="6" t="s">
        <v>17</v>
      </c>
      <c r="J101" s="6">
        <v>16859788</v>
      </c>
      <c r="K101" s="6" t="s">
        <v>3329</v>
      </c>
      <c r="L101" s="16" t="s">
        <v>3333</v>
      </c>
      <c r="M101" s="8">
        <v>219900</v>
      </c>
      <c r="N101" s="35">
        <f t="shared" si="11"/>
        <v>0.7</v>
      </c>
      <c r="O101" s="34">
        <f t="shared" si="9"/>
        <v>65970</v>
      </c>
      <c r="P101" s="20" t="s">
        <v>16</v>
      </c>
    </row>
    <row r="102" spans="1:16" x14ac:dyDescent="0.35">
      <c r="A102" s="14" t="str">
        <f t="shared" si="10"/>
        <v xml:space="preserve"> 2024 JAN-DEC D70 LICENSE BABY</v>
      </c>
      <c r="B102" s="7">
        <f t="shared" si="12"/>
        <v>46121</v>
      </c>
      <c r="C102" s="7">
        <f t="shared" si="13"/>
        <v>46127</v>
      </c>
      <c r="D102" s="6">
        <v>3284</v>
      </c>
      <c r="E102" s="6">
        <v>338</v>
      </c>
      <c r="F102" s="6">
        <v>4</v>
      </c>
      <c r="G102" s="6">
        <v>4</v>
      </c>
      <c r="H102" s="6">
        <v>81421</v>
      </c>
      <c r="I102" s="6" t="s">
        <v>17</v>
      </c>
      <c r="J102" s="6">
        <v>18757367</v>
      </c>
      <c r="K102" s="6" t="s">
        <v>3660</v>
      </c>
      <c r="L102" s="16" t="s">
        <v>3661</v>
      </c>
      <c r="M102" s="8">
        <v>199900</v>
      </c>
      <c r="N102" s="35">
        <f t="shared" si="11"/>
        <v>0.7</v>
      </c>
      <c r="O102" s="34">
        <f t="shared" si="9"/>
        <v>59970</v>
      </c>
      <c r="P102" s="20" t="s">
        <v>16</v>
      </c>
    </row>
    <row r="103" spans="1:16" x14ac:dyDescent="0.35">
      <c r="A103" s="14" t="str">
        <f t="shared" si="10"/>
        <v xml:space="preserve"> 2024 JAN-DEC D70 LICENSE BABY</v>
      </c>
      <c r="B103" s="7">
        <f t="shared" si="12"/>
        <v>46121</v>
      </c>
      <c r="C103" s="7">
        <f t="shared" si="13"/>
        <v>46127</v>
      </c>
      <c r="D103" s="6">
        <v>3284</v>
      </c>
      <c r="E103" s="6">
        <v>338</v>
      </c>
      <c r="F103" s="6">
        <v>4</v>
      </c>
      <c r="G103" s="6">
        <v>4</v>
      </c>
      <c r="H103" s="6">
        <v>81421</v>
      </c>
      <c r="I103" s="6" t="s">
        <v>17</v>
      </c>
      <c r="J103" s="6">
        <v>18757376</v>
      </c>
      <c r="K103" s="6" t="s">
        <v>3660</v>
      </c>
      <c r="L103" s="16" t="s">
        <v>3662</v>
      </c>
      <c r="M103" s="8">
        <v>199900</v>
      </c>
      <c r="N103" s="35">
        <f t="shared" si="11"/>
        <v>0.7</v>
      </c>
      <c r="O103" s="34">
        <f t="shared" si="9"/>
        <v>59970</v>
      </c>
      <c r="P103" s="20" t="s">
        <v>16</v>
      </c>
    </row>
    <row r="104" spans="1:16" x14ac:dyDescent="0.35">
      <c r="A104" s="14" t="str">
        <f t="shared" si="10"/>
        <v xml:space="preserve"> 2024 JAN-DEC D70 LICENSE BABY</v>
      </c>
      <c r="B104" s="7">
        <f t="shared" si="12"/>
        <v>46121</v>
      </c>
      <c r="C104" s="7">
        <f t="shared" si="13"/>
        <v>46127</v>
      </c>
      <c r="D104" s="6">
        <v>3284</v>
      </c>
      <c r="E104" s="6">
        <v>338</v>
      </c>
      <c r="F104" s="6">
        <v>4</v>
      </c>
      <c r="G104" s="6">
        <v>4</v>
      </c>
      <c r="H104" s="6">
        <v>81421</v>
      </c>
      <c r="I104" s="6" t="s">
        <v>17</v>
      </c>
      <c r="J104" s="6">
        <v>18757385</v>
      </c>
      <c r="K104" s="6" t="s">
        <v>3660</v>
      </c>
      <c r="L104" s="16" t="s">
        <v>3663</v>
      </c>
      <c r="M104" s="8">
        <v>199900</v>
      </c>
      <c r="N104" s="35">
        <f t="shared" si="11"/>
        <v>0.7</v>
      </c>
      <c r="O104" s="34">
        <f t="shared" si="9"/>
        <v>59970</v>
      </c>
      <c r="P104" s="20" t="s">
        <v>16</v>
      </c>
    </row>
    <row r="105" spans="1:16" x14ac:dyDescent="0.35">
      <c r="A105" s="14" t="str">
        <f t="shared" si="10"/>
        <v xml:space="preserve"> 2024 JAN-DEC D70 LICENSE BABY</v>
      </c>
      <c r="B105" s="7">
        <f t="shared" si="12"/>
        <v>46121</v>
      </c>
      <c r="C105" s="7">
        <f t="shared" si="13"/>
        <v>46127</v>
      </c>
      <c r="D105" s="6">
        <v>3284</v>
      </c>
      <c r="E105" s="6">
        <v>338</v>
      </c>
      <c r="F105" s="6">
        <v>4</v>
      </c>
      <c r="G105" s="6">
        <v>4</v>
      </c>
      <c r="H105" s="6">
        <v>81421</v>
      </c>
      <c r="I105" s="6" t="s">
        <v>17</v>
      </c>
      <c r="J105" s="6">
        <v>18757394</v>
      </c>
      <c r="K105" s="6" t="s">
        <v>3660</v>
      </c>
      <c r="L105" s="16" t="s">
        <v>3664</v>
      </c>
      <c r="M105" s="8">
        <v>199900</v>
      </c>
      <c r="N105" s="35">
        <f t="shared" si="11"/>
        <v>0.7</v>
      </c>
      <c r="O105" s="34">
        <f t="shared" si="9"/>
        <v>59970</v>
      </c>
      <c r="P105" s="20" t="s">
        <v>16</v>
      </c>
    </row>
    <row r="106" spans="1:16" x14ac:dyDescent="0.35">
      <c r="A106" s="14" t="str">
        <f t="shared" si="10"/>
        <v xml:space="preserve"> 2024 JAN-DEC D70 LICENSE BABY</v>
      </c>
      <c r="B106" s="7">
        <f t="shared" si="12"/>
        <v>46121</v>
      </c>
      <c r="C106" s="7">
        <f t="shared" si="13"/>
        <v>46127</v>
      </c>
      <c r="D106" s="6">
        <v>3284</v>
      </c>
      <c r="E106" s="6">
        <v>338</v>
      </c>
      <c r="F106" s="6">
        <v>4</v>
      </c>
      <c r="G106" s="6">
        <v>4</v>
      </c>
      <c r="H106" s="6">
        <v>80920</v>
      </c>
      <c r="I106" s="6" t="s">
        <v>17</v>
      </c>
      <c r="J106" s="6">
        <v>15617399</v>
      </c>
      <c r="K106" s="6" t="s">
        <v>2976</v>
      </c>
      <c r="L106" s="16" t="s">
        <v>2977</v>
      </c>
      <c r="M106" s="8">
        <v>199900</v>
      </c>
      <c r="N106" s="35">
        <f t="shared" si="11"/>
        <v>0.7</v>
      </c>
      <c r="O106" s="34">
        <f t="shared" si="9"/>
        <v>59970</v>
      </c>
      <c r="P106" s="20" t="s">
        <v>16</v>
      </c>
    </row>
    <row r="107" spans="1:16" x14ac:dyDescent="0.35">
      <c r="A107" s="14" t="str">
        <f t="shared" si="10"/>
        <v xml:space="preserve"> 2024 JAN-DEC D70 LICENSE BABY</v>
      </c>
      <c r="B107" s="7">
        <f t="shared" si="12"/>
        <v>46121</v>
      </c>
      <c r="C107" s="7">
        <f t="shared" si="13"/>
        <v>46127</v>
      </c>
      <c r="D107" s="6">
        <v>3284</v>
      </c>
      <c r="E107" s="6">
        <v>338</v>
      </c>
      <c r="F107" s="6">
        <v>4</v>
      </c>
      <c r="G107" s="6">
        <v>4</v>
      </c>
      <c r="H107" s="6">
        <v>80920</v>
      </c>
      <c r="I107" s="6" t="s">
        <v>17</v>
      </c>
      <c r="J107" s="6">
        <v>15617406</v>
      </c>
      <c r="K107" s="6" t="s">
        <v>2976</v>
      </c>
      <c r="L107" s="16" t="s">
        <v>2978</v>
      </c>
      <c r="M107" s="8">
        <v>199900</v>
      </c>
      <c r="N107" s="35">
        <f t="shared" si="11"/>
        <v>0.7</v>
      </c>
      <c r="O107" s="34">
        <f t="shared" si="9"/>
        <v>59970</v>
      </c>
      <c r="P107" s="20" t="s">
        <v>16</v>
      </c>
    </row>
    <row r="108" spans="1:16" x14ac:dyDescent="0.35">
      <c r="A108" s="14" t="str">
        <f t="shared" si="10"/>
        <v xml:space="preserve"> 2024 JAN-DEC D70 LICENSE BABY</v>
      </c>
      <c r="B108" s="7">
        <f t="shared" si="12"/>
        <v>46121</v>
      </c>
      <c r="C108" s="7">
        <f t="shared" si="13"/>
        <v>46127</v>
      </c>
      <c r="D108" s="6">
        <v>3284</v>
      </c>
      <c r="E108" s="6">
        <v>338</v>
      </c>
      <c r="F108" s="6">
        <v>4</v>
      </c>
      <c r="G108" s="6">
        <v>4</v>
      </c>
      <c r="H108" s="6">
        <v>80920</v>
      </c>
      <c r="I108" s="6" t="s">
        <v>17</v>
      </c>
      <c r="J108" s="6">
        <v>15617415</v>
      </c>
      <c r="K108" s="6" t="s">
        <v>2976</v>
      </c>
      <c r="L108" s="16" t="s">
        <v>2979</v>
      </c>
      <c r="M108" s="8">
        <v>199900</v>
      </c>
      <c r="N108" s="35">
        <f t="shared" si="11"/>
        <v>0.7</v>
      </c>
      <c r="O108" s="34">
        <f t="shared" si="9"/>
        <v>59970</v>
      </c>
      <c r="P108" s="20" t="s">
        <v>16</v>
      </c>
    </row>
    <row r="109" spans="1:16" x14ac:dyDescent="0.35">
      <c r="A109" s="14" t="str">
        <f t="shared" si="10"/>
        <v xml:space="preserve"> 2024 JAN-DEC D70 LICENSE BABY</v>
      </c>
      <c r="B109" s="7">
        <f t="shared" si="12"/>
        <v>46121</v>
      </c>
      <c r="C109" s="7">
        <f t="shared" si="13"/>
        <v>46127</v>
      </c>
      <c r="D109" s="6">
        <v>3284</v>
      </c>
      <c r="E109" s="6">
        <v>338</v>
      </c>
      <c r="F109" s="6">
        <v>4</v>
      </c>
      <c r="G109" s="6">
        <v>4</v>
      </c>
      <c r="H109" s="6">
        <v>80920</v>
      </c>
      <c r="I109" s="6" t="s">
        <v>17</v>
      </c>
      <c r="J109" s="6">
        <v>15743350</v>
      </c>
      <c r="K109" s="6" t="s">
        <v>2976</v>
      </c>
      <c r="L109" s="16" t="s">
        <v>2980</v>
      </c>
      <c r="M109" s="8">
        <v>199900</v>
      </c>
      <c r="N109" s="35">
        <f t="shared" si="11"/>
        <v>0.7</v>
      </c>
      <c r="O109" s="34">
        <f t="shared" si="9"/>
        <v>59970</v>
      </c>
      <c r="P109" s="20" t="s">
        <v>16</v>
      </c>
    </row>
    <row r="110" spans="1:16" x14ac:dyDescent="0.35">
      <c r="A110" s="14" t="str">
        <f t="shared" si="10"/>
        <v xml:space="preserve"> 2024 JAN-DEC D70 LICENSE BABY</v>
      </c>
      <c r="B110" s="7">
        <f t="shared" si="12"/>
        <v>46121</v>
      </c>
      <c r="C110" s="7">
        <f t="shared" si="13"/>
        <v>46127</v>
      </c>
      <c r="D110" s="6">
        <v>3284</v>
      </c>
      <c r="E110" s="6">
        <v>338</v>
      </c>
      <c r="F110" s="6">
        <v>4</v>
      </c>
      <c r="G110" s="6">
        <v>4</v>
      </c>
      <c r="H110" s="6">
        <v>80920</v>
      </c>
      <c r="I110" s="6" t="s">
        <v>17</v>
      </c>
      <c r="J110" s="6">
        <v>15617942</v>
      </c>
      <c r="K110" s="6" t="s">
        <v>2981</v>
      </c>
      <c r="L110" s="16" t="s">
        <v>2982</v>
      </c>
      <c r="M110" s="8">
        <v>219900</v>
      </c>
      <c r="N110" s="35">
        <f t="shared" si="11"/>
        <v>0.7</v>
      </c>
      <c r="O110" s="34">
        <f t="shared" si="9"/>
        <v>65970</v>
      </c>
      <c r="P110" s="20" t="s">
        <v>16</v>
      </c>
    </row>
    <row r="111" spans="1:16" x14ac:dyDescent="0.35">
      <c r="A111" s="14" t="str">
        <f t="shared" si="10"/>
        <v xml:space="preserve"> 2024 JAN-DEC D70 LICENSE BABY</v>
      </c>
      <c r="B111" s="7">
        <f t="shared" si="12"/>
        <v>46121</v>
      </c>
      <c r="C111" s="7">
        <f t="shared" si="13"/>
        <v>46127</v>
      </c>
      <c r="D111" s="6">
        <v>3284</v>
      </c>
      <c r="E111" s="6">
        <v>338</v>
      </c>
      <c r="F111" s="6">
        <v>4</v>
      </c>
      <c r="G111" s="6">
        <v>4</v>
      </c>
      <c r="H111" s="6">
        <v>80920</v>
      </c>
      <c r="I111" s="6" t="s">
        <v>17</v>
      </c>
      <c r="J111" s="6">
        <v>15617951</v>
      </c>
      <c r="K111" s="6" t="s">
        <v>2981</v>
      </c>
      <c r="L111" s="16" t="s">
        <v>2983</v>
      </c>
      <c r="M111" s="8">
        <v>219900</v>
      </c>
      <c r="N111" s="35">
        <f t="shared" si="11"/>
        <v>0.7</v>
      </c>
      <c r="O111" s="34">
        <f t="shared" si="9"/>
        <v>65970</v>
      </c>
      <c r="P111" s="20" t="s">
        <v>16</v>
      </c>
    </row>
    <row r="112" spans="1:16" x14ac:dyDescent="0.35">
      <c r="A112" s="14" t="str">
        <f t="shared" si="10"/>
        <v xml:space="preserve"> 2024 JAN-DEC D70 LICENSE BABY</v>
      </c>
      <c r="B112" s="7">
        <f t="shared" si="12"/>
        <v>46121</v>
      </c>
      <c r="C112" s="7">
        <f t="shared" si="13"/>
        <v>46127</v>
      </c>
      <c r="D112" s="6">
        <v>3284</v>
      </c>
      <c r="E112" s="6">
        <v>338</v>
      </c>
      <c r="F112" s="6">
        <v>4</v>
      </c>
      <c r="G112" s="6">
        <v>4</v>
      </c>
      <c r="H112" s="6">
        <v>80920</v>
      </c>
      <c r="I112" s="6" t="s">
        <v>17</v>
      </c>
      <c r="J112" s="6">
        <v>15617960</v>
      </c>
      <c r="K112" s="6" t="s">
        <v>2981</v>
      </c>
      <c r="L112" s="16" t="s">
        <v>2984</v>
      </c>
      <c r="M112" s="8">
        <v>219900</v>
      </c>
      <c r="N112" s="35">
        <f t="shared" si="11"/>
        <v>0.7</v>
      </c>
      <c r="O112" s="34">
        <f t="shared" si="9"/>
        <v>65970</v>
      </c>
      <c r="P112" s="20" t="s">
        <v>16</v>
      </c>
    </row>
    <row r="113" spans="1:16" x14ac:dyDescent="0.35">
      <c r="A113" s="14" t="str">
        <f t="shared" si="10"/>
        <v xml:space="preserve"> 2024 JAN-DEC D70 LICENSE BABY</v>
      </c>
      <c r="B113" s="7">
        <f t="shared" si="12"/>
        <v>46121</v>
      </c>
      <c r="C113" s="7">
        <f t="shared" si="13"/>
        <v>46127</v>
      </c>
      <c r="D113" s="6">
        <v>3284</v>
      </c>
      <c r="E113" s="6">
        <v>338</v>
      </c>
      <c r="F113" s="6">
        <v>4</v>
      </c>
      <c r="G113" s="6">
        <v>4</v>
      </c>
      <c r="H113" s="6">
        <v>80920</v>
      </c>
      <c r="I113" s="6" t="s">
        <v>17</v>
      </c>
      <c r="J113" s="6">
        <v>15617979</v>
      </c>
      <c r="K113" s="6" t="s">
        <v>2981</v>
      </c>
      <c r="L113" s="16" t="s">
        <v>2985</v>
      </c>
      <c r="M113" s="8">
        <v>219900</v>
      </c>
      <c r="N113" s="35">
        <f t="shared" si="11"/>
        <v>0.7</v>
      </c>
      <c r="O113" s="34">
        <f t="shared" si="9"/>
        <v>65970</v>
      </c>
      <c r="P113" s="20" t="s">
        <v>16</v>
      </c>
    </row>
    <row r="114" spans="1:16" x14ac:dyDescent="0.35">
      <c r="A114" s="14" t="str">
        <f t="shared" si="10"/>
        <v xml:space="preserve"> 2024 JAN-DEC D70 LICENSE BABY</v>
      </c>
      <c r="B114" s="7">
        <f t="shared" si="12"/>
        <v>46121</v>
      </c>
      <c r="C114" s="7">
        <f t="shared" si="13"/>
        <v>46127</v>
      </c>
      <c r="D114" s="6">
        <v>3284</v>
      </c>
      <c r="E114" s="6">
        <v>338</v>
      </c>
      <c r="F114" s="6">
        <v>4</v>
      </c>
      <c r="G114" s="6">
        <v>4</v>
      </c>
      <c r="H114" s="6">
        <v>81506</v>
      </c>
      <c r="I114" s="6" t="s">
        <v>17</v>
      </c>
      <c r="J114" s="6">
        <v>16859797</v>
      </c>
      <c r="K114" s="6" t="s">
        <v>3334</v>
      </c>
      <c r="L114" s="16" t="s">
        <v>3335</v>
      </c>
      <c r="M114" s="8">
        <v>229900</v>
      </c>
      <c r="N114" s="35">
        <f t="shared" si="11"/>
        <v>0.7</v>
      </c>
      <c r="O114" s="34">
        <f t="shared" si="9"/>
        <v>68970</v>
      </c>
      <c r="P114" s="20" t="s">
        <v>16</v>
      </c>
    </row>
    <row r="115" spans="1:16" x14ac:dyDescent="0.35">
      <c r="A115" s="14" t="str">
        <f t="shared" si="10"/>
        <v xml:space="preserve"> 2024 JAN-DEC D70 LICENSE BABY</v>
      </c>
      <c r="B115" s="7">
        <f t="shared" si="12"/>
        <v>46121</v>
      </c>
      <c r="C115" s="7">
        <f t="shared" si="13"/>
        <v>46127</v>
      </c>
      <c r="D115" s="6">
        <v>3284</v>
      </c>
      <c r="E115" s="6">
        <v>338</v>
      </c>
      <c r="F115" s="6">
        <v>4</v>
      </c>
      <c r="G115" s="6">
        <v>4</v>
      </c>
      <c r="H115" s="6">
        <v>81506</v>
      </c>
      <c r="I115" s="6" t="s">
        <v>17</v>
      </c>
      <c r="J115" s="6">
        <v>16859804</v>
      </c>
      <c r="K115" s="6" t="s">
        <v>3334</v>
      </c>
      <c r="L115" s="16" t="s">
        <v>3336</v>
      </c>
      <c r="M115" s="8">
        <v>229900</v>
      </c>
      <c r="N115" s="35">
        <f t="shared" si="11"/>
        <v>0.7</v>
      </c>
      <c r="O115" s="34">
        <f t="shared" si="9"/>
        <v>68970</v>
      </c>
      <c r="P115" s="20" t="s">
        <v>16</v>
      </c>
    </row>
    <row r="116" spans="1:16" x14ac:dyDescent="0.35">
      <c r="A116" s="14" t="str">
        <f t="shared" si="10"/>
        <v xml:space="preserve"> 2024 JAN-DEC D70 LICENSE BABY</v>
      </c>
      <c r="B116" s="7">
        <f t="shared" si="12"/>
        <v>46121</v>
      </c>
      <c r="C116" s="7">
        <f t="shared" si="13"/>
        <v>46127</v>
      </c>
      <c r="D116" s="6">
        <v>3284</v>
      </c>
      <c r="E116" s="6">
        <v>338</v>
      </c>
      <c r="F116" s="6">
        <v>4</v>
      </c>
      <c r="G116" s="6">
        <v>4</v>
      </c>
      <c r="H116" s="6">
        <v>81506</v>
      </c>
      <c r="I116" s="6" t="s">
        <v>17</v>
      </c>
      <c r="J116" s="6">
        <v>16859813</v>
      </c>
      <c r="K116" s="6" t="s">
        <v>3334</v>
      </c>
      <c r="L116" s="16" t="s">
        <v>3337</v>
      </c>
      <c r="M116" s="8">
        <v>229900</v>
      </c>
      <c r="N116" s="35">
        <f t="shared" si="11"/>
        <v>0.7</v>
      </c>
      <c r="O116" s="34">
        <f t="shared" si="9"/>
        <v>68970</v>
      </c>
      <c r="P116" s="20" t="s">
        <v>16</v>
      </c>
    </row>
    <row r="117" spans="1:16" x14ac:dyDescent="0.35">
      <c r="A117" s="14" t="str">
        <f t="shared" si="10"/>
        <v xml:space="preserve"> 2024 JAN-DEC D70 LICENSE BABY</v>
      </c>
      <c r="B117" s="7">
        <f t="shared" si="12"/>
        <v>46121</v>
      </c>
      <c r="C117" s="7">
        <f t="shared" si="13"/>
        <v>46127</v>
      </c>
      <c r="D117" s="6">
        <v>3284</v>
      </c>
      <c r="E117" s="6">
        <v>338</v>
      </c>
      <c r="F117" s="6">
        <v>4</v>
      </c>
      <c r="G117" s="6">
        <v>4</v>
      </c>
      <c r="H117" s="6">
        <v>81506</v>
      </c>
      <c r="I117" s="6" t="s">
        <v>17</v>
      </c>
      <c r="J117" s="6">
        <v>16859822</v>
      </c>
      <c r="K117" s="6" t="s">
        <v>3334</v>
      </c>
      <c r="L117" s="16" t="s">
        <v>3338</v>
      </c>
      <c r="M117" s="8">
        <v>229900</v>
      </c>
      <c r="N117" s="35">
        <f t="shared" si="11"/>
        <v>0.7</v>
      </c>
      <c r="O117" s="34">
        <f t="shared" si="9"/>
        <v>68970</v>
      </c>
      <c r="P117" s="20" t="s">
        <v>16</v>
      </c>
    </row>
    <row r="118" spans="1:16" x14ac:dyDescent="0.35">
      <c r="A118" s="14" t="str">
        <f t="shared" si="10"/>
        <v xml:space="preserve"> 2024 JAN-DEC D70 LICENSE BABY</v>
      </c>
      <c r="B118" s="7">
        <f t="shared" si="12"/>
        <v>46121</v>
      </c>
      <c r="C118" s="7">
        <f t="shared" si="13"/>
        <v>46127</v>
      </c>
      <c r="D118" s="6">
        <v>3284</v>
      </c>
      <c r="E118" s="6">
        <v>338</v>
      </c>
      <c r="F118" s="6">
        <v>4</v>
      </c>
      <c r="G118" s="6">
        <v>4</v>
      </c>
      <c r="H118" s="6">
        <v>81506</v>
      </c>
      <c r="I118" s="6" t="s">
        <v>17</v>
      </c>
      <c r="J118" s="6">
        <v>17035755</v>
      </c>
      <c r="K118" s="6" t="s">
        <v>3339</v>
      </c>
      <c r="L118" s="16" t="s">
        <v>3340</v>
      </c>
      <c r="M118" s="8">
        <v>219900</v>
      </c>
      <c r="N118" s="35">
        <f t="shared" si="11"/>
        <v>0.7</v>
      </c>
      <c r="O118" s="34">
        <f t="shared" si="9"/>
        <v>65970</v>
      </c>
      <c r="P118" s="20" t="s">
        <v>16</v>
      </c>
    </row>
    <row r="119" spans="1:16" x14ac:dyDescent="0.35">
      <c r="A119" s="14" t="str">
        <f t="shared" si="10"/>
        <v xml:space="preserve"> 2024 JAN-DEC D70 LICENSE BABY</v>
      </c>
      <c r="B119" s="7">
        <f t="shared" si="12"/>
        <v>46121</v>
      </c>
      <c r="C119" s="7">
        <f t="shared" si="13"/>
        <v>46127</v>
      </c>
      <c r="D119" s="6">
        <v>3284</v>
      </c>
      <c r="E119" s="6">
        <v>338</v>
      </c>
      <c r="F119" s="6">
        <v>4</v>
      </c>
      <c r="G119" s="6">
        <v>4</v>
      </c>
      <c r="H119" s="6">
        <v>81506</v>
      </c>
      <c r="I119" s="6" t="s">
        <v>17</v>
      </c>
      <c r="J119" s="6">
        <v>17035764</v>
      </c>
      <c r="K119" s="6" t="s">
        <v>3339</v>
      </c>
      <c r="L119" s="16" t="s">
        <v>3341</v>
      </c>
      <c r="M119" s="8">
        <v>219900</v>
      </c>
      <c r="N119" s="35">
        <f t="shared" si="11"/>
        <v>0.7</v>
      </c>
      <c r="O119" s="34">
        <f t="shared" si="9"/>
        <v>65970</v>
      </c>
      <c r="P119" s="20" t="s">
        <v>16</v>
      </c>
    </row>
    <row r="120" spans="1:16" x14ac:dyDescent="0.35">
      <c r="A120" s="14" t="str">
        <f t="shared" si="10"/>
        <v xml:space="preserve"> 2024 JAN-DEC D70 LICENSE BABY</v>
      </c>
      <c r="B120" s="7">
        <f t="shared" si="12"/>
        <v>46121</v>
      </c>
      <c r="C120" s="7">
        <f t="shared" si="13"/>
        <v>46127</v>
      </c>
      <c r="D120" s="6">
        <v>3284</v>
      </c>
      <c r="E120" s="6">
        <v>338</v>
      </c>
      <c r="F120" s="6">
        <v>4</v>
      </c>
      <c r="G120" s="6">
        <v>4</v>
      </c>
      <c r="H120" s="6">
        <v>81506</v>
      </c>
      <c r="I120" s="6" t="s">
        <v>17</v>
      </c>
      <c r="J120" s="6">
        <v>17035773</v>
      </c>
      <c r="K120" s="6" t="s">
        <v>3339</v>
      </c>
      <c r="L120" s="16" t="s">
        <v>3342</v>
      </c>
      <c r="M120" s="8">
        <v>219900</v>
      </c>
      <c r="N120" s="35">
        <f t="shared" si="11"/>
        <v>0.7</v>
      </c>
      <c r="O120" s="34">
        <f t="shared" si="9"/>
        <v>65970</v>
      </c>
      <c r="P120" s="20" t="s">
        <v>16</v>
      </c>
    </row>
    <row r="121" spans="1:16" x14ac:dyDescent="0.35">
      <c r="A121" s="14" t="str">
        <f t="shared" si="10"/>
        <v xml:space="preserve"> 2024 JAN-DEC D70 LICENSE BABY</v>
      </c>
      <c r="B121" s="7">
        <f t="shared" si="12"/>
        <v>46121</v>
      </c>
      <c r="C121" s="7">
        <f t="shared" si="13"/>
        <v>46127</v>
      </c>
      <c r="D121" s="6">
        <v>3284</v>
      </c>
      <c r="E121" s="6">
        <v>338</v>
      </c>
      <c r="F121" s="6">
        <v>4</v>
      </c>
      <c r="G121" s="6">
        <v>4</v>
      </c>
      <c r="H121" s="6">
        <v>81506</v>
      </c>
      <c r="I121" s="6" t="s">
        <v>17</v>
      </c>
      <c r="J121" s="6">
        <v>17035782</v>
      </c>
      <c r="K121" s="6" t="s">
        <v>3339</v>
      </c>
      <c r="L121" s="16" t="s">
        <v>3343</v>
      </c>
      <c r="M121" s="8">
        <v>219900</v>
      </c>
      <c r="N121" s="35">
        <f t="shared" si="11"/>
        <v>0.7</v>
      </c>
      <c r="O121" s="34">
        <f t="shared" si="9"/>
        <v>65970</v>
      </c>
      <c r="P121" s="20" t="s">
        <v>16</v>
      </c>
    </row>
    <row r="122" spans="1:16" x14ac:dyDescent="0.35">
      <c r="A122" s="14" t="str">
        <f t="shared" si="10"/>
        <v xml:space="preserve"> 2024 JAN-DEC D70 LICENSE BABY</v>
      </c>
      <c r="B122" s="7">
        <f t="shared" si="12"/>
        <v>46121</v>
      </c>
      <c r="C122" s="7">
        <f t="shared" si="13"/>
        <v>46127</v>
      </c>
      <c r="D122" s="6">
        <v>3284</v>
      </c>
      <c r="E122" s="6">
        <v>338</v>
      </c>
      <c r="F122" s="6">
        <v>4</v>
      </c>
      <c r="G122" s="6">
        <v>4</v>
      </c>
      <c r="H122" s="6">
        <v>81506</v>
      </c>
      <c r="I122" s="6" t="s">
        <v>17</v>
      </c>
      <c r="J122" s="6">
        <v>19068565</v>
      </c>
      <c r="K122" s="6" t="s">
        <v>3665</v>
      </c>
      <c r="L122" s="16" t="s">
        <v>3666</v>
      </c>
      <c r="M122" s="8">
        <v>239900</v>
      </c>
      <c r="N122" s="35">
        <f t="shared" si="11"/>
        <v>0.7</v>
      </c>
      <c r="O122" s="34">
        <f t="shared" si="9"/>
        <v>71970</v>
      </c>
      <c r="P122" s="20" t="s">
        <v>16</v>
      </c>
    </row>
    <row r="123" spans="1:16" x14ac:dyDescent="0.35">
      <c r="A123" s="14" t="str">
        <f t="shared" si="10"/>
        <v xml:space="preserve"> 2024 JAN-DEC D70 LICENSE BABY</v>
      </c>
      <c r="B123" s="7">
        <f t="shared" si="12"/>
        <v>46121</v>
      </c>
      <c r="C123" s="7">
        <f t="shared" si="13"/>
        <v>46127</v>
      </c>
      <c r="D123" s="6">
        <v>3284</v>
      </c>
      <c r="E123" s="6">
        <v>338</v>
      </c>
      <c r="F123" s="6">
        <v>4</v>
      </c>
      <c r="G123" s="6">
        <v>4</v>
      </c>
      <c r="H123" s="6">
        <v>81506</v>
      </c>
      <c r="I123" s="6" t="s">
        <v>17</v>
      </c>
      <c r="J123" s="6">
        <v>19068574</v>
      </c>
      <c r="K123" s="6" t="s">
        <v>3665</v>
      </c>
      <c r="L123" s="16" t="s">
        <v>3667</v>
      </c>
      <c r="M123" s="8">
        <v>239900</v>
      </c>
      <c r="N123" s="35">
        <f t="shared" si="11"/>
        <v>0.7</v>
      </c>
      <c r="O123" s="34">
        <f t="shared" si="9"/>
        <v>71970</v>
      </c>
      <c r="P123" s="20" t="s">
        <v>16</v>
      </c>
    </row>
    <row r="124" spans="1:16" x14ac:dyDescent="0.35">
      <c r="A124" s="14" t="str">
        <f t="shared" si="10"/>
        <v xml:space="preserve"> 2024 JAN-DEC D70 LICENSE BABY</v>
      </c>
      <c r="B124" s="7">
        <f t="shared" si="12"/>
        <v>46121</v>
      </c>
      <c r="C124" s="7">
        <f t="shared" si="13"/>
        <v>46127</v>
      </c>
      <c r="D124" s="6">
        <v>3284</v>
      </c>
      <c r="E124" s="6">
        <v>338</v>
      </c>
      <c r="F124" s="6">
        <v>4</v>
      </c>
      <c r="G124" s="6">
        <v>4</v>
      </c>
      <c r="H124" s="6">
        <v>81506</v>
      </c>
      <c r="I124" s="6" t="s">
        <v>17</v>
      </c>
      <c r="J124" s="6">
        <v>19068609</v>
      </c>
      <c r="K124" s="6" t="s">
        <v>3665</v>
      </c>
      <c r="L124" s="16" t="s">
        <v>3668</v>
      </c>
      <c r="M124" s="8">
        <v>239900</v>
      </c>
      <c r="N124" s="35">
        <f t="shared" si="11"/>
        <v>0.7</v>
      </c>
      <c r="O124" s="34">
        <f t="shared" si="9"/>
        <v>71970</v>
      </c>
      <c r="P124" s="20" t="s">
        <v>16</v>
      </c>
    </row>
    <row r="125" spans="1:16" x14ac:dyDescent="0.35">
      <c r="A125" s="14" t="str">
        <f t="shared" si="10"/>
        <v xml:space="preserve"> 2024 JAN-DEC D70 LICENSE BABY</v>
      </c>
      <c r="B125" s="7">
        <f t="shared" si="12"/>
        <v>46121</v>
      </c>
      <c r="C125" s="7">
        <f t="shared" si="13"/>
        <v>46127</v>
      </c>
      <c r="D125" s="6">
        <v>3284</v>
      </c>
      <c r="E125" s="6">
        <v>338</v>
      </c>
      <c r="F125" s="6">
        <v>4</v>
      </c>
      <c r="G125" s="6">
        <v>4</v>
      </c>
      <c r="H125" s="6">
        <v>81506</v>
      </c>
      <c r="I125" s="6" t="s">
        <v>17</v>
      </c>
      <c r="J125" s="6">
        <v>19068627</v>
      </c>
      <c r="K125" s="6" t="s">
        <v>3665</v>
      </c>
      <c r="L125" s="16" t="s">
        <v>3669</v>
      </c>
      <c r="M125" s="8">
        <v>239900</v>
      </c>
      <c r="N125" s="35">
        <f t="shared" si="11"/>
        <v>0.7</v>
      </c>
      <c r="O125" s="34">
        <f t="shared" si="9"/>
        <v>71970</v>
      </c>
      <c r="P125" s="20" t="s">
        <v>16</v>
      </c>
    </row>
    <row r="126" spans="1:16" x14ac:dyDescent="0.35">
      <c r="A126" s="14" t="str">
        <f t="shared" si="10"/>
        <v xml:space="preserve"> 2024 JAN-DEC D70 LICENSE BABY</v>
      </c>
      <c r="B126" s="7">
        <f t="shared" ref="B126:B157" si="14">B125</f>
        <v>46121</v>
      </c>
      <c r="C126" s="7">
        <f t="shared" ref="C126:C157" si="15">C125</f>
        <v>46127</v>
      </c>
      <c r="D126" s="6">
        <v>3284</v>
      </c>
      <c r="E126" s="6">
        <v>338</v>
      </c>
      <c r="F126" s="6">
        <v>4</v>
      </c>
      <c r="G126" s="6">
        <v>5</v>
      </c>
      <c r="H126" s="6">
        <v>81146</v>
      </c>
      <c r="I126" s="6" t="s">
        <v>17</v>
      </c>
      <c r="J126" s="6">
        <v>16621604</v>
      </c>
      <c r="K126" s="6" t="s">
        <v>3344</v>
      </c>
      <c r="L126" s="16" t="s">
        <v>3345</v>
      </c>
      <c r="M126" s="8">
        <v>199900</v>
      </c>
      <c r="N126" s="35">
        <f t="shared" si="11"/>
        <v>0.7</v>
      </c>
      <c r="O126" s="34">
        <f t="shared" si="9"/>
        <v>59970</v>
      </c>
      <c r="P126" s="20" t="s">
        <v>16</v>
      </c>
    </row>
    <row r="127" spans="1:16" x14ac:dyDescent="0.35">
      <c r="A127" s="14" t="str">
        <f t="shared" si="10"/>
        <v xml:space="preserve"> 2024 JAN-DEC D70 LICENSE BABY</v>
      </c>
      <c r="B127" s="7">
        <f t="shared" si="14"/>
        <v>46121</v>
      </c>
      <c r="C127" s="7">
        <f t="shared" si="15"/>
        <v>46127</v>
      </c>
      <c r="D127" s="6">
        <v>3284</v>
      </c>
      <c r="E127" s="6">
        <v>338</v>
      </c>
      <c r="F127" s="6">
        <v>4</v>
      </c>
      <c r="G127" s="6">
        <v>5</v>
      </c>
      <c r="H127" s="6">
        <v>81146</v>
      </c>
      <c r="I127" s="6" t="s">
        <v>17</v>
      </c>
      <c r="J127" s="6">
        <v>16621613</v>
      </c>
      <c r="K127" s="6" t="s">
        <v>3344</v>
      </c>
      <c r="L127" s="16" t="s">
        <v>3346</v>
      </c>
      <c r="M127" s="8">
        <v>199900</v>
      </c>
      <c r="N127" s="35">
        <f t="shared" si="11"/>
        <v>0.7</v>
      </c>
      <c r="O127" s="34">
        <f t="shared" si="9"/>
        <v>59970</v>
      </c>
      <c r="P127" s="20" t="s">
        <v>16</v>
      </c>
    </row>
    <row r="128" spans="1:16" x14ac:dyDescent="0.35">
      <c r="A128" s="14" t="str">
        <f t="shared" si="10"/>
        <v xml:space="preserve"> 2024 JAN-DEC D70 LICENSE BABY</v>
      </c>
      <c r="B128" s="7">
        <f t="shared" si="14"/>
        <v>46121</v>
      </c>
      <c r="C128" s="7">
        <f t="shared" si="15"/>
        <v>46127</v>
      </c>
      <c r="D128" s="6">
        <v>3284</v>
      </c>
      <c r="E128" s="6">
        <v>338</v>
      </c>
      <c r="F128" s="6">
        <v>4</v>
      </c>
      <c r="G128" s="6">
        <v>5</v>
      </c>
      <c r="H128" s="6">
        <v>81146</v>
      </c>
      <c r="I128" s="6" t="s">
        <v>17</v>
      </c>
      <c r="J128" s="6">
        <v>16621622</v>
      </c>
      <c r="K128" s="6" t="s">
        <v>3344</v>
      </c>
      <c r="L128" s="16" t="s">
        <v>3347</v>
      </c>
      <c r="M128" s="8">
        <v>199900</v>
      </c>
      <c r="N128" s="35">
        <f t="shared" si="11"/>
        <v>0.7</v>
      </c>
      <c r="O128" s="34">
        <f t="shared" si="9"/>
        <v>59970</v>
      </c>
      <c r="P128" s="20" t="s">
        <v>16</v>
      </c>
    </row>
    <row r="129" spans="1:16" x14ac:dyDescent="0.35">
      <c r="A129" s="14" t="str">
        <f t="shared" si="10"/>
        <v xml:space="preserve"> 2024 JAN-DEC D70 LICENSE BABY</v>
      </c>
      <c r="B129" s="7">
        <f t="shared" si="14"/>
        <v>46121</v>
      </c>
      <c r="C129" s="7">
        <f t="shared" si="15"/>
        <v>46127</v>
      </c>
      <c r="D129" s="6">
        <v>3284</v>
      </c>
      <c r="E129" s="6">
        <v>338</v>
      </c>
      <c r="F129" s="6">
        <v>4</v>
      </c>
      <c r="G129" s="6">
        <v>5</v>
      </c>
      <c r="H129" s="6">
        <v>81146</v>
      </c>
      <c r="I129" s="6" t="s">
        <v>17</v>
      </c>
      <c r="J129" s="6">
        <v>16621631</v>
      </c>
      <c r="K129" s="6" t="s">
        <v>3344</v>
      </c>
      <c r="L129" s="16" t="s">
        <v>3348</v>
      </c>
      <c r="M129" s="8">
        <v>199900</v>
      </c>
      <c r="N129" s="35">
        <f t="shared" si="11"/>
        <v>0.7</v>
      </c>
      <c r="O129" s="34">
        <f t="shared" si="9"/>
        <v>59970</v>
      </c>
      <c r="P129" s="20" t="s">
        <v>16</v>
      </c>
    </row>
    <row r="130" spans="1:16" x14ac:dyDescent="0.35">
      <c r="A130" s="14" t="str">
        <f t="shared" si="10"/>
        <v xml:space="preserve"> 2024 JAN-DEC D70 LICENSE BABY</v>
      </c>
      <c r="B130" s="7">
        <f t="shared" si="14"/>
        <v>46121</v>
      </c>
      <c r="C130" s="7">
        <f t="shared" si="15"/>
        <v>46127</v>
      </c>
      <c r="D130" s="6">
        <v>3284</v>
      </c>
      <c r="E130" s="6">
        <v>338</v>
      </c>
      <c r="F130" s="6">
        <v>4</v>
      </c>
      <c r="G130" s="6">
        <v>5</v>
      </c>
      <c r="H130" s="6">
        <v>81421</v>
      </c>
      <c r="I130" s="6" t="s">
        <v>17</v>
      </c>
      <c r="J130" s="6">
        <v>15617746</v>
      </c>
      <c r="K130" s="6" t="s">
        <v>2986</v>
      </c>
      <c r="L130" s="16" t="s">
        <v>2987</v>
      </c>
      <c r="M130" s="8">
        <v>219900</v>
      </c>
      <c r="N130" s="35">
        <f t="shared" si="11"/>
        <v>0.7</v>
      </c>
      <c r="O130" s="34">
        <f t="shared" si="9"/>
        <v>65970</v>
      </c>
      <c r="P130" s="20" t="s">
        <v>16</v>
      </c>
    </row>
    <row r="131" spans="1:16" x14ac:dyDescent="0.35">
      <c r="A131" s="14" t="str">
        <f t="shared" si="10"/>
        <v xml:space="preserve"> 2024 JAN-DEC D70 LICENSE BABY</v>
      </c>
      <c r="B131" s="7">
        <f t="shared" si="14"/>
        <v>46121</v>
      </c>
      <c r="C131" s="7">
        <f t="shared" si="15"/>
        <v>46127</v>
      </c>
      <c r="D131" s="6">
        <v>3284</v>
      </c>
      <c r="E131" s="6">
        <v>338</v>
      </c>
      <c r="F131" s="6">
        <v>4</v>
      </c>
      <c r="G131" s="6">
        <v>5</v>
      </c>
      <c r="H131" s="6">
        <v>81421</v>
      </c>
      <c r="I131" s="6" t="s">
        <v>17</v>
      </c>
      <c r="J131" s="6">
        <v>15617755</v>
      </c>
      <c r="K131" s="6" t="s">
        <v>2986</v>
      </c>
      <c r="L131" s="16" t="s">
        <v>3349</v>
      </c>
      <c r="M131" s="8">
        <v>219900</v>
      </c>
      <c r="N131" s="35">
        <f t="shared" si="11"/>
        <v>0.7</v>
      </c>
      <c r="O131" s="34">
        <f t="shared" ref="O131:O194" si="16">M131-((70*M131)/100)</f>
        <v>65970</v>
      </c>
      <c r="P131" s="20" t="s">
        <v>16</v>
      </c>
    </row>
    <row r="132" spans="1:16" x14ac:dyDescent="0.35">
      <c r="A132" s="14" t="str">
        <f t="shared" ref="A132:A195" si="17">A131</f>
        <v xml:space="preserve"> 2024 JAN-DEC D70 LICENSE BABY</v>
      </c>
      <c r="B132" s="7">
        <f t="shared" si="14"/>
        <v>46121</v>
      </c>
      <c r="C132" s="7">
        <f t="shared" si="15"/>
        <v>46127</v>
      </c>
      <c r="D132" s="6">
        <v>3284</v>
      </c>
      <c r="E132" s="6">
        <v>338</v>
      </c>
      <c r="F132" s="6">
        <v>4</v>
      </c>
      <c r="G132" s="6">
        <v>5</v>
      </c>
      <c r="H132" s="6">
        <v>81421</v>
      </c>
      <c r="I132" s="6" t="s">
        <v>17</v>
      </c>
      <c r="J132" s="6">
        <v>15617764</v>
      </c>
      <c r="K132" s="6" t="s">
        <v>2986</v>
      </c>
      <c r="L132" s="16" t="s">
        <v>2988</v>
      </c>
      <c r="M132" s="8">
        <v>219900</v>
      </c>
      <c r="N132" s="35">
        <f t="shared" ref="N132:N195" si="18">N131</f>
        <v>0.7</v>
      </c>
      <c r="O132" s="34">
        <f t="shared" si="16"/>
        <v>65970</v>
      </c>
      <c r="P132" s="20" t="s">
        <v>16</v>
      </c>
    </row>
    <row r="133" spans="1:16" x14ac:dyDescent="0.35">
      <c r="A133" s="14" t="str">
        <f t="shared" si="17"/>
        <v xml:space="preserve"> 2024 JAN-DEC D70 LICENSE BABY</v>
      </c>
      <c r="B133" s="7">
        <f t="shared" si="14"/>
        <v>46121</v>
      </c>
      <c r="C133" s="7">
        <f t="shared" si="15"/>
        <v>46127</v>
      </c>
      <c r="D133" s="6">
        <v>3284</v>
      </c>
      <c r="E133" s="6">
        <v>338</v>
      </c>
      <c r="F133" s="6">
        <v>4</v>
      </c>
      <c r="G133" s="6">
        <v>5</v>
      </c>
      <c r="H133" s="6">
        <v>81421</v>
      </c>
      <c r="I133" s="6" t="s">
        <v>17</v>
      </c>
      <c r="J133" s="6">
        <v>15617773</v>
      </c>
      <c r="K133" s="6" t="s">
        <v>2986</v>
      </c>
      <c r="L133" s="16" t="s">
        <v>2989</v>
      </c>
      <c r="M133" s="8">
        <v>219900</v>
      </c>
      <c r="N133" s="35">
        <f t="shared" si="18"/>
        <v>0.7</v>
      </c>
      <c r="O133" s="34">
        <f t="shared" si="16"/>
        <v>65970</v>
      </c>
      <c r="P133" s="20" t="s">
        <v>16</v>
      </c>
    </row>
    <row r="134" spans="1:16" x14ac:dyDescent="0.35">
      <c r="A134" s="14" t="str">
        <f t="shared" si="17"/>
        <v xml:space="preserve"> 2024 JAN-DEC D70 LICENSE BABY</v>
      </c>
      <c r="B134" s="7">
        <f t="shared" si="14"/>
        <v>46121</v>
      </c>
      <c r="C134" s="7">
        <f t="shared" si="15"/>
        <v>46127</v>
      </c>
      <c r="D134" s="6">
        <v>3284</v>
      </c>
      <c r="E134" s="6">
        <v>338</v>
      </c>
      <c r="F134" s="6">
        <v>4</v>
      </c>
      <c r="G134" s="6">
        <v>5</v>
      </c>
      <c r="H134" s="6">
        <v>81421</v>
      </c>
      <c r="I134" s="6" t="s">
        <v>17</v>
      </c>
      <c r="J134" s="6">
        <v>15618147</v>
      </c>
      <c r="K134" s="6" t="s">
        <v>2990</v>
      </c>
      <c r="L134" s="16" t="s">
        <v>2991</v>
      </c>
      <c r="M134" s="8">
        <v>199900</v>
      </c>
      <c r="N134" s="35">
        <f t="shared" si="18"/>
        <v>0.7</v>
      </c>
      <c r="O134" s="34">
        <f t="shared" si="16"/>
        <v>59970</v>
      </c>
      <c r="P134" s="20" t="s">
        <v>16</v>
      </c>
    </row>
    <row r="135" spans="1:16" x14ac:dyDescent="0.35">
      <c r="A135" s="14" t="str">
        <f t="shared" si="17"/>
        <v xml:space="preserve"> 2024 JAN-DEC D70 LICENSE BABY</v>
      </c>
      <c r="B135" s="7">
        <f t="shared" si="14"/>
        <v>46121</v>
      </c>
      <c r="C135" s="7">
        <f t="shared" si="15"/>
        <v>46127</v>
      </c>
      <c r="D135" s="6">
        <v>3284</v>
      </c>
      <c r="E135" s="6">
        <v>338</v>
      </c>
      <c r="F135" s="6">
        <v>4</v>
      </c>
      <c r="G135" s="6">
        <v>5</v>
      </c>
      <c r="H135" s="6">
        <v>81421</v>
      </c>
      <c r="I135" s="6" t="s">
        <v>17</v>
      </c>
      <c r="J135" s="6">
        <v>15618156</v>
      </c>
      <c r="K135" s="6" t="s">
        <v>2990</v>
      </c>
      <c r="L135" s="16" t="s">
        <v>2992</v>
      </c>
      <c r="M135" s="8">
        <v>199900</v>
      </c>
      <c r="N135" s="35">
        <f t="shared" si="18"/>
        <v>0.7</v>
      </c>
      <c r="O135" s="34">
        <f t="shared" si="16"/>
        <v>59970</v>
      </c>
      <c r="P135" s="20" t="s">
        <v>16</v>
      </c>
    </row>
    <row r="136" spans="1:16" x14ac:dyDescent="0.35">
      <c r="A136" s="14" t="str">
        <f t="shared" si="17"/>
        <v xml:space="preserve"> 2024 JAN-DEC D70 LICENSE BABY</v>
      </c>
      <c r="B136" s="7">
        <f t="shared" si="14"/>
        <v>46121</v>
      </c>
      <c r="C136" s="7">
        <f t="shared" si="15"/>
        <v>46127</v>
      </c>
      <c r="D136" s="6">
        <v>3284</v>
      </c>
      <c r="E136" s="6">
        <v>338</v>
      </c>
      <c r="F136" s="6">
        <v>4</v>
      </c>
      <c r="G136" s="6">
        <v>5</v>
      </c>
      <c r="H136" s="6">
        <v>81421</v>
      </c>
      <c r="I136" s="6" t="s">
        <v>17</v>
      </c>
      <c r="J136" s="6">
        <v>15618165</v>
      </c>
      <c r="K136" s="6" t="s">
        <v>2990</v>
      </c>
      <c r="L136" s="16" t="s">
        <v>2993</v>
      </c>
      <c r="M136" s="8">
        <v>199900</v>
      </c>
      <c r="N136" s="35">
        <f t="shared" si="18"/>
        <v>0.7</v>
      </c>
      <c r="O136" s="34">
        <f t="shared" si="16"/>
        <v>59970</v>
      </c>
      <c r="P136" s="20" t="s">
        <v>16</v>
      </c>
    </row>
    <row r="137" spans="1:16" x14ac:dyDescent="0.35">
      <c r="A137" s="14" t="str">
        <f t="shared" si="17"/>
        <v xml:space="preserve"> 2024 JAN-DEC D70 LICENSE BABY</v>
      </c>
      <c r="B137" s="7">
        <f t="shared" si="14"/>
        <v>46121</v>
      </c>
      <c r="C137" s="7">
        <f t="shared" si="15"/>
        <v>46127</v>
      </c>
      <c r="D137" s="6">
        <v>3284</v>
      </c>
      <c r="E137" s="6">
        <v>338</v>
      </c>
      <c r="F137" s="6">
        <v>4</v>
      </c>
      <c r="G137" s="6">
        <v>5</v>
      </c>
      <c r="H137" s="6">
        <v>81421</v>
      </c>
      <c r="I137" s="6" t="s">
        <v>17</v>
      </c>
      <c r="J137" s="6">
        <v>15618174</v>
      </c>
      <c r="K137" s="6" t="s">
        <v>2990</v>
      </c>
      <c r="L137" s="16" t="s">
        <v>2994</v>
      </c>
      <c r="M137" s="8">
        <v>199900</v>
      </c>
      <c r="N137" s="35">
        <f t="shared" si="18"/>
        <v>0.7</v>
      </c>
      <c r="O137" s="34">
        <f t="shared" si="16"/>
        <v>59970</v>
      </c>
      <c r="P137" s="20" t="s">
        <v>16</v>
      </c>
    </row>
    <row r="138" spans="1:16" x14ac:dyDescent="0.35">
      <c r="A138" s="14" t="str">
        <f t="shared" si="17"/>
        <v xml:space="preserve"> 2024 JAN-DEC D70 LICENSE BABY</v>
      </c>
      <c r="B138" s="7">
        <f t="shared" si="14"/>
        <v>46121</v>
      </c>
      <c r="C138" s="7">
        <f t="shared" si="15"/>
        <v>46127</v>
      </c>
      <c r="D138" s="6">
        <v>3284</v>
      </c>
      <c r="E138" s="6">
        <v>338</v>
      </c>
      <c r="F138" s="6">
        <v>4</v>
      </c>
      <c r="G138" s="6">
        <v>5</v>
      </c>
      <c r="H138" s="6">
        <v>80920</v>
      </c>
      <c r="I138" s="6" t="s">
        <v>17</v>
      </c>
      <c r="J138" s="6">
        <v>15617782</v>
      </c>
      <c r="K138" s="6" t="s">
        <v>2995</v>
      </c>
      <c r="L138" s="16" t="s">
        <v>2996</v>
      </c>
      <c r="M138" s="8">
        <v>199900</v>
      </c>
      <c r="N138" s="35">
        <f t="shared" si="18"/>
        <v>0.7</v>
      </c>
      <c r="O138" s="34">
        <f t="shared" si="16"/>
        <v>59970</v>
      </c>
      <c r="P138" s="20" t="s">
        <v>16</v>
      </c>
    </row>
    <row r="139" spans="1:16" x14ac:dyDescent="0.35">
      <c r="A139" s="14" t="str">
        <f t="shared" si="17"/>
        <v xml:space="preserve"> 2024 JAN-DEC D70 LICENSE BABY</v>
      </c>
      <c r="B139" s="7">
        <f t="shared" si="14"/>
        <v>46121</v>
      </c>
      <c r="C139" s="7">
        <f t="shared" si="15"/>
        <v>46127</v>
      </c>
      <c r="D139" s="6">
        <v>3284</v>
      </c>
      <c r="E139" s="6">
        <v>338</v>
      </c>
      <c r="F139" s="6">
        <v>4</v>
      </c>
      <c r="G139" s="6">
        <v>5</v>
      </c>
      <c r="H139" s="6">
        <v>80920</v>
      </c>
      <c r="I139" s="6" t="s">
        <v>17</v>
      </c>
      <c r="J139" s="6">
        <v>15617791</v>
      </c>
      <c r="K139" s="6" t="s">
        <v>2995</v>
      </c>
      <c r="L139" s="16" t="s">
        <v>2997</v>
      </c>
      <c r="M139" s="8">
        <v>199900</v>
      </c>
      <c r="N139" s="35">
        <f t="shared" si="18"/>
        <v>0.7</v>
      </c>
      <c r="O139" s="34">
        <f t="shared" si="16"/>
        <v>59970</v>
      </c>
      <c r="P139" s="20" t="s">
        <v>16</v>
      </c>
    </row>
    <row r="140" spans="1:16" x14ac:dyDescent="0.35">
      <c r="A140" s="14" t="str">
        <f t="shared" si="17"/>
        <v xml:space="preserve"> 2024 JAN-DEC D70 LICENSE BABY</v>
      </c>
      <c r="B140" s="7">
        <f t="shared" si="14"/>
        <v>46121</v>
      </c>
      <c r="C140" s="7">
        <f t="shared" si="15"/>
        <v>46127</v>
      </c>
      <c r="D140" s="6">
        <v>3284</v>
      </c>
      <c r="E140" s="6">
        <v>338</v>
      </c>
      <c r="F140" s="6">
        <v>4</v>
      </c>
      <c r="G140" s="6">
        <v>5</v>
      </c>
      <c r="H140" s="6">
        <v>80920</v>
      </c>
      <c r="I140" s="6" t="s">
        <v>17</v>
      </c>
      <c r="J140" s="6">
        <v>15617808</v>
      </c>
      <c r="K140" s="6" t="s">
        <v>2995</v>
      </c>
      <c r="L140" s="16" t="s">
        <v>2998</v>
      </c>
      <c r="M140" s="8">
        <v>199900</v>
      </c>
      <c r="N140" s="35">
        <f t="shared" si="18"/>
        <v>0.7</v>
      </c>
      <c r="O140" s="34">
        <f t="shared" si="16"/>
        <v>59970</v>
      </c>
      <c r="P140" s="20" t="s">
        <v>16</v>
      </c>
    </row>
    <row r="141" spans="1:16" x14ac:dyDescent="0.35">
      <c r="A141" s="14" t="str">
        <f t="shared" si="17"/>
        <v xml:space="preserve"> 2024 JAN-DEC D70 LICENSE BABY</v>
      </c>
      <c r="B141" s="7">
        <f t="shared" si="14"/>
        <v>46121</v>
      </c>
      <c r="C141" s="7">
        <f t="shared" si="15"/>
        <v>46127</v>
      </c>
      <c r="D141" s="6">
        <v>3284</v>
      </c>
      <c r="E141" s="6">
        <v>338</v>
      </c>
      <c r="F141" s="6">
        <v>4</v>
      </c>
      <c r="G141" s="6">
        <v>5</v>
      </c>
      <c r="H141" s="6">
        <v>80920</v>
      </c>
      <c r="I141" s="6" t="s">
        <v>17</v>
      </c>
      <c r="J141" s="6">
        <v>15617817</v>
      </c>
      <c r="K141" s="6" t="s">
        <v>2995</v>
      </c>
      <c r="L141" s="16" t="s">
        <v>2999</v>
      </c>
      <c r="M141" s="8">
        <v>199900</v>
      </c>
      <c r="N141" s="35">
        <f t="shared" si="18"/>
        <v>0.7</v>
      </c>
      <c r="O141" s="34">
        <f t="shared" si="16"/>
        <v>59970</v>
      </c>
      <c r="P141" s="20" t="s">
        <v>16</v>
      </c>
    </row>
    <row r="142" spans="1:16" x14ac:dyDescent="0.35">
      <c r="A142" s="14" t="str">
        <f t="shared" si="17"/>
        <v xml:space="preserve"> 2024 JAN-DEC D70 LICENSE BABY</v>
      </c>
      <c r="B142" s="7">
        <f t="shared" si="14"/>
        <v>46121</v>
      </c>
      <c r="C142" s="7">
        <f t="shared" si="15"/>
        <v>46127</v>
      </c>
      <c r="D142" s="6">
        <v>3284</v>
      </c>
      <c r="E142" s="6">
        <v>338</v>
      </c>
      <c r="F142" s="6">
        <v>4</v>
      </c>
      <c r="G142" s="6">
        <v>5</v>
      </c>
      <c r="H142" s="6">
        <v>80920</v>
      </c>
      <c r="I142" s="6" t="s">
        <v>17</v>
      </c>
      <c r="J142" s="6">
        <v>15617586</v>
      </c>
      <c r="K142" s="6" t="s">
        <v>3350</v>
      </c>
      <c r="L142" s="16" t="s">
        <v>3351</v>
      </c>
      <c r="M142" s="8">
        <v>199900</v>
      </c>
      <c r="N142" s="35">
        <f t="shared" si="18"/>
        <v>0.7</v>
      </c>
      <c r="O142" s="34">
        <f t="shared" si="16"/>
        <v>59970</v>
      </c>
      <c r="P142" s="20" t="s">
        <v>16</v>
      </c>
    </row>
    <row r="143" spans="1:16" x14ac:dyDescent="0.35">
      <c r="A143" s="14" t="str">
        <f t="shared" si="17"/>
        <v xml:space="preserve"> 2024 JAN-DEC D70 LICENSE BABY</v>
      </c>
      <c r="B143" s="7">
        <f t="shared" si="14"/>
        <v>46121</v>
      </c>
      <c r="C143" s="7">
        <f t="shared" si="15"/>
        <v>46127</v>
      </c>
      <c r="D143" s="6">
        <v>3284</v>
      </c>
      <c r="E143" s="6">
        <v>338</v>
      </c>
      <c r="F143" s="6">
        <v>4</v>
      </c>
      <c r="G143" s="6">
        <v>5</v>
      </c>
      <c r="H143" s="6">
        <v>80920</v>
      </c>
      <c r="I143" s="6" t="s">
        <v>17</v>
      </c>
      <c r="J143" s="6">
        <v>15617595</v>
      </c>
      <c r="K143" s="6" t="s">
        <v>3350</v>
      </c>
      <c r="L143" s="16" t="s">
        <v>3352</v>
      </c>
      <c r="M143" s="8">
        <v>199900</v>
      </c>
      <c r="N143" s="35">
        <f t="shared" si="18"/>
        <v>0.7</v>
      </c>
      <c r="O143" s="34">
        <f t="shared" si="16"/>
        <v>59970</v>
      </c>
      <c r="P143" s="20" t="s">
        <v>16</v>
      </c>
    </row>
    <row r="144" spans="1:16" x14ac:dyDescent="0.35">
      <c r="A144" s="14" t="str">
        <f t="shared" si="17"/>
        <v xml:space="preserve"> 2024 JAN-DEC D70 LICENSE BABY</v>
      </c>
      <c r="B144" s="7">
        <f t="shared" si="14"/>
        <v>46121</v>
      </c>
      <c r="C144" s="7">
        <f t="shared" si="15"/>
        <v>46127</v>
      </c>
      <c r="D144" s="6">
        <v>3284</v>
      </c>
      <c r="E144" s="6">
        <v>338</v>
      </c>
      <c r="F144" s="6">
        <v>4</v>
      </c>
      <c r="G144" s="6">
        <v>5</v>
      </c>
      <c r="H144" s="6">
        <v>80920</v>
      </c>
      <c r="I144" s="6" t="s">
        <v>17</v>
      </c>
      <c r="J144" s="6">
        <v>15617602</v>
      </c>
      <c r="K144" s="6" t="s">
        <v>3350</v>
      </c>
      <c r="L144" s="16" t="s">
        <v>3353</v>
      </c>
      <c r="M144" s="8">
        <v>199900</v>
      </c>
      <c r="N144" s="35">
        <f t="shared" si="18"/>
        <v>0.7</v>
      </c>
      <c r="O144" s="34">
        <f t="shared" si="16"/>
        <v>59970</v>
      </c>
      <c r="P144" s="20" t="s">
        <v>16</v>
      </c>
    </row>
    <row r="145" spans="1:16" x14ac:dyDescent="0.35">
      <c r="A145" s="14" t="str">
        <f t="shared" si="17"/>
        <v xml:space="preserve"> 2024 JAN-DEC D70 LICENSE BABY</v>
      </c>
      <c r="B145" s="7">
        <f t="shared" si="14"/>
        <v>46121</v>
      </c>
      <c r="C145" s="7">
        <f t="shared" si="15"/>
        <v>46127</v>
      </c>
      <c r="D145" s="6">
        <v>3284</v>
      </c>
      <c r="E145" s="6">
        <v>338</v>
      </c>
      <c r="F145" s="6">
        <v>4</v>
      </c>
      <c r="G145" s="6">
        <v>5</v>
      </c>
      <c r="H145" s="6">
        <v>80920</v>
      </c>
      <c r="I145" s="6" t="s">
        <v>17</v>
      </c>
      <c r="J145" s="6">
        <v>15617611</v>
      </c>
      <c r="K145" s="6" t="s">
        <v>3350</v>
      </c>
      <c r="L145" s="16" t="s">
        <v>3354</v>
      </c>
      <c r="M145" s="8">
        <v>199900</v>
      </c>
      <c r="N145" s="35">
        <f t="shared" si="18"/>
        <v>0.7</v>
      </c>
      <c r="O145" s="34">
        <f t="shared" si="16"/>
        <v>59970</v>
      </c>
      <c r="P145" s="20" t="s">
        <v>16</v>
      </c>
    </row>
    <row r="146" spans="1:16" x14ac:dyDescent="0.35">
      <c r="A146" s="14" t="str">
        <f t="shared" si="17"/>
        <v xml:space="preserve"> 2024 JAN-DEC D70 LICENSE BABY</v>
      </c>
      <c r="B146" s="7">
        <f t="shared" si="14"/>
        <v>46121</v>
      </c>
      <c r="C146" s="7">
        <f t="shared" si="15"/>
        <v>46127</v>
      </c>
      <c r="D146" s="6">
        <v>3284</v>
      </c>
      <c r="E146" s="6">
        <v>338</v>
      </c>
      <c r="F146" s="6">
        <v>4</v>
      </c>
      <c r="G146" s="6">
        <v>5</v>
      </c>
      <c r="H146" s="6">
        <v>80920</v>
      </c>
      <c r="I146" s="6" t="s">
        <v>17</v>
      </c>
      <c r="J146" s="6">
        <v>15618101</v>
      </c>
      <c r="K146" s="6" t="s">
        <v>3355</v>
      </c>
      <c r="L146" s="16" t="s">
        <v>3356</v>
      </c>
      <c r="M146" s="8">
        <v>219900</v>
      </c>
      <c r="N146" s="35">
        <f t="shared" si="18"/>
        <v>0.7</v>
      </c>
      <c r="O146" s="34">
        <f t="shared" si="16"/>
        <v>65970</v>
      </c>
      <c r="P146" s="20" t="s">
        <v>16</v>
      </c>
    </row>
    <row r="147" spans="1:16" x14ac:dyDescent="0.35">
      <c r="A147" s="14" t="str">
        <f t="shared" si="17"/>
        <v xml:space="preserve"> 2024 JAN-DEC D70 LICENSE BABY</v>
      </c>
      <c r="B147" s="7">
        <f t="shared" si="14"/>
        <v>46121</v>
      </c>
      <c r="C147" s="7">
        <f t="shared" si="15"/>
        <v>46127</v>
      </c>
      <c r="D147" s="6">
        <v>3284</v>
      </c>
      <c r="E147" s="6">
        <v>338</v>
      </c>
      <c r="F147" s="6">
        <v>4</v>
      </c>
      <c r="G147" s="6">
        <v>5</v>
      </c>
      <c r="H147" s="6">
        <v>80920</v>
      </c>
      <c r="I147" s="6" t="s">
        <v>17</v>
      </c>
      <c r="J147" s="6">
        <v>15618110</v>
      </c>
      <c r="K147" s="6" t="s">
        <v>3355</v>
      </c>
      <c r="L147" s="16" t="s">
        <v>3357</v>
      </c>
      <c r="M147" s="8">
        <v>219900</v>
      </c>
      <c r="N147" s="35">
        <f t="shared" si="18"/>
        <v>0.7</v>
      </c>
      <c r="O147" s="34">
        <f t="shared" si="16"/>
        <v>65970</v>
      </c>
      <c r="P147" s="20" t="s">
        <v>16</v>
      </c>
    </row>
    <row r="148" spans="1:16" x14ac:dyDescent="0.35">
      <c r="A148" s="14" t="str">
        <f t="shared" si="17"/>
        <v xml:space="preserve"> 2024 JAN-DEC D70 LICENSE BABY</v>
      </c>
      <c r="B148" s="7">
        <f t="shared" si="14"/>
        <v>46121</v>
      </c>
      <c r="C148" s="7">
        <f t="shared" si="15"/>
        <v>46127</v>
      </c>
      <c r="D148" s="6">
        <v>3284</v>
      </c>
      <c r="E148" s="6">
        <v>338</v>
      </c>
      <c r="F148" s="6">
        <v>4</v>
      </c>
      <c r="G148" s="6">
        <v>5</v>
      </c>
      <c r="H148" s="6">
        <v>80920</v>
      </c>
      <c r="I148" s="6" t="s">
        <v>17</v>
      </c>
      <c r="J148" s="6">
        <v>15618129</v>
      </c>
      <c r="K148" s="6" t="s">
        <v>3355</v>
      </c>
      <c r="L148" s="16" t="s">
        <v>3358</v>
      </c>
      <c r="M148" s="8">
        <v>219900</v>
      </c>
      <c r="N148" s="35">
        <f t="shared" si="18"/>
        <v>0.7</v>
      </c>
      <c r="O148" s="34">
        <f t="shared" si="16"/>
        <v>65970</v>
      </c>
      <c r="P148" s="20" t="s">
        <v>16</v>
      </c>
    </row>
    <row r="149" spans="1:16" x14ac:dyDescent="0.35">
      <c r="A149" s="14" t="str">
        <f t="shared" si="17"/>
        <v xml:space="preserve"> 2024 JAN-DEC D70 LICENSE BABY</v>
      </c>
      <c r="B149" s="7">
        <f t="shared" si="14"/>
        <v>46121</v>
      </c>
      <c r="C149" s="7">
        <f t="shared" si="15"/>
        <v>46127</v>
      </c>
      <c r="D149" s="6">
        <v>3284</v>
      </c>
      <c r="E149" s="6">
        <v>338</v>
      </c>
      <c r="F149" s="6">
        <v>4</v>
      </c>
      <c r="G149" s="6">
        <v>5</v>
      </c>
      <c r="H149" s="6">
        <v>80920</v>
      </c>
      <c r="I149" s="6" t="s">
        <v>17</v>
      </c>
      <c r="J149" s="6">
        <v>15618138</v>
      </c>
      <c r="K149" s="6" t="s">
        <v>3355</v>
      </c>
      <c r="L149" s="16" t="s">
        <v>3359</v>
      </c>
      <c r="M149" s="8">
        <v>219900</v>
      </c>
      <c r="N149" s="35">
        <f t="shared" si="18"/>
        <v>0.7</v>
      </c>
      <c r="O149" s="34">
        <f t="shared" si="16"/>
        <v>65970</v>
      </c>
      <c r="P149" s="20" t="s">
        <v>16</v>
      </c>
    </row>
    <row r="150" spans="1:16" x14ac:dyDescent="0.35">
      <c r="A150" s="14" t="str">
        <f t="shared" si="17"/>
        <v xml:space="preserve"> 2024 JAN-DEC D70 LICENSE BABY</v>
      </c>
      <c r="B150" s="7">
        <f t="shared" si="14"/>
        <v>46121</v>
      </c>
      <c r="C150" s="7">
        <f t="shared" si="15"/>
        <v>46127</v>
      </c>
      <c r="D150" s="6">
        <v>3284</v>
      </c>
      <c r="E150" s="6">
        <v>338</v>
      </c>
      <c r="F150" s="6">
        <v>4</v>
      </c>
      <c r="G150" s="6">
        <v>5</v>
      </c>
      <c r="H150" s="6">
        <v>81506</v>
      </c>
      <c r="I150" s="6" t="s">
        <v>17</v>
      </c>
      <c r="J150" s="6">
        <v>16621640</v>
      </c>
      <c r="K150" s="6" t="s">
        <v>3360</v>
      </c>
      <c r="L150" s="16" t="s">
        <v>3361</v>
      </c>
      <c r="M150" s="8">
        <v>219900</v>
      </c>
      <c r="N150" s="35">
        <f t="shared" si="18"/>
        <v>0.7</v>
      </c>
      <c r="O150" s="34">
        <f t="shared" si="16"/>
        <v>65970</v>
      </c>
      <c r="P150" s="20" t="s">
        <v>16</v>
      </c>
    </row>
    <row r="151" spans="1:16" x14ac:dyDescent="0.35">
      <c r="A151" s="14" t="str">
        <f t="shared" si="17"/>
        <v xml:space="preserve"> 2024 JAN-DEC D70 LICENSE BABY</v>
      </c>
      <c r="B151" s="7">
        <f t="shared" si="14"/>
        <v>46121</v>
      </c>
      <c r="C151" s="7">
        <f t="shared" si="15"/>
        <v>46127</v>
      </c>
      <c r="D151" s="6">
        <v>3284</v>
      </c>
      <c r="E151" s="6">
        <v>338</v>
      </c>
      <c r="F151" s="6">
        <v>4</v>
      </c>
      <c r="G151" s="6">
        <v>5</v>
      </c>
      <c r="H151" s="6">
        <v>81506</v>
      </c>
      <c r="I151" s="6" t="s">
        <v>17</v>
      </c>
      <c r="J151" s="6">
        <v>16621659</v>
      </c>
      <c r="K151" s="6" t="s">
        <v>3360</v>
      </c>
      <c r="L151" s="16" t="s">
        <v>3362</v>
      </c>
      <c r="M151" s="8">
        <v>219900</v>
      </c>
      <c r="N151" s="35">
        <f t="shared" si="18"/>
        <v>0.7</v>
      </c>
      <c r="O151" s="34">
        <f t="shared" si="16"/>
        <v>65970</v>
      </c>
      <c r="P151" s="20" t="s">
        <v>16</v>
      </c>
    </row>
    <row r="152" spans="1:16" x14ac:dyDescent="0.35">
      <c r="A152" s="14" t="str">
        <f t="shared" si="17"/>
        <v xml:space="preserve"> 2024 JAN-DEC D70 LICENSE BABY</v>
      </c>
      <c r="B152" s="7">
        <f t="shared" si="14"/>
        <v>46121</v>
      </c>
      <c r="C152" s="7">
        <f t="shared" si="15"/>
        <v>46127</v>
      </c>
      <c r="D152" s="6">
        <v>3284</v>
      </c>
      <c r="E152" s="6">
        <v>338</v>
      </c>
      <c r="F152" s="6">
        <v>4</v>
      </c>
      <c r="G152" s="6">
        <v>5</v>
      </c>
      <c r="H152" s="6">
        <v>81506</v>
      </c>
      <c r="I152" s="6" t="s">
        <v>17</v>
      </c>
      <c r="J152" s="6">
        <v>16621668</v>
      </c>
      <c r="K152" s="6" t="s">
        <v>3360</v>
      </c>
      <c r="L152" s="16" t="s">
        <v>3363</v>
      </c>
      <c r="M152" s="8">
        <v>219900</v>
      </c>
      <c r="N152" s="35">
        <f t="shared" si="18"/>
        <v>0.7</v>
      </c>
      <c r="O152" s="34">
        <f t="shared" si="16"/>
        <v>65970</v>
      </c>
      <c r="P152" s="20" t="s">
        <v>16</v>
      </c>
    </row>
    <row r="153" spans="1:16" x14ac:dyDescent="0.35">
      <c r="A153" s="14" t="str">
        <f t="shared" si="17"/>
        <v xml:space="preserve"> 2024 JAN-DEC D70 LICENSE BABY</v>
      </c>
      <c r="B153" s="7">
        <f t="shared" si="14"/>
        <v>46121</v>
      </c>
      <c r="C153" s="7">
        <f t="shared" si="15"/>
        <v>46127</v>
      </c>
      <c r="D153" s="6">
        <v>3284</v>
      </c>
      <c r="E153" s="6">
        <v>338</v>
      </c>
      <c r="F153" s="6">
        <v>4</v>
      </c>
      <c r="G153" s="6">
        <v>5</v>
      </c>
      <c r="H153" s="6">
        <v>81506</v>
      </c>
      <c r="I153" s="6" t="s">
        <v>17</v>
      </c>
      <c r="J153" s="6">
        <v>16621677</v>
      </c>
      <c r="K153" s="6" t="s">
        <v>3360</v>
      </c>
      <c r="L153" s="16" t="s">
        <v>3364</v>
      </c>
      <c r="M153" s="8">
        <v>219900</v>
      </c>
      <c r="N153" s="35">
        <f t="shared" si="18"/>
        <v>0.7</v>
      </c>
      <c r="O153" s="34">
        <f t="shared" si="16"/>
        <v>65970</v>
      </c>
      <c r="P153" s="20" t="s">
        <v>16</v>
      </c>
    </row>
    <row r="154" spans="1:16" x14ac:dyDescent="0.35">
      <c r="A154" s="14" t="str">
        <f t="shared" si="17"/>
        <v xml:space="preserve"> 2024 JAN-DEC D70 LICENSE BABY</v>
      </c>
      <c r="B154" s="7">
        <f t="shared" si="14"/>
        <v>46121</v>
      </c>
      <c r="C154" s="7">
        <f t="shared" si="15"/>
        <v>46127</v>
      </c>
      <c r="D154" s="6">
        <v>3284</v>
      </c>
      <c r="E154" s="6">
        <v>338</v>
      </c>
      <c r="F154" s="6">
        <v>4</v>
      </c>
      <c r="G154" s="6">
        <v>5</v>
      </c>
      <c r="H154" s="6">
        <v>81676</v>
      </c>
      <c r="I154" s="6" t="s">
        <v>17</v>
      </c>
      <c r="J154" s="6">
        <v>15617460</v>
      </c>
      <c r="K154" s="6" t="s">
        <v>3000</v>
      </c>
      <c r="L154" s="16" t="s">
        <v>3001</v>
      </c>
      <c r="M154" s="8">
        <v>199900</v>
      </c>
      <c r="N154" s="35">
        <f t="shared" si="18"/>
        <v>0.7</v>
      </c>
      <c r="O154" s="34">
        <f t="shared" si="16"/>
        <v>59970</v>
      </c>
      <c r="P154" s="20" t="s">
        <v>16</v>
      </c>
    </row>
    <row r="155" spans="1:16" x14ac:dyDescent="0.35">
      <c r="A155" s="14" t="str">
        <f t="shared" si="17"/>
        <v xml:space="preserve"> 2024 JAN-DEC D70 LICENSE BABY</v>
      </c>
      <c r="B155" s="7">
        <f t="shared" si="14"/>
        <v>46121</v>
      </c>
      <c r="C155" s="7">
        <f t="shared" si="15"/>
        <v>46127</v>
      </c>
      <c r="D155" s="6">
        <v>3284</v>
      </c>
      <c r="E155" s="6">
        <v>338</v>
      </c>
      <c r="F155" s="6">
        <v>4</v>
      </c>
      <c r="G155" s="6">
        <v>5</v>
      </c>
      <c r="H155" s="6">
        <v>81676</v>
      </c>
      <c r="I155" s="6" t="s">
        <v>17</v>
      </c>
      <c r="J155" s="6">
        <v>15617479</v>
      </c>
      <c r="K155" s="6" t="s">
        <v>3000</v>
      </c>
      <c r="L155" s="16" t="s">
        <v>3365</v>
      </c>
      <c r="M155" s="8">
        <v>199900</v>
      </c>
      <c r="N155" s="35">
        <f t="shared" si="18"/>
        <v>0.7</v>
      </c>
      <c r="O155" s="34">
        <f t="shared" si="16"/>
        <v>59970</v>
      </c>
      <c r="P155" s="20" t="s">
        <v>16</v>
      </c>
    </row>
    <row r="156" spans="1:16" x14ac:dyDescent="0.35">
      <c r="A156" s="14" t="str">
        <f t="shared" si="17"/>
        <v xml:space="preserve"> 2024 JAN-DEC D70 LICENSE BABY</v>
      </c>
      <c r="B156" s="7">
        <f t="shared" si="14"/>
        <v>46121</v>
      </c>
      <c r="C156" s="7">
        <f t="shared" si="15"/>
        <v>46127</v>
      </c>
      <c r="D156" s="6">
        <v>3284</v>
      </c>
      <c r="E156" s="6">
        <v>338</v>
      </c>
      <c r="F156" s="6">
        <v>4</v>
      </c>
      <c r="G156" s="6">
        <v>5</v>
      </c>
      <c r="H156" s="6">
        <v>81676</v>
      </c>
      <c r="I156" s="6" t="s">
        <v>17</v>
      </c>
      <c r="J156" s="6">
        <v>15617488</v>
      </c>
      <c r="K156" s="6" t="s">
        <v>3000</v>
      </c>
      <c r="L156" s="16" t="s">
        <v>3002</v>
      </c>
      <c r="M156" s="8">
        <v>199900</v>
      </c>
      <c r="N156" s="35">
        <f t="shared" si="18"/>
        <v>0.7</v>
      </c>
      <c r="O156" s="34">
        <f t="shared" si="16"/>
        <v>59970</v>
      </c>
      <c r="P156" s="20" t="s">
        <v>16</v>
      </c>
    </row>
    <row r="157" spans="1:16" x14ac:dyDescent="0.35">
      <c r="A157" s="14" t="str">
        <f t="shared" si="17"/>
        <v xml:space="preserve"> 2024 JAN-DEC D70 LICENSE BABY</v>
      </c>
      <c r="B157" s="7">
        <f t="shared" si="14"/>
        <v>46121</v>
      </c>
      <c r="C157" s="7">
        <f t="shared" si="15"/>
        <v>46127</v>
      </c>
      <c r="D157" s="6">
        <v>3284</v>
      </c>
      <c r="E157" s="6">
        <v>338</v>
      </c>
      <c r="F157" s="6">
        <v>4</v>
      </c>
      <c r="G157" s="6">
        <v>5</v>
      </c>
      <c r="H157" s="6">
        <v>81676</v>
      </c>
      <c r="I157" s="6" t="s">
        <v>17</v>
      </c>
      <c r="J157" s="6">
        <v>15617497</v>
      </c>
      <c r="K157" s="6" t="s">
        <v>3000</v>
      </c>
      <c r="L157" s="16" t="s">
        <v>3003</v>
      </c>
      <c r="M157" s="8">
        <v>199900</v>
      </c>
      <c r="N157" s="35">
        <f t="shared" si="18"/>
        <v>0.7</v>
      </c>
      <c r="O157" s="34">
        <f t="shared" si="16"/>
        <v>59970</v>
      </c>
      <c r="P157" s="20" t="s">
        <v>16</v>
      </c>
    </row>
    <row r="158" spans="1:16" x14ac:dyDescent="0.35">
      <c r="A158" s="14" t="str">
        <f t="shared" si="17"/>
        <v xml:space="preserve"> 2024 JAN-DEC D70 LICENSE BABY</v>
      </c>
      <c r="B158" s="7">
        <f t="shared" ref="B158:B189" si="19">B157</f>
        <v>46121</v>
      </c>
      <c r="C158" s="7">
        <f t="shared" ref="C158:C189" si="20">C157</f>
        <v>46127</v>
      </c>
      <c r="D158" s="6">
        <v>3284</v>
      </c>
      <c r="E158" s="6">
        <v>338</v>
      </c>
      <c r="F158" s="6">
        <v>4</v>
      </c>
      <c r="G158" s="6">
        <v>5</v>
      </c>
      <c r="H158" s="6">
        <v>81676</v>
      </c>
      <c r="I158" s="6" t="s">
        <v>17</v>
      </c>
      <c r="J158" s="6">
        <v>15617540</v>
      </c>
      <c r="K158" s="6" t="s">
        <v>3004</v>
      </c>
      <c r="L158" s="16" t="s">
        <v>3005</v>
      </c>
      <c r="M158" s="8">
        <v>199900</v>
      </c>
      <c r="N158" s="35">
        <f t="shared" si="18"/>
        <v>0.7</v>
      </c>
      <c r="O158" s="34">
        <f t="shared" si="16"/>
        <v>59970</v>
      </c>
      <c r="P158" s="20" t="s">
        <v>16</v>
      </c>
    </row>
    <row r="159" spans="1:16" x14ac:dyDescent="0.35">
      <c r="A159" s="14" t="str">
        <f t="shared" si="17"/>
        <v xml:space="preserve"> 2024 JAN-DEC D70 LICENSE BABY</v>
      </c>
      <c r="B159" s="7">
        <f t="shared" si="19"/>
        <v>46121</v>
      </c>
      <c r="C159" s="7">
        <f t="shared" si="20"/>
        <v>46127</v>
      </c>
      <c r="D159" s="6">
        <v>3284</v>
      </c>
      <c r="E159" s="6">
        <v>338</v>
      </c>
      <c r="F159" s="6">
        <v>4</v>
      </c>
      <c r="G159" s="6">
        <v>5</v>
      </c>
      <c r="H159" s="6">
        <v>81676</v>
      </c>
      <c r="I159" s="6" t="s">
        <v>17</v>
      </c>
      <c r="J159" s="6">
        <v>15617559</v>
      </c>
      <c r="K159" s="6" t="s">
        <v>3004</v>
      </c>
      <c r="L159" s="16" t="s">
        <v>3366</v>
      </c>
      <c r="M159" s="8">
        <v>199900</v>
      </c>
      <c r="N159" s="35">
        <f t="shared" si="18"/>
        <v>0.7</v>
      </c>
      <c r="O159" s="34">
        <f t="shared" si="16"/>
        <v>59970</v>
      </c>
      <c r="P159" s="20" t="s">
        <v>16</v>
      </c>
    </row>
    <row r="160" spans="1:16" x14ac:dyDescent="0.35">
      <c r="A160" s="14" t="str">
        <f t="shared" si="17"/>
        <v xml:space="preserve"> 2024 JAN-DEC D70 LICENSE BABY</v>
      </c>
      <c r="B160" s="7">
        <f t="shared" si="19"/>
        <v>46121</v>
      </c>
      <c r="C160" s="7">
        <f t="shared" si="20"/>
        <v>46127</v>
      </c>
      <c r="D160" s="6">
        <v>3284</v>
      </c>
      <c r="E160" s="6">
        <v>338</v>
      </c>
      <c r="F160" s="6">
        <v>4</v>
      </c>
      <c r="G160" s="6">
        <v>5</v>
      </c>
      <c r="H160" s="6">
        <v>81676</v>
      </c>
      <c r="I160" s="6" t="s">
        <v>17</v>
      </c>
      <c r="J160" s="6">
        <v>15617568</v>
      </c>
      <c r="K160" s="6" t="s">
        <v>3004</v>
      </c>
      <c r="L160" s="16" t="s">
        <v>3006</v>
      </c>
      <c r="M160" s="8">
        <v>199900</v>
      </c>
      <c r="N160" s="35">
        <f t="shared" si="18"/>
        <v>0.7</v>
      </c>
      <c r="O160" s="34">
        <f t="shared" si="16"/>
        <v>59970</v>
      </c>
      <c r="P160" s="20" t="s">
        <v>16</v>
      </c>
    </row>
    <row r="161" spans="1:16" x14ac:dyDescent="0.35">
      <c r="A161" s="14" t="str">
        <f t="shared" si="17"/>
        <v xml:space="preserve"> 2024 JAN-DEC D70 LICENSE BABY</v>
      </c>
      <c r="B161" s="7">
        <f t="shared" si="19"/>
        <v>46121</v>
      </c>
      <c r="C161" s="7">
        <f t="shared" si="20"/>
        <v>46127</v>
      </c>
      <c r="D161" s="6">
        <v>3284</v>
      </c>
      <c r="E161" s="6">
        <v>338</v>
      </c>
      <c r="F161" s="6">
        <v>4</v>
      </c>
      <c r="G161" s="6">
        <v>5</v>
      </c>
      <c r="H161" s="6">
        <v>81676</v>
      </c>
      <c r="I161" s="6" t="s">
        <v>17</v>
      </c>
      <c r="J161" s="6">
        <v>15617577</v>
      </c>
      <c r="K161" s="6" t="s">
        <v>3004</v>
      </c>
      <c r="L161" s="16" t="s">
        <v>3007</v>
      </c>
      <c r="M161" s="8">
        <v>199900</v>
      </c>
      <c r="N161" s="35">
        <f t="shared" si="18"/>
        <v>0.7</v>
      </c>
      <c r="O161" s="34">
        <f t="shared" si="16"/>
        <v>59970</v>
      </c>
      <c r="P161" s="20" t="s">
        <v>16</v>
      </c>
    </row>
    <row r="162" spans="1:16" x14ac:dyDescent="0.35">
      <c r="A162" s="14" t="str">
        <f t="shared" si="17"/>
        <v xml:space="preserve"> 2024 JAN-DEC D70 LICENSE BABY</v>
      </c>
      <c r="B162" s="7">
        <f t="shared" si="19"/>
        <v>46121</v>
      </c>
      <c r="C162" s="7">
        <f t="shared" si="20"/>
        <v>46127</v>
      </c>
      <c r="D162" s="6">
        <v>3284</v>
      </c>
      <c r="E162" s="6">
        <v>338</v>
      </c>
      <c r="F162" s="6">
        <v>4</v>
      </c>
      <c r="G162" s="6">
        <v>5</v>
      </c>
      <c r="H162" s="6">
        <v>81676</v>
      </c>
      <c r="I162" s="6" t="s">
        <v>17</v>
      </c>
      <c r="J162" s="6">
        <v>16621560</v>
      </c>
      <c r="K162" s="6" t="s">
        <v>3367</v>
      </c>
      <c r="L162" s="16" t="s">
        <v>3368</v>
      </c>
      <c r="M162" s="8">
        <v>199900</v>
      </c>
      <c r="N162" s="35">
        <f t="shared" si="18"/>
        <v>0.7</v>
      </c>
      <c r="O162" s="34">
        <f t="shared" si="16"/>
        <v>59970</v>
      </c>
      <c r="P162" s="20" t="s">
        <v>16</v>
      </c>
    </row>
    <row r="163" spans="1:16" x14ac:dyDescent="0.35">
      <c r="A163" s="14" t="str">
        <f t="shared" si="17"/>
        <v xml:space="preserve"> 2024 JAN-DEC D70 LICENSE BABY</v>
      </c>
      <c r="B163" s="7">
        <f t="shared" si="19"/>
        <v>46121</v>
      </c>
      <c r="C163" s="7">
        <f t="shared" si="20"/>
        <v>46127</v>
      </c>
      <c r="D163" s="6">
        <v>3284</v>
      </c>
      <c r="E163" s="6">
        <v>338</v>
      </c>
      <c r="F163" s="6">
        <v>4</v>
      </c>
      <c r="G163" s="6">
        <v>5</v>
      </c>
      <c r="H163" s="6">
        <v>81676</v>
      </c>
      <c r="I163" s="6" t="s">
        <v>17</v>
      </c>
      <c r="J163" s="6">
        <v>16621579</v>
      </c>
      <c r="K163" s="6" t="s">
        <v>3367</v>
      </c>
      <c r="L163" s="16" t="s">
        <v>3369</v>
      </c>
      <c r="M163" s="8">
        <v>199900</v>
      </c>
      <c r="N163" s="35">
        <f t="shared" si="18"/>
        <v>0.7</v>
      </c>
      <c r="O163" s="34">
        <f t="shared" si="16"/>
        <v>59970</v>
      </c>
      <c r="P163" s="20" t="s">
        <v>16</v>
      </c>
    </row>
    <row r="164" spans="1:16" x14ac:dyDescent="0.35">
      <c r="A164" s="14" t="str">
        <f t="shared" si="17"/>
        <v xml:space="preserve"> 2024 JAN-DEC D70 LICENSE BABY</v>
      </c>
      <c r="B164" s="7">
        <f t="shared" si="19"/>
        <v>46121</v>
      </c>
      <c r="C164" s="7">
        <f t="shared" si="20"/>
        <v>46127</v>
      </c>
      <c r="D164" s="6">
        <v>3284</v>
      </c>
      <c r="E164" s="6">
        <v>338</v>
      </c>
      <c r="F164" s="6">
        <v>4</v>
      </c>
      <c r="G164" s="6">
        <v>5</v>
      </c>
      <c r="H164" s="6">
        <v>81676</v>
      </c>
      <c r="I164" s="6" t="s">
        <v>17</v>
      </c>
      <c r="J164" s="6">
        <v>16621588</v>
      </c>
      <c r="K164" s="6" t="s">
        <v>3367</v>
      </c>
      <c r="L164" s="16" t="s">
        <v>3370</v>
      </c>
      <c r="M164" s="8">
        <v>199900</v>
      </c>
      <c r="N164" s="35">
        <f t="shared" si="18"/>
        <v>0.7</v>
      </c>
      <c r="O164" s="34">
        <f t="shared" si="16"/>
        <v>59970</v>
      </c>
      <c r="P164" s="20" t="s">
        <v>16</v>
      </c>
    </row>
    <row r="165" spans="1:16" x14ac:dyDescent="0.35">
      <c r="A165" s="14" t="str">
        <f t="shared" si="17"/>
        <v xml:space="preserve"> 2024 JAN-DEC D70 LICENSE BABY</v>
      </c>
      <c r="B165" s="7">
        <f t="shared" si="19"/>
        <v>46121</v>
      </c>
      <c r="C165" s="7">
        <f t="shared" si="20"/>
        <v>46127</v>
      </c>
      <c r="D165" s="6">
        <v>3284</v>
      </c>
      <c r="E165" s="6">
        <v>338</v>
      </c>
      <c r="F165" s="6">
        <v>4</v>
      </c>
      <c r="G165" s="6">
        <v>5</v>
      </c>
      <c r="H165" s="6">
        <v>81676</v>
      </c>
      <c r="I165" s="6" t="s">
        <v>17</v>
      </c>
      <c r="J165" s="6">
        <v>16621597</v>
      </c>
      <c r="K165" s="6" t="s">
        <v>3367</v>
      </c>
      <c r="L165" s="16" t="s">
        <v>3371</v>
      </c>
      <c r="M165" s="8">
        <v>199900</v>
      </c>
      <c r="N165" s="35">
        <f t="shared" si="18"/>
        <v>0.7</v>
      </c>
      <c r="O165" s="34">
        <f t="shared" si="16"/>
        <v>59970</v>
      </c>
      <c r="P165" s="20" t="s">
        <v>16</v>
      </c>
    </row>
    <row r="166" spans="1:16" x14ac:dyDescent="0.35">
      <c r="A166" s="14" t="str">
        <f t="shared" si="17"/>
        <v xml:space="preserve"> 2024 JAN-DEC D70 LICENSE BABY</v>
      </c>
      <c r="B166" s="7">
        <f t="shared" si="19"/>
        <v>46121</v>
      </c>
      <c r="C166" s="7">
        <f t="shared" si="20"/>
        <v>46127</v>
      </c>
      <c r="D166" s="6">
        <v>3284</v>
      </c>
      <c r="E166" s="6">
        <v>338</v>
      </c>
      <c r="F166" s="6">
        <v>4</v>
      </c>
      <c r="G166" s="6">
        <v>5</v>
      </c>
      <c r="H166" s="6">
        <v>81676</v>
      </c>
      <c r="I166" s="6" t="s">
        <v>17</v>
      </c>
      <c r="J166" s="6">
        <v>17060003</v>
      </c>
      <c r="K166" s="6" t="s">
        <v>3372</v>
      </c>
      <c r="L166" s="16" t="s">
        <v>3373</v>
      </c>
      <c r="M166" s="8">
        <v>199900</v>
      </c>
      <c r="N166" s="35">
        <f t="shared" si="18"/>
        <v>0.7</v>
      </c>
      <c r="O166" s="34">
        <f t="shared" si="16"/>
        <v>59970</v>
      </c>
      <c r="P166" s="20" t="s">
        <v>16</v>
      </c>
    </row>
    <row r="167" spans="1:16" x14ac:dyDescent="0.35">
      <c r="A167" s="14" t="str">
        <f t="shared" si="17"/>
        <v xml:space="preserve"> 2024 JAN-DEC D70 LICENSE BABY</v>
      </c>
      <c r="B167" s="7">
        <f t="shared" si="19"/>
        <v>46121</v>
      </c>
      <c r="C167" s="7">
        <f t="shared" si="20"/>
        <v>46127</v>
      </c>
      <c r="D167" s="6">
        <v>3284</v>
      </c>
      <c r="E167" s="6">
        <v>338</v>
      </c>
      <c r="F167" s="6">
        <v>4</v>
      </c>
      <c r="G167" s="6">
        <v>5</v>
      </c>
      <c r="H167" s="6">
        <v>81676</v>
      </c>
      <c r="I167" s="6" t="s">
        <v>17</v>
      </c>
      <c r="J167" s="6">
        <v>17060012</v>
      </c>
      <c r="K167" s="6" t="s">
        <v>3372</v>
      </c>
      <c r="L167" s="16" t="s">
        <v>3374</v>
      </c>
      <c r="M167" s="8">
        <v>199900</v>
      </c>
      <c r="N167" s="35">
        <f t="shared" si="18"/>
        <v>0.7</v>
      </c>
      <c r="O167" s="34">
        <f t="shared" si="16"/>
        <v>59970</v>
      </c>
      <c r="P167" s="20" t="s">
        <v>16</v>
      </c>
    </row>
    <row r="168" spans="1:16" x14ac:dyDescent="0.35">
      <c r="A168" s="14" t="str">
        <f t="shared" si="17"/>
        <v xml:space="preserve"> 2024 JAN-DEC D70 LICENSE BABY</v>
      </c>
      <c r="B168" s="7">
        <f t="shared" si="19"/>
        <v>46121</v>
      </c>
      <c r="C168" s="7">
        <f t="shared" si="20"/>
        <v>46127</v>
      </c>
      <c r="D168" s="6">
        <v>3284</v>
      </c>
      <c r="E168" s="6">
        <v>338</v>
      </c>
      <c r="F168" s="6">
        <v>4</v>
      </c>
      <c r="G168" s="6">
        <v>5</v>
      </c>
      <c r="H168" s="6">
        <v>81676</v>
      </c>
      <c r="I168" s="6" t="s">
        <v>17</v>
      </c>
      <c r="J168" s="6">
        <v>17060021</v>
      </c>
      <c r="K168" s="6" t="s">
        <v>3372</v>
      </c>
      <c r="L168" s="16" t="s">
        <v>3375</v>
      </c>
      <c r="M168" s="8">
        <v>199900</v>
      </c>
      <c r="N168" s="35">
        <f t="shared" si="18"/>
        <v>0.7</v>
      </c>
      <c r="O168" s="34">
        <f t="shared" si="16"/>
        <v>59970</v>
      </c>
      <c r="P168" s="20" t="s">
        <v>16</v>
      </c>
    </row>
    <row r="169" spans="1:16" x14ac:dyDescent="0.35">
      <c r="A169" s="14" t="str">
        <f t="shared" si="17"/>
        <v xml:space="preserve"> 2024 JAN-DEC D70 LICENSE BABY</v>
      </c>
      <c r="B169" s="7">
        <f t="shared" si="19"/>
        <v>46121</v>
      </c>
      <c r="C169" s="7">
        <f t="shared" si="20"/>
        <v>46127</v>
      </c>
      <c r="D169" s="6">
        <v>3284</v>
      </c>
      <c r="E169" s="6">
        <v>338</v>
      </c>
      <c r="F169" s="6">
        <v>4</v>
      </c>
      <c r="G169" s="6">
        <v>5</v>
      </c>
      <c r="H169" s="6">
        <v>81676</v>
      </c>
      <c r="I169" s="6" t="s">
        <v>17</v>
      </c>
      <c r="J169" s="6">
        <v>17060030</v>
      </c>
      <c r="K169" s="6" t="s">
        <v>3372</v>
      </c>
      <c r="L169" s="16" t="s">
        <v>3376</v>
      </c>
      <c r="M169" s="8">
        <v>199900</v>
      </c>
      <c r="N169" s="35">
        <f t="shared" si="18"/>
        <v>0.7</v>
      </c>
      <c r="O169" s="34">
        <f t="shared" si="16"/>
        <v>59970</v>
      </c>
      <c r="P169" s="20" t="s">
        <v>16</v>
      </c>
    </row>
    <row r="170" spans="1:16" x14ac:dyDescent="0.35">
      <c r="A170" s="14" t="str">
        <f t="shared" si="17"/>
        <v xml:space="preserve"> 2024 JAN-DEC D70 LICENSE BABY</v>
      </c>
      <c r="B170" s="7">
        <f t="shared" si="19"/>
        <v>46121</v>
      </c>
      <c r="C170" s="7">
        <f t="shared" si="20"/>
        <v>46127</v>
      </c>
      <c r="D170" s="6">
        <v>3284</v>
      </c>
      <c r="E170" s="6">
        <v>338</v>
      </c>
      <c r="F170" s="6">
        <v>4</v>
      </c>
      <c r="G170" s="6">
        <v>7</v>
      </c>
      <c r="H170" s="6">
        <v>81676</v>
      </c>
      <c r="I170" s="6" t="s">
        <v>17</v>
      </c>
      <c r="J170" s="6">
        <v>15743403</v>
      </c>
      <c r="K170" s="6" t="s">
        <v>3008</v>
      </c>
      <c r="L170" s="16" t="s">
        <v>3009</v>
      </c>
      <c r="M170" s="8">
        <v>99900</v>
      </c>
      <c r="N170" s="35">
        <f t="shared" si="18"/>
        <v>0.7</v>
      </c>
      <c r="O170" s="34">
        <f t="shared" si="16"/>
        <v>29970</v>
      </c>
      <c r="P170" s="20" t="s">
        <v>16</v>
      </c>
    </row>
    <row r="171" spans="1:16" x14ac:dyDescent="0.35">
      <c r="A171" s="14" t="str">
        <f t="shared" si="17"/>
        <v xml:space="preserve"> 2024 JAN-DEC D70 LICENSE BABY</v>
      </c>
      <c r="B171" s="7">
        <f t="shared" si="19"/>
        <v>46121</v>
      </c>
      <c r="C171" s="7">
        <f t="shared" si="20"/>
        <v>46127</v>
      </c>
      <c r="D171" s="6">
        <v>3284</v>
      </c>
      <c r="E171" s="6">
        <v>338</v>
      </c>
      <c r="F171" s="6">
        <v>4</v>
      </c>
      <c r="G171" s="6">
        <v>7</v>
      </c>
      <c r="H171" s="6">
        <v>81676</v>
      </c>
      <c r="I171" s="6" t="s">
        <v>17</v>
      </c>
      <c r="J171" s="6">
        <v>15743421</v>
      </c>
      <c r="K171" s="6" t="s">
        <v>3008</v>
      </c>
      <c r="L171" s="16" t="s">
        <v>3377</v>
      </c>
      <c r="M171" s="8">
        <v>99900</v>
      </c>
      <c r="N171" s="35">
        <f t="shared" si="18"/>
        <v>0.7</v>
      </c>
      <c r="O171" s="34">
        <f t="shared" si="16"/>
        <v>29970</v>
      </c>
      <c r="P171" s="20" t="s">
        <v>16</v>
      </c>
    </row>
    <row r="172" spans="1:16" x14ac:dyDescent="0.35">
      <c r="A172" s="14" t="str">
        <f t="shared" si="17"/>
        <v xml:space="preserve"> 2024 JAN-DEC D70 LICENSE BABY</v>
      </c>
      <c r="B172" s="7">
        <f t="shared" si="19"/>
        <v>46121</v>
      </c>
      <c r="C172" s="7">
        <f t="shared" si="20"/>
        <v>46127</v>
      </c>
      <c r="D172" s="6">
        <v>3284</v>
      </c>
      <c r="E172" s="6">
        <v>338</v>
      </c>
      <c r="F172" s="6">
        <v>4</v>
      </c>
      <c r="G172" s="6">
        <v>7</v>
      </c>
      <c r="H172" s="6">
        <v>81676</v>
      </c>
      <c r="I172" s="6" t="s">
        <v>17</v>
      </c>
      <c r="J172" s="6">
        <v>15743430</v>
      </c>
      <c r="K172" s="6" t="s">
        <v>3008</v>
      </c>
      <c r="L172" s="16" t="s">
        <v>3010</v>
      </c>
      <c r="M172" s="8">
        <v>99900</v>
      </c>
      <c r="N172" s="35">
        <f t="shared" si="18"/>
        <v>0.7</v>
      </c>
      <c r="O172" s="34">
        <f t="shared" si="16"/>
        <v>29970</v>
      </c>
      <c r="P172" s="20" t="s">
        <v>16</v>
      </c>
    </row>
    <row r="173" spans="1:16" x14ac:dyDescent="0.35">
      <c r="A173" s="14" t="str">
        <f t="shared" si="17"/>
        <v xml:space="preserve"> 2024 JAN-DEC D70 LICENSE BABY</v>
      </c>
      <c r="B173" s="7">
        <f t="shared" si="19"/>
        <v>46121</v>
      </c>
      <c r="C173" s="7">
        <f t="shared" si="20"/>
        <v>46127</v>
      </c>
      <c r="D173" s="6">
        <v>3284</v>
      </c>
      <c r="E173" s="6">
        <v>338</v>
      </c>
      <c r="F173" s="6">
        <v>4</v>
      </c>
      <c r="G173" s="6">
        <v>7</v>
      </c>
      <c r="H173" s="6">
        <v>81676</v>
      </c>
      <c r="I173" s="6" t="s">
        <v>17</v>
      </c>
      <c r="J173" s="6">
        <v>15743449</v>
      </c>
      <c r="K173" s="6" t="s">
        <v>3008</v>
      </c>
      <c r="L173" s="16" t="s">
        <v>3011</v>
      </c>
      <c r="M173" s="8">
        <v>99900</v>
      </c>
      <c r="N173" s="35">
        <f t="shared" si="18"/>
        <v>0.7</v>
      </c>
      <c r="O173" s="34">
        <f t="shared" si="16"/>
        <v>29970</v>
      </c>
      <c r="P173" s="20" t="s">
        <v>16</v>
      </c>
    </row>
    <row r="174" spans="1:16" x14ac:dyDescent="0.35">
      <c r="A174" s="14" t="str">
        <f t="shared" si="17"/>
        <v xml:space="preserve"> 2024 JAN-DEC D70 LICENSE BABY</v>
      </c>
      <c r="B174" s="7">
        <f t="shared" si="19"/>
        <v>46121</v>
      </c>
      <c r="C174" s="7">
        <f t="shared" si="20"/>
        <v>46127</v>
      </c>
      <c r="D174" s="6">
        <v>3284</v>
      </c>
      <c r="E174" s="6">
        <v>338</v>
      </c>
      <c r="F174" s="6">
        <v>4</v>
      </c>
      <c r="G174" s="6">
        <v>7</v>
      </c>
      <c r="H174" s="6">
        <v>81676</v>
      </c>
      <c r="I174" s="6" t="s">
        <v>17</v>
      </c>
      <c r="J174" s="6">
        <v>15743494</v>
      </c>
      <c r="K174" s="6" t="s">
        <v>3012</v>
      </c>
      <c r="L174" s="16" t="s">
        <v>3013</v>
      </c>
      <c r="M174" s="8">
        <v>169900</v>
      </c>
      <c r="N174" s="35">
        <f t="shared" si="18"/>
        <v>0.7</v>
      </c>
      <c r="O174" s="34">
        <f t="shared" si="16"/>
        <v>50970</v>
      </c>
      <c r="P174" s="20" t="s">
        <v>16</v>
      </c>
    </row>
    <row r="175" spans="1:16" x14ac:dyDescent="0.35">
      <c r="A175" s="14" t="str">
        <f t="shared" si="17"/>
        <v xml:space="preserve"> 2024 JAN-DEC D70 LICENSE BABY</v>
      </c>
      <c r="B175" s="7">
        <f t="shared" si="19"/>
        <v>46121</v>
      </c>
      <c r="C175" s="7">
        <f t="shared" si="20"/>
        <v>46127</v>
      </c>
      <c r="D175" s="6">
        <v>3284</v>
      </c>
      <c r="E175" s="6">
        <v>338</v>
      </c>
      <c r="F175" s="6">
        <v>4</v>
      </c>
      <c r="G175" s="6">
        <v>7</v>
      </c>
      <c r="H175" s="6">
        <v>81676</v>
      </c>
      <c r="I175" s="6" t="s">
        <v>17</v>
      </c>
      <c r="J175" s="6">
        <v>15743501</v>
      </c>
      <c r="K175" s="6" t="s">
        <v>3012</v>
      </c>
      <c r="L175" s="16" t="s">
        <v>3383</v>
      </c>
      <c r="M175" s="8">
        <v>169900</v>
      </c>
      <c r="N175" s="35">
        <f t="shared" si="18"/>
        <v>0.7</v>
      </c>
      <c r="O175" s="34">
        <f t="shared" si="16"/>
        <v>50970</v>
      </c>
      <c r="P175" s="20" t="s">
        <v>16</v>
      </c>
    </row>
    <row r="176" spans="1:16" x14ac:dyDescent="0.35">
      <c r="A176" s="14" t="str">
        <f t="shared" si="17"/>
        <v xml:space="preserve"> 2024 JAN-DEC D70 LICENSE BABY</v>
      </c>
      <c r="B176" s="7">
        <f t="shared" si="19"/>
        <v>46121</v>
      </c>
      <c r="C176" s="7">
        <f t="shared" si="20"/>
        <v>46127</v>
      </c>
      <c r="D176" s="6">
        <v>3284</v>
      </c>
      <c r="E176" s="6">
        <v>338</v>
      </c>
      <c r="F176" s="6">
        <v>4</v>
      </c>
      <c r="G176" s="6">
        <v>7</v>
      </c>
      <c r="H176" s="6">
        <v>81676</v>
      </c>
      <c r="I176" s="6" t="s">
        <v>17</v>
      </c>
      <c r="J176" s="6">
        <v>15743510</v>
      </c>
      <c r="K176" s="6" t="s">
        <v>3012</v>
      </c>
      <c r="L176" s="16" t="s">
        <v>3014</v>
      </c>
      <c r="M176" s="8">
        <v>169900</v>
      </c>
      <c r="N176" s="35">
        <f t="shared" si="18"/>
        <v>0.7</v>
      </c>
      <c r="O176" s="34">
        <f t="shared" si="16"/>
        <v>50970</v>
      </c>
      <c r="P176" s="20" t="s">
        <v>16</v>
      </c>
    </row>
    <row r="177" spans="1:16" x14ac:dyDescent="0.35">
      <c r="A177" s="14" t="str">
        <f t="shared" si="17"/>
        <v xml:space="preserve"> 2024 JAN-DEC D70 LICENSE BABY</v>
      </c>
      <c r="B177" s="7">
        <f t="shared" si="19"/>
        <v>46121</v>
      </c>
      <c r="C177" s="7">
        <f t="shared" si="20"/>
        <v>46127</v>
      </c>
      <c r="D177" s="6">
        <v>3284</v>
      </c>
      <c r="E177" s="6">
        <v>338</v>
      </c>
      <c r="F177" s="6">
        <v>4</v>
      </c>
      <c r="G177" s="6">
        <v>7</v>
      </c>
      <c r="H177" s="6">
        <v>81676</v>
      </c>
      <c r="I177" s="6" t="s">
        <v>17</v>
      </c>
      <c r="J177" s="6">
        <v>15743529</v>
      </c>
      <c r="K177" s="6" t="s">
        <v>3012</v>
      </c>
      <c r="L177" s="16" t="s">
        <v>3015</v>
      </c>
      <c r="M177" s="8">
        <v>169900</v>
      </c>
      <c r="N177" s="35">
        <f t="shared" si="18"/>
        <v>0.7</v>
      </c>
      <c r="O177" s="34">
        <f t="shared" si="16"/>
        <v>50970</v>
      </c>
      <c r="P177" s="20" t="s">
        <v>16</v>
      </c>
    </row>
    <row r="178" spans="1:16" x14ac:dyDescent="0.35">
      <c r="A178" s="14" t="str">
        <f t="shared" si="17"/>
        <v xml:space="preserve"> 2024 JAN-DEC D70 LICENSE BABY</v>
      </c>
      <c r="B178" s="7">
        <f t="shared" si="19"/>
        <v>46121</v>
      </c>
      <c r="C178" s="7">
        <f t="shared" si="20"/>
        <v>46127</v>
      </c>
      <c r="D178" s="6">
        <v>3284</v>
      </c>
      <c r="E178" s="6">
        <v>338</v>
      </c>
      <c r="F178" s="6">
        <v>4</v>
      </c>
      <c r="G178" s="6">
        <v>7</v>
      </c>
      <c r="H178" s="6">
        <v>81676</v>
      </c>
      <c r="I178" s="6" t="s">
        <v>17</v>
      </c>
      <c r="J178" s="6">
        <v>15743458</v>
      </c>
      <c r="K178" s="6" t="s">
        <v>3378</v>
      </c>
      <c r="L178" s="16" t="s">
        <v>3379</v>
      </c>
      <c r="M178" s="8">
        <v>199900</v>
      </c>
      <c r="N178" s="35">
        <f t="shared" si="18"/>
        <v>0.7</v>
      </c>
      <c r="O178" s="34">
        <f t="shared" si="16"/>
        <v>59970</v>
      </c>
      <c r="P178" s="20" t="s">
        <v>16</v>
      </c>
    </row>
    <row r="179" spans="1:16" x14ac:dyDescent="0.35">
      <c r="A179" s="14" t="str">
        <f t="shared" si="17"/>
        <v xml:space="preserve"> 2024 JAN-DEC D70 LICENSE BABY</v>
      </c>
      <c r="B179" s="7">
        <f t="shared" si="19"/>
        <v>46121</v>
      </c>
      <c r="C179" s="7">
        <f t="shared" si="20"/>
        <v>46127</v>
      </c>
      <c r="D179" s="6">
        <v>3284</v>
      </c>
      <c r="E179" s="6">
        <v>338</v>
      </c>
      <c r="F179" s="6">
        <v>4</v>
      </c>
      <c r="G179" s="6">
        <v>7</v>
      </c>
      <c r="H179" s="6">
        <v>81676</v>
      </c>
      <c r="I179" s="6" t="s">
        <v>17</v>
      </c>
      <c r="J179" s="6">
        <v>15743467</v>
      </c>
      <c r="K179" s="6" t="s">
        <v>3378</v>
      </c>
      <c r="L179" s="16" t="s">
        <v>3380</v>
      </c>
      <c r="M179" s="8">
        <v>199900</v>
      </c>
      <c r="N179" s="35">
        <f t="shared" si="18"/>
        <v>0.7</v>
      </c>
      <c r="O179" s="34">
        <f t="shared" si="16"/>
        <v>59970</v>
      </c>
      <c r="P179" s="20" t="s">
        <v>16</v>
      </c>
    </row>
    <row r="180" spans="1:16" x14ac:dyDescent="0.35">
      <c r="A180" s="14" t="str">
        <f t="shared" si="17"/>
        <v xml:space="preserve"> 2024 JAN-DEC D70 LICENSE BABY</v>
      </c>
      <c r="B180" s="7">
        <f t="shared" si="19"/>
        <v>46121</v>
      </c>
      <c r="C180" s="7">
        <f t="shared" si="20"/>
        <v>46127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15743476</v>
      </c>
      <c r="K180" s="6" t="s">
        <v>3378</v>
      </c>
      <c r="L180" s="16" t="s">
        <v>3381</v>
      </c>
      <c r="M180" s="8">
        <v>199900</v>
      </c>
      <c r="N180" s="35">
        <f t="shared" si="18"/>
        <v>0.7</v>
      </c>
      <c r="O180" s="34">
        <f t="shared" si="16"/>
        <v>59970</v>
      </c>
      <c r="P180" s="20" t="s">
        <v>16</v>
      </c>
    </row>
    <row r="181" spans="1:16" x14ac:dyDescent="0.35">
      <c r="A181" s="14" t="str">
        <f t="shared" si="17"/>
        <v xml:space="preserve"> 2024 JAN-DEC D70 LICENSE BABY</v>
      </c>
      <c r="B181" s="7">
        <f t="shared" si="19"/>
        <v>46121</v>
      </c>
      <c r="C181" s="7">
        <f t="shared" si="20"/>
        <v>46127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15743485</v>
      </c>
      <c r="K181" s="6" t="s">
        <v>3378</v>
      </c>
      <c r="L181" s="16" t="s">
        <v>3382</v>
      </c>
      <c r="M181" s="8">
        <v>199900</v>
      </c>
      <c r="N181" s="35">
        <f t="shared" si="18"/>
        <v>0.7</v>
      </c>
      <c r="O181" s="34">
        <f t="shared" si="16"/>
        <v>59970</v>
      </c>
      <c r="P181" s="20" t="s">
        <v>16</v>
      </c>
    </row>
    <row r="182" spans="1:16" x14ac:dyDescent="0.35">
      <c r="A182" s="14" t="str">
        <f t="shared" si="17"/>
        <v xml:space="preserve"> 2024 JAN-DEC D70 LICENSE BABY</v>
      </c>
      <c r="B182" s="7">
        <f t="shared" si="19"/>
        <v>46121</v>
      </c>
      <c r="C182" s="7">
        <f t="shared" si="20"/>
        <v>46127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15743538</v>
      </c>
      <c r="K182" s="6" t="s">
        <v>3384</v>
      </c>
      <c r="L182" s="16" t="s">
        <v>3385</v>
      </c>
      <c r="M182" s="8">
        <v>199900</v>
      </c>
      <c r="N182" s="35">
        <f t="shared" si="18"/>
        <v>0.7</v>
      </c>
      <c r="O182" s="34">
        <f t="shared" si="16"/>
        <v>59970</v>
      </c>
      <c r="P182" s="20" t="s">
        <v>16</v>
      </c>
    </row>
    <row r="183" spans="1:16" x14ac:dyDescent="0.35">
      <c r="A183" s="14" t="str">
        <f t="shared" si="17"/>
        <v xml:space="preserve"> 2024 JAN-DEC D70 LICENSE BABY</v>
      </c>
      <c r="B183" s="7">
        <f t="shared" si="19"/>
        <v>46121</v>
      </c>
      <c r="C183" s="7">
        <f t="shared" si="20"/>
        <v>46127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15743547</v>
      </c>
      <c r="K183" s="6" t="s">
        <v>3384</v>
      </c>
      <c r="L183" s="16" t="s">
        <v>3386</v>
      </c>
      <c r="M183" s="8">
        <v>199900</v>
      </c>
      <c r="N183" s="35">
        <f t="shared" si="18"/>
        <v>0.7</v>
      </c>
      <c r="O183" s="34">
        <f t="shared" si="16"/>
        <v>59970</v>
      </c>
      <c r="P183" s="20" t="s">
        <v>16</v>
      </c>
    </row>
    <row r="184" spans="1:16" x14ac:dyDescent="0.35">
      <c r="A184" s="14" t="str">
        <f t="shared" si="17"/>
        <v xml:space="preserve"> 2024 JAN-DEC D70 LICENSE BABY</v>
      </c>
      <c r="B184" s="7">
        <f t="shared" si="19"/>
        <v>46121</v>
      </c>
      <c r="C184" s="7">
        <f t="shared" si="20"/>
        <v>46127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15743556</v>
      </c>
      <c r="K184" s="6" t="s">
        <v>3384</v>
      </c>
      <c r="L184" s="16" t="s">
        <v>3387</v>
      </c>
      <c r="M184" s="8">
        <v>199900</v>
      </c>
      <c r="N184" s="35">
        <f t="shared" si="18"/>
        <v>0.7</v>
      </c>
      <c r="O184" s="34">
        <f t="shared" si="16"/>
        <v>59970</v>
      </c>
      <c r="P184" s="20" t="s">
        <v>16</v>
      </c>
    </row>
    <row r="185" spans="1:16" x14ac:dyDescent="0.35">
      <c r="A185" s="14" t="str">
        <f t="shared" si="17"/>
        <v xml:space="preserve"> 2024 JAN-DEC D70 LICENSE BABY</v>
      </c>
      <c r="B185" s="7">
        <f t="shared" si="19"/>
        <v>46121</v>
      </c>
      <c r="C185" s="7">
        <f t="shared" si="20"/>
        <v>46127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15743565</v>
      </c>
      <c r="K185" s="6" t="s">
        <v>3384</v>
      </c>
      <c r="L185" s="16" t="s">
        <v>3388</v>
      </c>
      <c r="M185" s="8">
        <v>199900</v>
      </c>
      <c r="N185" s="35">
        <f t="shared" si="18"/>
        <v>0.7</v>
      </c>
      <c r="O185" s="34">
        <f t="shared" si="16"/>
        <v>59970</v>
      </c>
      <c r="P185" s="20" t="s">
        <v>16</v>
      </c>
    </row>
    <row r="186" spans="1:16" x14ac:dyDescent="0.35">
      <c r="A186" s="14" t="str">
        <f t="shared" si="17"/>
        <v xml:space="preserve"> 2024 JAN-DEC D70 LICENSE BABY</v>
      </c>
      <c r="B186" s="7">
        <f t="shared" si="19"/>
        <v>46121</v>
      </c>
      <c r="C186" s="7">
        <f t="shared" si="20"/>
        <v>46127</v>
      </c>
      <c r="D186" s="6">
        <v>3284</v>
      </c>
      <c r="E186" s="6">
        <v>338</v>
      </c>
      <c r="F186" s="6">
        <v>4</v>
      </c>
      <c r="G186" s="6">
        <v>8</v>
      </c>
      <c r="H186" s="6">
        <v>80942</v>
      </c>
      <c r="I186" s="6" t="s">
        <v>17</v>
      </c>
      <c r="J186" s="6">
        <v>18358253</v>
      </c>
      <c r="K186" s="6" t="s">
        <v>5183</v>
      </c>
      <c r="L186" s="16" t="s">
        <v>5184</v>
      </c>
      <c r="M186" s="8">
        <v>189900</v>
      </c>
      <c r="N186" s="35">
        <f t="shared" si="18"/>
        <v>0.7</v>
      </c>
      <c r="O186" s="34">
        <f t="shared" si="16"/>
        <v>56970</v>
      </c>
      <c r="P186" s="20" t="s">
        <v>16</v>
      </c>
    </row>
    <row r="187" spans="1:16" x14ac:dyDescent="0.35">
      <c r="A187" s="14" t="str">
        <f t="shared" si="17"/>
        <v xml:space="preserve"> 2024 JAN-DEC D70 LICENSE BABY</v>
      </c>
      <c r="B187" s="7">
        <f t="shared" si="19"/>
        <v>46121</v>
      </c>
      <c r="C187" s="7">
        <f t="shared" si="20"/>
        <v>46127</v>
      </c>
      <c r="D187" s="6">
        <v>3284</v>
      </c>
      <c r="E187" s="6">
        <v>338</v>
      </c>
      <c r="F187" s="6">
        <v>4</v>
      </c>
      <c r="G187" s="6">
        <v>8</v>
      </c>
      <c r="H187" s="6">
        <v>80942</v>
      </c>
      <c r="I187" s="6" t="s">
        <v>17</v>
      </c>
      <c r="J187" s="6">
        <v>18358262</v>
      </c>
      <c r="K187" s="6" t="s">
        <v>5183</v>
      </c>
      <c r="L187" s="16" t="s">
        <v>5185</v>
      </c>
      <c r="M187" s="8">
        <v>189900</v>
      </c>
      <c r="N187" s="35">
        <f t="shared" si="18"/>
        <v>0.7</v>
      </c>
      <c r="O187" s="34">
        <f t="shared" si="16"/>
        <v>56970</v>
      </c>
      <c r="P187" s="20" t="s">
        <v>16</v>
      </c>
    </row>
    <row r="188" spans="1:16" x14ac:dyDescent="0.35">
      <c r="A188" s="14" t="str">
        <f t="shared" si="17"/>
        <v xml:space="preserve"> 2024 JAN-DEC D70 LICENSE BABY</v>
      </c>
      <c r="B188" s="7">
        <f t="shared" si="19"/>
        <v>46121</v>
      </c>
      <c r="C188" s="7">
        <f t="shared" si="20"/>
        <v>46127</v>
      </c>
      <c r="D188" s="6">
        <v>3284</v>
      </c>
      <c r="E188" s="6">
        <v>338</v>
      </c>
      <c r="F188" s="6">
        <v>4</v>
      </c>
      <c r="G188" s="6">
        <v>8</v>
      </c>
      <c r="H188" s="6">
        <v>80942</v>
      </c>
      <c r="I188" s="6" t="s">
        <v>17</v>
      </c>
      <c r="J188" s="6">
        <v>18358271</v>
      </c>
      <c r="K188" s="6" t="s">
        <v>5183</v>
      </c>
      <c r="L188" s="16" t="s">
        <v>5186</v>
      </c>
      <c r="M188" s="8">
        <v>189900</v>
      </c>
      <c r="N188" s="35">
        <f t="shared" si="18"/>
        <v>0.7</v>
      </c>
      <c r="O188" s="34">
        <f t="shared" si="16"/>
        <v>56970</v>
      </c>
      <c r="P188" s="20" t="s">
        <v>16</v>
      </c>
    </row>
    <row r="189" spans="1:16" x14ac:dyDescent="0.35">
      <c r="A189" s="14" t="str">
        <f t="shared" si="17"/>
        <v xml:space="preserve"> 2024 JAN-DEC D70 LICENSE BABY</v>
      </c>
      <c r="B189" s="7">
        <f t="shared" si="19"/>
        <v>46121</v>
      </c>
      <c r="C189" s="7">
        <f t="shared" si="20"/>
        <v>46127</v>
      </c>
      <c r="D189" s="6">
        <v>3284</v>
      </c>
      <c r="E189" s="6">
        <v>338</v>
      </c>
      <c r="F189" s="6">
        <v>4</v>
      </c>
      <c r="G189" s="6">
        <v>8</v>
      </c>
      <c r="H189" s="6">
        <v>80942</v>
      </c>
      <c r="I189" s="6" t="s">
        <v>17</v>
      </c>
      <c r="J189" s="6">
        <v>18358299</v>
      </c>
      <c r="K189" s="6" t="s">
        <v>5183</v>
      </c>
      <c r="L189" s="16" t="s">
        <v>5187</v>
      </c>
      <c r="M189" s="8">
        <v>189900</v>
      </c>
      <c r="N189" s="35">
        <f t="shared" si="18"/>
        <v>0.7</v>
      </c>
      <c r="O189" s="34">
        <f t="shared" si="16"/>
        <v>56970</v>
      </c>
      <c r="P189" s="20" t="s">
        <v>16</v>
      </c>
    </row>
    <row r="190" spans="1:16" x14ac:dyDescent="0.35">
      <c r="A190" s="14" t="str">
        <f t="shared" si="17"/>
        <v xml:space="preserve"> 2024 JAN-DEC D70 LICENSE BABY</v>
      </c>
      <c r="B190" s="7">
        <f t="shared" ref="B190:B205" si="21">B189</f>
        <v>46121</v>
      </c>
      <c r="C190" s="7">
        <f t="shared" ref="C190:C205" si="22">C189</f>
        <v>46127</v>
      </c>
      <c r="D190" s="6">
        <v>3284</v>
      </c>
      <c r="E190" s="6">
        <v>338</v>
      </c>
      <c r="F190" s="6">
        <v>4</v>
      </c>
      <c r="G190" s="6">
        <v>8</v>
      </c>
      <c r="H190" s="6">
        <v>80942</v>
      </c>
      <c r="I190" s="6" t="s">
        <v>17</v>
      </c>
      <c r="J190" s="6">
        <v>18358306</v>
      </c>
      <c r="K190" s="6" t="s">
        <v>5183</v>
      </c>
      <c r="L190" s="16" t="s">
        <v>5188</v>
      </c>
      <c r="M190" s="8">
        <v>189900</v>
      </c>
      <c r="N190" s="35">
        <f t="shared" si="18"/>
        <v>0.7</v>
      </c>
      <c r="O190" s="34">
        <f t="shared" si="16"/>
        <v>56970</v>
      </c>
      <c r="P190" s="20" t="s">
        <v>16</v>
      </c>
    </row>
    <row r="191" spans="1:16" x14ac:dyDescent="0.35">
      <c r="A191" s="14" t="str">
        <f t="shared" si="17"/>
        <v xml:space="preserve"> 2024 JAN-DEC D70 LICENSE BABY</v>
      </c>
      <c r="B191" s="7">
        <f t="shared" si="21"/>
        <v>46121</v>
      </c>
      <c r="C191" s="7">
        <f t="shared" si="22"/>
        <v>46127</v>
      </c>
      <c r="D191" s="6">
        <v>3284</v>
      </c>
      <c r="E191" s="6">
        <v>338</v>
      </c>
      <c r="F191" s="6">
        <v>4</v>
      </c>
      <c r="G191" s="6">
        <v>8</v>
      </c>
      <c r="H191" s="6">
        <v>80942</v>
      </c>
      <c r="I191" s="6" t="s">
        <v>17</v>
      </c>
      <c r="J191" s="6">
        <v>18358315</v>
      </c>
      <c r="K191" s="6" t="s">
        <v>5189</v>
      </c>
      <c r="L191" s="16" t="s">
        <v>5190</v>
      </c>
      <c r="M191" s="8">
        <v>189900</v>
      </c>
      <c r="N191" s="35">
        <f t="shared" si="18"/>
        <v>0.7</v>
      </c>
      <c r="O191" s="34">
        <f t="shared" si="16"/>
        <v>56970</v>
      </c>
      <c r="P191" s="20" t="s">
        <v>16</v>
      </c>
    </row>
    <row r="192" spans="1:16" x14ac:dyDescent="0.35">
      <c r="A192" s="14" t="str">
        <f t="shared" si="17"/>
        <v xml:space="preserve"> 2024 JAN-DEC D70 LICENSE BABY</v>
      </c>
      <c r="B192" s="7">
        <f t="shared" si="21"/>
        <v>46121</v>
      </c>
      <c r="C192" s="7">
        <f t="shared" si="22"/>
        <v>46127</v>
      </c>
      <c r="D192" s="6">
        <v>3284</v>
      </c>
      <c r="E192" s="6">
        <v>338</v>
      </c>
      <c r="F192" s="6">
        <v>4</v>
      </c>
      <c r="G192" s="6">
        <v>8</v>
      </c>
      <c r="H192" s="6">
        <v>80942</v>
      </c>
      <c r="I192" s="6" t="s">
        <v>17</v>
      </c>
      <c r="J192" s="6">
        <v>18358324</v>
      </c>
      <c r="K192" s="6" t="s">
        <v>5189</v>
      </c>
      <c r="L192" s="16" t="s">
        <v>5191</v>
      </c>
      <c r="M192" s="8">
        <v>189900</v>
      </c>
      <c r="N192" s="35">
        <f t="shared" si="18"/>
        <v>0.7</v>
      </c>
      <c r="O192" s="34">
        <f t="shared" si="16"/>
        <v>56970</v>
      </c>
      <c r="P192" s="20" t="s">
        <v>16</v>
      </c>
    </row>
    <row r="193" spans="1:16" x14ac:dyDescent="0.35">
      <c r="A193" s="14" t="str">
        <f t="shared" si="17"/>
        <v xml:space="preserve"> 2024 JAN-DEC D70 LICENSE BABY</v>
      </c>
      <c r="B193" s="7">
        <f t="shared" si="21"/>
        <v>46121</v>
      </c>
      <c r="C193" s="7">
        <f t="shared" si="22"/>
        <v>46127</v>
      </c>
      <c r="D193" s="6">
        <v>3284</v>
      </c>
      <c r="E193" s="6">
        <v>338</v>
      </c>
      <c r="F193" s="6">
        <v>4</v>
      </c>
      <c r="G193" s="6">
        <v>8</v>
      </c>
      <c r="H193" s="6">
        <v>80942</v>
      </c>
      <c r="I193" s="6" t="s">
        <v>17</v>
      </c>
      <c r="J193" s="6">
        <v>18358342</v>
      </c>
      <c r="K193" s="6" t="s">
        <v>5189</v>
      </c>
      <c r="L193" s="16" t="s">
        <v>5192</v>
      </c>
      <c r="M193" s="8">
        <v>189900</v>
      </c>
      <c r="N193" s="35">
        <f t="shared" si="18"/>
        <v>0.7</v>
      </c>
      <c r="O193" s="34">
        <f t="shared" si="16"/>
        <v>56970</v>
      </c>
      <c r="P193" s="20" t="s">
        <v>16</v>
      </c>
    </row>
    <row r="194" spans="1:16" x14ac:dyDescent="0.35">
      <c r="A194" s="14" t="str">
        <f t="shared" si="17"/>
        <v xml:space="preserve"> 2024 JAN-DEC D70 LICENSE BABY</v>
      </c>
      <c r="B194" s="7">
        <f t="shared" si="21"/>
        <v>46121</v>
      </c>
      <c r="C194" s="7">
        <f t="shared" si="22"/>
        <v>46127</v>
      </c>
      <c r="D194" s="6">
        <v>3284</v>
      </c>
      <c r="E194" s="6">
        <v>338</v>
      </c>
      <c r="F194" s="6">
        <v>4</v>
      </c>
      <c r="G194" s="6">
        <v>8</v>
      </c>
      <c r="H194" s="6">
        <v>80942</v>
      </c>
      <c r="I194" s="6" t="s">
        <v>17</v>
      </c>
      <c r="J194" s="6">
        <v>18358351</v>
      </c>
      <c r="K194" s="6" t="s">
        <v>5189</v>
      </c>
      <c r="L194" s="16" t="s">
        <v>5193</v>
      </c>
      <c r="M194" s="8">
        <v>189900</v>
      </c>
      <c r="N194" s="35">
        <f t="shared" si="18"/>
        <v>0.7</v>
      </c>
      <c r="O194" s="34">
        <f t="shared" si="16"/>
        <v>56970</v>
      </c>
      <c r="P194" s="20" t="s">
        <v>16</v>
      </c>
    </row>
    <row r="195" spans="1:16" x14ac:dyDescent="0.35">
      <c r="A195" s="14" t="str">
        <f t="shared" si="17"/>
        <v xml:space="preserve"> 2024 JAN-DEC D70 LICENSE BABY</v>
      </c>
      <c r="B195" s="7">
        <f t="shared" si="21"/>
        <v>46121</v>
      </c>
      <c r="C195" s="7">
        <f t="shared" si="22"/>
        <v>46127</v>
      </c>
      <c r="D195" s="6">
        <v>3284</v>
      </c>
      <c r="E195" s="6">
        <v>338</v>
      </c>
      <c r="F195" s="6">
        <v>4</v>
      </c>
      <c r="G195" s="6">
        <v>8</v>
      </c>
      <c r="H195" s="6">
        <v>80942</v>
      </c>
      <c r="I195" s="6" t="s">
        <v>17</v>
      </c>
      <c r="J195" s="6">
        <v>18358379</v>
      </c>
      <c r="K195" s="6" t="s">
        <v>5189</v>
      </c>
      <c r="L195" s="16" t="s">
        <v>5194</v>
      </c>
      <c r="M195" s="8">
        <v>189900</v>
      </c>
      <c r="N195" s="35">
        <f t="shared" si="18"/>
        <v>0.7</v>
      </c>
      <c r="O195" s="34">
        <f t="shared" ref="O195:O205" si="23">M195-((70*M195)/100)</f>
        <v>56970</v>
      </c>
      <c r="P195" s="20" t="s">
        <v>16</v>
      </c>
    </row>
    <row r="196" spans="1:16" x14ac:dyDescent="0.35">
      <c r="A196" s="14" t="str">
        <f t="shared" ref="A196:A205" si="24">A195</f>
        <v xml:space="preserve"> 2024 JAN-DEC D70 LICENSE BABY</v>
      </c>
      <c r="B196" s="7">
        <f t="shared" si="21"/>
        <v>46121</v>
      </c>
      <c r="C196" s="7">
        <f t="shared" si="22"/>
        <v>46127</v>
      </c>
      <c r="D196" s="6">
        <v>3284</v>
      </c>
      <c r="E196" s="6">
        <v>338</v>
      </c>
      <c r="F196" s="6">
        <v>4</v>
      </c>
      <c r="G196" s="6">
        <v>8</v>
      </c>
      <c r="H196" s="6">
        <v>80942</v>
      </c>
      <c r="I196" s="6" t="s">
        <v>17</v>
      </c>
      <c r="J196" s="6">
        <v>18358388</v>
      </c>
      <c r="K196" s="6" t="s">
        <v>5195</v>
      </c>
      <c r="L196" s="16" t="s">
        <v>5196</v>
      </c>
      <c r="M196" s="8">
        <v>189900</v>
      </c>
      <c r="N196" s="35">
        <f t="shared" ref="N196:N205" si="25">N195</f>
        <v>0.7</v>
      </c>
      <c r="O196" s="34">
        <f t="shared" si="23"/>
        <v>56970</v>
      </c>
      <c r="P196" s="20" t="s">
        <v>16</v>
      </c>
    </row>
    <row r="197" spans="1:16" x14ac:dyDescent="0.35">
      <c r="A197" s="14" t="str">
        <f t="shared" si="24"/>
        <v xml:space="preserve"> 2024 JAN-DEC D70 LICENSE BABY</v>
      </c>
      <c r="B197" s="7">
        <f t="shared" si="21"/>
        <v>46121</v>
      </c>
      <c r="C197" s="7">
        <f t="shared" si="22"/>
        <v>46127</v>
      </c>
      <c r="D197" s="6">
        <v>3284</v>
      </c>
      <c r="E197" s="6">
        <v>338</v>
      </c>
      <c r="F197" s="6">
        <v>4</v>
      </c>
      <c r="G197" s="6">
        <v>8</v>
      </c>
      <c r="H197" s="6">
        <v>80942</v>
      </c>
      <c r="I197" s="6" t="s">
        <v>17</v>
      </c>
      <c r="J197" s="6">
        <v>18358397</v>
      </c>
      <c r="K197" s="6" t="s">
        <v>5195</v>
      </c>
      <c r="L197" s="16" t="s">
        <v>5197</v>
      </c>
      <c r="M197" s="8">
        <v>189900</v>
      </c>
      <c r="N197" s="35">
        <f t="shared" si="25"/>
        <v>0.7</v>
      </c>
      <c r="O197" s="34">
        <f t="shared" si="23"/>
        <v>56970</v>
      </c>
      <c r="P197" s="20" t="s">
        <v>16</v>
      </c>
    </row>
    <row r="198" spans="1:16" x14ac:dyDescent="0.35">
      <c r="A198" s="14" t="str">
        <f t="shared" si="24"/>
        <v xml:space="preserve"> 2024 JAN-DEC D70 LICENSE BABY</v>
      </c>
      <c r="B198" s="7">
        <f t="shared" si="21"/>
        <v>46121</v>
      </c>
      <c r="C198" s="7">
        <f t="shared" si="22"/>
        <v>46127</v>
      </c>
      <c r="D198" s="6">
        <v>3284</v>
      </c>
      <c r="E198" s="6">
        <v>338</v>
      </c>
      <c r="F198" s="6">
        <v>4</v>
      </c>
      <c r="G198" s="6">
        <v>8</v>
      </c>
      <c r="H198" s="6">
        <v>80942</v>
      </c>
      <c r="I198" s="6" t="s">
        <v>17</v>
      </c>
      <c r="J198" s="6">
        <v>18358404</v>
      </c>
      <c r="K198" s="6" t="s">
        <v>5195</v>
      </c>
      <c r="L198" s="16" t="s">
        <v>5198</v>
      </c>
      <c r="M198" s="8">
        <v>189900</v>
      </c>
      <c r="N198" s="35">
        <f t="shared" si="25"/>
        <v>0.7</v>
      </c>
      <c r="O198" s="34">
        <f t="shared" si="23"/>
        <v>56970</v>
      </c>
      <c r="P198" s="20" t="s">
        <v>16</v>
      </c>
    </row>
    <row r="199" spans="1:16" x14ac:dyDescent="0.35">
      <c r="A199" s="14" t="str">
        <f t="shared" si="24"/>
        <v xml:space="preserve"> 2024 JAN-DEC D70 LICENSE BABY</v>
      </c>
      <c r="B199" s="7">
        <f t="shared" si="21"/>
        <v>46121</v>
      </c>
      <c r="C199" s="7">
        <f t="shared" si="22"/>
        <v>46127</v>
      </c>
      <c r="D199" s="6">
        <v>3284</v>
      </c>
      <c r="E199" s="6">
        <v>338</v>
      </c>
      <c r="F199" s="6">
        <v>4</v>
      </c>
      <c r="G199" s="6">
        <v>8</v>
      </c>
      <c r="H199" s="6">
        <v>80942</v>
      </c>
      <c r="I199" s="6" t="s">
        <v>17</v>
      </c>
      <c r="J199" s="6">
        <v>18358459</v>
      </c>
      <c r="K199" s="6" t="s">
        <v>5195</v>
      </c>
      <c r="L199" s="16" t="s">
        <v>5199</v>
      </c>
      <c r="M199" s="8">
        <v>189900</v>
      </c>
      <c r="N199" s="35">
        <f t="shared" si="25"/>
        <v>0.7</v>
      </c>
      <c r="O199" s="34">
        <f t="shared" si="23"/>
        <v>56970</v>
      </c>
      <c r="P199" s="20" t="s">
        <v>16</v>
      </c>
    </row>
    <row r="200" spans="1:16" x14ac:dyDescent="0.35">
      <c r="A200" s="14" t="str">
        <f t="shared" si="24"/>
        <v xml:space="preserve"> 2024 JAN-DEC D70 LICENSE BABY</v>
      </c>
      <c r="B200" s="7">
        <f t="shared" si="21"/>
        <v>46121</v>
      </c>
      <c r="C200" s="7">
        <f t="shared" si="22"/>
        <v>46127</v>
      </c>
      <c r="D200" s="6">
        <v>3284</v>
      </c>
      <c r="E200" s="6">
        <v>338</v>
      </c>
      <c r="F200" s="6">
        <v>4</v>
      </c>
      <c r="G200" s="6">
        <v>8</v>
      </c>
      <c r="H200" s="6">
        <v>80942</v>
      </c>
      <c r="I200" s="6" t="s">
        <v>17</v>
      </c>
      <c r="J200" s="6">
        <v>18358468</v>
      </c>
      <c r="K200" s="6" t="s">
        <v>5195</v>
      </c>
      <c r="L200" s="16" t="s">
        <v>5200</v>
      </c>
      <c r="M200" s="8">
        <v>189900</v>
      </c>
      <c r="N200" s="35">
        <f t="shared" si="25"/>
        <v>0.7</v>
      </c>
      <c r="O200" s="34">
        <f t="shared" si="23"/>
        <v>56970</v>
      </c>
      <c r="P200" s="20" t="s">
        <v>16</v>
      </c>
    </row>
    <row r="201" spans="1:16" x14ac:dyDescent="0.35">
      <c r="A201" s="14" t="str">
        <f t="shared" si="24"/>
        <v xml:space="preserve"> 2024 JAN-DEC D70 LICENSE BABY</v>
      </c>
      <c r="B201" s="7">
        <f t="shared" si="21"/>
        <v>46121</v>
      </c>
      <c r="C201" s="7">
        <f t="shared" si="22"/>
        <v>46127</v>
      </c>
      <c r="D201" s="6">
        <v>3284</v>
      </c>
      <c r="E201" s="6">
        <v>338</v>
      </c>
      <c r="F201" s="6">
        <v>4</v>
      </c>
      <c r="G201" s="6">
        <v>8</v>
      </c>
      <c r="H201" s="6">
        <v>80942</v>
      </c>
      <c r="I201" s="6" t="s">
        <v>17</v>
      </c>
      <c r="J201" s="6">
        <v>18358477</v>
      </c>
      <c r="K201" s="6" t="s">
        <v>5201</v>
      </c>
      <c r="L201" s="16" t="s">
        <v>5202</v>
      </c>
      <c r="M201" s="8">
        <v>219900</v>
      </c>
      <c r="N201" s="35">
        <f t="shared" si="25"/>
        <v>0.7</v>
      </c>
      <c r="O201" s="34">
        <f t="shared" si="23"/>
        <v>65970</v>
      </c>
      <c r="P201" s="20" t="s">
        <v>16</v>
      </c>
    </row>
    <row r="202" spans="1:16" x14ac:dyDescent="0.35">
      <c r="A202" s="14" t="str">
        <f t="shared" si="24"/>
        <v xml:space="preserve"> 2024 JAN-DEC D70 LICENSE BABY</v>
      </c>
      <c r="B202" s="7">
        <f t="shared" si="21"/>
        <v>46121</v>
      </c>
      <c r="C202" s="7">
        <f t="shared" si="22"/>
        <v>46127</v>
      </c>
      <c r="D202" s="6">
        <v>3284</v>
      </c>
      <c r="E202" s="6">
        <v>338</v>
      </c>
      <c r="F202" s="6">
        <v>4</v>
      </c>
      <c r="G202" s="6">
        <v>8</v>
      </c>
      <c r="H202" s="6">
        <v>80942</v>
      </c>
      <c r="I202" s="6" t="s">
        <v>17</v>
      </c>
      <c r="J202" s="6">
        <v>18358486</v>
      </c>
      <c r="K202" s="6" t="s">
        <v>5201</v>
      </c>
      <c r="L202" s="16" t="s">
        <v>5203</v>
      </c>
      <c r="M202" s="8">
        <v>219900</v>
      </c>
      <c r="N202" s="35">
        <f t="shared" si="25"/>
        <v>0.7</v>
      </c>
      <c r="O202" s="34">
        <f t="shared" si="23"/>
        <v>65970</v>
      </c>
      <c r="P202" s="20" t="s">
        <v>16</v>
      </c>
    </row>
    <row r="203" spans="1:16" x14ac:dyDescent="0.35">
      <c r="A203" s="14" t="str">
        <f t="shared" si="24"/>
        <v xml:space="preserve"> 2024 JAN-DEC D70 LICENSE BABY</v>
      </c>
      <c r="B203" s="7">
        <f t="shared" si="21"/>
        <v>46121</v>
      </c>
      <c r="C203" s="7">
        <f t="shared" si="22"/>
        <v>46127</v>
      </c>
      <c r="D203" s="6">
        <v>3284</v>
      </c>
      <c r="E203" s="6">
        <v>338</v>
      </c>
      <c r="F203" s="6">
        <v>4</v>
      </c>
      <c r="G203" s="6">
        <v>8</v>
      </c>
      <c r="H203" s="6">
        <v>80942</v>
      </c>
      <c r="I203" s="6" t="s">
        <v>17</v>
      </c>
      <c r="J203" s="6">
        <v>18358502</v>
      </c>
      <c r="K203" s="6" t="s">
        <v>5201</v>
      </c>
      <c r="L203" s="16" t="s">
        <v>5204</v>
      </c>
      <c r="M203" s="8">
        <v>219900</v>
      </c>
      <c r="N203" s="35">
        <f t="shared" si="25"/>
        <v>0.7</v>
      </c>
      <c r="O203" s="34">
        <f t="shared" si="23"/>
        <v>65970</v>
      </c>
      <c r="P203" s="20" t="s">
        <v>16</v>
      </c>
    </row>
    <row r="204" spans="1:16" x14ac:dyDescent="0.35">
      <c r="A204" s="14" t="str">
        <f t="shared" si="24"/>
        <v xml:space="preserve"> 2024 JAN-DEC D70 LICENSE BABY</v>
      </c>
      <c r="B204" s="7">
        <f t="shared" si="21"/>
        <v>46121</v>
      </c>
      <c r="C204" s="7">
        <f t="shared" si="22"/>
        <v>46127</v>
      </c>
      <c r="D204" s="6">
        <v>3284</v>
      </c>
      <c r="E204" s="6">
        <v>338</v>
      </c>
      <c r="F204" s="6">
        <v>4</v>
      </c>
      <c r="G204" s="6">
        <v>8</v>
      </c>
      <c r="H204" s="6">
        <v>80942</v>
      </c>
      <c r="I204" s="6" t="s">
        <v>17</v>
      </c>
      <c r="J204" s="6">
        <v>18358511</v>
      </c>
      <c r="K204" s="6" t="s">
        <v>5201</v>
      </c>
      <c r="L204" s="16" t="s">
        <v>5205</v>
      </c>
      <c r="M204" s="8">
        <v>219900</v>
      </c>
      <c r="N204" s="35">
        <f t="shared" si="25"/>
        <v>0.7</v>
      </c>
      <c r="O204" s="34">
        <f t="shared" si="23"/>
        <v>65970</v>
      </c>
      <c r="P204" s="20" t="s">
        <v>16</v>
      </c>
    </row>
    <row r="205" spans="1:16" x14ac:dyDescent="0.35">
      <c r="A205" s="14" t="str">
        <f t="shared" si="24"/>
        <v xml:space="preserve"> 2024 JAN-DEC D70 LICENSE BABY</v>
      </c>
      <c r="B205" s="7">
        <f t="shared" si="21"/>
        <v>46121</v>
      </c>
      <c r="C205" s="7">
        <f t="shared" si="22"/>
        <v>46127</v>
      </c>
      <c r="D205" s="6">
        <v>3284</v>
      </c>
      <c r="E205" s="6">
        <v>338</v>
      </c>
      <c r="F205" s="6">
        <v>4</v>
      </c>
      <c r="G205" s="6">
        <v>8</v>
      </c>
      <c r="H205" s="6">
        <v>80942</v>
      </c>
      <c r="I205" s="6" t="s">
        <v>17</v>
      </c>
      <c r="J205" s="6">
        <v>18358584</v>
      </c>
      <c r="K205" s="6" t="s">
        <v>5201</v>
      </c>
      <c r="L205" s="16" t="s">
        <v>5206</v>
      </c>
      <c r="M205" s="8">
        <v>219900</v>
      </c>
      <c r="N205" s="35">
        <f t="shared" si="25"/>
        <v>0.7</v>
      </c>
      <c r="O205" s="34">
        <f t="shared" si="23"/>
        <v>65970</v>
      </c>
      <c r="P205" s="20" t="s">
        <v>16</v>
      </c>
    </row>
  </sheetData>
  <autoFilter ref="A1:P1" xr:uid="{00000000-0009-0000-0000-000011000000}"/>
  <phoneticPr fontId="8" type="noConversion"/>
  <conditionalFormatting sqref="J1:J1048576">
    <cfRule type="duplicateValues" dxfId="10" priority="1"/>
    <cfRule type="duplicateValues" dxfId="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EAD7-6313-4EDD-BAB1-76AB6A5ADE3B}">
  <dimension ref="A1:P146"/>
  <sheetViews>
    <sheetView zoomScale="71" zoomScaleNormal="100" workbookViewId="0">
      <pane ySplit="1" topLeftCell="A2" activePane="bottomLeft" state="frozen"/>
      <selection activeCell="M23" sqref="M23"/>
      <selection pane="bottomLeft" activeCell="N28" sqref="N28"/>
    </sheetView>
  </sheetViews>
  <sheetFormatPr defaultColWidth="8.6328125" defaultRowHeight="14.5" x14ac:dyDescent="0.35"/>
  <cols>
    <col min="1" max="1" width="32.4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0.90625" style="2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6426</v>
      </c>
      <c r="B2" s="7">
        <f>'2025 HILITE D80 - 3321'!B2</f>
        <v>46121</v>
      </c>
      <c r="C2" s="7">
        <f>'2025 HILITE D80 - 3321'!C2</f>
        <v>46127</v>
      </c>
      <c r="D2" s="6">
        <v>3284</v>
      </c>
      <c r="E2" s="6">
        <v>338</v>
      </c>
      <c r="F2" s="6">
        <v>4</v>
      </c>
      <c r="G2" s="32">
        <v>1</v>
      </c>
      <c r="H2" s="32">
        <v>81421</v>
      </c>
      <c r="I2" s="32" t="s">
        <v>17</v>
      </c>
      <c r="J2" s="22">
        <v>79694570</v>
      </c>
      <c r="K2" s="22" t="s">
        <v>1191</v>
      </c>
      <c r="L2" s="22" t="s">
        <v>1192</v>
      </c>
      <c r="M2" s="39">
        <v>139900</v>
      </c>
      <c r="N2" s="9">
        <v>0.9</v>
      </c>
      <c r="O2" s="8">
        <f>M2-((90*M2)/100)</f>
        <v>13990</v>
      </c>
      <c r="P2" s="6" t="s">
        <v>16</v>
      </c>
    </row>
    <row r="3" spans="1:16" x14ac:dyDescent="0.35">
      <c r="A3" s="32" t="s">
        <v>6426</v>
      </c>
      <c r="B3" s="7">
        <f>B2</f>
        <v>46121</v>
      </c>
      <c r="C3" s="7">
        <f>C2</f>
        <v>46127</v>
      </c>
      <c r="D3" s="6">
        <v>3284</v>
      </c>
      <c r="E3" s="6">
        <v>338</v>
      </c>
      <c r="F3" s="6">
        <v>4</v>
      </c>
      <c r="G3" s="32">
        <v>1</v>
      </c>
      <c r="H3" s="32">
        <v>81421</v>
      </c>
      <c r="I3" s="32" t="s">
        <v>17</v>
      </c>
      <c r="J3" s="22">
        <v>73515854</v>
      </c>
      <c r="K3" s="22" t="s">
        <v>1159</v>
      </c>
      <c r="L3" s="22" t="s">
        <v>1160</v>
      </c>
      <c r="M3" s="39">
        <v>79900</v>
      </c>
      <c r="N3" s="35">
        <v>0.9</v>
      </c>
      <c r="O3" s="34">
        <f>M3-((90*M3)/100)</f>
        <v>7990</v>
      </c>
      <c r="P3" s="6" t="s">
        <v>16</v>
      </c>
    </row>
    <row r="4" spans="1:16" x14ac:dyDescent="0.35">
      <c r="A4" s="32" t="s">
        <v>6426</v>
      </c>
      <c r="B4" s="7">
        <f t="shared" ref="B4:B67" si="0">B3</f>
        <v>46121</v>
      </c>
      <c r="C4" s="7">
        <f t="shared" ref="C4:C67" si="1">C3</f>
        <v>46127</v>
      </c>
      <c r="D4" s="6">
        <v>3284</v>
      </c>
      <c r="E4" s="6">
        <v>338</v>
      </c>
      <c r="F4" s="6">
        <v>4</v>
      </c>
      <c r="G4" s="32">
        <v>1</v>
      </c>
      <c r="H4" s="32">
        <v>190</v>
      </c>
      <c r="I4" s="32" t="s">
        <v>17</v>
      </c>
      <c r="J4" s="22">
        <v>84324469</v>
      </c>
      <c r="K4" s="22" t="s">
        <v>1137</v>
      </c>
      <c r="L4" s="22" t="s">
        <v>1138</v>
      </c>
      <c r="M4" s="39">
        <v>139900</v>
      </c>
      <c r="N4" s="35">
        <v>0.9</v>
      </c>
      <c r="O4" s="34">
        <f t="shared" ref="O4:O67" si="2">M4-((90*M4)/100)</f>
        <v>13990</v>
      </c>
      <c r="P4" s="6" t="s">
        <v>16</v>
      </c>
    </row>
    <row r="5" spans="1:16" x14ac:dyDescent="0.35">
      <c r="A5" s="32" t="s">
        <v>6426</v>
      </c>
      <c r="B5" s="7">
        <f t="shared" si="0"/>
        <v>46121</v>
      </c>
      <c r="C5" s="7">
        <f t="shared" si="1"/>
        <v>46127</v>
      </c>
      <c r="D5" s="6">
        <v>3284</v>
      </c>
      <c r="E5" s="6">
        <v>338</v>
      </c>
      <c r="F5" s="6">
        <v>4</v>
      </c>
      <c r="G5" s="32">
        <v>1</v>
      </c>
      <c r="H5" s="32">
        <v>190</v>
      </c>
      <c r="I5" s="32" t="s">
        <v>17</v>
      </c>
      <c r="J5" s="22">
        <v>84324487</v>
      </c>
      <c r="K5" s="22" t="s">
        <v>1137</v>
      </c>
      <c r="L5" s="22" t="s">
        <v>1139</v>
      </c>
      <c r="M5" s="39">
        <v>139900</v>
      </c>
      <c r="N5" s="35">
        <v>0.9</v>
      </c>
      <c r="O5" s="34">
        <f t="shared" si="2"/>
        <v>13990</v>
      </c>
      <c r="P5" s="6" t="s">
        <v>16</v>
      </c>
    </row>
    <row r="6" spans="1:16" x14ac:dyDescent="0.35">
      <c r="A6" s="32" t="s">
        <v>6426</v>
      </c>
      <c r="B6" s="7">
        <f t="shared" si="0"/>
        <v>46121</v>
      </c>
      <c r="C6" s="7">
        <f t="shared" si="1"/>
        <v>46127</v>
      </c>
      <c r="D6" s="6">
        <v>3284</v>
      </c>
      <c r="E6" s="6">
        <v>338</v>
      </c>
      <c r="F6" s="6">
        <v>4</v>
      </c>
      <c r="G6" s="32">
        <v>1</v>
      </c>
      <c r="H6" s="32">
        <v>190</v>
      </c>
      <c r="I6" s="32" t="s">
        <v>17</v>
      </c>
      <c r="J6" s="22">
        <v>84324496</v>
      </c>
      <c r="K6" s="22" t="s">
        <v>1137</v>
      </c>
      <c r="L6" s="22" t="s">
        <v>1140</v>
      </c>
      <c r="M6" s="39">
        <v>139900</v>
      </c>
      <c r="N6" s="35">
        <v>0.9</v>
      </c>
      <c r="O6" s="34">
        <f t="shared" si="2"/>
        <v>13990</v>
      </c>
      <c r="P6" s="6" t="s">
        <v>16</v>
      </c>
    </row>
    <row r="7" spans="1:16" x14ac:dyDescent="0.35">
      <c r="A7" s="32" t="s">
        <v>6426</v>
      </c>
      <c r="B7" s="7">
        <f t="shared" si="0"/>
        <v>46121</v>
      </c>
      <c r="C7" s="7">
        <f t="shared" si="1"/>
        <v>46127</v>
      </c>
      <c r="D7" s="6">
        <v>3284</v>
      </c>
      <c r="E7" s="6">
        <v>338</v>
      </c>
      <c r="F7" s="6">
        <v>4</v>
      </c>
      <c r="G7" s="32">
        <v>1</v>
      </c>
      <c r="H7" s="32">
        <v>80920</v>
      </c>
      <c r="I7" s="32" t="s">
        <v>17</v>
      </c>
      <c r="J7" s="22">
        <v>79584608</v>
      </c>
      <c r="K7" s="22" t="s">
        <v>1189</v>
      </c>
      <c r="L7" s="22" t="s">
        <v>1190</v>
      </c>
      <c r="M7" s="39">
        <v>129900</v>
      </c>
      <c r="N7" s="35">
        <v>0.9</v>
      </c>
      <c r="O7" s="34">
        <f t="shared" si="2"/>
        <v>12990</v>
      </c>
      <c r="P7" s="6" t="s">
        <v>16</v>
      </c>
    </row>
    <row r="8" spans="1:16" x14ac:dyDescent="0.35">
      <c r="A8" s="32" t="s">
        <v>6426</v>
      </c>
      <c r="B8" s="7">
        <f t="shared" si="0"/>
        <v>46121</v>
      </c>
      <c r="C8" s="7">
        <f t="shared" si="1"/>
        <v>46127</v>
      </c>
      <c r="D8" s="6">
        <v>3284</v>
      </c>
      <c r="E8" s="6">
        <v>338</v>
      </c>
      <c r="F8" s="6">
        <v>4</v>
      </c>
      <c r="G8" s="32">
        <v>1</v>
      </c>
      <c r="H8" s="32">
        <v>80920</v>
      </c>
      <c r="I8" s="32" t="s">
        <v>17</v>
      </c>
      <c r="J8" s="22">
        <v>79694516</v>
      </c>
      <c r="K8" s="22" t="s">
        <v>1246</v>
      </c>
      <c r="L8" s="22" t="s">
        <v>1247</v>
      </c>
      <c r="M8" s="39">
        <v>129900</v>
      </c>
      <c r="N8" s="35">
        <v>0.9</v>
      </c>
      <c r="O8" s="34">
        <f t="shared" si="2"/>
        <v>12990</v>
      </c>
      <c r="P8" s="6" t="s">
        <v>16</v>
      </c>
    </row>
    <row r="9" spans="1:16" x14ac:dyDescent="0.35">
      <c r="A9" s="32" t="s">
        <v>6426</v>
      </c>
      <c r="B9" s="7">
        <f t="shared" si="0"/>
        <v>46121</v>
      </c>
      <c r="C9" s="7">
        <f t="shared" si="1"/>
        <v>46127</v>
      </c>
      <c r="D9" s="6">
        <v>3284</v>
      </c>
      <c r="E9" s="6">
        <v>338</v>
      </c>
      <c r="F9" s="6">
        <v>4</v>
      </c>
      <c r="G9" s="32">
        <v>1</v>
      </c>
      <c r="H9" s="32">
        <v>81676</v>
      </c>
      <c r="I9" s="32" t="s">
        <v>17</v>
      </c>
      <c r="J9" s="22">
        <v>79758359</v>
      </c>
      <c r="K9" s="22" t="s">
        <v>1161</v>
      </c>
      <c r="L9" s="22" t="s">
        <v>1162</v>
      </c>
      <c r="M9" s="39">
        <v>79900</v>
      </c>
      <c r="N9" s="35">
        <v>0.9</v>
      </c>
      <c r="O9" s="34">
        <f t="shared" si="2"/>
        <v>7990</v>
      </c>
      <c r="P9" s="6" t="s">
        <v>16</v>
      </c>
    </row>
    <row r="10" spans="1:16" x14ac:dyDescent="0.35">
      <c r="A10" s="32" t="s">
        <v>6426</v>
      </c>
      <c r="B10" s="7">
        <f t="shared" si="0"/>
        <v>46121</v>
      </c>
      <c r="C10" s="7">
        <f t="shared" si="1"/>
        <v>46127</v>
      </c>
      <c r="D10" s="6">
        <v>3284</v>
      </c>
      <c r="E10" s="6">
        <v>338</v>
      </c>
      <c r="F10" s="6">
        <v>4</v>
      </c>
      <c r="G10" s="32">
        <v>1</v>
      </c>
      <c r="H10" s="32">
        <v>81676</v>
      </c>
      <c r="I10" s="32" t="s">
        <v>17</v>
      </c>
      <c r="J10" s="22">
        <v>79758368</v>
      </c>
      <c r="K10" s="22" t="s">
        <v>1161</v>
      </c>
      <c r="L10" s="22" t="s">
        <v>1163</v>
      </c>
      <c r="M10" s="39">
        <v>79900</v>
      </c>
      <c r="N10" s="35">
        <v>0.9</v>
      </c>
      <c r="O10" s="34">
        <f t="shared" si="2"/>
        <v>7990</v>
      </c>
      <c r="P10" s="6" t="s">
        <v>16</v>
      </c>
    </row>
    <row r="11" spans="1:16" x14ac:dyDescent="0.35">
      <c r="A11" s="32" t="s">
        <v>6426</v>
      </c>
      <c r="B11" s="7">
        <f t="shared" si="0"/>
        <v>46121</v>
      </c>
      <c r="C11" s="7">
        <f t="shared" si="1"/>
        <v>46127</v>
      </c>
      <c r="D11" s="6">
        <v>3284</v>
      </c>
      <c r="E11" s="6">
        <v>338</v>
      </c>
      <c r="F11" s="6">
        <v>4</v>
      </c>
      <c r="G11" s="32">
        <v>1</v>
      </c>
      <c r="H11" s="32">
        <v>81676</v>
      </c>
      <c r="I11" s="32" t="s">
        <v>17</v>
      </c>
      <c r="J11" s="22">
        <v>81270531</v>
      </c>
      <c r="K11" s="22" t="s">
        <v>1248</v>
      </c>
      <c r="L11" s="22" t="s">
        <v>1249</v>
      </c>
      <c r="M11" s="39">
        <v>89900</v>
      </c>
      <c r="N11" s="35">
        <v>0.9</v>
      </c>
      <c r="O11" s="34">
        <f t="shared" si="2"/>
        <v>8990</v>
      </c>
      <c r="P11" s="6" t="s">
        <v>16</v>
      </c>
    </row>
    <row r="12" spans="1:16" x14ac:dyDescent="0.35">
      <c r="A12" s="32" t="s">
        <v>6426</v>
      </c>
      <c r="B12" s="7">
        <f t="shared" si="0"/>
        <v>46121</v>
      </c>
      <c r="C12" s="7">
        <f t="shared" si="1"/>
        <v>46127</v>
      </c>
      <c r="D12" s="6">
        <v>3284</v>
      </c>
      <c r="E12" s="6">
        <v>338</v>
      </c>
      <c r="F12" s="6">
        <v>4</v>
      </c>
      <c r="G12" s="32">
        <v>1</v>
      </c>
      <c r="H12" s="32">
        <v>81676</v>
      </c>
      <c r="I12" s="32" t="s">
        <v>17</v>
      </c>
      <c r="J12" s="22">
        <v>81270540</v>
      </c>
      <c r="K12" s="22" t="s">
        <v>1248</v>
      </c>
      <c r="L12" s="22" t="s">
        <v>1250</v>
      </c>
      <c r="M12" s="39">
        <v>89900</v>
      </c>
      <c r="N12" s="35">
        <v>0.9</v>
      </c>
      <c r="O12" s="34">
        <f t="shared" si="2"/>
        <v>8990</v>
      </c>
      <c r="P12" s="6" t="s">
        <v>16</v>
      </c>
    </row>
    <row r="13" spans="1:16" x14ac:dyDescent="0.35">
      <c r="A13" s="32" t="s">
        <v>6426</v>
      </c>
      <c r="B13" s="7">
        <f t="shared" si="0"/>
        <v>46121</v>
      </c>
      <c r="C13" s="7">
        <f t="shared" si="1"/>
        <v>46127</v>
      </c>
      <c r="D13" s="6">
        <v>3284</v>
      </c>
      <c r="E13" s="6">
        <v>338</v>
      </c>
      <c r="F13" s="6">
        <v>4</v>
      </c>
      <c r="G13" s="32">
        <v>1</v>
      </c>
      <c r="H13" s="32">
        <v>81676</v>
      </c>
      <c r="I13" s="32" t="s">
        <v>17</v>
      </c>
      <c r="J13" s="22">
        <v>81270559</v>
      </c>
      <c r="K13" s="22" t="s">
        <v>1248</v>
      </c>
      <c r="L13" s="22" t="s">
        <v>1251</v>
      </c>
      <c r="M13" s="39">
        <v>89900</v>
      </c>
      <c r="N13" s="35">
        <v>0.9</v>
      </c>
      <c r="O13" s="34">
        <f t="shared" si="2"/>
        <v>8990</v>
      </c>
      <c r="P13" s="6" t="s">
        <v>16</v>
      </c>
    </row>
    <row r="14" spans="1:16" x14ac:dyDescent="0.35">
      <c r="A14" s="32" t="s">
        <v>6426</v>
      </c>
      <c r="B14" s="7">
        <f t="shared" si="0"/>
        <v>46121</v>
      </c>
      <c r="C14" s="7">
        <f t="shared" si="1"/>
        <v>46127</v>
      </c>
      <c r="D14" s="6">
        <v>3284</v>
      </c>
      <c r="E14" s="6">
        <v>338</v>
      </c>
      <c r="F14" s="6">
        <v>4</v>
      </c>
      <c r="G14" s="32">
        <v>1</v>
      </c>
      <c r="H14" s="32">
        <v>81676</v>
      </c>
      <c r="I14" s="32" t="s">
        <v>17</v>
      </c>
      <c r="J14" s="22">
        <v>81270568</v>
      </c>
      <c r="K14" s="22" t="s">
        <v>1248</v>
      </c>
      <c r="L14" s="22" t="s">
        <v>1252</v>
      </c>
      <c r="M14" s="39">
        <v>89900</v>
      </c>
      <c r="N14" s="35">
        <v>0.9</v>
      </c>
      <c r="O14" s="34">
        <f t="shared" si="2"/>
        <v>8990</v>
      </c>
      <c r="P14" s="6" t="s">
        <v>16</v>
      </c>
    </row>
    <row r="15" spans="1:16" x14ac:dyDescent="0.35">
      <c r="A15" s="32" t="s">
        <v>6426</v>
      </c>
      <c r="B15" s="7">
        <f t="shared" si="0"/>
        <v>46121</v>
      </c>
      <c r="C15" s="7">
        <f t="shared" si="1"/>
        <v>46127</v>
      </c>
      <c r="D15" s="6">
        <v>3284</v>
      </c>
      <c r="E15" s="6">
        <v>338</v>
      </c>
      <c r="F15" s="6">
        <v>4</v>
      </c>
      <c r="G15" s="32">
        <v>1</v>
      </c>
      <c r="H15" s="32">
        <v>81676</v>
      </c>
      <c r="I15" s="32" t="s">
        <v>17</v>
      </c>
      <c r="J15" s="22">
        <v>81840737</v>
      </c>
      <c r="K15" s="22" t="s">
        <v>2733</v>
      </c>
      <c r="L15" s="22" t="s">
        <v>2735</v>
      </c>
      <c r="M15" s="39">
        <v>89900</v>
      </c>
      <c r="N15" s="35">
        <v>0.9</v>
      </c>
      <c r="O15" s="34">
        <f t="shared" si="2"/>
        <v>8990</v>
      </c>
      <c r="P15" s="6" t="s">
        <v>16</v>
      </c>
    </row>
    <row r="16" spans="1:16" x14ac:dyDescent="0.35">
      <c r="A16" s="32" t="s">
        <v>6426</v>
      </c>
      <c r="B16" s="7">
        <f t="shared" si="0"/>
        <v>46121</v>
      </c>
      <c r="C16" s="7">
        <f t="shared" si="1"/>
        <v>46127</v>
      </c>
      <c r="D16" s="6">
        <v>3284</v>
      </c>
      <c r="E16" s="6">
        <v>338</v>
      </c>
      <c r="F16" s="6">
        <v>4</v>
      </c>
      <c r="G16" s="32">
        <v>1</v>
      </c>
      <c r="H16" s="32">
        <v>81676</v>
      </c>
      <c r="I16" s="32" t="s">
        <v>17</v>
      </c>
      <c r="J16" s="22">
        <v>81840746</v>
      </c>
      <c r="K16" s="22" t="s">
        <v>2733</v>
      </c>
      <c r="L16" s="22" t="s">
        <v>2734</v>
      </c>
      <c r="M16" s="39">
        <v>89900</v>
      </c>
      <c r="N16" s="35">
        <v>0.9</v>
      </c>
      <c r="O16" s="34">
        <f t="shared" si="2"/>
        <v>8990</v>
      </c>
      <c r="P16" s="6" t="s">
        <v>16</v>
      </c>
    </row>
    <row r="17" spans="1:16" x14ac:dyDescent="0.35">
      <c r="A17" s="32" t="s">
        <v>6426</v>
      </c>
      <c r="B17" s="7">
        <f t="shared" si="0"/>
        <v>46121</v>
      </c>
      <c r="C17" s="7">
        <f t="shared" si="1"/>
        <v>46127</v>
      </c>
      <c r="D17" s="6">
        <v>3284</v>
      </c>
      <c r="E17" s="6">
        <v>338</v>
      </c>
      <c r="F17" s="6">
        <v>4</v>
      </c>
      <c r="G17" s="32">
        <v>1</v>
      </c>
      <c r="H17" s="32">
        <v>81676</v>
      </c>
      <c r="I17" s="32" t="s">
        <v>17</v>
      </c>
      <c r="J17" s="22">
        <v>81840791</v>
      </c>
      <c r="K17" s="22" t="s">
        <v>2732</v>
      </c>
      <c r="L17" s="22" t="s">
        <v>2731</v>
      </c>
      <c r="M17" s="39">
        <v>199900</v>
      </c>
      <c r="N17" s="35">
        <v>0.9</v>
      </c>
      <c r="O17" s="34">
        <f t="shared" si="2"/>
        <v>19990</v>
      </c>
      <c r="P17" s="6" t="s">
        <v>16</v>
      </c>
    </row>
    <row r="18" spans="1:16" x14ac:dyDescent="0.35">
      <c r="A18" s="32" t="s">
        <v>6426</v>
      </c>
      <c r="B18" s="7">
        <f t="shared" si="0"/>
        <v>46121</v>
      </c>
      <c r="C18" s="7">
        <f t="shared" si="1"/>
        <v>46127</v>
      </c>
      <c r="D18" s="6">
        <v>3284</v>
      </c>
      <c r="E18" s="6">
        <v>338</v>
      </c>
      <c r="F18" s="6">
        <v>4</v>
      </c>
      <c r="G18" s="32">
        <v>1</v>
      </c>
      <c r="H18" s="32">
        <v>81574</v>
      </c>
      <c r="I18" s="32" t="s">
        <v>17</v>
      </c>
      <c r="J18" s="22">
        <v>79584224</v>
      </c>
      <c r="K18" s="22" t="s">
        <v>1187</v>
      </c>
      <c r="L18" s="22" t="s">
        <v>1188</v>
      </c>
      <c r="M18" s="39">
        <v>79900</v>
      </c>
      <c r="N18" s="35">
        <v>0.9</v>
      </c>
      <c r="O18" s="34">
        <f t="shared" si="2"/>
        <v>7990</v>
      </c>
      <c r="P18" s="6" t="s">
        <v>16</v>
      </c>
    </row>
    <row r="19" spans="1:16" x14ac:dyDescent="0.35">
      <c r="A19" s="32" t="s">
        <v>6426</v>
      </c>
      <c r="B19" s="7">
        <f t="shared" si="0"/>
        <v>46121</v>
      </c>
      <c r="C19" s="7">
        <f t="shared" si="1"/>
        <v>46127</v>
      </c>
      <c r="D19" s="6">
        <v>3284</v>
      </c>
      <c r="E19" s="6">
        <v>338</v>
      </c>
      <c r="F19" s="6">
        <v>4</v>
      </c>
      <c r="G19" s="32">
        <v>2</v>
      </c>
      <c r="H19" s="32">
        <v>81421</v>
      </c>
      <c r="I19" s="32" t="s">
        <v>17</v>
      </c>
      <c r="J19" s="22">
        <v>79584313</v>
      </c>
      <c r="K19" s="22" t="s">
        <v>1193</v>
      </c>
      <c r="L19" s="22" t="s">
        <v>1194</v>
      </c>
      <c r="M19" s="39">
        <v>139900</v>
      </c>
      <c r="N19" s="35">
        <v>0.9</v>
      </c>
      <c r="O19" s="34">
        <f t="shared" si="2"/>
        <v>13990</v>
      </c>
      <c r="P19" s="6" t="s">
        <v>16</v>
      </c>
    </row>
    <row r="20" spans="1:16" x14ac:dyDescent="0.35">
      <c r="A20" s="32" t="s">
        <v>6426</v>
      </c>
      <c r="B20" s="7">
        <f t="shared" si="0"/>
        <v>46121</v>
      </c>
      <c r="C20" s="7">
        <f t="shared" si="1"/>
        <v>46127</v>
      </c>
      <c r="D20" s="6">
        <v>3284</v>
      </c>
      <c r="E20" s="6">
        <v>338</v>
      </c>
      <c r="F20" s="6">
        <v>4</v>
      </c>
      <c r="G20" s="32">
        <v>2</v>
      </c>
      <c r="H20" s="32">
        <v>81421</v>
      </c>
      <c r="I20" s="32" t="s">
        <v>17</v>
      </c>
      <c r="J20" s="22">
        <v>79584331</v>
      </c>
      <c r="K20" s="22" t="s">
        <v>1193</v>
      </c>
      <c r="L20" s="22" t="s">
        <v>1195</v>
      </c>
      <c r="M20" s="39">
        <v>139900</v>
      </c>
      <c r="N20" s="35">
        <v>0.9</v>
      </c>
      <c r="O20" s="34">
        <f t="shared" si="2"/>
        <v>13990</v>
      </c>
      <c r="P20" s="6" t="s">
        <v>16</v>
      </c>
    </row>
    <row r="21" spans="1:16" x14ac:dyDescent="0.35">
      <c r="A21" s="32" t="s">
        <v>6426</v>
      </c>
      <c r="B21" s="7">
        <f t="shared" si="0"/>
        <v>46121</v>
      </c>
      <c r="C21" s="7">
        <f t="shared" si="1"/>
        <v>46127</v>
      </c>
      <c r="D21" s="6">
        <v>3284</v>
      </c>
      <c r="E21" s="6">
        <v>338</v>
      </c>
      <c r="F21" s="6">
        <v>4</v>
      </c>
      <c r="G21" s="32">
        <v>2</v>
      </c>
      <c r="H21" s="32">
        <v>81421</v>
      </c>
      <c r="I21" s="32" t="s">
        <v>17</v>
      </c>
      <c r="J21" s="22">
        <v>79584340</v>
      </c>
      <c r="K21" s="22" t="s">
        <v>1193</v>
      </c>
      <c r="L21" s="22" t="s">
        <v>1196</v>
      </c>
      <c r="M21" s="39">
        <v>139900</v>
      </c>
      <c r="N21" s="35">
        <v>0.9</v>
      </c>
      <c r="O21" s="34">
        <f t="shared" si="2"/>
        <v>13990</v>
      </c>
      <c r="P21" s="6" t="s">
        <v>16</v>
      </c>
    </row>
    <row r="22" spans="1:16" x14ac:dyDescent="0.35">
      <c r="A22" s="32" t="s">
        <v>6426</v>
      </c>
      <c r="B22" s="7">
        <f t="shared" si="0"/>
        <v>46121</v>
      </c>
      <c r="C22" s="7">
        <f t="shared" si="1"/>
        <v>46127</v>
      </c>
      <c r="D22" s="6">
        <v>3284</v>
      </c>
      <c r="E22" s="6">
        <v>338</v>
      </c>
      <c r="F22" s="6">
        <v>4</v>
      </c>
      <c r="G22" s="32">
        <v>2</v>
      </c>
      <c r="H22" s="32">
        <v>190</v>
      </c>
      <c r="I22" s="32" t="s">
        <v>17</v>
      </c>
      <c r="J22" s="22">
        <v>84324503</v>
      </c>
      <c r="K22" s="22" t="s">
        <v>1141</v>
      </c>
      <c r="L22" s="22" t="s">
        <v>1142</v>
      </c>
      <c r="M22" s="39">
        <v>139900</v>
      </c>
      <c r="N22" s="35">
        <v>0.9</v>
      </c>
      <c r="O22" s="34">
        <f t="shared" si="2"/>
        <v>13990</v>
      </c>
      <c r="P22" s="6" t="s">
        <v>16</v>
      </c>
    </row>
    <row r="23" spans="1:16" x14ac:dyDescent="0.35">
      <c r="A23" s="32" t="s">
        <v>6426</v>
      </c>
      <c r="B23" s="7">
        <f t="shared" si="0"/>
        <v>46121</v>
      </c>
      <c r="C23" s="7">
        <f t="shared" si="1"/>
        <v>46127</v>
      </c>
      <c r="D23" s="6">
        <v>3284</v>
      </c>
      <c r="E23" s="6">
        <v>338</v>
      </c>
      <c r="F23" s="6">
        <v>4</v>
      </c>
      <c r="G23" s="32">
        <v>2</v>
      </c>
      <c r="H23" s="32">
        <v>190</v>
      </c>
      <c r="I23" s="32" t="s">
        <v>17</v>
      </c>
      <c r="J23" s="22">
        <v>84324512</v>
      </c>
      <c r="K23" s="22" t="s">
        <v>1141</v>
      </c>
      <c r="L23" s="22" t="s">
        <v>1143</v>
      </c>
      <c r="M23" s="39">
        <v>139900</v>
      </c>
      <c r="N23" s="35">
        <v>0.9</v>
      </c>
      <c r="O23" s="34">
        <f t="shared" si="2"/>
        <v>13990</v>
      </c>
      <c r="P23" s="6" t="s">
        <v>16</v>
      </c>
    </row>
    <row r="24" spans="1:16" x14ac:dyDescent="0.35">
      <c r="A24" s="32" t="s">
        <v>6426</v>
      </c>
      <c r="B24" s="7">
        <f t="shared" si="0"/>
        <v>46121</v>
      </c>
      <c r="C24" s="7">
        <f t="shared" si="1"/>
        <v>46127</v>
      </c>
      <c r="D24" s="6">
        <v>3284</v>
      </c>
      <c r="E24" s="6">
        <v>338</v>
      </c>
      <c r="F24" s="6">
        <v>4</v>
      </c>
      <c r="G24" s="32">
        <v>2</v>
      </c>
      <c r="H24" s="32">
        <v>190</v>
      </c>
      <c r="I24" s="32" t="s">
        <v>17</v>
      </c>
      <c r="J24" s="22">
        <v>84324521</v>
      </c>
      <c r="K24" s="22" t="s">
        <v>1141</v>
      </c>
      <c r="L24" s="22" t="s">
        <v>1144</v>
      </c>
      <c r="M24" s="39">
        <v>139900</v>
      </c>
      <c r="N24" s="35">
        <v>0.9</v>
      </c>
      <c r="O24" s="34">
        <f t="shared" si="2"/>
        <v>13990</v>
      </c>
      <c r="P24" s="6" t="s">
        <v>16</v>
      </c>
    </row>
    <row r="25" spans="1:16" x14ac:dyDescent="0.35">
      <c r="A25" s="32" t="s">
        <v>6426</v>
      </c>
      <c r="B25" s="7">
        <f t="shared" si="0"/>
        <v>46121</v>
      </c>
      <c r="C25" s="7">
        <f t="shared" si="1"/>
        <v>46127</v>
      </c>
      <c r="D25" s="6">
        <v>3284</v>
      </c>
      <c r="E25" s="6">
        <v>338</v>
      </c>
      <c r="F25" s="6">
        <v>4</v>
      </c>
      <c r="G25" s="32">
        <v>2</v>
      </c>
      <c r="H25" s="32">
        <v>190</v>
      </c>
      <c r="I25" s="32" t="s">
        <v>17</v>
      </c>
      <c r="J25" s="22">
        <v>84324530</v>
      </c>
      <c r="K25" s="22" t="s">
        <v>1141</v>
      </c>
      <c r="L25" s="22" t="s">
        <v>1145</v>
      </c>
      <c r="M25" s="39">
        <v>139900</v>
      </c>
      <c r="N25" s="35">
        <v>0.9</v>
      </c>
      <c r="O25" s="34">
        <f t="shared" si="2"/>
        <v>13990</v>
      </c>
      <c r="P25" s="6" t="s">
        <v>16</v>
      </c>
    </row>
    <row r="26" spans="1:16" x14ac:dyDescent="0.35">
      <c r="A26" s="32" t="s">
        <v>6426</v>
      </c>
      <c r="B26" s="7">
        <f t="shared" si="0"/>
        <v>46121</v>
      </c>
      <c r="C26" s="7">
        <f t="shared" si="1"/>
        <v>46127</v>
      </c>
      <c r="D26" s="6">
        <v>3284</v>
      </c>
      <c r="E26" s="6">
        <v>338</v>
      </c>
      <c r="F26" s="6">
        <v>4</v>
      </c>
      <c r="G26" s="32">
        <v>2</v>
      </c>
      <c r="H26" s="32">
        <v>81676</v>
      </c>
      <c r="I26" s="32" t="s">
        <v>17</v>
      </c>
      <c r="J26" s="22">
        <v>79758420</v>
      </c>
      <c r="K26" s="22" t="s">
        <v>1164</v>
      </c>
      <c r="L26" s="22" t="s">
        <v>1165</v>
      </c>
      <c r="M26" s="39">
        <v>139900</v>
      </c>
      <c r="N26" s="35">
        <v>0.9</v>
      </c>
      <c r="O26" s="34">
        <f t="shared" si="2"/>
        <v>13990</v>
      </c>
      <c r="P26" s="6" t="s">
        <v>16</v>
      </c>
    </row>
    <row r="27" spans="1:16" x14ac:dyDescent="0.35">
      <c r="A27" s="32" t="s">
        <v>6426</v>
      </c>
      <c r="B27" s="7">
        <f t="shared" si="0"/>
        <v>46121</v>
      </c>
      <c r="C27" s="7">
        <f t="shared" si="1"/>
        <v>46127</v>
      </c>
      <c r="D27" s="6">
        <v>3284</v>
      </c>
      <c r="E27" s="6">
        <v>338</v>
      </c>
      <c r="F27" s="6">
        <v>4</v>
      </c>
      <c r="G27" s="32">
        <v>2</v>
      </c>
      <c r="H27" s="32">
        <v>81676</v>
      </c>
      <c r="I27" s="32" t="s">
        <v>17</v>
      </c>
      <c r="J27" s="22">
        <v>79758439</v>
      </c>
      <c r="K27" s="22" t="s">
        <v>1164</v>
      </c>
      <c r="L27" s="22" t="s">
        <v>1166</v>
      </c>
      <c r="M27" s="39">
        <v>139900</v>
      </c>
      <c r="N27" s="35">
        <v>0.9</v>
      </c>
      <c r="O27" s="34">
        <f t="shared" si="2"/>
        <v>13990</v>
      </c>
      <c r="P27" s="6" t="s">
        <v>16</v>
      </c>
    </row>
    <row r="28" spans="1:16" x14ac:dyDescent="0.35">
      <c r="A28" s="32" t="s">
        <v>6426</v>
      </c>
      <c r="B28" s="7">
        <f t="shared" si="0"/>
        <v>46121</v>
      </c>
      <c r="C28" s="7">
        <f t="shared" si="1"/>
        <v>46127</v>
      </c>
      <c r="D28" s="6">
        <v>3284</v>
      </c>
      <c r="E28" s="6">
        <v>338</v>
      </c>
      <c r="F28" s="6">
        <v>4</v>
      </c>
      <c r="G28" s="32">
        <v>2</v>
      </c>
      <c r="H28" s="32">
        <v>81676</v>
      </c>
      <c r="I28" s="32" t="s">
        <v>17</v>
      </c>
      <c r="J28" s="22">
        <v>79758448</v>
      </c>
      <c r="K28" s="22" t="s">
        <v>1164</v>
      </c>
      <c r="L28" s="22" t="s">
        <v>1167</v>
      </c>
      <c r="M28" s="39">
        <v>139900</v>
      </c>
      <c r="N28" s="35">
        <v>0.9</v>
      </c>
      <c r="O28" s="34">
        <f t="shared" si="2"/>
        <v>13990</v>
      </c>
      <c r="P28" s="6" t="s">
        <v>16</v>
      </c>
    </row>
    <row r="29" spans="1:16" x14ac:dyDescent="0.35">
      <c r="A29" s="32" t="s">
        <v>6426</v>
      </c>
      <c r="B29" s="7">
        <f t="shared" si="0"/>
        <v>46121</v>
      </c>
      <c r="C29" s="7">
        <f t="shared" si="1"/>
        <v>46127</v>
      </c>
      <c r="D29" s="6">
        <v>3284</v>
      </c>
      <c r="E29" s="6">
        <v>338</v>
      </c>
      <c r="F29" s="6">
        <v>4</v>
      </c>
      <c r="G29" s="32">
        <v>2</v>
      </c>
      <c r="H29" s="32">
        <v>81676</v>
      </c>
      <c r="I29" s="32" t="s">
        <v>17</v>
      </c>
      <c r="J29" s="22">
        <v>81840817</v>
      </c>
      <c r="K29" s="22" t="s">
        <v>2728</v>
      </c>
      <c r="L29" s="22" t="s">
        <v>2730</v>
      </c>
      <c r="M29" s="39">
        <v>119900</v>
      </c>
      <c r="N29" s="35">
        <v>0.9</v>
      </c>
      <c r="O29" s="34">
        <f t="shared" si="2"/>
        <v>11990</v>
      </c>
      <c r="P29" s="6" t="s">
        <v>16</v>
      </c>
    </row>
    <row r="30" spans="1:16" x14ac:dyDescent="0.35">
      <c r="A30" s="32" t="s">
        <v>6426</v>
      </c>
      <c r="B30" s="7">
        <f t="shared" si="0"/>
        <v>46121</v>
      </c>
      <c r="C30" s="7">
        <f t="shared" si="1"/>
        <v>46127</v>
      </c>
      <c r="D30" s="6">
        <v>3284</v>
      </c>
      <c r="E30" s="6">
        <v>338</v>
      </c>
      <c r="F30" s="6">
        <v>4</v>
      </c>
      <c r="G30" s="32">
        <v>2</v>
      </c>
      <c r="H30" s="32">
        <v>81676</v>
      </c>
      <c r="I30" s="32" t="s">
        <v>17</v>
      </c>
      <c r="J30" s="22">
        <v>81840826</v>
      </c>
      <c r="K30" s="22" t="s">
        <v>2728</v>
      </c>
      <c r="L30" s="22" t="s">
        <v>2729</v>
      </c>
      <c r="M30" s="39">
        <v>119900</v>
      </c>
      <c r="N30" s="35">
        <v>0.9</v>
      </c>
      <c r="O30" s="34">
        <f t="shared" si="2"/>
        <v>11990</v>
      </c>
      <c r="P30" s="6" t="s">
        <v>16</v>
      </c>
    </row>
    <row r="31" spans="1:16" x14ac:dyDescent="0.35">
      <c r="A31" s="32" t="s">
        <v>6426</v>
      </c>
      <c r="B31" s="7">
        <f t="shared" si="0"/>
        <v>46121</v>
      </c>
      <c r="C31" s="7">
        <f t="shared" si="1"/>
        <v>46127</v>
      </c>
      <c r="D31" s="6">
        <v>3284</v>
      </c>
      <c r="E31" s="6">
        <v>338</v>
      </c>
      <c r="F31" s="6">
        <v>4</v>
      </c>
      <c r="G31" s="32">
        <v>3</v>
      </c>
      <c r="H31" s="32">
        <v>81146</v>
      </c>
      <c r="I31" s="32" t="s">
        <v>17</v>
      </c>
      <c r="J31" s="22">
        <v>81802322</v>
      </c>
      <c r="K31" s="22" t="s">
        <v>2726</v>
      </c>
      <c r="L31" s="22" t="s">
        <v>2727</v>
      </c>
      <c r="M31" s="39">
        <v>179900</v>
      </c>
      <c r="N31" s="35">
        <v>0.9</v>
      </c>
      <c r="O31" s="34">
        <f t="shared" si="2"/>
        <v>17990</v>
      </c>
      <c r="P31" s="6" t="s">
        <v>16</v>
      </c>
    </row>
    <row r="32" spans="1:16" x14ac:dyDescent="0.35">
      <c r="A32" s="32" t="s">
        <v>6426</v>
      </c>
      <c r="B32" s="7">
        <f t="shared" si="0"/>
        <v>46121</v>
      </c>
      <c r="C32" s="7">
        <f t="shared" si="1"/>
        <v>46127</v>
      </c>
      <c r="D32" s="6">
        <v>3284</v>
      </c>
      <c r="E32" s="6">
        <v>338</v>
      </c>
      <c r="F32" s="6">
        <v>4</v>
      </c>
      <c r="G32" s="32">
        <v>3</v>
      </c>
      <c r="H32" s="32">
        <v>81421</v>
      </c>
      <c r="I32" s="32" t="s">
        <v>17</v>
      </c>
      <c r="J32" s="22">
        <v>79584420</v>
      </c>
      <c r="K32" s="22" t="s">
        <v>1197</v>
      </c>
      <c r="L32" s="22" t="s">
        <v>1198</v>
      </c>
      <c r="M32" s="39">
        <v>179900</v>
      </c>
      <c r="N32" s="35">
        <v>0.9</v>
      </c>
      <c r="O32" s="34">
        <f t="shared" si="2"/>
        <v>17990</v>
      </c>
      <c r="P32" s="6" t="s">
        <v>16</v>
      </c>
    </row>
    <row r="33" spans="1:16" x14ac:dyDescent="0.35">
      <c r="A33" s="32" t="s">
        <v>6426</v>
      </c>
      <c r="B33" s="7">
        <f t="shared" si="0"/>
        <v>46121</v>
      </c>
      <c r="C33" s="7">
        <f t="shared" si="1"/>
        <v>46127</v>
      </c>
      <c r="D33" s="6">
        <v>3284</v>
      </c>
      <c r="E33" s="6">
        <v>338</v>
      </c>
      <c r="F33" s="6">
        <v>4</v>
      </c>
      <c r="G33" s="32">
        <v>3</v>
      </c>
      <c r="H33" s="32">
        <v>81421</v>
      </c>
      <c r="I33" s="32" t="s">
        <v>17</v>
      </c>
      <c r="J33" s="22">
        <v>79584439</v>
      </c>
      <c r="K33" s="22" t="s">
        <v>1253</v>
      </c>
      <c r="L33" s="22" t="s">
        <v>1254</v>
      </c>
      <c r="M33" s="39">
        <v>179900</v>
      </c>
      <c r="N33" s="35">
        <v>0.9</v>
      </c>
      <c r="O33" s="34">
        <f t="shared" si="2"/>
        <v>17990</v>
      </c>
      <c r="P33" s="6" t="s">
        <v>16</v>
      </c>
    </row>
    <row r="34" spans="1:16" x14ac:dyDescent="0.35">
      <c r="A34" s="32" t="s">
        <v>6426</v>
      </c>
      <c r="B34" s="7">
        <f t="shared" si="0"/>
        <v>46121</v>
      </c>
      <c r="C34" s="7">
        <f t="shared" si="1"/>
        <v>46127</v>
      </c>
      <c r="D34" s="6">
        <v>3284</v>
      </c>
      <c r="E34" s="6">
        <v>338</v>
      </c>
      <c r="F34" s="6">
        <v>4</v>
      </c>
      <c r="G34" s="32">
        <v>3</v>
      </c>
      <c r="H34" s="32">
        <v>81421</v>
      </c>
      <c r="I34" s="32" t="s">
        <v>17</v>
      </c>
      <c r="J34" s="22">
        <v>79584448</v>
      </c>
      <c r="K34" s="22" t="s">
        <v>1253</v>
      </c>
      <c r="L34" s="22" t="s">
        <v>1255</v>
      </c>
      <c r="M34" s="39">
        <v>179900</v>
      </c>
      <c r="N34" s="35">
        <v>0.9</v>
      </c>
      <c r="O34" s="34">
        <f t="shared" si="2"/>
        <v>17990</v>
      </c>
      <c r="P34" s="6" t="s">
        <v>16</v>
      </c>
    </row>
    <row r="35" spans="1:16" x14ac:dyDescent="0.35">
      <c r="A35" s="32" t="s">
        <v>6426</v>
      </c>
      <c r="B35" s="7">
        <f t="shared" si="0"/>
        <v>46121</v>
      </c>
      <c r="C35" s="7">
        <f t="shared" si="1"/>
        <v>46127</v>
      </c>
      <c r="D35" s="6">
        <v>3284</v>
      </c>
      <c r="E35" s="6">
        <v>338</v>
      </c>
      <c r="F35" s="6">
        <v>4</v>
      </c>
      <c r="G35" s="32">
        <v>3</v>
      </c>
      <c r="H35" s="32">
        <v>81421</v>
      </c>
      <c r="I35" s="32" t="s">
        <v>17</v>
      </c>
      <c r="J35" s="22">
        <v>79584457</v>
      </c>
      <c r="K35" s="22" t="s">
        <v>1253</v>
      </c>
      <c r="L35" s="22" t="s">
        <v>1256</v>
      </c>
      <c r="M35" s="39">
        <v>179900</v>
      </c>
      <c r="N35" s="35">
        <v>0.9</v>
      </c>
      <c r="O35" s="34">
        <f t="shared" si="2"/>
        <v>17990</v>
      </c>
      <c r="P35" s="6" t="s">
        <v>16</v>
      </c>
    </row>
    <row r="36" spans="1:16" x14ac:dyDescent="0.35">
      <c r="A36" s="32" t="s">
        <v>6426</v>
      </c>
      <c r="B36" s="7">
        <f t="shared" si="0"/>
        <v>46121</v>
      </c>
      <c r="C36" s="7">
        <f t="shared" si="1"/>
        <v>46127</v>
      </c>
      <c r="D36" s="6">
        <v>3284</v>
      </c>
      <c r="E36" s="6">
        <v>338</v>
      </c>
      <c r="F36" s="6">
        <v>4</v>
      </c>
      <c r="G36" s="32">
        <v>3</v>
      </c>
      <c r="H36" s="32">
        <v>81421</v>
      </c>
      <c r="I36" s="32" t="s">
        <v>17</v>
      </c>
      <c r="J36" s="22">
        <v>79584466</v>
      </c>
      <c r="K36" s="22" t="s">
        <v>1253</v>
      </c>
      <c r="L36" s="22" t="s">
        <v>1257</v>
      </c>
      <c r="M36" s="39">
        <v>179900</v>
      </c>
      <c r="N36" s="35">
        <v>0.9</v>
      </c>
      <c r="O36" s="34">
        <f t="shared" si="2"/>
        <v>17990</v>
      </c>
      <c r="P36" s="6" t="s">
        <v>16</v>
      </c>
    </row>
    <row r="37" spans="1:16" x14ac:dyDescent="0.35">
      <c r="A37" s="32" t="s">
        <v>6426</v>
      </c>
      <c r="B37" s="7">
        <f t="shared" si="0"/>
        <v>46121</v>
      </c>
      <c r="C37" s="7">
        <f t="shared" si="1"/>
        <v>46127</v>
      </c>
      <c r="D37" s="6">
        <v>3284</v>
      </c>
      <c r="E37" s="6">
        <v>338</v>
      </c>
      <c r="F37" s="6">
        <v>4</v>
      </c>
      <c r="G37" s="32">
        <v>3</v>
      </c>
      <c r="H37" s="32">
        <v>81421</v>
      </c>
      <c r="I37" s="32" t="s">
        <v>17</v>
      </c>
      <c r="J37" s="22">
        <v>79706477</v>
      </c>
      <c r="K37" s="22" t="s">
        <v>1199</v>
      </c>
      <c r="L37" s="22" t="s">
        <v>1200</v>
      </c>
      <c r="M37" s="39">
        <v>179900</v>
      </c>
      <c r="N37" s="35">
        <v>0.9</v>
      </c>
      <c r="O37" s="34">
        <f t="shared" si="2"/>
        <v>17990</v>
      </c>
      <c r="P37" s="6" t="s">
        <v>16</v>
      </c>
    </row>
    <row r="38" spans="1:16" x14ac:dyDescent="0.35">
      <c r="A38" s="32" t="s">
        <v>6426</v>
      </c>
      <c r="B38" s="7">
        <f t="shared" si="0"/>
        <v>46121</v>
      </c>
      <c r="C38" s="7">
        <f t="shared" si="1"/>
        <v>46127</v>
      </c>
      <c r="D38" s="6">
        <v>3284</v>
      </c>
      <c r="E38" s="6">
        <v>338</v>
      </c>
      <c r="F38" s="6">
        <v>4</v>
      </c>
      <c r="G38" s="32">
        <v>3</v>
      </c>
      <c r="H38" s="32">
        <v>81421</v>
      </c>
      <c r="I38" s="32" t="s">
        <v>17</v>
      </c>
      <c r="J38" s="22">
        <v>79706486</v>
      </c>
      <c r="K38" s="22" t="s">
        <v>1199</v>
      </c>
      <c r="L38" s="22" t="s">
        <v>1201</v>
      </c>
      <c r="M38" s="39">
        <v>179900</v>
      </c>
      <c r="N38" s="35">
        <v>0.9</v>
      </c>
      <c r="O38" s="34">
        <f t="shared" si="2"/>
        <v>17990</v>
      </c>
      <c r="P38" s="6" t="s">
        <v>16</v>
      </c>
    </row>
    <row r="39" spans="1:16" x14ac:dyDescent="0.35">
      <c r="A39" s="32" t="s">
        <v>6426</v>
      </c>
      <c r="B39" s="7">
        <f t="shared" si="0"/>
        <v>46121</v>
      </c>
      <c r="C39" s="7">
        <f t="shared" si="1"/>
        <v>46127</v>
      </c>
      <c r="D39" s="6">
        <v>3284</v>
      </c>
      <c r="E39" s="6">
        <v>338</v>
      </c>
      <c r="F39" s="6">
        <v>4</v>
      </c>
      <c r="G39" s="32">
        <v>3</v>
      </c>
      <c r="H39" s="32">
        <v>81421</v>
      </c>
      <c r="I39" s="32" t="s">
        <v>17</v>
      </c>
      <c r="J39" s="22">
        <v>79771692</v>
      </c>
      <c r="K39" s="22" t="s">
        <v>4861</v>
      </c>
      <c r="L39" s="22" t="s">
        <v>4862</v>
      </c>
      <c r="M39" s="39">
        <v>179900</v>
      </c>
      <c r="N39" s="35">
        <v>0.9</v>
      </c>
      <c r="O39" s="34">
        <f t="shared" si="2"/>
        <v>17990</v>
      </c>
      <c r="P39" s="6" t="s">
        <v>16</v>
      </c>
    </row>
    <row r="40" spans="1:16" x14ac:dyDescent="0.35">
      <c r="A40" s="32" t="s">
        <v>6426</v>
      </c>
      <c r="B40" s="7">
        <f t="shared" si="0"/>
        <v>46121</v>
      </c>
      <c r="C40" s="7">
        <f t="shared" si="1"/>
        <v>46127</v>
      </c>
      <c r="D40" s="6">
        <v>3284</v>
      </c>
      <c r="E40" s="6">
        <v>338</v>
      </c>
      <c r="F40" s="6">
        <v>4</v>
      </c>
      <c r="G40" s="32">
        <v>3</v>
      </c>
      <c r="H40" s="32">
        <v>81421</v>
      </c>
      <c r="I40" s="32" t="s">
        <v>17</v>
      </c>
      <c r="J40" s="22">
        <v>79771709</v>
      </c>
      <c r="K40" s="22" t="s">
        <v>4861</v>
      </c>
      <c r="L40" s="22" t="s">
        <v>4863</v>
      </c>
      <c r="M40" s="39">
        <v>179900</v>
      </c>
      <c r="N40" s="35">
        <v>0.9</v>
      </c>
      <c r="O40" s="34">
        <f t="shared" si="2"/>
        <v>17990</v>
      </c>
      <c r="P40" s="6" t="s">
        <v>16</v>
      </c>
    </row>
    <row r="41" spans="1:16" x14ac:dyDescent="0.35">
      <c r="A41" s="32" t="s">
        <v>6426</v>
      </c>
      <c r="B41" s="7">
        <f t="shared" si="0"/>
        <v>46121</v>
      </c>
      <c r="C41" s="7">
        <f t="shared" si="1"/>
        <v>46127</v>
      </c>
      <c r="D41" s="6">
        <v>3284</v>
      </c>
      <c r="E41" s="6">
        <v>338</v>
      </c>
      <c r="F41" s="6">
        <v>4</v>
      </c>
      <c r="G41" s="32">
        <v>3</v>
      </c>
      <c r="H41" s="32">
        <v>81421</v>
      </c>
      <c r="I41" s="32" t="s">
        <v>17</v>
      </c>
      <c r="J41" s="22">
        <v>79771718</v>
      </c>
      <c r="K41" s="22" t="s">
        <v>4861</v>
      </c>
      <c r="L41" s="22" t="s">
        <v>4864</v>
      </c>
      <c r="M41" s="39">
        <v>179900</v>
      </c>
      <c r="N41" s="35">
        <v>0.9</v>
      </c>
      <c r="O41" s="34">
        <f t="shared" si="2"/>
        <v>17990</v>
      </c>
      <c r="P41" s="6" t="s">
        <v>16</v>
      </c>
    </row>
    <row r="42" spans="1:16" x14ac:dyDescent="0.35">
      <c r="A42" s="32" t="s">
        <v>6426</v>
      </c>
      <c r="B42" s="7">
        <f t="shared" si="0"/>
        <v>46121</v>
      </c>
      <c r="C42" s="7">
        <f t="shared" si="1"/>
        <v>46127</v>
      </c>
      <c r="D42" s="6">
        <v>3284</v>
      </c>
      <c r="E42" s="6">
        <v>338</v>
      </c>
      <c r="F42" s="6">
        <v>4</v>
      </c>
      <c r="G42" s="32">
        <v>3</v>
      </c>
      <c r="H42" s="32">
        <v>81421</v>
      </c>
      <c r="I42" s="32" t="s">
        <v>17</v>
      </c>
      <c r="J42" s="22">
        <v>81270451</v>
      </c>
      <c r="K42" s="22" t="s">
        <v>1149</v>
      </c>
      <c r="L42" s="22" t="s">
        <v>1150</v>
      </c>
      <c r="M42" s="39">
        <v>179900</v>
      </c>
      <c r="N42" s="35">
        <v>0.9</v>
      </c>
      <c r="O42" s="34">
        <f t="shared" si="2"/>
        <v>17990</v>
      </c>
      <c r="P42" s="6" t="s">
        <v>16</v>
      </c>
    </row>
    <row r="43" spans="1:16" x14ac:dyDescent="0.35">
      <c r="A43" s="32" t="s">
        <v>6426</v>
      </c>
      <c r="B43" s="7">
        <f t="shared" si="0"/>
        <v>46121</v>
      </c>
      <c r="C43" s="7">
        <f t="shared" si="1"/>
        <v>46127</v>
      </c>
      <c r="D43" s="6">
        <v>3284</v>
      </c>
      <c r="E43" s="6">
        <v>338</v>
      </c>
      <c r="F43" s="6">
        <v>4</v>
      </c>
      <c r="G43" s="32">
        <v>3</v>
      </c>
      <c r="H43" s="32">
        <v>81421</v>
      </c>
      <c r="I43" s="32" t="s">
        <v>17</v>
      </c>
      <c r="J43" s="22">
        <v>81270479</v>
      </c>
      <c r="K43" s="22" t="s">
        <v>1149</v>
      </c>
      <c r="L43" s="22" t="s">
        <v>1151</v>
      </c>
      <c r="M43" s="39">
        <v>179900</v>
      </c>
      <c r="N43" s="35">
        <v>0.9</v>
      </c>
      <c r="O43" s="34">
        <f t="shared" si="2"/>
        <v>17990</v>
      </c>
      <c r="P43" s="6" t="s">
        <v>16</v>
      </c>
    </row>
    <row r="44" spans="1:16" x14ac:dyDescent="0.35">
      <c r="A44" s="32" t="s">
        <v>6426</v>
      </c>
      <c r="B44" s="7">
        <f t="shared" si="0"/>
        <v>46121</v>
      </c>
      <c r="C44" s="7">
        <f t="shared" si="1"/>
        <v>46127</v>
      </c>
      <c r="D44" s="6">
        <v>3284</v>
      </c>
      <c r="E44" s="6">
        <v>338</v>
      </c>
      <c r="F44" s="6">
        <v>4</v>
      </c>
      <c r="G44" s="32">
        <v>3</v>
      </c>
      <c r="H44" s="32">
        <v>81676</v>
      </c>
      <c r="I44" s="32" t="s">
        <v>17</v>
      </c>
      <c r="J44" s="22">
        <v>79863575</v>
      </c>
      <c r="K44" s="22" t="s">
        <v>1202</v>
      </c>
      <c r="L44" s="22" t="s">
        <v>1203</v>
      </c>
      <c r="M44" s="39">
        <v>169900</v>
      </c>
      <c r="N44" s="35">
        <v>0.9</v>
      </c>
      <c r="O44" s="34">
        <f t="shared" si="2"/>
        <v>16990</v>
      </c>
      <c r="P44" s="6" t="s">
        <v>16</v>
      </c>
    </row>
    <row r="45" spans="1:16" x14ac:dyDescent="0.35">
      <c r="A45" s="32" t="s">
        <v>6426</v>
      </c>
      <c r="B45" s="7">
        <f t="shared" si="0"/>
        <v>46121</v>
      </c>
      <c r="C45" s="7">
        <f t="shared" si="1"/>
        <v>46127</v>
      </c>
      <c r="D45" s="6">
        <v>3284</v>
      </c>
      <c r="E45" s="6">
        <v>338</v>
      </c>
      <c r="F45" s="6">
        <v>4</v>
      </c>
      <c r="G45" s="32">
        <v>3</v>
      </c>
      <c r="H45" s="32">
        <v>81676</v>
      </c>
      <c r="I45" s="32" t="s">
        <v>17</v>
      </c>
      <c r="J45" s="22">
        <v>79863600</v>
      </c>
      <c r="K45" s="22" t="s">
        <v>1204</v>
      </c>
      <c r="L45" s="22" t="s">
        <v>1205</v>
      </c>
      <c r="M45" s="39">
        <v>169900</v>
      </c>
      <c r="N45" s="35">
        <v>0.9</v>
      </c>
      <c r="O45" s="34">
        <f t="shared" si="2"/>
        <v>16990</v>
      </c>
      <c r="P45" s="6" t="s">
        <v>16</v>
      </c>
    </row>
    <row r="46" spans="1:16" x14ac:dyDescent="0.35">
      <c r="A46" s="32" t="s">
        <v>6426</v>
      </c>
      <c r="B46" s="7">
        <f t="shared" si="0"/>
        <v>46121</v>
      </c>
      <c r="C46" s="7">
        <f t="shared" si="1"/>
        <v>46127</v>
      </c>
      <c r="D46" s="6">
        <v>3284</v>
      </c>
      <c r="E46" s="6">
        <v>338</v>
      </c>
      <c r="F46" s="6">
        <v>4</v>
      </c>
      <c r="G46" s="32">
        <v>3</v>
      </c>
      <c r="H46" s="32">
        <v>81676</v>
      </c>
      <c r="I46" s="32" t="s">
        <v>17</v>
      </c>
      <c r="J46" s="22">
        <v>79863619</v>
      </c>
      <c r="K46" s="22" t="s">
        <v>1204</v>
      </c>
      <c r="L46" s="22" t="s">
        <v>1206</v>
      </c>
      <c r="M46" s="39">
        <v>169900</v>
      </c>
      <c r="N46" s="35">
        <v>0.9</v>
      </c>
      <c r="O46" s="34">
        <f t="shared" si="2"/>
        <v>16990</v>
      </c>
      <c r="P46" s="6" t="s">
        <v>16</v>
      </c>
    </row>
    <row r="47" spans="1:16" x14ac:dyDescent="0.35">
      <c r="A47" s="32" t="s">
        <v>6426</v>
      </c>
      <c r="B47" s="7">
        <f t="shared" si="0"/>
        <v>46121</v>
      </c>
      <c r="C47" s="7">
        <f t="shared" si="1"/>
        <v>46127</v>
      </c>
      <c r="D47" s="6">
        <v>3284</v>
      </c>
      <c r="E47" s="6">
        <v>338</v>
      </c>
      <c r="F47" s="6">
        <v>4</v>
      </c>
      <c r="G47" s="32">
        <v>3</v>
      </c>
      <c r="H47" s="32">
        <v>81676</v>
      </c>
      <c r="I47" s="32" t="s">
        <v>17</v>
      </c>
      <c r="J47" s="22">
        <v>79863628</v>
      </c>
      <c r="K47" s="22" t="s">
        <v>1204</v>
      </c>
      <c r="L47" s="22" t="s">
        <v>1207</v>
      </c>
      <c r="M47" s="39">
        <v>169900</v>
      </c>
      <c r="N47" s="35">
        <v>0.9</v>
      </c>
      <c r="O47" s="34">
        <f t="shared" si="2"/>
        <v>16990</v>
      </c>
      <c r="P47" s="6" t="s">
        <v>16</v>
      </c>
    </row>
    <row r="48" spans="1:16" x14ac:dyDescent="0.35">
      <c r="A48" s="32" t="s">
        <v>6426</v>
      </c>
      <c r="B48" s="7">
        <f t="shared" si="0"/>
        <v>46121</v>
      </c>
      <c r="C48" s="7">
        <f t="shared" si="1"/>
        <v>46127</v>
      </c>
      <c r="D48" s="6">
        <v>3284</v>
      </c>
      <c r="E48" s="6">
        <v>338</v>
      </c>
      <c r="F48" s="6">
        <v>4</v>
      </c>
      <c r="G48" s="32">
        <v>3</v>
      </c>
      <c r="H48" s="32">
        <v>81676</v>
      </c>
      <c r="I48" s="32" t="s">
        <v>17</v>
      </c>
      <c r="J48" s="22">
        <v>81270586</v>
      </c>
      <c r="K48" s="22" t="s">
        <v>1258</v>
      </c>
      <c r="L48" s="22" t="s">
        <v>1259</v>
      </c>
      <c r="M48" s="39">
        <v>169900</v>
      </c>
      <c r="N48" s="35">
        <v>0.9</v>
      </c>
      <c r="O48" s="34">
        <f t="shared" si="2"/>
        <v>16990</v>
      </c>
      <c r="P48" s="6" t="s">
        <v>16</v>
      </c>
    </row>
    <row r="49" spans="1:16" x14ac:dyDescent="0.35">
      <c r="A49" s="32" t="s">
        <v>6426</v>
      </c>
      <c r="B49" s="7">
        <f t="shared" si="0"/>
        <v>46121</v>
      </c>
      <c r="C49" s="7">
        <f t="shared" si="1"/>
        <v>46127</v>
      </c>
      <c r="D49" s="6">
        <v>3284</v>
      </c>
      <c r="E49" s="6">
        <v>338</v>
      </c>
      <c r="F49" s="6">
        <v>4</v>
      </c>
      <c r="G49" s="32">
        <v>3</v>
      </c>
      <c r="H49" s="32">
        <v>81676</v>
      </c>
      <c r="I49" s="32" t="s">
        <v>17</v>
      </c>
      <c r="J49" s="22">
        <v>81270595</v>
      </c>
      <c r="K49" s="22" t="s">
        <v>1258</v>
      </c>
      <c r="L49" s="22" t="s">
        <v>1260</v>
      </c>
      <c r="M49" s="39">
        <v>169900</v>
      </c>
      <c r="N49" s="35">
        <v>0.9</v>
      </c>
      <c r="O49" s="34">
        <f t="shared" si="2"/>
        <v>16990</v>
      </c>
      <c r="P49" s="6" t="s">
        <v>16</v>
      </c>
    </row>
    <row r="50" spans="1:16" x14ac:dyDescent="0.35">
      <c r="A50" s="32" t="s">
        <v>6426</v>
      </c>
      <c r="B50" s="7">
        <f t="shared" si="0"/>
        <v>46121</v>
      </c>
      <c r="C50" s="7">
        <f t="shared" si="1"/>
        <v>46127</v>
      </c>
      <c r="D50" s="6">
        <v>3284</v>
      </c>
      <c r="E50" s="6">
        <v>338</v>
      </c>
      <c r="F50" s="6">
        <v>4</v>
      </c>
      <c r="G50" s="32">
        <v>3</v>
      </c>
      <c r="H50" s="32">
        <v>81676</v>
      </c>
      <c r="I50" s="32" t="s">
        <v>17</v>
      </c>
      <c r="J50" s="22">
        <v>81270602</v>
      </c>
      <c r="K50" s="22" t="s">
        <v>1258</v>
      </c>
      <c r="L50" s="22" t="s">
        <v>1261</v>
      </c>
      <c r="M50" s="39">
        <v>169900</v>
      </c>
      <c r="N50" s="35">
        <v>0.9</v>
      </c>
      <c r="O50" s="34">
        <f t="shared" si="2"/>
        <v>16990</v>
      </c>
      <c r="P50" s="6" t="s">
        <v>16</v>
      </c>
    </row>
    <row r="51" spans="1:16" x14ac:dyDescent="0.35">
      <c r="A51" s="32" t="s">
        <v>6426</v>
      </c>
      <c r="B51" s="7">
        <f t="shared" si="0"/>
        <v>46121</v>
      </c>
      <c r="C51" s="7">
        <f t="shared" si="1"/>
        <v>46127</v>
      </c>
      <c r="D51" s="6">
        <v>3284</v>
      </c>
      <c r="E51" s="6">
        <v>338</v>
      </c>
      <c r="F51" s="6">
        <v>4</v>
      </c>
      <c r="G51" s="32">
        <v>3</v>
      </c>
      <c r="H51" s="32">
        <v>81676</v>
      </c>
      <c r="I51" s="32" t="s">
        <v>17</v>
      </c>
      <c r="J51" s="22">
        <v>87629830</v>
      </c>
      <c r="K51" s="22" t="s">
        <v>1154</v>
      </c>
      <c r="L51" s="22" t="s">
        <v>1155</v>
      </c>
      <c r="M51" s="39">
        <v>169900</v>
      </c>
      <c r="N51" s="35">
        <v>0.9</v>
      </c>
      <c r="O51" s="34">
        <f t="shared" si="2"/>
        <v>16990</v>
      </c>
      <c r="P51" s="6" t="s">
        <v>16</v>
      </c>
    </row>
    <row r="52" spans="1:16" x14ac:dyDescent="0.35">
      <c r="A52" s="32" t="s">
        <v>6426</v>
      </c>
      <c r="B52" s="7">
        <f t="shared" si="0"/>
        <v>46121</v>
      </c>
      <c r="C52" s="7">
        <f t="shared" si="1"/>
        <v>46127</v>
      </c>
      <c r="D52" s="6">
        <v>3284</v>
      </c>
      <c r="E52" s="6">
        <v>338</v>
      </c>
      <c r="F52" s="6">
        <v>4</v>
      </c>
      <c r="G52" s="32">
        <v>3</v>
      </c>
      <c r="H52" s="32">
        <v>81676</v>
      </c>
      <c r="I52" s="32" t="s">
        <v>17</v>
      </c>
      <c r="J52" s="22">
        <v>87629849</v>
      </c>
      <c r="K52" s="22" t="s">
        <v>1154</v>
      </c>
      <c r="L52" s="22" t="s">
        <v>1156</v>
      </c>
      <c r="M52" s="39">
        <v>169900</v>
      </c>
      <c r="N52" s="35">
        <v>0.9</v>
      </c>
      <c r="O52" s="34">
        <f t="shared" si="2"/>
        <v>16990</v>
      </c>
      <c r="P52" s="6" t="s">
        <v>16</v>
      </c>
    </row>
    <row r="53" spans="1:16" x14ac:dyDescent="0.35">
      <c r="A53" s="32" t="s">
        <v>6426</v>
      </c>
      <c r="B53" s="7">
        <f t="shared" si="0"/>
        <v>46121</v>
      </c>
      <c r="C53" s="7">
        <f t="shared" si="1"/>
        <v>46127</v>
      </c>
      <c r="D53" s="6">
        <v>3284</v>
      </c>
      <c r="E53" s="6">
        <v>338</v>
      </c>
      <c r="F53" s="6">
        <v>4</v>
      </c>
      <c r="G53" s="32">
        <v>3</v>
      </c>
      <c r="H53" s="32">
        <v>81574</v>
      </c>
      <c r="I53" s="32" t="s">
        <v>17</v>
      </c>
      <c r="J53" s="22">
        <v>81802420</v>
      </c>
      <c r="K53" s="22" t="s">
        <v>1152</v>
      </c>
      <c r="L53" s="22" t="s">
        <v>1153</v>
      </c>
      <c r="M53" s="39">
        <v>179900</v>
      </c>
      <c r="N53" s="35">
        <v>0.9</v>
      </c>
      <c r="O53" s="34">
        <f t="shared" si="2"/>
        <v>17990</v>
      </c>
      <c r="P53" s="6" t="s">
        <v>16</v>
      </c>
    </row>
    <row r="54" spans="1:16" x14ac:dyDescent="0.35">
      <c r="A54" s="32" t="s">
        <v>6426</v>
      </c>
      <c r="B54" s="7">
        <f t="shared" si="0"/>
        <v>46121</v>
      </c>
      <c r="C54" s="7">
        <f t="shared" si="1"/>
        <v>46127</v>
      </c>
      <c r="D54" s="6">
        <v>3284</v>
      </c>
      <c r="E54" s="6">
        <v>338</v>
      </c>
      <c r="F54" s="6">
        <v>4</v>
      </c>
      <c r="G54" s="32">
        <v>4</v>
      </c>
      <c r="H54" s="32">
        <v>81146</v>
      </c>
      <c r="I54" s="32" t="s">
        <v>17</v>
      </c>
      <c r="J54" s="22">
        <v>81802359</v>
      </c>
      <c r="K54" s="22" t="s">
        <v>2724</v>
      </c>
      <c r="L54" s="22" t="s">
        <v>2725</v>
      </c>
      <c r="M54" s="39">
        <v>199900</v>
      </c>
      <c r="N54" s="35">
        <v>0.9</v>
      </c>
      <c r="O54" s="34">
        <f t="shared" si="2"/>
        <v>19990</v>
      </c>
      <c r="P54" s="6" t="s">
        <v>16</v>
      </c>
    </row>
    <row r="55" spans="1:16" x14ac:dyDescent="0.35">
      <c r="A55" s="32" t="s">
        <v>6426</v>
      </c>
      <c r="B55" s="7">
        <f t="shared" si="0"/>
        <v>46121</v>
      </c>
      <c r="C55" s="7">
        <f t="shared" si="1"/>
        <v>46127</v>
      </c>
      <c r="D55" s="6">
        <v>3284</v>
      </c>
      <c r="E55" s="6">
        <v>338</v>
      </c>
      <c r="F55" s="6">
        <v>4</v>
      </c>
      <c r="G55" s="32">
        <v>4</v>
      </c>
      <c r="H55" s="32">
        <v>81421</v>
      </c>
      <c r="I55" s="32" t="s">
        <v>17</v>
      </c>
      <c r="J55" s="22">
        <v>75960520</v>
      </c>
      <c r="K55" s="22" t="s">
        <v>1168</v>
      </c>
      <c r="L55" s="22" t="s">
        <v>1169</v>
      </c>
      <c r="M55" s="39">
        <v>199900</v>
      </c>
      <c r="N55" s="35">
        <v>0.9</v>
      </c>
      <c r="O55" s="34">
        <f t="shared" si="2"/>
        <v>19990</v>
      </c>
      <c r="P55" s="6" t="s">
        <v>16</v>
      </c>
    </row>
    <row r="56" spans="1:16" x14ac:dyDescent="0.35">
      <c r="A56" s="32" t="s">
        <v>6426</v>
      </c>
      <c r="B56" s="7">
        <f t="shared" si="0"/>
        <v>46121</v>
      </c>
      <c r="C56" s="7">
        <f t="shared" si="1"/>
        <v>46127</v>
      </c>
      <c r="D56" s="6">
        <v>3284</v>
      </c>
      <c r="E56" s="6">
        <v>338</v>
      </c>
      <c r="F56" s="6">
        <v>4</v>
      </c>
      <c r="G56" s="32">
        <v>4</v>
      </c>
      <c r="H56" s="32">
        <v>81421</v>
      </c>
      <c r="I56" s="32" t="s">
        <v>17</v>
      </c>
      <c r="J56" s="22">
        <v>76155872</v>
      </c>
      <c r="K56" s="22" t="s">
        <v>1212</v>
      </c>
      <c r="L56" s="22" t="s">
        <v>1213</v>
      </c>
      <c r="M56" s="39">
        <v>199900</v>
      </c>
      <c r="N56" s="35">
        <v>0.9</v>
      </c>
      <c r="O56" s="34">
        <f t="shared" si="2"/>
        <v>19990</v>
      </c>
      <c r="P56" s="6" t="s">
        <v>16</v>
      </c>
    </row>
    <row r="57" spans="1:16" x14ac:dyDescent="0.35">
      <c r="A57" s="32" t="s">
        <v>6426</v>
      </c>
      <c r="B57" s="7">
        <f t="shared" si="0"/>
        <v>46121</v>
      </c>
      <c r="C57" s="7">
        <f t="shared" si="1"/>
        <v>46127</v>
      </c>
      <c r="D57" s="6">
        <v>3284</v>
      </c>
      <c r="E57" s="6">
        <v>338</v>
      </c>
      <c r="F57" s="6">
        <v>4</v>
      </c>
      <c r="G57" s="32">
        <v>4</v>
      </c>
      <c r="H57" s="32">
        <v>81421</v>
      </c>
      <c r="I57" s="32" t="s">
        <v>17</v>
      </c>
      <c r="J57" s="22">
        <v>76160320</v>
      </c>
      <c r="K57" s="22" t="s">
        <v>1212</v>
      </c>
      <c r="L57" s="22" t="s">
        <v>1214</v>
      </c>
      <c r="M57" s="39">
        <v>199900</v>
      </c>
      <c r="N57" s="35">
        <v>0.9</v>
      </c>
      <c r="O57" s="34">
        <f t="shared" si="2"/>
        <v>19990</v>
      </c>
      <c r="P57" s="6" t="s">
        <v>16</v>
      </c>
    </row>
    <row r="58" spans="1:16" x14ac:dyDescent="0.35">
      <c r="A58" s="32" t="s">
        <v>6426</v>
      </c>
      <c r="B58" s="7">
        <f t="shared" si="0"/>
        <v>46121</v>
      </c>
      <c r="C58" s="7">
        <f t="shared" si="1"/>
        <v>46127</v>
      </c>
      <c r="D58" s="6">
        <v>3284</v>
      </c>
      <c r="E58" s="6">
        <v>338</v>
      </c>
      <c r="F58" s="6">
        <v>4</v>
      </c>
      <c r="G58" s="32">
        <v>4</v>
      </c>
      <c r="H58" s="32">
        <v>81421</v>
      </c>
      <c r="I58" s="32" t="s">
        <v>17</v>
      </c>
      <c r="J58" s="22">
        <v>79584699</v>
      </c>
      <c r="K58" s="22" t="s">
        <v>1262</v>
      </c>
      <c r="L58" s="22" t="s">
        <v>1263</v>
      </c>
      <c r="M58" s="39">
        <v>219900</v>
      </c>
      <c r="N58" s="35">
        <v>0.9</v>
      </c>
      <c r="O58" s="34">
        <f t="shared" si="2"/>
        <v>21990</v>
      </c>
      <c r="P58" s="6" t="s">
        <v>16</v>
      </c>
    </row>
    <row r="59" spans="1:16" x14ac:dyDescent="0.35">
      <c r="A59" s="32" t="s">
        <v>6426</v>
      </c>
      <c r="B59" s="7">
        <f t="shared" si="0"/>
        <v>46121</v>
      </c>
      <c r="C59" s="7">
        <f t="shared" si="1"/>
        <v>46127</v>
      </c>
      <c r="D59" s="6">
        <v>3284</v>
      </c>
      <c r="E59" s="6">
        <v>338</v>
      </c>
      <c r="F59" s="6">
        <v>4</v>
      </c>
      <c r="G59" s="32">
        <v>4</v>
      </c>
      <c r="H59" s="32">
        <v>81421</v>
      </c>
      <c r="I59" s="32" t="s">
        <v>17</v>
      </c>
      <c r="J59" s="22">
        <v>79584724</v>
      </c>
      <c r="K59" s="22" t="s">
        <v>1264</v>
      </c>
      <c r="L59" s="22" t="s">
        <v>1265</v>
      </c>
      <c r="M59" s="39">
        <v>199900</v>
      </c>
      <c r="N59" s="35">
        <v>0.9</v>
      </c>
      <c r="O59" s="34">
        <f t="shared" si="2"/>
        <v>19990</v>
      </c>
      <c r="P59" s="6" t="s">
        <v>16</v>
      </c>
    </row>
    <row r="60" spans="1:16" x14ac:dyDescent="0.35">
      <c r="A60" s="32" t="s">
        <v>6426</v>
      </c>
      <c r="B60" s="7">
        <f t="shared" si="0"/>
        <v>46121</v>
      </c>
      <c r="C60" s="7">
        <f t="shared" si="1"/>
        <v>46127</v>
      </c>
      <c r="D60" s="6">
        <v>3284</v>
      </c>
      <c r="E60" s="6">
        <v>338</v>
      </c>
      <c r="F60" s="6">
        <v>4</v>
      </c>
      <c r="G60" s="32">
        <v>4</v>
      </c>
      <c r="H60" s="32">
        <v>81421</v>
      </c>
      <c r="I60" s="32" t="s">
        <v>17</v>
      </c>
      <c r="J60" s="22">
        <v>79584788</v>
      </c>
      <c r="K60" s="22" t="s">
        <v>1266</v>
      </c>
      <c r="L60" s="22" t="s">
        <v>1267</v>
      </c>
      <c r="M60" s="39">
        <v>199900</v>
      </c>
      <c r="N60" s="35">
        <v>0.9</v>
      </c>
      <c r="O60" s="34">
        <f t="shared" si="2"/>
        <v>19990</v>
      </c>
      <c r="P60" s="6" t="s">
        <v>16</v>
      </c>
    </row>
    <row r="61" spans="1:16" x14ac:dyDescent="0.35">
      <c r="A61" s="32" t="s">
        <v>6426</v>
      </c>
      <c r="B61" s="7">
        <f t="shared" si="0"/>
        <v>46121</v>
      </c>
      <c r="C61" s="7">
        <f t="shared" si="1"/>
        <v>46127</v>
      </c>
      <c r="D61" s="6">
        <v>3284</v>
      </c>
      <c r="E61" s="6">
        <v>338</v>
      </c>
      <c r="F61" s="6">
        <v>4</v>
      </c>
      <c r="G61" s="32">
        <v>4</v>
      </c>
      <c r="H61" s="32">
        <v>81421</v>
      </c>
      <c r="I61" s="32" t="s">
        <v>17</v>
      </c>
      <c r="J61" s="22">
        <v>79584822</v>
      </c>
      <c r="K61" s="22" t="s">
        <v>1215</v>
      </c>
      <c r="L61" s="22" t="s">
        <v>1216</v>
      </c>
      <c r="M61" s="39">
        <v>219900</v>
      </c>
      <c r="N61" s="35">
        <v>0.9</v>
      </c>
      <c r="O61" s="34">
        <f t="shared" si="2"/>
        <v>21990</v>
      </c>
      <c r="P61" s="6" t="s">
        <v>16</v>
      </c>
    </row>
    <row r="62" spans="1:16" x14ac:dyDescent="0.35">
      <c r="A62" s="32" t="s">
        <v>6426</v>
      </c>
      <c r="B62" s="7">
        <f t="shared" si="0"/>
        <v>46121</v>
      </c>
      <c r="C62" s="7">
        <f t="shared" si="1"/>
        <v>46127</v>
      </c>
      <c r="D62" s="6">
        <v>3284</v>
      </c>
      <c r="E62" s="6">
        <v>338</v>
      </c>
      <c r="F62" s="6">
        <v>4</v>
      </c>
      <c r="G62" s="32">
        <v>4</v>
      </c>
      <c r="H62" s="32">
        <v>81421</v>
      </c>
      <c r="I62" s="32" t="s">
        <v>17</v>
      </c>
      <c r="J62" s="22">
        <v>79863646</v>
      </c>
      <c r="K62" s="22" t="s">
        <v>1221</v>
      </c>
      <c r="L62" s="22" t="s">
        <v>1222</v>
      </c>
      <c r="M62" s="39">
        <v>219900</v>
      </c>
      <c r="N62" s="35">
        <v>0.9</v>
      </c>
      <c r="O62" s="34">
        <f t="shared" si="2"/>
        <v>21990</v>
      </c>
      <c r="P62" s="6" t="s">
        <v>16</v>
      </c>
    </row>
    <row r="63" spans="1:16" x14ac:dyDescent="0.35">
      <c r="A63" s="32" t="s">
        <v>6426</v>
      </c>
      <c r="B63" s="7">
        <f t="shared" si="0"/>
        <v>46121</v>
      </c>
      <c r="C63" s="7">
        <f t="shared" si="1"/>
        <v>46127</v>
      </c>
      <c r="D63" s="6">
        <v>3284</v>
      </c>
      <c r="E63" s="6">
        <v>338</v>
      </c>
      <c r="F63" s="6">
        <v>4</v>
      </c>
      <c r="G63" s="32">
        <v>4</v>
      </c>
      <c r="H63" s="32">
        <v>190</v>
      </c>
      <c r="I63" s="32" t="s">
        <v>17</v>
      </c>
      <c r="J63" s="22">
        <v>76155710</v>
      </c>
      <c r="K63" s="22" t="s">
        <v>1170</v>
      </c>
      <c r="L63" s="22" t="s">
        <v>1171</v>
      </c>
      <c r="M63" s="39">
        <v>219900</v>
      </c>
      <c r="N63" s="35">
        <v>0.9</v>
      </c>
      <c r="O63" s="34">
        <f t="shared" si="2"/>
        <v>21990</v>
      </c>
      <c r="P63" s="6" t="s">
        <v>16</v>
      </c>
    </row>
    <row r="64" spans="1:16" x14ac:dyDescent="0.35">
      <c r="A64" s="32" t="s">
        <v>6426</v>
      </c>
      <c r="B64" s="7">
        <f t="shared" si="0"/>
        <v>46121</v>
      </c>
      <c r="C64" s="7">
        <f t="shared" si="1"/>
        <v>46127</v>
      </c>
      <c r="D64" s="6">
        <v>3284</v>
      </c>
      <c r="E64" s="6">
        <v>338</v>
      </c>
      <c r="F64" s="6">
        <v>4</v>
      </c>
      <c r="G64" s="32">
        <v>4</v>
      </c>
      <c r="H64" s="32">
        <v>190</v>
      </c>
      <c r="I64" s="32" t="s">
        <v>17</v>
      </c>
      <c r="J64" s="22">
        <v>76155729</v>
      </c>
      <c r="K64" s="22" t="s">
        <v>1170</v>
      </c>
      <c r="L64" s="22" t="s">
        <v>1172</v>
      </c>
      <c r="M64" s="39">
        <v>219900</v>
      </c>
      <c r="N64" s="35">
        <v>0.9</v>
      </c>
      <c r="O64" s="34">
        <f t="shared" si="2"/>
        <v>21990</v>
      </c>
      <c r="P64" s="6" t="s">
        <v>16</v>
      </c>
    </row>
    <row r="65" spans="1:16" x14ac:dyDescent="0.35">
      <c r="A65" s="32" t="s">
        <v>6426</v>
      </c>
      <c r="B65" s="7">
        <f t="shared" si="0"/>
        <v>46121</v>
      </c>
      <c r="C65" s="7">
        <f t="shared" si="1"/>
        <v>46127</v>
      </c>
      <c r="D65" s="6">
        <v>3284</v>
      </c>
      <c r="E65" s="6">
        <v>338</v>
      </c>
      <c r="F65" s="6">
        <v>4</v>
      </c>
      <c r="G65" s="32">
        <v>4</v>
      </c>
      <c r="H65" s="32">
        <v>190</v>
      </c>
      <c r="I65" s="32" t="s">
        <v>17</v>
      </c>
      <c r="J65" s="22">
        <v>76160277</v>
      </c>
      <c r="K65" s="22" t="s">
        <v>1170</v>
      </c>
      <c r="L65" s="22" t="s">
        <v>1173</v>
      </c>
      <c r="M65" s="39">
        <v>219900</v>
      </c>
      <c r="N65" s="35">
        <v>0.9</v>
      </c>
      <c r="O65" s="34">
        <f t="shared" si="2"/>
        <v>21990</v>
      </c>
      <c r="P65" s="6" t="s">
        <v>16</v>
      </c>
    </row>
    <row r="66" spans="1:16" x14ac:dyDescent="0.35">
      <c r="A66" s="32" t="s">
        <v>6426</v>
      </c>
      <c r="B66" s="7">
        <f t="shared" si="0"/>
        <v>46121</v>
      </c>
      <c r="C66" s="7">
        <f t="shared" si="1"/>
        <v>46127</v>
      </c>
      <c r="D66" s="6">
        <v>3284</v>
      </c>
      <c r="E66" s="6">
        <v>338</v>
      </c>
      <c r="F66" s="6">
        <v>4</v>
      </c>
      <c r="G66" s="32">
        <v>4</v>
      </c>
      <c r="H66" s="32">
        <v>190</v>
      </c>
      <c r="I66" s="32" t="s">
        <v>17</v>
      </c>
      <c r="J66" s="22">
        <v>65072777</v>
      </c>
      <c r="K66" s="22" t="s">
        <v>1208</v>
      </c>
      <c r="L66" s="22" t="s">
        <v>1209</v>
      </c>
      <c r="M66" s="39">
        <v>219900</v>
      </c>
      <c r="N66" s="35">
        <v>0.9</v>
      </c>
      <c r="O66" s="34">
        <f t="shared" si="2"/>
        <v>21990</v>
      </c>
      <c r="P66" s="6" t="s">
        <v>16</v>
      </c>
    </row>
    <row r="67" spans="1:16" x14ac:dyDescent="0.35">
      <c r="A67" s="32" t="s">
        <v>6426</v>
      </c>
      <c r="B67" s="7">
        <f t="shared" si="0"/>
        <v>46121</v>
      </c>
      <c r="C67" s="7">
        <f t="shared" si="1"/>
        <v>46127</v>
      </c>
      <c r="D67" s="6">
        <v>3284</v>
      </c>
      <c r="E67" s="6">
        <v>338</v>
      </c>
      <c r="F67" s="6">
        <v>4</v>
      </c>
      <c r="G67" s="32">
        <v>4</v>
      </c>
      <c r="H67" s="32">
        <v>190</v>
      </c>
      <c r="I67" s="32" t="s">
        <v>17</v>
      </c>
      <c r="J67" s="22">
        <v>65072786</v>
      </c>
      <c r="K67" s="22" t="s">
        <v>1208</v>
      </c>
      <c r="L67" s="22" t="s">
        <v>1210</v>
      </c>
      <c r="M67" s="39">
        <v>219900</v>
      </c>
      <c r="N67" s="35">
        <v>0.9</v>
      </c>
      <c r="O67" s="34">
        <f t="shared" si="2"/>
        <v>21990</v>
      </c>
      <c r="P67" s="6" t="s">
        <v>16</v>
      </c>
    </row>
    <row r="68" spans="1:16" x14ac:dyDescent="0.35">
      <c r="A68" s="32" t="s">
        <v>6426</v>
      </c>
      <c r="B68" s="7">
        <f t="shared" ref="B68:B131" si="3">B67</f>
        <v>46121</v>
      </c>
      <c r="C68" s="7">
        <f t="shared" ref="C68:C131" si="4">C67</f>
        <v>46127</v>
      </c>
      <c r="D68" s="6">
        <v>3284</v>
      </c>
      <c r="E68" s="6">
        <v>338</v>
      </c>
      <c r="F68" s="6">
        <v>4</v>
      </c>
      <c r="G68" s="32">
        <v>4</v>
      </c>
      <c r="H68" s="32">
        <v>190</v>
      </c>
      <c r="I68" s="32" t="s">
        <v>17</v>
      </c>
      <c r="J68" s="22">
        <v>65072795</v>
      </c>
      <c r="K68" s="22" t="s">
        <v>1208</v>
      </c>
      <c r="L68" s="22" t="s">
        <v>1211</v>
      </c>
      <c r="M68" s="39">
        <v>219900</v>
      </c>
      <c r="N68" s="35">
        <v>0.9</v>
      </c>
      <c r="O68" s="34">
        <f t="shared" ref="O68:O131" si="5">M68-((90*M68)/100)</f>
        <v>21990</v>
      </c>
      <c r="P68" s="6" t="s">
        <v>16</v>
      </c>
    </row>
    <row r="69" spans="1:16" x14ac:dyDescent="0.35">
      <c r="A69" s="32" t="s">
        <v>6426</v>
      </c>
      <c r="B69" s="7">
        <f t="shared" si="3"/>
        <v>46121</v>
      </c>
      <c r="C69" s="7">
        <f t="shared" si="4"/>
        <v>46127</v>
      </c>
      <c r="D69" s="6">
        <v>3284</v>
      </c>
      <c r="E69" s="6">
        <v>338</v>
      </c>
      <c r="F69" s="6">
        <v>4</v>
      </c>
      <c r="G69" s="32">
        <v>4</v>
      </c>
      <c r="H69" s="32">
        <v>81574</v>
      </c>
      <c r="I69" s="32" t="s">
        <v>17</v>
      </c>
      <c r="J69" s="22">
        <v>79584877</v>
      </c>
      <c r="K69" s="22" t="s">
        <v>1217</v>
      </c>
      <c r="L69" s="22" t="s">
        <v>1218</v>
      </c>
      <c r="M69" s="39">
        <v>159900</v>
      </c>
      <c r="N69" s="35">
        <v>0.9</v>
      </c>
      <c r="O69" s="34">
        <f t="shared" si="5"/>
        <v>15990</v>
      </c>
      <c r="P69" s="6" t="s">
        <v>16</v>
      </c>
    </row>
    <row r="70" spans="1:16" x14ac:dyDescent="0.35">
      <c r="A70" s="32" t="s">
        <v>6426</v>
      </c>
      <c r="B70" s="7">
        <f t="shared" si="3"/>
        <v>46121</v>
      </c>
      <c r="C70" s="7">
        <f t="shared" si="4"/>
        <v>46127</v>
      </c>
      <c r="D70" s="6">
        <v>3284</v>
      </c>
      <c r="E70" s="6">
        <v>338</v>
      </c>
      <c r="F70" s="6">
        <v>4</v>
      </c>
      <c r="G70" s="32">
        <v>4</v>
      </c>
      <c r="H70" s="32">
        <v>81574</v>
      </c>
      <c r="I70" s="32" t="s">
        <v>17</v>
      </c>
      <c r="J70" s="22">
        <v>79584886</v>
      </c>
      <c r="K70" s="22" t="s">
        <v>1217</v>
      </c>
      <c r="L70" s="22" t="s">
        <v>1219</v>
      </c>
      <c r="M70" s="39">
        <v>159900</v>
      </c>
      <c r="N70" s="35">
        <v>0.9</v>
      </c>
      <c r="O70" s="34">
        <f t="shared" si="5"/>
        <v>15990</v>
      </c>
      <c r="P70" s="6" t="s">
        <v>16</v>
      </c>
    </row>
    <row r="71" spans="1:16" x14ac:dyDescent="0.35">
      <c r="A71" s="32" t="s">
        <v>6426</v>
      </c>
      <c r="B71" s="7">
        <f t="shared" si="3"/>
        <v>46121</v>
      </c>
      <c r="C71" s="7">
        <f t="shared" si="4"/>
        <v>46127</v>
      </c>
      <c r="D71" s="6">
        <v>3284</v>
      </c>
      <c r="E71" s="6">
        <v>338</v>
      </c>
      <c r="F71" s="6">
        <v>4</v>
      </c>
      <c r="G71" s="32">
        <v>4</v>
      </c>
      <c r="H71" s="32">
        <v>81574</v>
      </c>
      <c r="I71" s="32" t="s">
        <v>17</v>
      </c>
      <c r="J71" s="22">
        <v>79584895</v>
      </c>
      <c r="K71" s="22" t="s">
        <v>1217</v>
      </c>
      <c r="L71" s="22" t="s">
        <v>1220</v>
      </c>
      <c r="M71" s="39">
        <v>159900</v>
      </c>
      <c r="N71" s="35">
        <v>0.9</v>
      </c>
      <c r="O71" s="34">
        <f t="shared" si="5"/>
        <v>15990</v>
      </c>
      <c r="P71" s="6" t="s">
        <v>16</v>
      </c>
    </row>
    <row r="72" spans="1:16" x14ac:dyDescent="0.35">
      <c r="A72" s="32" t="s">
        <v>6426</v>
      </c>
      <c r="B72" s="7">
        <f t="shared" si="3"/>
        <v>46121</v>
      </c>
      <c r="C72" s="7">
        <f t="shared" si="4"/>
        <v>46127</v>
      </c>
      <c r="D72" s="6">
        <v>3284</v>
      </c>
      <c r="E72" s="6">
        <v>338</v>
      </c>
      <c r="F72" s="6">
        <v>4</v>
      </c>
      <c r="G72" s="32">
        <v>4</v>
      </c>
      <c r="H72" s="32">
        <v>81574</v>
      </c>
      <c r="I72" s="32" t="s">
        <v>17</v>
      </c>
      <c r="J72" s="22">
        <v>83469654</v>
      </c>
      <c r="K72" s="22" t="s">
        <v>1146</v>
      </c>
      <c r="L72" s="22" t="s">
        <v>1147</v>
      </c>
      <c r="M72" s="39">
        <v>219900</v>
      </c>
      <c r="N72" s="35">
        <v>0.9</v>
      </c>
      <c r="O72" s="34">
        <f t="shared" si="5"/>
        <v>21990</v>
      </c>
      <c r="P72" s="6" t="s">
        <v>16</v>
      </c>
    </row>
    <row r="73" spans="1:16" x14ac:dyDescent="0.35">
      <c r="A73" s="32" t="s">
        <v>6426</v>
      </c>
      <c r="B73" s="7">
        <f t="shared" si="3"/>
        <v>46121</v>
      </c>
      <c r="C73" s="7">
        <f t="shared" si="4"/>
        <v>46127</v>
      </c>
      <c r="D73" s="6">
        <v>3284</v>
      </c>
      <c r="E73" s="6">
        <v>338</v>
      </c>
      <c r="F73" s="6">
        <v>4</v>
      </c>
      <c r="G73" s="32">
        <v>4</v>
      </c>
      <c r="H73" s="32">
        <v>81574</v>
      </c>
      <c r="I73" s="32" t="s">
        <v>17</v>
      </c>
      <c r="J73" s="22">
        <v>83469663</v>
      </c>
      <c r="K73" s="22" t="s">
        <v>1146</v>
      </c>
      <c r="L73" s="22" t="s">
        <v>1148</v>
      </c>
      <c r="M73" s="39">
        <v>219900</v>
      </c>
      <c r="N73" s="35">
        <v>0.9</v>
      </c>
      <c r="O73" s="34">
        <f t="shared" si="5"/>
        <v>21990</v>
      </c>
      <c r="P73" s="6" t="s">
        <v>16</v>
      </c>
    </row>
    <row r="74" spans="1:16" x14ac:dyDescent="0.35">
      <c r="A74" s="32" t="s">
        <v>6426</v>
      </c>
      <c r="B74" s="7">
        <f t="shared" si="3"/>
        <v>46121</v>
      </c>
      <c r="C74" s="7">
        <f t="shared" si="4"/>
        <v>46127</v>
      </c>
      <c r="D74" s="6">
        <v>3284</v>
      </c>
      <c r="E74" s="6">
        <v>338</v>
      </c>
      <c r="F74" s="6">
        <v>4</v>
      </c>
      <c r="G74" s="32">
        <v>5</v>
      </c>
      <c r="H74" s="32">
        <v>81421</v>
      </c>
      <c r="I74" s="32" t="s">
        <v>17</v>
      </c>
      <c r="J74" s="22">
        <v>76155818</v>
      </c>
      <c r="K74" s="22" t="s">
        <v>1174</v>
      </c>
      <c r="L74" s="22" t="s">
        <v>1175</v>
      </c>
      <c r="M74" s="39">
        <v>199900</v>
      </c>
      <c r="N74" s="35">
        <v>0.9</v>
      </c>
      <c r="O74" s="34">
        <f t="shared" si="5"/>
        <v>19990</v>
      </c>
      <c r="P74" s="6" t="s">
        <v>16</v>
      </c>
    </row>
    <row r="75" spans="1:16" x14ac:dyDescent="0.35">
      <c r="A75" s="32" t="s">
        <v>6426</v>
      </c>
      <c r="B75" s="7">
        <f t="shared" si="3"/>
        <v>46121</v>
      </c>
      <c r="C75" s="7">
        <f t="shared" si="4"/>
        <v>46127</v>
      </c>
      <c r="D75" s="6">
        <v>3284</v>
      </c>
      <c r="E75" s="6">
        <v>338</v>
      </c>
      <c r="F75" s="6">
        <v>4</v>
      </c>
      <c r="G75" s="32">
        <v>5</v>
      </c>
      <c r="H75" s="32">
        <v>81421</v>
      </c>
      <c r="I75" s="32" t="s">
        <v>17</v>
      </c>
      <c r="J75" s="22">
        <v>76155827</v>
      </c>
      <c r="K75" s="22" t="s">
        <v>1174</v>
      </c>
      <c r="L75" s="22" t="s">
        <v>1176</v>
      </c>
      <c r="M75" s="39">
        <v>199900</v>
      </c>
      <c r="N75" s="35">
        <v>0.9</v>
      </c>
      <c r="O75" s="34">
        <f t="shared" si="5"/>
        <v>19990</v>
      </c>
      <c r="P75" s="6" t="s">
        <v>16</v>
      </c>
    </row>
    <row r="76" spans="1:16" x14ac:dyDescent="0.35">
      <c r="A76" s="32" t="s">
        <v>6426</v>
      </c>
      <c r="B76" s="7">
        <f t="shared" si="3"/>
        <v>46121</v>
      </c>
      <c r="C76" s="7">
        <f t="shared" si="4"/>
        <v>46127</v>
      </c>
      <c r="D76" s="6">
        <v>3284</v>
      </c>
      <c r="E76" s="6">
        <v>338</v>
      </c>
      <c r="F76" s="6">
        <v>4</v>
      </c>
      <c r="G76" s="32">
        <v>5</v>
      </c>
      <c r="H76" s="32">
        <v>81421</v>
      </c>
      <c r="I76" s="32" t="s">
        <v>17</v>
      </c>
      <c r="J76" s="22">
        <v>76160302</v>
      </c>
      <c r="K76" s="22" t="s">
        <v>1174</v>
      </c>
      <c r="L76" s="22" t="s">
        <v>1177</v>
      </c>
      <c r="M76" s="39">
        <v>199900</v>
      </c>
      <c r="N76" s="35">
        <v>0.9</v>
      </c>
      <c r="O76" s="34">
        <f t="shared" si="5"/>
        <v>19990</v>
      </c>
      <c r="P76" s="6" t="s">
        <v>16</v>
      </c>
    </row>
    <row r="77" spans="1:16" x14ac:dyDescent="0.35">
      <c r="A77" s="32" t="s">
        <v>6426</v>
      </c>
      <c r="B77" s="7">
        <f t="shared" si="3"/>
        <v>46121</v>
      </c>
      <c r="C77" s="7">
        <f t="shared" si="4"/>
        <v>46127</v>
      </c>
      <c r="D77" s="6">
        <v>3284</v>
      </c>
      <c r="E77" s="6">
        <v>338</v>
      </c>
      <c r="F77" s="6">
        <v>4</v>
      </c>
      <c r="G77" s="32">
        <v>5</v>
      </c>
      <c r="H77" s="32">
        <v>81421</v>
      </c>
      <c r="I77" s="32" t="s">
        <v>17</v>
      </c>
      <c r="J77" s="22">
        <v>81294551</v>
      </c>
      <c r="K77" s="22" t="s">
        <v>1272</v>
      </c>
      <c r="L77" s="22" t="s">
        <v>1273</v>
      </c>
      <c r="M77" s="39">
        <v>169900</v>
      </c>
      <c r="N77" s="35">
        <v>0.9</v>
      </c>
      <c r="O77" s="34">
        <f t="shared" si="5"/>
        <v>16990</v>
      </c>
      <c r="P77" s="6" t="s">
        <v>16</v>
      </c>
    </row>
    <row r="78" spans="1:16" x14ac:dyDescent="0.35">
      <c r="A78" s="32" t="s">
        <v>6426</v>
      </c>
      <c r="B78" s="7">
        <f t="shared" si="3"/>
        <v>46121</v>
      </c>
      <c r="C78" s="7">
        <f t="shared" si="4"/>
        <v>46127</v>
      </c>
      <c r="D78" s="6">
        <v>3284</v>
      </c>
      <c r="E78" s="6">
        <v>338</v>
      </c>
      <c r="F78" s="6">
        <v>4</v>
      </c>
      <c r="G78" s="32">
        <v>5</v>
      </c>
      <c r="H78" s="32">
        <v>81421</v>
      </c>
      <c r="I78" s="32" t="s">
        <v>17</v>
      </c>
      <c r="J78" s="22">
        <v>81294560</v>
      </c>
      <c r="K78" s="22" t="s">
        <v>1272</v>
      </c>
      <c r="L78" s="22" t="s">
        <v>1274</v>
      </c>
      <c r="M78" s="39">
        <v>169900</v>
      </c>
      <c r="N78" s="35">
        <v>0.9</v>
      </c>
      <c r="O78" s="34">
        <f t="shared" si="5"/>
        <v>16990</v>
      </c>
      <c r="P78" s="6" t="s">
        <v>16</v>
      </c>
    </row>
    <row r="79" spans="1:16" x14ac:dyDescent="0.35">
      <c r="A79" s="32" t="s">
        <v>6426</v>
      </c>
      <c r="B79" s="7">
        <f t="shared" si="3"/>
        <v>46121</v>
      </c>
      <c r="C79" s="7">
        <f t="shared" si="4"/>
        <v>46127</v>
      </c>
      <c r="D79" s="6">
        <v>3284</v>
      </c>
      <c r="E79" s="6">
        <v>338</v>
      </c>
      <c r="F79" s="6">
        <v>4</v>
      </c>
      <c r="G79" s="32">
        <v>5</v>
      </c>
      <c r="H79" s="32">
        <v>81421</v>
      </c>
      <c r="I79" s="32" t="s">
        <v>17</v>
      </c>
      <c r="J79" s="22">
        <v>81294579</v>
      </c>
      <c r="K79" s="22" t="s">
        <v>1272</v>
      </c>
      <c r="L79" s="22" t="s">
        <v>1275</v>
      </c>
      <c r="M79" s="39">
        <v>169900</v>
      </c>
      <c r="N79" s="35">
        <v>0.9</v>
      </c>
      <c r="O79" s="34">
        <f t="shared" si="5"/>
        <v>16990</v>
      </c>
      <c r="P79" s="6" t="s">
        <v>16</v>
      </c>
    </row>
    <row r="80" spans="1:16" x14ac:dyDescent="0.35">
      <c r="A80" s="32" t="s">
        <v>6426</v>
      </c>
      <c r="B80" s="7">
        <f t="shared" si="3"/>
        <v>46121</v>
      </c>
      <c r="C80" s="7">
        <f t="shared" si="4"/>
        <v>46127</v>
      </c>
      <c r="D80" s="6">
        <v>3284</v>
      </c>
      <c r="E80" s="6">
        <v>338</v>
      </c>
      <c r="F80" s="6">
        <v>4</v>
      </c>
      <c r="G80" s="32">
        <v>5</v>
      </c>
      <c r="H80" s="32">
        <v>81421</v>
      </c>
      <c r="I80" s="32" t="s">
        <v>17</v>
      </c>
      <c r="J80" s="22">
        <v>81294588</v>
      </c>
      <c r="K80" s="22" t="s">
        <v>1272</v>
      </c>
      <c r="L80" s="22" t="s">
        <v>1276</v>
      </c>
      <c r="M80" s="39">
        <v>169900</v>
      </c>
      <c r="N80" s="35">
        <v>0.9</v>
      </c>
      <c r="O80" s="34">
        <f t="shared" si="5"/>
        <v>16990</v>
      </c>
      <c r="P80" s="6" t="s">
        <v>16</v>
      </c>
    </row>
    <row r="81" spans="1:16" x14ac:dyDescent="0.35">
      <c r="A81" s="32" t="s">
        <v>6426</v>
      </c>
      <c r="B81" s="7">
        <f t="shared" si="3"/>
        <v>46121</v>
      </c>
      <c r="C81" s="7">
        <f t="shared" si="4"/>
        <v>46127</v>
      </c>
      <c r="D81" s="6">
        <v>3284</v>
      </c>
      <c r="E81" s="6">
        <v>338</v>
      </c>
      <c r="F81" s="6">
        <v>4</v>
      </c>
      <c r="G81" s="32">
        <v>5</v>
      </c>
      <c r="H81" s="32">
        <v>80920</v>
      </c>
      <c r="I81" s="32" t="s">
        <v>17</v>
      </c>
      <c r="J81" s="22">
        <v>79584573</v>
      </c>
      <c r="K81" s="22" t="s">
        <v>1223</v>
      </c>
      <c r="L81" s="22" t="s">
        <v>1224</v>
      </c>
      <c r="M81" s="39">
        <v>199900</v>
      </c>
      <c r="N81" s="35">
        <v>0.9</v>
      </c>
      <c r="O81" s="34">
        <f t="shared" si="5"/>
        <v>19990</v>
      </c>
      <c r="P81" s="6" t="s">
        <v>16</v>
      </c>
    </row>
    <row r="82" spans="1:16" x14ac:dyDescent="0.35">
      <c r="A82" s="32" t="s">
        <v>6426</v>
      </c>
      <c r="B82" s="7">
        <f t="shared" si="3"/>
        <v>46121</v>
      </c>
      <c r="C82" s="7">
        <f t="shared" si="4"/>
        <v>46127</v>
      </c>
      <c r="D82" s="6">
        <v>3284</v>
      </c>
      <c r="E82" s="6">
        <v>338</v>
      </c>
      <c r="F82" s="6">
        <v>4</v>
      </c>
      <c r="G82" s="32">
        <v>5</v>
      </c>
      <c r="H82" s="32">
        <v>80920</v>
      </c>
      <c r="I82" s="32" t="s">
        <v>17</v>
      </c>
      <c r="J82" s="22">
        <v>79584582</v>
      </c>
      <c r="K82" s="22" t="s">
        <v>1223</v>
      </c>
      <c r="L82" s="22" t="s">
        <v>1225</v>
      </c>
      <c r="M82" s="39">
        <v>199900</v>
      </c>
      <c r="N82" s="35">
        <v>0.9</v>
      </c>
      <c r="O82" s="34">
        <f t="shared" si="5"/>
        <v>19990</v>
      </c>
      <c r="P82" s="6" t="s">
        <v>16</v>
      </c>
    </row>
    <row r="83" spans="1:16" x14ac:dyDescent="0.35">
      <c r="A83" s="32" t="s">
        <v>6426</v>
      </c>
      <c r="B83" s="7">
        <f t="shared" si="3"/>
        <v>46121</v>
      </c>
      <c r="C83" s="7">
        <f t="shared" si="4"/>
        <v>46127</v>
      </c>
      <c r="D83" s="6">
        <v>3284</v>
      </c>
      <c r="E83" s="6">
        <v>338</v>
      </c>
      <c r="F83" s="6">
        <v>4</v>
      </c>
      <c r="G83" s="32">
        <v>5</v>
      </c>
      <c r="H83" s="32">
        <v>81676</v>
      </c>
      <c r="I83" s="32" t="s">
        <v>17</v>
      </c>
      <c r="J83" s="22">
        <v>79758493</v>
      </c>
      <c r="K83" s="22" t="s">
        <v>1178</v>
      </c>
      <c r="L83" s="22" t="s">
        <v>1179</v>
      </c>
      <c r="M83" s="39">
        <v>199900</v>
      </c>
      <c r="N83" s="35">
        <v>0.9</v>
      </c>
      <c r="O83" s="34">
        <f t="shared" si="5"/>
        <v>19990</v>
      </c>
      <c r="P83" s="6" t="s">
        <v>16</v>
      </c>
    </row>
    <row r="84" spans="1:16" x14ac:dyDescent="0.35">
      <c r="A84" s="32" t="s">
        <v>6426</v>
      </c>
      <c r="B84" s="7">
        <f t="shared" si="3"/>
        <v>46121</v>
      </c>
      <c r="C84" s="7">
        <f t="shared" si="4"/>
        <v>46127</v>
      </c>
      <c r="D84" s="6">
        <v>3284</v>
      </c>
      <c r="E84" s="6">
        <v>338</v>
      </c>
      <c r="F84" s="6">
        <v>4</v>
      </c>
      <c r="G84" s="32">
        <v>5</v>
      </c>
      <c r="H84" s="32">
        <v>81676</v>
      </c>
      <c r="I84" s="32" t="s">
        <v>17</v>
      </c>
      <c r="J84" s="22">
        <v>79758500</v>
      </c>
      <c r="K84" s="22" t="s">
        <v>1178</v>
      </c>
      <c r="L84" s="22" t="s">
        <v>1180</v>
      </c>
      <c r="M84" s="39">
        <v>199900</v>
      </c>
      <c r="N84" s="35">
        <v>0.9</v>
      </c>
      <c r="O84" s="34">
        <f t="shared" si="5"/>
        <v>19990</v>
      </c>
      <c r="P84" s="6" t="s">
        <v>16</v>
      </c>
    </row>
    <row r="85" spans="1:16" x14ac:dyDescent="0.35">
      <c r="A85" s="32" t="s">
        <v>6426</v>
      </c>
      <c r="B85" s="7">
        <f t="shared" si="3"/>
        <v>46121</v>
      </c>
      <c r="C85" s="7">
        <f t="shared" si="4"/>
        <v>46127</v>
      </c>
      <c r="D85" s="6">
        <v>3284</v>
      </c>
      <c r="E85" s="6">
        <v>338</v>
      </c>
      <c r="F85" s="6">
        <v>4</v>
      </c>
      <c r="G85" s="32">
        <v>5</v>
      </c>
      <c r="H85" s="32">
        <v>81676</v>
      </c>
      <c r="I85" s="32" t="s">
        <v>17</v>
      </c>
      <c r="J85" s="22">
        <v>79758519</v>
      </c>
      <c r="K85" s="22" t="s">
        <v>1178</v>
      </c>
      <c r="L85" s="22" t="s">
        <v>1181</v>
      </c>
      <c r="M85" s="39">
        <v>199900</v>
      </c>
      <c r="N85" s="35">
        <v>0.9</v>
      </c>
      <c r="O85" s="34">
        <f t="shared" si="5"/>
        <v>19990</v>
      </c>
      <c r="P85" s="6" t="s">
        <v>16</v>
      </c>
    </row>
    <row r="86" spans="1:16" x14ac:dyDescent="0.35">
      <c r="A86" s="32" t="s">
        <v>6426</v>
      </c>
      <c r="B86" s="7">
        <f t="shared" si="3"/>
        <v>46121</v>
      </c>
      <c r="C86" s="7">
        <f t="shared" si="4"/>
        <v>46127</v>
      </c>
      <c r="D86" s="6">
        <v>3284</v>
      </c>
      <c r="E86" s="6">
        <v>338</v>
      </c>
      <c r="F86" s="6">
        <v>4</v>
      </c>
      <c r="G86" s="32">
        <v>5</v>
      </c>
      <c r="H86" s="32">
        <v>81676</v>
      </c>
      <c r="I86" s="32" t="s">
        <v>17</v>
      </c>
      <c r="J86" s="22">
        <v>79758528</v>
      </c>
      <c r="K86" s="22" t="s">
        <v>1178</v>
      </c>
      <c r="L86" s="22" t="s">
        <v>1182</v>
      </c>
      <c r="M86" s="39">
        <v>199900</v>
      </c>
      <c r="N86" s="35">
        <v>0.9</v>
      </c>
      <c r="O86" s="34">
        <f t="shared" si="5"/>
        <v>19990</v>
      </c>
      <c r="P86" s="6" t="s">
        <v>16</v>
      </c>
    </row>
    <row r="87" spans="1:16" x14ac:dyDescent="0.35">
      <c r="A87" s="32" t="s">
        <v>6426</v>
      </c>
      <c r="B87" s="7">
        <f t="shared" si="3"/>
        <v>46121</v>
      </c>
      <c r="C87" s="7">
        <f t="shared" si="4"/>
        <v>46127</v>
      </c>
      <c r="D87" s="6">
        <v>3284</v>
      </c>
      <c r="E87" s="6">
        <v>338</v>
      </c>
      <c r="F87" s="6">
        <v>4</v>
      </c>
      <c r="G87" s="32">
        <v>5</v>
      </c>
      <c r="H87" s="32">
        <v>81676</v>
      </c>
      <c r="I87" s="32" t="s">
        <v>17</v>
      </c>
      <c r="J87" s="22">
        <v>81270611</v>
      </c>
      <c r="K87" s="22" t="s">
        <v>1268</v>
      </c>
      <c r="L87" s="22" t="s">
        <v>1269</v>
      </c>
      <c r="M87" s="39">
        <v>199900</v>
      </c>
      <c r="N87" s="35">
        <v>0.9</v>
      </c>
      <c r="O87" s="34">
        <f t="shared" si="5"/>
        <v>19990</v>
      </c>
      <c r="P87" s="6" t="s">
        <v>16</v>
      </c>
    </row>
    <row r="88" spans="1:16" x14ac:dyDescent="0.35">
      <c r="A88" s="32" t="s">
        <v>6426</v>
      </c>
      <c r="B88" s="7">
        <f t="shared" si="3"/>
        <v>46121</v>
      </c>
      <c r="C88" s="7">
        <f t="shared" si="4"/>
        <v>46127</v>
      </c>
      <c r="D88" s="6">
        <v>3284</v>
      </c>
      <c r="E88" s="6">
        <v>338</v>
      </c>
      <c r="F88" s="6">
        <v>4</v>
      </c>
      <c r="G88" s="32">
        <v>5</v>
      </c>
      <c r="H88" s="32">
        <v>81676</v>
      </c>
      <c r="I88" s="32" t="s">
        <v>17</v>
      </c>
      <c r="J88" s="22">
        <v>81270620</v>
      </c>
      <c r="K88" s="22" t="s">
        <v>1268</v>
      </c>
      <c r="L88" s="22" t="s">
        <v>1270</v>
      </c>
      <c r="M88" s="39">
        <v>199900</v>
      </c>
      <c r="N88" s="35">
        <v>0.9</v>
      </c>
      <c r="O88" s="34">
        <f t="shared" si="5"/>
        <v>19990</v>
      </c>
      <c r="P88" s="6" t="s">
        <v>16</v>
      </c>
    </row>
    <row r="89" spans="1:16" x14ac:dyDescent="0.35">
      <c r="A89" s="32" t="s">
        <v>6426</v>
      </c>
      <c r="B89" s="7">
        <f t="shared" si="3"/>
        <v>46121</v>
      </c>
      <c r="C89" s="7">
        <f t="shared" si="4"/>
        <v>46127</v>
      </c>
      <c r="D89" s="6">
        <v>3284</v>
      </c>
      <c r="E89" s="6">
        <v>338</v>
      </c>
      <c r="F89" s="6">
        <v>4</v>
      </c>
      <c r="G89" s="32">
        <v>5</v>
      </c>
      <c r="H89" s="32">
        <v>81676</v>
      </c>
      <c r="I89" s="32" t="s">
        <v>17</v>
      </c>
      <c r="J89" s="22">
        <v>81270639</v>
      </c>
      <c r="K89" s="22" t="s">
        <v>1268</v>
      </c>
      <c r="L89" s="22" t="s">
        <v>1271</v>
      </c>
      <c r="M89" s="39">
        <v>199900</v>
      </c>
      <c r="N89" s="35">
        <v>0.9</v>
      </c>
      <c r="O89" s="34">
        <f t="shared" si="5"/>
        <v>19990</v>
      </c>
      <c r="P89" s="6" t="s">
        <v>16</v>
      </c>
    </row>
    <row r="90" spans="1:16" x14ac:dyDescent="0.35">
      <c r="A90" s="32" t="s">
        <v>6426</v>
      </c>
      <c r="B90" s="7">
        <f t="shared" si="3"/>
        <v>46121</v>
      </c>
      <c r="C90" s="7">
        <f t="shared" si="4"/>
        <v>46127</v>
      </c>
      <c r="D90" s="6">
        <v>3284</v>
      </c>
      <c r="E90" s="6">
        <v>338</v>
      </c>
      <c r="F90" s="6">
        <v>4</v>
      </c>
      <c r="G90" s="32">
        <v>5</v>
      </c>
      <c r="H90" s="32">
        <v>81676</v>
      </c>
      <c r="I90" s="32" t="s">
        <v>17</v>
      </c>
      <c r="J90" s="22">
        <v>87629787</v>
      </c>
      <c r="K90" s="22" t="s">
        <v>1157</v>
      </c>
      <c r="L90" s="22" t="s">
        <v>1158</v>
      </c>
      <c r="M90" s="39">
        <v>199900</v>
      </c>
      <c r="N90" s="35">
        <v>0.9</v>
      </c>
      <c r="O90" s="34">
        <f t="shared" si="5"/>
        <v>19990</v>
      </c>
      <c r="P90" s="6" t="s">
        <v>16</v>
      </c>
    </row>
    <row r="91" spans="1:16" x14ac:dyDescent="0.35">
      <c r="A91" s="32" t="s">
        <v>6426</v>
      </c>
      <c r="B91" s="7">
        <f t="shared" si="3"/>
        <v>46121</v>
      </c>
      <c r="C91" s="7">
        <f t="shared" si="4"/>
        <v>46127</v>
      </c>
      <c r="D91" s="6">
        <v>3284</v>
      </c>
      <c r="E91" s="6">
        <v>338</v>
      </c>
      <c r="F91" s="6">
        <v>4</v>
      </c>
      <c r="G91" s="32">
        <v>6</v>
      </c>
      <c r="H91" s="32">
        <v>599</v>
      </c>
      <c r="I91" s="32" t="s">
        <v>17</v>
      </c>
      <c r="J91" s="22">
        <v>80290502</v>
      </c>
      <c r="K91" s="22" t="s">
        <v>1277</v>
      </c>
      <c r="L91" s="22" t="s">
        <v>1278</v>
      </c>
      <c r="M91" s="39">
        <v>99900</v>
      </c>
      <c r="N91" s="35">
        <v>0.9</v>
      </c>
      <c r="O91" s="34">
        <f t="shared" si="5"/>
        <v>9990</v>
      </c>
      <c r="P91" s="6" t="s">
        <v>16</v>
      </c>
    </row>
    <row r="92" spans="1:16" x14ac:dyDescent="0.35">
      <c r="A92" s="32" t="s">
        <v>6426</v>
      </c>
      <c r="B92" s="7">
        <f t="shared" si="3"/>
        <v>46121</v>
      </c>
      <c r="C92" s="7">
        <f t="shared" si="4"/>
        <v>46127</v>
      </c>
      <c r="D92" s="6">
        <v>3284</v>
      </c>
      <c r="E92" s="6">
        <v>338</v>
      </c>
      <c r="F92" s="6">
        <v>4</v>
      </c>
      <c r="G92" s="32">
        <v>6</v>
      </c>
      <c r="H92" s="32">
        <v>599</v>
      </c>
      <c r="I92" s="32" t="s">
        <v>17</v>
      </c>
      <c r="J92" s="22">
        <v>80290520</v>
      </c>
      <c r="K92" s="22" t="s">
        <v>1293</v>
      </c>
      <c r="L92" s="22" t="s">
        <v>1294</v>
      </c>
      <c r="M92" s="39">
        <v>99900</v>
      </c>
      <c r="N92" s="35">
        <v>0.9</v>
      </c>
      <c r="O92" s="34">
        <f t="shared" si="5"/>
        <v>9990</v>
      </c>
      <c r="P92" s="6" t="s">
        <v>16</v>
      </c>
    </row>
    <row r="93" spans="1:16" x14ac:dyDescent="0.35">
      <c r="A93" s="32" t="s">
        <v>6426</v>
      </c>
      <c r="B93" s="7">
        <f t="shared" si="3"/>
        <v>46121</v>
      </c>
      <c r="C93" s="7">
        <f t="shared" si="4"/>
        <v>46127</v>
      </c>
      <c r="D93" s="6">
        <v>3284</v>
      </c>
      <c r="E93" s="6">
        <v>338</v>
      </c>
      <c r="F93" s="6">
        <v>4</v>
      </c>
      <c r="G93" s="32">
        <v>6</v>
      </c>
      <c r="H93" s="32">
        <v>599</v>
      </c>
      <c r="I93" s="32" t="s">
        <v>17</v>
      </c>
      <c r="J93" s="22">
        <v>80290539</v>
      </c>
      <c r="K93" s="22" t="s">
        <v>1293</v>
      </c>
      <c r="L93" s="22" t="s">
        <v>1295</v>
      </c>
      <c r="M93" s="39">
        <v>99900</v>
      </c>
      <c r="N93" s="35">
        <v>0.9</v>
      </c>
      <c r="O93" s="34">
        <f t="shared" si="5"/>
        <v>9990</v>
      </c>
      <c r="P93" s="6" t="s">
        <v>16</v>
      </c>
    </row>
    <row r="94" spans="1:16" x14ac:dyDescent="0.35">
      <c r="A94" s="32" t="s">
        <v>6426</v>
      </c>
      <c r="B94" s="7">
        <f t="shared" si="3"/>
        <v>46121</v>
      </c>
      <c r="C94" s="7">
        <f t="shared" si="4"/>
        <v>46127</v>
      </c>
      <c r="D94" s="6">
        <v>3284</v>
      </c>
      <c r="E94" s="6">
        <v>338</v>
      </c>
      <c r="F94" s="6">
        <v>4</v>
      </c>
      <c r="G94" s="32">
        <v>6</v>
      </c>
      <c r="H94" s="32">
        <v>599</v>
      </c>
      <c r="I94" s="32" t="s">
        <v>17</v>
      </c>
      <c r="J94" s="22">
        <v>80290548</v>
      </c>
      <c r="K94" s="22" t="s">
        <v>1296</v>
      </c>
      <c r="L94" s="22" t="s">
        <v>1297</v>
      </c>
      <c r="M94" s="39">
        <v>99900</v>
      </c>
      <c r="N94" s="35">
        <v>0.9</v>
      </c>
      <c r="O94" s="34">
        <f t="shared" si="5"/>
        <v>9990</v>
      </c>
      <c r="P94" s="6" t="s">
        <v>16</v>
      </c>
    </row>
    <row r="95" spans="1:16" x14ac:dyDescent="0.35">
      <c r="A95" s="32" t="s">
        <v>6426</v>
      </c>
      <c r="B95" s="7">
        <f t="shared" si="3"/>
        <v>46121</v>
      </c>
      <c r="C95" s="7">
        <f t="shared" si="4"/>
        <v>46127</v>
      </c>
      <c r="D95" s="6">
        <v>3284</v>
      </c>
      <c r="E95" s="6">
        <v>338</v>
      </c>
      <c r="F95" s="6">
        <v>4</v>
      </c>
      <c r="G95" s="32">
        <v>6</v>
      </c>
      <c r="H95" s="32">
        <v>599</v>
      </c>
      <c r="I95" s="32" t="s">
        <v>17</v>
      </c>
      <c r="J95" s="22">
        <v>80290557</v>
      </c>
      <c r="K95" s="22" t="s">
        <v>1296</v>
      </c>
      <c r="L95" s="22" t="s">
        <v>1298</v>
      </c>
      <c r="M95" s="39">
        <v>99900</v>
      </c>
      <c r="N95" s="35">
        <v>0.9</v>
      </c>
      <c r="O95" s="34">
        <f t="shared" si="5"/>
        <v>9990</v>
      </c>
      <c r="P95" s="6" t="s">
        <v>16</v>
      </c>
    </row>
    <row r="96" spans="1:16" x14ac:dyDescent="0.35">
      <c r="A96" s="32" t="s">
        <v>6426</v>
      </c>
      <c r="B96" s="7">
        <f t="shared" si="3"/>
        <v>46121</v>
      </c>
      <c r="C96" s="7">
        <f t="shared" si="4"/>
        <v>46127</v>
      </c>
      <c r="D96" s="6">
        <v>3284</v>
      </c>
      <c r="E96" s="6">
        <v>338</v>
      </c>
      <c r="F96" s="6">
        <v>4</v>
      </c>
      <c r="G96" s="32">
        <v>6</v>
      </c>
      <c r="H96" s="32">
        <v>599</v>
      </c>
      <c r="I96" s="32" t="s">
        <v>17</v>
      </c>
      <c r="J96" s="22">
        <v>80290575</v>
      </c>
      <c r="K96" s="22" t="s">
        <v>1279</v>
      </c>
      <c r="L96" s="22" t="s">
        <v>1280</v>
      </c>
      <c r="M96" s="39">
        <v>99900</v>
      </c>
      <c r="N96" s="35">
        <v>0.9</v>
      </c>
      <c r="O96" s="34">
        <f t="shared" si="5"/>
        <v>9990</v>
      </c>
      <c r="P96" s="6" t="s">
        <v>16</v>
      </c>
    </row>
    <row r="97" spans="1:16" x14ac:dyDescent="0.35">
      <c r="A97" s="32" t="s">
        <v>6426</v>
      </c>
      <c r="B97" s="7">
        <f t="shared" si="3"/>
        <v>46121</v>
      </c>
      <c r="C97" s="7">
        <f t="shared" si="4"/>
        <v>46127</v>
      </c>
      <c r="D97" s="6">
        <v>3284</v>
      </c>
      <c r="E97" s="6">
        <v>338</v>
      </c>
      <c r="F97" s="6">
        <v>4</v>
      </c>
      <c r="G97" s="32">
        <v>6</v>
      </c>
      <c r="H97" s="32">
        <v>599</v>
      </c>
      <c r="I97" s="32" t="s">
        <v>17</v>
      </c>
      <c r="J97" s="22">
        <v>80290593</v>
      </c>
      <c r="K97" s="22" t="s">
        <v>1281</v>
      </c>
      <c r="L97" s="22" t="s">
        <v>1282</v>
      </c>
      <c r="M97" s="39">
        <v>99900</v>
      </c>
      <c r="N97" s="35">
        <v>0.9</v>
      </c>
      <c r="O97" s="34">
        <f t="shared" si="5"/>
        <v>9990</v>
      </c>
      <c r="P97" s="6" t="s">
        <v>16</v>
      </c>
    </row>
    <row r="98" spans="1:16" x14ac:dyDescent="0.35">
      <c r="A98" s="32" t="s">
        <v>6426</v>
      </c>
      <c r="B98" s="7">
        <f t="shared" si="3"/>
        <v>46121</v>
      </c>
      <c r="C98" s="7">
        <f t="shared" si="4"/>
        <v>46127</v>
      </c>
      <c r="D98" s="6">
        <v>3284</v>
      </c>
      <c r="E98" s="6">
        <v>338</v>
      </c>
      <c r="F98" s="6">
        <v>4</v>
      </c>
      <c r="G98" s="32">
        <v>6</v>
      </c>
      <c r="H98" s="32">
        <v>599</v>
      </c>
      <c r="I98" s="32" t="s">
        <v>17</v>
      </c>
      <c r="J98" s="22">
        <v>80290600</v>
      </c>
      <c r="K98" s="22" t="s">
        <v>1283</v>
      </c>
      <c r="L98" s="22" t="s">
        <v>1284</v>
      </c>
      <c r="M98" s="39">
        <v>99900</v>
      </c>
      <c r="N98" s="35">
        <v>0.9</v>
      </c>
      <c r="O98" s="34">
        <f t="shared" si="5"/>
        <v>9990</v>
      </c>
      <c r="P98" s="6" t="s">
        <v>16</v>
      </c>
    </row>
    <row r="99" spans="1:16" x14ac:dyDescent="0.35">
      <c r="A99" s="32" t="s">
        <v>6426</v>
      </c>
      <c r="B99" s="7">
        <f t="shared" si="3"/>
        <v>46121</v>
      </c>
      <c r="C99" s="7">
        <f t="shared" si="4"/>
        <v>46127</v>
      </c>
      <c r="D99" s="6">
        <v>3284</v>
      </c>
      <c r="E99" s="6">
        <v>338</v>
      </c>
      <c r="F99" s="6">
        <v>4</v>
      </c>
      <c r="G99" s="32">
        <v>6</v>
      </c>
      <c r="H99" s="32">
        <v>599</v>
      </c>
      <c r="I99" s="32" t="s">
        <v>17</v>
      </c>
      <c r="J99" s="22">
        <v>80290619</v>
      </c>
      <c r="K99" s="22" t="s">
        <v>1283</v>
      </c>
      <c r="L99" s="22" t="s">
        <v>1285</v>
      </c>
      <c r="M99" s="39">
        <v>99900</v>
      </c>
      <c r="N99" s="35">
        <v>0.9</v>
      </c>
      <c r="O99" s="34">
        <f t="shared" si="5"/>
        <v>9990</v>
      </c>
      <c r="P99" s="6" t="s">
        <v>16</v>
      </c>
    </row>
    <row r="100" spans="1:16" x14ac:dyDescent="0.35">
      <c r="A100" s="32" t="s">
        <v>6426</v>
      </c>
      <c r="B100" s="7">
        <f t="shared" si="3"/>
        <v>46121</v>
      </c>
      <c r="C100" s="7">
        <f t="shared" si="4"/>
        <v>46127</v>
      </c>
      <c r="D100" s="6">
        <v>3284</v>
      </c>
      <c r="E100" s="6">
        <v>338</v>
      </c>
      <c r="F100" s="6">
        <v>4</v>
      </c>
      <c r="G100" s="32">
        <v>6</v>
      </c>
      <c r="H100" s="32">
        <v>599</v>
      </c>
      <c r="I100" s="32" t="s">
        <v>17</v>
      </c>
      <c r="J100" s="22">
        <v>80290628</v>
      </c>
      <c r="K100" s="22" t="s">
        <v>1286</v>
      </c>
      <c r="L100" s="22" t="s">
        <v>1287</v>
      </c>
      <c r="M100" s="39">
        <v>99900</v>
      </c>
      <c r="N100" s="35">
        <v>0.9</v>
      </c>
      <c r="O100" s="34">
        <f t="shared" si="5"/>
        <v>9990</v>
      </c>
      <c r="P100" s="6" t="s">
        <v>16</v>
      </c>
    </row>
    <row r="101" spans="1:16" x14ac:dyDescent="0.35">
      <c r="A101" s="32" t="s">
        <v>6426</v>
      </c>
      <c r="B101" s="7">
        <f t="shared" si="3"/>
        <v>46121</v>
      </c>
      <c r="C101" s="7">
        <f t="shared" si="4"/>
        <v>46127</v>
      </c>
      <c r="D101" s="6">
        <v>3284</v>
      </c>
      <c r="E101" s="6">
        <v>338</v>
      </c>
      <c r="F101" s="6">
        <v>4</v>
      </c>
      <c r="G101" s="32">
        <v>6</v>
      </c>
      <c r="H101" s="32">
        <v>599</v>
      </c>
      <c r="I101" s="32" t="s">
        <v>17</v>
      </c>
      <c r="J101" s="22">
        <v>80290637</v>
      </c>
      <c r="K101" s="22" t="s">
        <v>1286</v>
      </c>
      <c r="L101" s="22" t="s">
        <v>1288</v>
      </c>
      <c r="M101" s="39">
        <v>99900</v>
      </c>
      <c r="N101" s="35">
        <v>0.9</v>
      </c>
      <c r="O101" s="34">
        <f t="shared" si="5"/>
        <v>9990</v>
      </c>
      <c r="P101" s="6" t="s">
        <v>16</v>
      </c>
    </row>
    <row r="102" spans="1:16" x14ac:dyDescent="0.35">
      <c r="A102" s="32" t="s">
        <v>6426</v>
      </c>
      <c r="B102" s="7">
        <f t="shared" si="3"/>
        <v>46121</v>
      </c>
      <c r="C102" s="7">
        <f t="shared" si="4"/>
        <v>46127</v>
      </c>
      <c r="D102" s="6">
        <v>3284</v>
      </c>
      <c r="E102" s="6">
        <v>338</v>
      </c>
      <c r="F102" s="6">
        <v>4</v>
      </c>
      <c r="G102" s="32">
        <v>6</v>
      </c>
      <c r="H102" s="32">
        <v>599</v>
      </c>
      <c r="I102" s="32" t="s">
        <v>17</v>
      </c>
      <c r="J102" s="22">
        <v>80290655</v>
      </c>
      <c r="K102" s="22" t="s">
        <v>1289</v>
      </c>
      <c r="L102" s="22" t="s">
        <v>1290</v>
      </c>
      <c r="M102" s="39">
        <v>99900</v>
      </c>
      <c r="N102" s="35">
        <v>0.9</v>
      </c>
      <c r="O102" s="34">
        <f t="shared" si="5"/>
        <v>9990</v>
      </c>
      <c r="P102" s="6" t="s">
        <v>16</v>
      </c>
    </row>
    <row r="103" spans="1:16" x14ac:dyDescent="0.35">
      <c r="A103" s="32" t="s">
        <v>6426</v>
      </c>
      <c r="B103" s="7">
        <f t="shared" si="3"/>
        <v>46121</v>
      </c>
      <c r="C103" s="7">
        <f t="shared" si="4"/>
        <v>46127</v>
      </c>
      <c r="D103" s="6">
        <v>3284</v>
      </c>
      <c r="E103" s="6">
        <v>338</v>
      </c>
      <c r="F103" s="6">
        <v>4</v>
      </c>
      <c r="G103" s="32">
        <v>6</v>
      </c>
      <c r="H103" s="32">
        <v>599</v>
      </c>
      <c r="I103" s="32" t="s">
        <v>17</v>
      </c>
      <c r="J103" s="22">
        <v>80290673</v>
      </c>
      <c r="K103" s="22" t="s">
        <v>1291</v>
      </c>
      <c r="L103" s="22" t="s">
        <v>1292</v>
      </c>
      <c r="M103" s="39">
        <v>99900</v>
      </c>
      <c r="N103" s="35">
        <v>0.9</v>
      </c>
      <c r="O103" s="34">
        <f t="shared" si="5"/>
        <v>9990</v>
      </c>
      <c r="P103" s="6" t="s">
        <v>16</v>
      </c>
    </row>
    <row r="104" spans="1:16" x14ac:dyDescent="0.35">
      <c r="A104" s="32" t="s">
        <v>6426</v>
      </c>
      <c r="B104" s="7">
        <f t="shared" si="3"/>
        <v>46121</v>
      </c>
      <c r="C104" s="7">
        <f t="shared" si="4"/>
        <v>46127</v>
      </c>
      <c r="D104" s="6">
        <v>3284</v>
      </c>
      <c r="E104" s="6">
        <v>338</v>
      </c>
      <c r="F104" s="6">
        <v>4</v>
      </c>
      <c r="G104" s="32">
        <v>7</v>
      </c>
      <c r="H104" s="32">
        <v>81421</v>
      </c>
      <c r="I104" s="32" t="s">
        <v>17</v>
      </c>
      <c r="J104" s="22">
        <v>72012685</v>
      </c>
      <c r="K104" s="22" t="s">
        <v>1226</v>
      </c>
      <c r="L104" s="22" t="s">
        <v>1227</v>
      </c>
      <c r="M104" s="39">
        <v>79900</v>
      </c>
      <c r="N104" s="35">
        <v>0.9</v>
      </c>
      <c r="O104" s="34">
        <f t="shared" si="5"/>
        <v>7990</v>
      </c>
      <c r="P104" s="6" t="s">
        <v>16</v>
      </c>
    </row>
    <row r="105" spans="1:16" x14ac:dyDescent="0.35">
      <c r="A105" s="32" t="s">
        <v>6426</v>
      </c>
      <c r="B105" s="7">
        <f t="shared" si="3"/>
        <v>46121</v>
      </c>
      <c r="C105" s="7">
        <f t="shared" si="4"/>
        <v>46127</v>
      </c>
      <c r="D105" s="6">
        <v>3284</v>
      </c>
      <c r="E105" s="6">
        <v>338</v>
      </c>
      <c r="F105" s="6">
        <v>4</v>
      </c>
      <c r="G105" s="32">
        <v>7</v>
      </c>
      <c r="H105" s="32">
        <v>81421</v>
      </c>
      <c r="I105" s="32" t="s">
        <v>17</v>
      </c>
      <c r="J105" s="22">
        <v>72012701</v>
      </c>
      <c r="K105" s="22" t="s">
        <v>1226</v>
      </c>
      <c r="L105" s="22" t="s">
        <v>1228</v>
      </c>
      <c r="M105" s="39">
        <v>79900</v>
      </c>
      <c r="N105" s="35">
        <v>0.9</v>
      </c>
      <c r="O105" s="34">
        <f t="shared" si="5"/>
        <v>7990</v>
      </c>
      <c r="P105" s="6" t="s">
        <v>16</v>
      </c>
    </row>
    <row r="106" spans="1:16" x14ac:dyDescent="0.35">
      <c r="A106" s="32" t="s">
        <v>6426</v>
      </c>
      <c r="B106" s="7">
        <f t="shared" si="3"/>
        <v>46121</v>
      </c>
      <c r="C106" s="7">
        <f t="shared" si="4"/>
        <v>46127</v>
      </c>
      <c r="D106" s="6">
        <v>3284</v>
      </c>
      <c r="E106" s="6">
        <v>338</v>
      </c>
      <c r="F106" s="6">
        <v>4</v>
      </c>
      <c r="G106" s="32">
        <v>7</v>
      </c>
      <c r="H106" s="32">
        <v>81421</v>
      </c>
      <c r="I106" s="32" t="s">
        <v>17</v>
      </c>
      <c r="J106" s="22">
        <v>72012710</v>
      </c>
      <c r="K106" s="22" t="s">
        <v>1226</v>
      </c>
      <c r="L106" s="22" t="s">
        <v>1229</v>
      </c>
      <c r="M106" s="39">
        <v>79900</v>
      </c>
      <c r="N106" s="35">
        <v>0.9</v>
      </c>
      <c r="O106" s="34">
        <f t="shared" si="5"/>
        <v>7990</v>
      </c>
      <c r="P106" s="6" t="s">
        <v>16</v>
      </c>
    </row>
    <row r="107" spans="1:16" x14ac:dyDescent="0.35">
      <c r="A107" s="32" t="s">
        <v>6426</v>
      </c>
      <c r="B107" s="7">
        <f t="shared" si="3"/>
        <v>46121</v>
      </c>
      <c r="C107" s="7">
        <f t="shared" si="4"/>
        <v>46127</v>
      </c>
      <c r="D107" s="6">
        <v>3284</v>
      </c>
      <c r="E107" s="6">
        <v>338</v>
      </c>
      <c r="F107" s="6">
        <v>4</v>
      </c>
      <c r="G107" s="32">
        <v>7</v>
      </c>
      <c r="H107" s="32">
        <v>81676</v>
      </c>
      <c r="I107" s="32" t="s">
        <v>17</v>
      </c>
      <c r="J107" s="22">
        <v>79863351</v>
      </c>
      <c r="K107" s="22" t="s">
        <v>1230</v>
      </c>
      <c r="L107" s="22" t="s">
        <v>1231</v>
      </c>
      <c r="M107" s="39">
        <v>79900</v>
      </c>
      <c r="N107" s="35">
        <v>0.9</v>
      </c>
      <c r="O107" s="34">
        <f t="shared" si="5"/>
        <v>7990</v>
      </c>
      <c r="P107" s="6" t="s">
        <v>16</v>
      </c>
    </row>
    <row r="108" spans="1:16" x14ac:dyDescent="0.35">
      <c r="A108" s="32" t="s">
        <v>6426</v>
      </c>
      <c r="B108" s="7">
        <f t="shared" si="3"/>
        <v>46121</v>
      </c>
      <c r="C108" s="7">
        <f t="shared" si="4"/>
        <v>46127</v>
      </c>
      <c r="D108" s="6">
        <v>3284</v>
      </c>
      <c r="E108" s="6">
        <v>338</v>
      </c>
      <c r="F108" s="6">
        <v>4</v>
      </c>
      <c r="G108" s="32">
        <v>7</v>
      </c>
      <c r="H108" s="32">
        <v>81676</v>
      </c>
      <c r="I108" s="32" t="s">
        <v>17</v>
      </c>
      <c r="J108" s="22">
        <v>79863379</v>
      </c>
      <c r="K108" s="22" t="s">
        <v>1230</v>
      </c>
      <c r="L108" s="22" t="s">
        <v>1232</v>
      </c>
      <c r="M108" s="39">
        <v>79900</v>
      </c>
      <c r="N108" s="35">
        <v>0.9</v>
      </c>
      <c r="O108" s="34">
        <f t="shared" si="5"/>
        <v>7990</v>
      </c>
      <c r="P108" s="6" t="s">
        <v>16</v>
      </c>
    </row>
    <row r="109" spans="1:16" x14ac:dyDescent="0.35">
      <c r="A109" s="32" t="s">
        <v>6426</v>
      </c>
      <c r="B109" s="7">
        <f t="shared" si="3"/>
        <v>46121</v>
      </c>
      <c r="C109" s="7">
        <f t="shared" si="4"/>
        <v>46127</v>
      </c>
      <c r="D109" s="6">
        <v>3284</v>
      </c>
      <c r="E109" s="6">
        <v>338</v>
      </c>
      <c r="F109" s="6">
        <v>4</v>
      </c>
      <c r="G109" s="32">
        <v>7</v>
      </c>
      <c r="H109" s="32">
        <v>81676</v>
      </c>
      <c r="I109" s="32" t="s">
        <v>17</v>
      </c>
      <c r="J109" s="22">
        <v>79863388</v>
      </c>
      <c r="K109" s="22" t="s">
        <v>1230</v>
      </c>
      <c r="L109" s="22" t="s">
        <v>1233</v>
      </c>
      <c r="M109" s="39">
        <v>79900</v>
      </c>
      <c r="N109" s="35">
        <v>0.9</v>
      </c>
      <c r="O109" s="34">
        <f t="shared" si="5"/>
        <v>7990</v>
      </c>
      <c r="P109" s="6" t="s">
        <v>16</v>
      </c>
    </row>
    <row r="110" spans="1:16" x14ac:dyDescent="0.35">
      <c r="A110" s="32" t="s">
        <v>6426</v>
      </c>
      <c r="B110" s="7">
        <f t="shared" si="3"/>
        <v>46121</v>
      </c>
      <c r="C110" s="7">
        <f t="shared" si="4"/>
        <v>46127</v>
      </c>
      <c r="D110" s="6">
        <v>3284</v>
      </c>
      <c r="E110" s="6">
        <v>338</v>
      </c>
      <c r="F110" s="6">
        <v>4</v>
      </c>
      <c r="G110" s="32">
        <v>7</v>
      </c>
      <c r="H110" s="32">
        <v>81676</v>
      </c>
      <c r="I110" s="32" t="s">
        <v>17</v>
      </c>
      <c r="J110" s="22">
        <v>79863431</v>
      </c>
      <c r="K110" s="22" t="s">
        <v>1234</v>
      </c>
      <c r="L110" s="22" t="s">
        <v>1235</v>
      </c>
      <c r="M110" s="39">
        <v>199900</v>
      </c>
      <c r="N110" s="35">
        <v>0.9</v>
      </c>
      <c r="O110" s="34">
        <f t="shared" si="5"/>
        <v>19990</v>
      </c>
      <c r="P110" s="6" t="s">
        <v>16</v>
      </c>
    </row>
    <row r="111" spans="1:16" x14ac:dyDescent="0.35">
      <c r="A111" s="32" t="s">
        <v>6426</v>
      </c>
      <c r="B111" s="7">
        <f t="shared" si="3"/>
        <v>46121</v>
      </c>
      <c r="C111" s="7">
        <f t="shared" si="4"/>
        <v>46127</v>
      </c>
      <c r="D111" s="6">
        <v>3284</v>
      </c>
      <c r="E111" s="6">
        <v>338</v>
      </c>
      <c r="F111" s="6">
        <v>4</v>
      </c>
      <c r="G111" s="32">
        <v>7</v>
      </c>
      <c r="H111" s="32">
        <v>81676</v>
      </c>
      <c r="I111" s="32" t="s">
        <v>17</v>
      </c>
      <c r="J111" s="22">
        <v>79863440</v>
      </c>
      <c r="K111" s="22" t="s">
        <v>1234</v>
      </c>
      <c r="L111" s="22" t="s">
        <v>1236</v>
      </c>
      <c r="M111" s="39">
        <v>199900</v>
      </c>
      <c r="N111" s="35">
        <v>0.9</v>
      </c>
      <c r="O111" s="34">
        <f t="shared" si="5"/>
        <v>19990</v>
      </c>
      <c r="P111" s="6" t="s">
        <v>16</v>
      </c>
    </row>
    <row r="112" spans="1:16" x14ac:dyDescent="0.35">
      <c r="A112" s="32" t="s">
        <v>6426</v>
      </c>
      <c r="B112" s="7">
        <f t="shared" si="3"/>
        <v>46121</v>
      </c>
      <c r="C112" s="7">
        <f t="shared" si="4"/>
        <v>46127</v>
      </c>
      <c r="D112" s="6">
        <v>3284</v>
      </c>
      <c r="E112" s="6">
        <v>338</v>
      </c>
      <c r="F112" s="6">
        <v>4</v>
      </c>
      <c r="G112" s="32">
        <v>7</v>
      </c>
      <c r="H112" s="32">
        <v>81676</v>
      </c>
      <c r="I112" s="32" t="s">
        <v>17</v>
      </c>
      <c r="J112" s="22">
        <v>79863459</v>
      </c>
      <c r="K112" s="22" t="s">
        <v>1234</v>
      </c>
      <c r="L112" s="22" t="s">
        <v>1237</v>
      </c>
      <c r="M112" s="39">
        <v>199900</v>
      </c>
      <c r="N112" s="35">
        <v>0.9</v>
      </c>
      <c r="O112" s="34">
        <f t="shared" si="5"/>
        <v>19990</v>
      </c>
      <c r="P112" s="6" t="s">
        <v>16</v>
      </c>
    </row>
    <row r="113" spans="1:16" x14ac:dyDescent="0.35">
      <c r="A113" s="32" t="s">
        <v>6426</v>
      </c>
      <c r="B113" s="7">
        <f t="shared" si="3"/>
        <v>46121</v>
      </c>
      <c r="C113" s="7">
        <f t="shared" si="4"/>
        <v>46127</v>
      </c>
      <c r="D113" s="6">
        <v>3284</v>
      </c>
      <c r="E113" s="6">
        <v>338</v>
      </c>
      <c r="F113" s="6">
        <v>4</v>
      </c>
      <c r="G113" s="32">
        <v>7</v>
      </c>
      <c r="H113" s="32">
        <v>81676</v>
      </c>
      <c r="I113" s="32" t="s">
        <v>17</v>
      </c>
      <c r="J113" s="22">
        <v>79863468</v>
      </c>
      <c r="K113" s="22" t="s">
        <v>1234</v>
      </c>
      <c r="L113" s="22" t="s">
        <v>1238</v>
      </c>
      <c r="M113" s="39">
        <v>199900</v>
      </c>
      <c r="N113" s="35">
        <v>0.9</v>
      </c>
      <c r="O113" s="34">
        <f t="shared" si="5"/>
        <v>19990</v>
      </c>
      <c r="P113" s="6" t="s">
        <v>16</v>
      </c>
    </row>
    <row r="114" spans="1:16" x14ac:dyDescent="0.35">
      <c r="A114" s="32" t="s">
        <v>6426</v>
      </c>
      <c r="B114" s="7">
        <f t="shared" si="3"/>
        <v>46121</v>
      </c>
      <c r="C114" s="7">
        <f t="shared" si="4"/>
        <v>46127</v>
      </c>
      <c r="D114" s="6">
        <v>3284</v>
      </c>
      <c r="E114" s="6">
        <v>338</v>
      </c>
      <c r="F114" s="6">
        <v>4</v>
      </c>
      <c r="G114" s="32">
        <v>7</v>
      </c>
      <c r="H114" s="32">
        <v>81676</v>
      </c>
      <c r="I114" s="32" t="s">
        <v>17</v>
      </c>
      <c r="J114" s="22">
        <v>79863477</v>
      </c>
      <c r="K114" s="22" t="s">
        <v>1239</v>
      </c>
      <c r="L114" s="22" t="s">
        <v>1240</v>
      </c>
      <c r="M114" s="39">
        <v>139900</v>
      </c>
      <c r="N114" s="35">
        <v>0.9</v>
      </c>
      <c r="O114" s="34">
        <f t="shared" si="5"/>
        <v>13990</v>
      </c>
      <c r="P114" s="6" t="s">
        <v>16</v>
      </c>
    </row>
    <row r="115" spans="1:16" x14ac:dyDescent="0.35">
      <c r="A115" s="32" t="s">
        <v>6426</v>
      </c>
      <c r="B115" s="7">
        <f t="shared" si="3"/>
        <v>46121</v>
      </c>
      <c r="C115" s="7">
        <f t="shared" si="4"/>
        <v>46127</v>
      </c>
      <c r="D115" s="6">
        <v>3284</v>
      </c>
      <c r="E115" s="6">
        <v>338</v>
      </c>
      <c r="F115" s="6">
        <v>4</v>
      </c>
      <c r="G115" s="32">
        <v>7</v>
      </c>
      <c r="H115" s="32">
        <v>81676</v>
      </c>
      <c r="I115" s="32" t="s">
        <v>17</v>
      </c>
      <c r="J115" s="22">
        <v>79863486</v>
      </c>
      <c r="K115" s="22" t="s">
        <v>1239</v>
      </c>
      <c r="L115" s="22" t="s">
        <v>1241</v>
      </c>
      <c r="M115" s="39">
        <v>139900</v>
      </c>
      <c r="N115" s="35">
        <v>0.9</v>
      </c>
      <c r="O115" s="34">
        <f t="shared" si="5"/>
        <v>13990</v>
      </c>
      <c r="P115" s="6" t="s">
        <v>16</v>
      </c>
    </row>
    <row r="116" spans="1:16" x14ac:dyDescent="0.35">
      <c r="A116" s="32" t="s">
        <v>6426</v>
      </c>
      <c r="B116" s="7">
        <f t="shared" si="3"/>
        <v>46121</v>
      </c>
      <c r="C116" s="7">
        <f t="shared" si="4"/>
        <v>46127</v>
      </c>
      <c r="D116" s="6">
        <v>3284</v>
      </c>
      <c r="E116" s="6">
        <v>338</v>
      </c>
      <c r="F116" s="6">
        <v>4</v>
      </c>
      <c r="G116" s="32">
        <v>7</v>
      </c>
      <c r="H116" s="32">
        <v>81676</v>
      </c>
      <c r="I116" s="32" t="s">
        <v>17</v>
      </c>
      <c r="J116" s="22">
        <v>79863495</v>
      </c>
      <c r="K116" s="22" t="s">
        <v>1239</v>
      </c>
      <c r="L116" s="22" t="s">
        <v>1242</v>
      </c>
      <c r="M116" s="39">
        <v>139900</v>
      </c>
      <c r="N116" s="35">
        <v>0.9</v>
      </c>
      <c r="O116" s="34">
        <f t="shared" si="5"/>
        <v>13990</v>
      </c>
      <c r="P116" s="6" t="s">
        <v>16</v>
      </c>
    </row>
    <row r="117" spans="1:16" x14ac:dyDescent="0.35">
      <c r="A117" s="32" t="s">
        <v>6426</v>
      </c>
      <c r="B117" s="7">
        <f t="shared" si="3"/>
        <v>46121</v>
      </c>
      <c r="C117" s="7">
        <f t="shared" si="4"/>
        <v>46127</v>
      </c>
      <c r="D117" s="6">
        <v>3284</v>
      </c>
      <c r="E117" s="6">
        <v>338</v>
      </c>
      <c r="F117" s="6">
        <v>4</v>
      </c>
      <c r="G117" s="32">
        <v>7</v>
      </c>
      <c r="H117" s="32">
        <v>81676</v>
      </c>
      <c r="I117" s="32" t="s">
        <v>17</v>
      </c>
      <c r="J117" s="22">
        <v>79863502</v>
      </c>
      <c r="K117" s="22" t="s">
        <v>1239</v>
      </c>
      <c r="L117" s="22" t="s">
        <v>1243</v>
      </c>
      <c r="M117" s="39">
        <v>139900</v>
      </c>
      <c r="N117" s="35">
        <v>0.9</v>
      </c>
      <c r="O117" s="34">
        <f t="shared" si="5"/>
        <v>13990</v>
      </c>
      <c r="P117" s="6" t="s">
        <v>16</v>
      </c>
    </row>
    <row r="118" spans="1:16" x14ac:dyDescent="0.35">
      <c r="A118" s="32" t="s">
        <v>6426</v>
      </c>
      <c r="B118" s="7">
        <f t="shared" si="3"/>
        <v>46121</v>
      </c>
      <c r="C118" s="7">
        <f t="shared" si="4"/>
        <v>46127</v>
      </c>
      <c r="D118" s="6">
        <v>3284</v>
      </c>
      <c r="E118" s="6">
        <v>338</v>
      </c>
      <c r="F118" s="6">
        <v>4</v>
      </c>
      <c r="G118" s="32">
        <v>7</v>
      </c>
      <c r="H118" s="32">
        <v>81676</v>
      </c>
      <c r="I118" s="32" t="s">
        <v>17</v>
      </c>
      <c r="J118" s="22">
        <v>79863548</v>
      </c>
      <c r="K118" s="22" t="s">
        <v>1244</v>
      </c>
      <c r="L118" s="22" t="s">
        <v>1245</v>
      </c>
      <c r="M118" s="39">
        <v>199900</v>
      </c>
      <c r="N118" s="35">
        <v>0.9</v>
      </c>
      <c r="O118" s="34">
        <f t="shared" si="5"/>
        <v>19990</v>
      </c>
      <c r="P118" s="6" t="s">
        <v>16</v>
      </c>
    </row>
    <row r="119" spans="1:16" x14ac:dyDescent="0.35">
      <c r="A119" s="32" t="s">
        <v>6426</v>
      </c>
      <c r="B119" s="7">
        <f t="shared" si="3"/>
        <v>46121</v>
      </c>
      <c r="C119" s="7">
        <f t="shared" si="4"/>
        <v>46127</v>
      </c>
      <c r="D119" s="6">
        <v>3284</v>
      </c>
      <c r="E119" s="6">
        <v>338</v>
      </c>
      <c r="F119" s="6">
        <v>4</v>
      </c>
      <c r="G119" s="32">
        <v>7</v>
      </c>
      <c r="H119" s="32">
        <v>81676</v>
      </c>
      <c r="I119" s="32" t="s">
        <v>17</v>
      </c>
      <c r="J119" s="22">
        <v>65073310</v>
      </c>
      <c r="K119" s="22" t="s">
        <v>1183</v>
      </c>
      <c r="L119" s="22" t="s">
        <v>1184</v>
      </c>
      <c r="M119" s="39">
        <v>149900</v>
      </c>
      <c r="N119" s="35">
        <v>0.9</v>
      </c>
      <c r="O119" s="34">
        <f t="shared" si="5"/>
        <v>14990</v>
      </c>
      <c r="P119" s="6" t="s">
        <v>16</v>
      </c>
    </row>
    <row r="120" spans="1:16" x14ac:dyDescent="0.35">
      <c r="A120" s="32" t="s">
        <v>6426</v>
      </c>
      <c r="B120" s="7">
        <f t="shared" si="3"/>
        <v>46121</v>
      </c>
      <c r="C120" s="7">
        <f t="shared" si="4"/>
        <v>46127</v>
      </c>
      <c r="D120" s="6">
        <v>3284</v>
      </c>
      <c r="E120" s="6">
        <v>338</v>
      </c>
      <c r="F120" s="6">
        <v>4</v>
      </c>
      <c r="G120" s="32">
        <v>7</v>
      </c>
      <c r="H120" s="32">
        <v>81676</v>
      </c>
      <c r="I120" s="32" t="s">
        <v>17</v>
      </c>
      <c r="J120" s="22">
        <v>65073338</v>
      </c>
      <c r="K120" s="22" t="s">
        <v>1183</v>
      </c>
      <c r="L120" s="22" t="s">
        <v>1185</v>
      </c>
      <c r="M120" s="39">
        <v>149900</v>
      </c>
      <c r="N120" s="35">
        <v>0.9</v>
      </c>
      <c r="O120" s="34">
        <f t="shared" si="5"/>
        <v>14990</v>
      </c>
      <c r="P120" s="6" t="s">
        <v>16</v>
      </c>
    </row>
    <row r="121" spans="1:16" x14ac:dyDescent="0.35">
      <c r="A121" s="32" t="s">
        <v>6426</v>
      </c>
      <c r="B121" s="7">
        <f t="shared" si="3"/>
        <v>46121</v>
      </c>
      <c r="C121" s="7">
        <f t="shared" si="4"/>
        <v>46127</v>
      </c>
      <c r="D121" s="6">
        <v>3284</v>
      </c>
      <c r="E121" s="6">
        <v>338</v>
      </c>
      <c r="F121" s="6">
        <v>4</v>
      </c>
      <c r="G121" s="32">
        <v>7</v>
      </c>
      <c r="H121" s="32">
        <v>81676</v>
      </c>
      <c r="I121" s="32" t="s">
        <v>17</v>
      </c>
      <c r="J121" s="22">
        <v>65073347</v>
      </c>
      <c r="K121" s="22" t="s">
        <v>1183</v>
      </c>
      <c r="L121" s="22" t="s">
        <v>1186</v>
      </c>
      <c r="M121" s="39">
        <v>149900</v>
      </c>
      <c r="N121" s="35">
        <v>0.9</v>
      </c>
      <c r="O121" s="34">
        <f t="shared" si="5"/>
        <v>14990</v>
      </c>
      <c r="P121" s="6" t="s">
        <v>16</v>
      </c>
    </row>
    <row r="122" spans="1:16" x14ac:dyDescent="0.35">
      <c r="A122" s="32" t="s">
        <v>6426</v>
      </c>
      <c r="B122" s="7">
        <f t="shared" si="3"/>
        <v>46121</v>
      </c>
      <c r="C122" s="7">
        <f t="shared" si="4"/>
        <v>46127</v>
      </c>
      <c r="D122" s="6">
        <v>3284</v>
      </c>
      <c r="E122" s="6">
        <v>338</v>
      </c>
      <c r="F122" s="6">
        <v>4</v>
      </c>
      <c r="G122" s="32">
        <v>8</v>
      </c>
      <c r="H122" s="32">
        <v>81421</v>
      </c>
      <c r="I122" s="32" t="s">
        <v>17</v>
      </c>
      <c r="J122" s="22">
        <v>76616221</v>
      </c>
      <c r="K122" s="22" t="s">
        <v>5410</v>
      </c>
      <c r="L122" s="22" t="s">
        <v>5411</v>
      </c>
      <c r="M122" s="39">
        <v>199900</v>
      </c>
      <c r="N122" s="35">
        <v>0.9</v>
      </c>
      <c r="O122" s="34">
        <f t="shared" si="5"/>
        <v>19990</v>
      </c>
      <c r="P122" s="6" t="s">
        <v>16</v>
      </c>
    </row>
    <row r="123" spans="1:16" x14ac:dyDescent="0.35">
      <c r="A123" s="32" t="s">
        <v>6426</v>
      </c>
      <c r="B123" s="7">
        <f t="shared" si="3"/>
        <v>46121</v>
      </c>
      <c r="C123" s="7">
        <f t="shared" si="4"/>
        <v>46127</v>
      </c>
      <c r="D123" s="6">
        <v>3284</v>
      </c>
      <c r="E123" s="6">
        <v>338</v>
      </c>
      <c r="F123" s="6">
        <v>4</v>
      </c>
      <c r="G123" s="32">
        <v>8</v>
      </c>
      <c r="H123" s="32">
        <v>81421</v>
      </c>
      <c r="I123" s="32" t="s">
        <v>17</v>
      </c>
      <c r="J123" s="22">
        <v>76616230</v>
      </c>
      <c r="K123" s="22" t="s">
        <v>5410</v>
      </c>
      <c r="L123" s="22" t="s">
        <v>5412</v>
      </c>
      <c r="M123" s="39">
        <v>199900</v>
      </c>
      <c r="N123" s="35">
        <v>0.9</v>
      </c>
      <c r="O123" s="34">
        <f t="shared" si="5"/>
        <v>19990</v>
      </c>
      <c r="P123" s="6" t="s">
        <v>16</v>
      </c>
    </row>
    <row r="124" spans="1:16" x14ac:dyDescent="0.35">
      <c r="A124" s="32" t="s">
        <v>6426</v>
      </c>
      <c r="B124" s="7">
        <f t="shared" si="3"/>
        <v>46121</v>
      </c>
      <c r="C124" s="7">
        <f t="shared" si="4"/>
        <v>46127</v>
      </c>
      <c r="D124" s="6">
        <v>3284</v>
      </c>
      <c r="E124" s="6">
        <v>338</v>
      </c>
      <c r="F124" s="6">
        <v>4</v>
      </c>
      <c r="G124" s="32">
        <v>8</v>
      </c>
      <c r="H124" s="32">
        <v>81421</v>
      </c>
      <c r="I124" s="32" t="s">
        <v>17</v>
      </c>
      <c r="J124" s="22">
        <v>76616249</v>
      </c>
      <c r="K124" s="22" t="s">
        <v>5410</v>
      </c>
      <c r="L124" s="22" t="s">
        <v>5413</v>
      </c>
      <c r="M124" s="39">
        <v>199900</v>
      </c>
      <c r="N124" s="35">
        <v>0.9</v>
      </c>
      <c r="O124" s="34">
        <f t="shared" si="5"/>
        <v>19990</v>
      </c>
      <c r="P124" s="6" t="s">
        <v>16</v>
      </c>
    </row>
    <row r="125" spans="1:16" x14ac:dyDescent="0.35">
      <c r="A125" s="32" t="s">
        <v>6426</v>
      </c>
      <c r="B125" s="7">
        <f t="shared" si="3"/>
        <v>46121</v>
      </c>
      <c r="C125" s="7">
        <f t="shared" si="4"/>
        <v>46127</v>
      </c>
      <c r="D125" s="6">
        <v>3284</v>
      </c>
      <c r="E125" s="6">
        <v>338</v>
      </c>
      <c r="F125" s="6">
        <v>4</v>
      </c>
      <c r="G125" s="32">
        <v>8</v>
      </c>
      <c r="H125" s="32">
        <v>81421</v>
      </c>
      <c r="I125" s="32" t="s">
        <v>17</v>
      </c>
      <c r="J125" s="22">
        <v>76616276</v>
      </c>
      <c r="K125" s="22" t="s">
        <v>5414</v>
      </c>
      <c r="L125" s="22" t="s">
        <v>5415</v>
      </c>
      <c r="M125" s="39">
        <v>179900</v>
      </c>
      <c r="N125" s="35">
        <v>0.9</v>
      </c>
      <c r="O125" s="34">
        <f t="shared" si="5"/>
        <v>17990</v>
      </c>
      <c r="P125" s="6" t="s">
        <v>16</v>
      </c>
    </row>
    <row r="126" spans="1:16" x14ac:dyDescent="0.35">
      <c r="A126" s="32" t="s">
        <v>6426</v>
      </c>
      <c r="B126" s="7">
        <f t="shared" si="3"/>
        <v>46121</v>
      </c>
      <c r="C126" s="7">
        <f t="shared" si="4"/>
        <v>46127</v>
      </c>
      <c r="D126" s="6">
        <v>3284</v>
      </c>
      <c r="E126" s="6">
        <v>338</v>
      </c>
      <c r="F126" s="6">
        <v>4</v>
      </c>
      <c r="G126" s="32">
        <v>8</v>
      </c>
      <c r="H126" s="32">
        <v>81421</v>
      </c>
      <c r="I126" s="32" t="s">
        <v>17</v>
      </c>
      <c r="J126" s="22">
        <v>76616329</v>
      </c>
      <c r="K126" s="22" t="s">
        <v>5416</v>
      </c>
      <c r="L126" s="22" t="s">
        <v>5417</v>
      </c>
      <c r="M126" s="39">
        <v>219900</v>
      </c>
      <c r="N126" s="35">
        <v>0.9</v>
      </c>
      <c r="O126" s="34">
        <f t="shared" si="5"/>
        <v>21990</v>
      </c>
      <c r="P126" s="6" t="s">
        <v>16</v>
      </c>
    </row>
    <row r="127" spans="1:16" x14ac:dyDescent="0.35">
      <c r="A127" s="32" t="s">
        <v>6426</v>
      </c>
      <c r="B127" s="7">
        <f t="shared" si="3"/>
        <v>46121</v>
      </c>
      <c r="C127" s="7">
        <f t="shared" si="4"/>
        <v>46127</v>
      </c>
      <c r="D127" s="6">
        <v>3284</v>
      </c>
      <c r="E127" s="6">
        <v>338</v>
      </c>
      <c r="F127" s="6">
        <v>4</v>
      </c>
      <c r="G127" s="32">
        <v>8</v>
      </c>
      <c r="H127" s="32">
        <v>80920</v>
      </c>
      <c r="I127" s="32" t="s">
        <v>17</v>
      </c>
      <c r="J127" s="22">
        <v>83507951</v>
      </c>
      <c r="K127" s="22" t="s">
        <v>5418</v>
      </c>
      <c r="L127" s="22" t="s">
        <v>5419</v>
      </c>
      <c r="M127" s="39">
        <v>159900</v>
      </c>
      <c r="N127" s="35">
        <v>0.9</v>
      </c>
      <c r="O127" s="34">
        <f t="shared" si="5"/>
        <v>15990</v>
      </c>
      <c r="P127" s="6" t="s">
        <v>16</v>
      </c>
    </row>
    <row r="128" spans="1:16" x14ac:dyDescent="0.35">
      <c r="A128" s="32" t="s">
        <v>6426</v>
      </c>
      <c r="B128" s="7">
        <f t="shared" si="3"/>
        <v>46121</v>
      </c>
      <c r="C128" s="7">
        <f t="shared" si="4"/>
        <v>46127</v>
      </c>
      <c r="D128" s="6">
        <v>3284</v>
      </c>
      <c r="E128" s="6">
        <v>338</v>
      </c>
      <c r="F128" s="6">
        <v>4</v>
      </c>
      <c r="G128" s="32">
        <v>8</v>
      </c>
      <c r="H128" s="32">
        <v>80920</v>
      </c>
      <c r="I128" s="32" t="s">
        <v>17</v>
      </c>
      <c r="J128" s="22">
        <v>83508030</v>
      </c>
      <c r="K128" s="22" t="s">
        <v>5420</v>
      </c>
      <c r="L128" s="22" t="s">
        <v>5421</v>
      </c>
      <c r="M128" s="39">
        <v>119900</v>
      </c>
      <c r="N128" s="35">
        <v>0.9</v>
      </c>
      <c r="O128" s="34">
        <f t="shared" si="5"/>
        <v>11990</v>
      </c>
      <c r="P128" s="6" t="s">
        <v>16</v>
      </c>
    </row>
    <row r="129" spans="1:16" x14ac:dyDescent="0.35">
      <c r="A129" s="32" t="s">
        <v>6426</v>
      </c>
      <c r="B129" s="7">
        <f t="shared" si="3"/>
        <v>46121</v>
      </c>
      <c r="C129" s="7">
        <f t="shared" si="4"/>
        <v>46127</v>
      </c>
      <c r="D129" s="6">
        <v>3284</v>
      </c>
      <c r="E129" s="6">
        <v>338</v>
      </c>
      <c r="F129" s="6">
        <v>4</v>
      </c>
      <c r="G129" s="32">
        <v>8</v>
      </c>
      <c r="H129" s="32">
        <v>81676</v>
      </c>
      <c r="I129" s="32" t="s">
        <v>17</v>
      </c>
      <c r="J129" s="22">
        <v>13432912</v>
      </c>
      <c r="K129" s="22" t="s">
        <v>5422</v>
      </c>
      <c r="L129" s="22" t="s">
        <v>5423</v>
      </c>
      <c r="M129" s="39">
        <v>159900</v>
      </c>
      <c r="N129" s="35">
        <v>0.9</v>
      </c>
      <c r="O129" s="34">
        <f t="shared" si="5"/>
        <v>15990</v>
      </c>
      <c r="P129" s="6" t="s">
        <v>16</v>
      </c>
    </row>
    <row r="130" spans="1:16" x14ac:dyDescent="0.35">
      <c r="A130" s="32" t="s">
        <v>6426</v>
      </c>
      <c r="B130" s="7">
        <f t="shared" si="3"/>
        <v>46121</v>
      </c>
      <c r="C130" s="7">
        <f t="shared" si="4"/>
        <v>46127</v>
      </c>
      <c r="D130" s="6">
        <v>3284</v>
      </c>
      <c r="E130" s="6">
        <v>338</v>
      </c>
      <c r="F130" s="6">
        <v>4</v>
      </c>
      <c r="G130" s="32">
        <v>8</v>
      </c>
      <c r="H130" s="32">
        <v>81676</v>
      </c>
      <c r="I130" s="32" t="s">
        <v>17</v>
      </c>
      <c r="J130" s="22">
        <v>13432921</v>
      </c>
      <c r="K130" s="22" t="s">
        <v>5422</v>
      </c>
      <c r="L130" s="22" t="s">
        <v>5424</v>
      </c>
      <c r="M130" s="39">
        <v>159900</v>
      </c>
      <c r="N130" s="35">
        <v>0.9</v>
      </c>
      <c r="O130" s="34">
        <f t="shared" si="5"/>
        <v>15990</v>
      </c>
      <c r="P130" s="6" t="s">
        <v>16</v>
      </c>
    </row>
    <row r="131" spans="1:16" x14ac:dyDescent="0.35">
      <c r="A131" s="32" t="s">
        <v>6426</v>
      </c>
      <c r="B131" s="7">
        <f t="shared" si="3"/>
        <v>46121</v>
      </c>
      <c r="C131" s="7">
        <f t="shared" si="4"/>
        <v>46127</v>
      </c>
      <c r="D131" s="6">
        <v>3284</v>
      </c>
      <c r="E131" s="6">
        <v>338</v>
      </c>
      <c r="F131" s="6">
        <v>4</v>
      </c>
      <c r="G131" s="32">
        <v>8</v>
      </c>
      <c r="H131" s="32">
        <v>81676</v>
      </c>
      <c r="I131" s="32" t="s">
        <v>17</v>
      </c>
      <c r="J131" s="22">
        <v>13432930</v>
      </c>
      <c r="K131" s="22" t="s">
        <v>5422</v>
      </c>
      <c r="L131" s="22" t="s">
        <v>5425</v>
      </c>
      <c r="M131" s="39">
        <v>159900</v>
      </c>
      <c r="N131" s="35">
        <v>0.9</v>
      </c>
      <c r="O131" s="34">
        <f t="shared" si="5"/>
        <v>15990</v>
      </c>
      <c r="P131" s="6" t="s">
        <v>16</v>
      </c>
    </row>
    <row r="132" spans="1:16" x14ac:dyDescent="0.35">
      <c r="A132" s="32" t="s">
        <v>6426</v>
      </c>
      <c r="B132" s="7">
        <f t="shared" ref="B132:B146" si="6">B131</f>
        <v>46121</v>
      </c>
      <c r="C132" s="7">
        <f t="shared" ref="C132:C146" si="7">C131</f>
        <v>46127</v>
      </c>
      <c r="D132" s="6">
        <v>3284</v>
      </c>
      <c r="E132" s="6">
        <v>338</v>
      </c>
      <c r="F132" s="6">
        <v>4</v>
      </c>
      <c r="G132" s="32">
        <v>8</v>
      </c>
      <c r="H132" s="32">
        <v>81676</v>
      </c>
      <c r="I132" s="32" t="s">
        <v>17</v>
      </c>
      <c r="J132" s="22">
        <v>13432949</v>
      </c>
      <c r="K132" s="22" t="s">
        <v>5422</v>
      </c>
      <c r="L132" s="22" t="s">
        <v>5426</v>
      </c>
      <c r="M132" s="39">
        <v>159900</v>
      </c>
      <c r="N132" s="35">
        <v>0.9</v>
      </c>
      <c r="O132" s="34">
        <f t="shared" ref="O132:O146" si="8">M132-((90*M132)/100)</f>
        <v>15990</v>
      </c>
      <c r="P132" s="6" t="s">
        <v>16</v>
      </c>
    </row>
    <row r="133" spans="1:16" x14ac:dyDescent="0.35">
      <c r="A133" s="32" t="s">
        <v>6426</v>
      </c>
      <c r="B133" s="7">
        <f t="shared" si="6"/>
        <v>46121</v>
      </c>
      <c r="C133" s="7">
        <f t="shared" si="7"/>
        <v>46127</v>
      </c>
      <c r="D133" s="6">
        <v>3284</v>
      </c>
      <c r="E133" s="6">
        <v>338</v>
      </c>
      <c r="F133" s="6">
        <v>4</v>
      </c>
      <c r="G133" s="32">
        <v>8</v>
      </c>
      <c r="H133" s="32">
        <v>81676</v>
      </c>
      <c r="I133" s="32" t="s">
        <v>17</v>
      </c>
      <c r="J133" s="22">
        <v>13432967</v>
      </c>
      <c r="K133" s="22" t="s">
        <v>5427</v>
      </c>
      <c r="L133" s="22" t="s">
        <v>5428</v>
      </c>
      <c r="M133" s="39">
        <v>159900</v>
      </c>
      <c r="N133" s="35">
        <v>0.9</v>
      </c>
      <c r="O133" s="34">
        <f t="shared" si="8"/>
        <v>15990</v>
      </c>
      <c r="P133" s="6" t="s">
        <v>16</v>
      </c>
    </row>
    <row r="134" spans="1:16" x14ac:dyDescent="0.35">
      <c r="A134" s="32" t="s">
        <v>6426</v>
      </c>
      <c r="B134" s="7">
        <f t="shared" si="6"/>
        <v>46121</v>
      </c>
      <c r="C134" s="7">
        <f t="shared" si="7"/>
        <v>46127</v>
      </c>
      <c r="D134" s="6">
        <v>3284</v>
      </c>
      <c r="E134" s="6">
        <v>338</v>
      </c>
      <c r="F134" s="6">
        <v>4</v>
      </c>
      <c r="G134" s="32">
        <v>8</v>
      </c>
      <c r="H134" s="32">
        <v>81676</v>
      </c>
      <c r="I134" s="32" t="s">
        <v>17</v>
      </c>
      <c r="J134" s="22">
        <v>13432994</v>
      </c>
      <c r="K134" s="22" t="s">
        <v>5427</v>
      </c>
      <c r="L134" s="22" t="s">
        <v>5429</v>
      </c>
      <c r="M134" s="39">
        <v>159900</v>
      </c>
      <c r="N134" s="35">
        <v>0.9</v>
      </c>
      <c r="O134" s="34">
        <f t="shared" si="8"/>
        <v>15990</v>
      </c>
      <c r="P134" s="6" t="s">
        <v>16</v>
      </c>
    </row>
    <row r="135" spans="1:16" x14ac:dyDescent="0.35">
      <c r="A135" s="32" t="s">
        <v>6426</v>
      </c>
      <c r="B135" s="7">
        <f t="shared" si="6"/>
        <v>46121</v>
      </c>
      <c r="C135" s="7">
        <f t="shared" si="7"/>
        <v>46127</v>
      </c>
      <c r="D135" s="6">
        <v>3284</v>
      </c>
      <c r="E135" s="6">
        <v>338</v>
      </c>
      <c r="F135" s="6">
        <v>4</v>
      </c>
      <c r="G135" s="32">
        <v>8</v>
      </c>
      <c r="H135" s="32">
        <v>81676</v>
      </c>
      <c r="I135" s="32" t="s">
        <v>17</v>
      </c>
      <c r="J135" s="22">
        <v>13433019</v>
      </c>
      <c r="K135" s="22" t="s">
        <v>5430</v>
      </c>
      <c r="L135" s="22" t="s">
        <v>5431</v>
      </c>
      <c r="M135" s="39">
        <v>159900</v>
      </c>
      <c r="N135" s="35">
        <v>0.9</v>
      </c>
      <c r="O135" s="34">
        <f t="shared" si="8"/>
        <v>15990</v>
      </c>
      <c r="P135" s="6" t="s">
        <v>16</v>
      </c>
    </row>
    <row r="136" spans="1:16" x14ac:dyDescent="0.35">
      <c r="A136" s="32" t="s">
        <v>6426</v>
      </c>
      <c r="B136" s="7">
        <f t="shared" si="6"/>
        <v>46121</v>
      </c>
      <c r="C136" s="7">
        <f t="shared" si="7"/>
        <v>46127</v>
      </c>
      <c r="D136" s="6">
        <v>3284</v>
      </c>
      <c r="E136" s="6">
        <v>338</v>
      </c>
      <c r="F136" s="6">
        <v>4</v>
      </c>
      <c r="G136" s="32">
        <v>8</v>
      </c>
      <c r="H136" s="32">
        <v>81676</v>
      </c>
      <c r="I136" s="32" t="s">
        <v>17</v>
      </c>
      <c r="J136" s="22">
        <v>13433037</v>
      </c>
      <c r="K136" s="22" t="s">
        <v>5430</v>
      </c>
      <c r="L136" s="22" t="s">
        <v>5432</v>
      </c>
      <c r="M136" s="39">
        <v>159900</v>
      </c>
      <c r="N136" s="35">
        <v>0.9</v>
      </c>
      <c r="O136" s="34">
        <f t="shared" si="8"/>
        <v>15990</v>
      </c>
      <c r="P136" s="6" t="s">
        <v>16</v>
      </c>
    </row>
    <row r="137" spans="1:16" x14ac:dyDescent="0.35">
      <c r="A137" s="32" t="s">
        <v>6426</v>
      </c>
      <c r="B137" s="7">
        <f t="shared" si="6"/>
        <v>46121</v>
      </c>
      <c r="C137" s="7">
        <f t="shared" si="7"/>
        <v>46127</v>
      </c>
      <c r="D137" s="6">
        <v>3284</v>
      </c>
      <c r="E137" s="6">
        <v>338</v>
      </c>
      <c r="F137" s="6">
        <v>4</v>
      </c>
      <c r="G137" s="32">
        <v>8</v>
      </c>
      <c r="H137" s="32">
        <v>81676</v>
      </c>
      <c r="I137" s="32" t="s">
        <v>17</v>
      </c>
      <c r="J137" s="22">
        <v>13433046</v>
      </c>
      <c r="K137" s="22" t="s">
        <v>5430</v>
      </c>
      <c r="L137" s="22" t="s">
        <v>5433</v>
      </c>
      <c r="M137" s="39">
        <v>159900</v>
      </c>
      <c r="N137" s="35">
        <v>0.9</v>
      </c>
      <c r="O137" s="34">
        <f t="shared" si="8"/>
        <v>15990</v>
      </c>
      <c r="P137" s="6" t="s">
        <v>16</v>
      </c>
    </row>
    <row r="138" spans="1:16" x14ac:dyDescent="0.35">
      <c r="A138" s="32" t="s">
        <v>6426</v>
      </c>
      <c r="B138" s="7">
        <f t="shared" si="6"/>
        <v>46121</v>
      </c>
      <c r="C138" s="7">
        <f t="shared" si="7"/>
        <v>46127</v>
      </c>
      <c r="D138" s="6">
        <v>3284</v>
      </c>
      <c r="E138" s="6">
        <v>338</v>
      </c>
      <c r="F138" s="6">
        <v>4</v>
      </c>
      <c r="G138" s="32">
        <v>8</v>
      </c>
      <c r="H138" s="32">
        <v>81676</v>
      </c>
      <c r="I138" s="32" t="s">
        <v>17</v>
      </c>
      <c r="J138" s="22">
        <v>76616169</v>
      </c>
      <c r="K138" s="22" t="s">
        <v>5570</v>
      </c>
      <c r="L138" s="22" t="s">
        <v>5571</v>
      </c>
      <c r="M138" s="39">
        <v>169900</v>
      </c>
      <c r="N138" s="35">
        <v>0.9</v>
      </c>
      <c r="O138" s="34">
        <f t="shared" si="8"/>
        <v>16990</v>
      </c>
      <c r="P138" s="6" t="s">
        <v>16</v>
      </c>
    </row>
    <row r="139" spans="1:16" x14ac:dyDescent="0.35">
      <c r="A139" s="32" t="s">
        <v>6426</v>
      </c>
      <c r="B139" s="7">
        <f t="shared" si="6"/>
        <v>46121</v>
      </c>
      <c r="C139" s="7">
        <f t="shared" si="7"/>
        <v>46127</v>
      </c>
      <c r="D139" s="6">
        <v>3284</v>
      </c>
      <c r="E139" s="6">
        <v>338</v>
      </c>
      <c r="F139" s="6">
        <v>4</v>
      </c>
      <c r="G139" s="32">
        <v>8</v>
      </c>
      <c r="H139" s="32">
        <v>81676</v>
      </c>
      <c r="I139" s="32" t="s">
        <v>17</v>
      </c>
      <c r="J139" s="22">
        <v>76616338</v>
      </c>
      <c r="K139" s="22" t="s">
        <v>5434</v>
      </c>
      <c r="L139" s="22" t="s">
        <v>5435</v>
      </c>
      <c r="M139" s="39">
        <v>99900</v>
      </c>
      <c r="N139" s="35">
        <v>0.9</v>
      </c>
      <c r="O139" s="34">
        <f t="shared" si="8"/>
        <v>9990</v>
      </c>
      <c r="P139" s="6" t="s">
        <v>16</v>
      </c>
    </row>
    <row r="140" spans="1:16" x14ac:dyDescent="0.35">
      <c r="A140" s="32" t="s">
        <v>6426</v>
      </c>
      <c r="B140" s="7">
        <f t="shared" si="6"/>
        <v>46121</v>
      </c>
      <c r="C140" s="7">
        <f t="shared" si="7"/>
        <v>46127</v>
      </c>
      <c r="D140" s="6">
        <v>3284</v>
      </c>
      <c r="E140" s="6">
        <v>338</v>
      </c>
      <c r="F140" s="6">
        <v>4</v>
      </c>
      <c r="G140" s="32">
        <v>8</v>
      </c>
      <c r="H140" s="32">
        <v>81676</v>
      </c>
      <c r="I140" s="32" t="s">
        <v>17</v>
      </c>
      <c r="J140" s="22">
        <v>76616365</v>
      </c>
      <c r="K140" s="22" t="s">
        <v>5434</v>
      </c>
      <c r="L140" s="22" t="s">
        <v>5436</v>
      </c>
      <c r="M140" s="39">
        <v>99900</v>
      </c>
      <c r="N140" s="35">
        <v>0.9</v>
      </c>
      <c r="O140" s="34">
        <f t="shared" si="8"/>
        <v>9990</v>
      </c>
      <c r="P140" s="6" t="s">
        <v>16</v>
      </c>
    </row>
    <row r="141" spans="1:16" x14ac:dyDescent="0.35">
      <c r="A141" s="32" t="s">
        <v>6426</v>
      </c>
      <c r="B141" s="7">
        <f t="shared" si="6"/>
        <v>46121</v>
      </c>
      <c r="C141" s="7">
        <f t="shared" si="7"/>
        <v>46127</v>
      </c>
      <c r="D141" s="6">
        <v>3284</v>
      </c>
      <c r="E141" s="6">
        <v>338</v>
      </c>
      <c r="F141" s="6">
        <v>4</v>
      </c>
      <c r="G141" s="32">
        <v>8</v>
      </c>
      <c r="H141" s="32">
        <v>81676</v>
      </c>
      <c r="I141" s="32" t="s">
        <v>17</v>
      </c>
      <c r="J141" s="22">
        <v>76616392</v>
      </c>
      <c r="K141" s="22" t="s">
        <v>5437</v>
      </c>
      <c r="L141" s="22" t="s">
        <v>5438</v>
      </c>
      <c r="M141" s="39">
        <v>89900</v>
      </c>
      <c r="N141" s="35">
        <v>0.9</v>
      </c>
      <c r="O141" s="34">
        <f t="shared" si="8"/>
        <v>8990</v>
      </c>
      <c r="P141" s="6" t="s">
        <v>16</v>
      </c>
    </row>
    <row r="142" spans="1:16" x14ac:dyDescent="0.35">
      <c r="A142" s="32" t="s">
        <v>6426</v>
      </c>
      <c r="B142" s="7">
        <f t="shared" si="6"/>
        <v>46121</v>
      </c>
      <c r="C142" s="7">
        <f t="shared" si="7"/>
        <v>46127</v>
      </c>
      <c r="D142" s="6">
        <v>3284</v>
      </c>
      <c r="E142" s="6">
        <v>338</v>
      </c>
      <c r="F142" s="6">
        <v>4</v>
      </c>
      <c r="G142" s="32">
        <v>8</v>
      </c>
      <c r="H142" s="32">
        <v>81676</v>
      </c>
      <c r="I142" s="32" t="s">
        <v>17</v>
      </c>
      <c r="J142" s="22">
        <v>81897847</v>
      </c>
      <c r="K142" s="22" t="s">
        <v>5439</v>
      </c>
      <c r="L142" s="22" t="s">
        <v>5440</v>
      </c>
      <c r="M142" s="39">
        <v>99900</v>
      </c>
      <c r="N142" s="35">
        <v>0.9</v>
      </c>
      <c r="O142" s="34">
        <f t="shared" si="8"/>
        <v>9990</v>
      </c>
      <c r="P142" s="6" t="s">
        <v>16</v>
      </c>
    </row>
    <row r="143" spans="1:16" x14ac:dyDescent="0.35">
      <c r="A143" s="32" t="s">
        <v>6426</v>
      </c>
      <c r="B143" s="7">
        <f t="shared" si="6"/>
        <v>46121</v>
      </c>
      <c r="C143" s="7">
        <f t="shared" si="7"/>
        <v>46127</v>
      </c>
      <c r="D143" s="6">
        <v>3284</v>
      </c>
      <c r="E143" s="6">
        <v>338</v>
      </c>
      <c r="F143" s="6">
        <v>4</v>
      </c>
      <c r="G143" s="32">
        <v>8</v>
      </c>
      <c r="H143" s="32">
        <v>81676</v>
      </c>
      <c r="I143" s="32" t="s">
        <v>17</v>
      </c>
      <c r="J143" s="22">
        <v>81897856</v>
      </c>
      <c r="K143" s="22" t="s">
        <v>5439</v>
      </c>
      <c r="L143" s="22" t="s">
        <v>5441</v>
      </c>
      <c r="M143" s="39">
        <v>99900</v>
      </c>
      <c r="N143" s="35">
        <v>0.9</v>
      </c>
      <c r="O143" s="34">
        <f t="shared" si="8"/>
        <v>9990</v>
      </c>
      <c r="P143" s="6" t="s">
        <v>16</v>
      </c>
    </row>
    <row r="144" spans="1:16" x14ac:dyDescent="0.35">
      <c r="A144" s="32" t="s">
        <v>6426</v>
      </c>
      <c r="B144" s="7">
        <f t="shared" si="6"/>
        <v>46121</v>
      </c>
      <c r="C144" s="7">
        <f t="shared" si="7"/>
        <v>46127</v>
      </c>
      <c r="D144" s="6">
        <v>3284</v>
      </c>
      <c r="E144" s="6">
        <v>338</v>
      </c>
      <c r="F144" s="6">
        <v>4</v>
      </c>
      <c r="G144" s="32">
        <v>8</v>
      </c>
      <c r="H144" s="32">
        <v>81676</v>
      </c>
      <c r="I144" s="32" t="s">
        <v>17</v>
      </c>
      <c r="J144" s="22">
        <v>81897918</v>
      </c>
      <c r="K144" s="22" t="s">
        <v>5442</v>
      </c>
      <c r="L144" s="22" t="s">
        <v>5443</v>
      </c>
      <c r="M144" s="39">
        <v>139900</v>
      </c>
      <c r="N144" s="35">
        <v>0.9</v>
      </c>
      <c r="O144" s="34">
        <f t="shared" si="8"/>
        <v>13990</v>
      </c>
      <c r="P144" s="6" t="s">
        <v>16</v>
      </c>
    </row>
    <row r="145" spans="1:16" x14ac:dyDescent="0.35">
      <c r="A145" s="32" t="s">
        <v>6426</v>
      </c>
      <c r="B145" s="7">
        <f t="shared" si="6"/>
        <v>46121</v>
      </c>
      <c r="C145" s="7">
        <f t="shared" si="7"/>
        <v>46127</v>
      </c>
      <c r="D145" s="6">
        <v>3284</v>
      </c>
      <c r="E145" s="6">
        <v>338</v>
      </c>
      <c r="F145" s="6">
        <v>4</v>
      </c>
      <c r="G145" s="32">
        <v>8</v>
      </c>
      <c r="H145" s="32">
        <v>81676</v>
      </c>
      <c r="I145" s="32" t="s">
        <v>17</v>
      </c>
      <c r="J145" s="22">
        <v>81897927</v>
      </c>
      <c r="K145" s="22" t="s">
        <v>5442</v>
      </c>
      <c r="L145" s="22" t="s">
        <v>5444</v>
      </c>
      <c r="M145" s="39">
        <v>139900</v>
      </c>
      <c r="N145" s="35">
        <v>0.9</v>
      </c>
      <c r="O145" s="34">
        <f t="shared" si="8"/>
        <v>13990</v>
      </c>
      <c r="P145" s="6" t="s">
        <v>16</v>
      </c>
    </row>
    <row r="146" spans="1:16" x14ac:dyDescent="0.35">
      <c r="A146" s="32" t="s">
        <v>6426</v>
      </c>
      <c r="B146" s="7">
        <f t="shared" si="6"/>
        <v>46121</v>
      </c>
      <c r="C146" s="7">
        <f t="shared" si="7"/>
        <v>46127</v>
      </c>
      <c r="D146" s="6">
        <v>3284</v>
      </c>
      <c r="E146" s="6">
        <v>338</v>
      </c>
      <c r="F146" s="6">
        <v>4</v>
      </c>
      <c r="G146" s="32">
        <v>8</v>
      </c>
      <c r="H146" s="32">
        <v>81676</v>
      </c>
      <c r="I146" s="32" t="s">
        <v>17</v>
      </c>
      <c r="J146" s="22">
        <v>81897945</v>
      </c>
      <c r="K146" s="22" t="s">
        <v>5445</v>
      </c>
      <c r="L146" s="22" t="s">
        <v>5446</v>
      </c>
      <c r="M146" s="39">
        <v>219900</v>
      </c>
      <c r="N146" s="35">
        <v>0.9</v>
      </c>
      <c r="O146" s="34">
        <f t="shared" si="8"/>
        <v>21990</v>
      </c>
      <c r="P146" s="6" t="s">
        <v>16</v>
      </c>
    </row>
  </sheetData>
  <autoFilter ref="A1:P1" xr:uid="{00000000-0009-0000-0000-00001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1"/>
  <sheetViews>
    <sheetView zoomScale="75" zoomScaleNormal="100" workbookViewId="0">
      <pane ySplit="1" topLeftCell="A178" activePane="bottomLeft" state="frozen"/>
      <selection activeCell="M23" sqref="M23"/>
      <selection pane="bottomLeft" activeCell="L2" sqref="L2:L201"/>
    </sheetView>
  </sheetViews>
  <sheetFormatPr defaultColWidth="8.6328125" defaultRowHeight="14.5" x14ac:dyDescent="0.35"/>
  <cols>
    <col min="1" max="1" width="27.269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6511</v>
      </c>
      <c r="B2" s="7">
        <f>'2025 HILITE D80 - 3321'!B2</f>
        <v>46121</v>
      </c>
      <c r="C2" s="7">
        <f>'2025 HILITE D80 - 3321'!C2</f>
        <v>46127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28031649</v>
      </c>
      <c r="K2" s="6" t="s">
        <v>1310</v>
      </c>
      <c r="L2" s="38" t="s">
        <v>1311</v>
      </c>
      <c r="M2" s="8">
        <v>99900</v>
      </c>
      <c r="N2" s="9">
        <v>0.9</v>
      </c>
      <c r="O2" s="8">
        <f>M2-((90*M2)/100)</f>
        <v>9990</v>
      </c>
      <c r="P2" s="6" t="s">
        <v>16</v>
      </c>
    </row>
    <row r="3" spans="1:16" x14ac:dyDescent="0.35">
      <c r="A3" s="32" t="s">
        <v>6511</v>
      </c>
      <c r="B3" s="7">
        <f>B2</f>
        <v>46121</v>
      </c>
      <c r="C3" s="7">
        <f>C2</f>
        <v>46127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28031658</v>
      </c>
      <c r="K3" s="6" t="s">
        <v>1310</v>
      </c>
      <c r="L3" s="38" t="s">
        <v>1312</v>
      </c>
      <c r="M3" s="8">
        <v>99900</v>
      </c>
      <c r="N3" s="35">
        <v>0.9</v>
      </c>
      <c r="O3" s="34">
        <f t="shared" ref="O3:O66" si="0">M3-((90*M3)/100)</f>
        <v>9990</v>
      </c>
      <c r="P3" s="6" t="s">
        <v>16</v>
      </c>
    </row>
    <row r="4" spans="1:16" x14ac:dyDescent="0.35">
      <c r="A4" s="32" t="s">
        <v>6511</v>
      </c>
      <c r="B4" s="7">
        <f t="shared" ref="B4:B67" si="1">B3</f>
        <v>46121</v>
      </c>
      <c r="C4" s="7">
        <f t="shared" ref="C4:C67" si="2">C3</f>
        <v>46127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28031667</v>
      </c>
      <c r="K4" s="6" t="s">
        <v>1310</v>
      </c>
      <c r="L4" s="38" t="s">
        <v>1313</v>
      </c>
      <c r="M4" s="8">
        <v>99900</v>
      </c>
      <c r="N4" s="35">
        <v>0.9</v>
      </c>
      <c r="O4" s="34">
        <f t="shared" si="0"/>
        <v>9990</v>
      </c>
      <c r="P4" s="6" t="s">
        <v>16</v>
      </c>
    </row>
    <row r="5" spans="1:16" x14ac:dyDescent="0.35">
      <c r="A5" s="32" t="s">
        <v>6511</v>
      </c>
      <c r="B5" s="7">
        <f t="shared" si="1"/>
        <v>46121</v>
      </c>
      <c r="C5" s="7">
        <f t="shared" si="2"/>
        <v>46127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28031676</v>
      </c>
      <c r="K5" s="6" t="s">
        <v>1310</v>
      </c>
      <c r="L5" s="38" t="s">
        <v>1314</v>
      </c>
      <c r="M5" s="8">
        <v>99900</v>
      </c>
      <c r="N5" s="35">
        <v>0.9</v>
      </c>
      <c r="O5" s="34">
        <f t="shared" si="0"/>
        <v>9990</v>
      </c>
      <c r="P5" s="6" t="s">
        <v>16</v>
      </c>
    </row>
    <row r="6" spans="1:16" x14ac:dyDescent="0.35">
      <c r="A6" s="32" t="s">
        <v>6511</v>
      </c>
      <c r="B6" s="7">
        <f t="shared" si="1"/>
        <v>46121</v>
      </c>
      <c r="C6" s="7">
        <f t="shared" si="2"/>
        <v>46127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55712059</v>
      </c>
      <c r="K6" s="6" t="s">
        <v>5447</v>
      </c>
      <c r="L6" s="38" t="s">
        <v>1299</v>
      </c>
      <c r="M6" s="8">
        <v>49900</v>
      </c>
      <c r="N6" s="35">
        <v>0.9</v>
      </c>
      <c r="O6" s="34">
        <f t="shared" si="0"/>
        <v>4990</v>
      </c>
      <c r="P6" s="6" t="s">
        <v>16</v>
      </c>
    </row>
    <row r="7" spans="1:16" x14ac:dyDescent="0.35">
      <c r="A7" s="32" t="s">
        <v>6511</v>
      </c>
      <c r="B7" s="7">
        <f t="shared" si="1"/>
        <v>46121</v>
      </c>
      <c r="C7" s="7">
        <f t="shared" si="2"/>
        <v>46127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55712068</v>
      </c>
      <c r="K7" s="6" t="s">
        <v>5447</v>
      </c>
      <c r="L7" s="38" t="s">
        <v>1300</v>
      </c>
      <c r="M7" s="8">
        <v>49900</v>
      </c>
      <c r="N7" s="35">
        <v>0.9</v>
      </c>
      <c r="O7" s="34">
        <f t="shared" si="0"/>
        <v>4990</v>
      </c>
      <c r="P7" s="6" t="s">
        <v>16</v>
      </c>
    </row>
    <row r="8" spans="1:16" x14ac:dyDescent="0.35">
      <c r="A8" s="32" t="s">
        <v>6511</v>
      </c>
      <c r="B8" s="7">
        <f t="shared" si="1"/>
        <v>46121</v>
      </c>
      <c r="C8" s="7">
        <f t="shared" si="2"/>
        <v>46127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55712077</v>
      </c>
      <c r="K8" s="6" t="s">
        <v>5447</v>
      </c>
      <c r="L8" s="38" t="s">
        <v>1301</v>
      </c>
      <c r="M8" s="8">
        <v>49900</v>
      </c>
      <c r="N8" s="35">
        <v>0.9</v>
      </c>
      <c r="O8" s="34">
        <f t="shared" si="0"/>
        <v>4990</v>
      </c>
      <c r="P8" s="6" t="s">
        <v>16</v>
      </c>
    </row>
    <row r="9" spans="1:16" x14ac:dyDescent="0.35">
      <c r="A9" s="32" t="s">
        <v>6511</v>
      </c>
      <c r="B9" s="7">
        <f t="shared" si="1"/>
        <v>46121</v>
      </c>
      <c r="C9" s="7">
        <f t="shared" si="2"/>
        <v>46127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55712086</v>
      </c>
      <c r="K9" s="6" t="s">
        <v>5447</v>
      </c>
      <c r="L9" s="38" t="s">
        <v>1302</v>
      </c>
      <c r="M9" s="8">
        <v>49900</v>
      </c>
      <c r="N9" s="35">
        <v>0.9</v>
      </c>
      <c r="O9" s="34">
        <f t="shared" si="0"/>
        <v>4990</v>
      </c>
      <c r="P9" s="6" t="s">
        <v>16</v>
      </c>
    </row>
    <row r="10" spans="1:16" x14ac:dyDescent="0.35">
      <c r="A10" s="32" t="s">
        <v>6511</v>
      </c>
      <c r="B10" s="7">
        <f t="shared" si="1"/>
        <v>46121</v>
      </c>
      <c r="C10" s="7">
        <f t="shared" si="2"/>
        <v>46127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55712157</v>
      </c>
      <c r="K10" s="6" t="s">
        <v>5448</v>
      </c>
      <c r="L10" s="38" t="s">
        <v>1303</v>
      </c>
      <c r="M10" s="8">
        <v>49900</v>
      </c>
      <c r="N10" s="35">
        <v>0.9</v>
      </c>
      <c r="O10" s="34">
        <f t="shared" si="0"/>
        <v>4990</v>
      </c>
      <c r="P10" s="6" t="s">
        <v>16</v>
      </c>
    </row>
    <row r="11" spans="1:16" x14ac:dyDescent="0.35">
      <c r="A11" s="32" t="s">
        <v>6511</v>
      </c>
      <c r="B11" s="7">
        <f t="shared" si="1"/>
        <v>46121</v>
      </c>
      <c r="C11" s="7">
        <f t="shared" si="2"/>
        <v>46127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55712166</v>
      </c>
      <c r="K11" s="6" t="s">
        <v>5448</v>
      </c>
      <c r="L11" s="38" t="s">
        <v>1304</v>
      </c>
      <c r="M11" s="8">
        <v>49900</v>
      </c>
      <c r="N11" s="35">
        <v>0.9</v>
      </c>
      <c r="O11" s="34">
        <f t="shared" si="0"/>
        <v>4990</v>
      </c>
      <c r="P11" s="6" t="s">
        <v>16</v>
      </c>
    </row>
    <row r="12" spans="1:16" x14ac:dyDescent="0.35">
      <c r="A12" s="32" t="s">
        <v>6511</v>
      </c>
      <c r="B12" s="7">
        <f t="shared" si="1"/>
        <v>46121</v>
      </c>
      <c r="C12" s="7">
        <f t="shared" si="2"/>
        <v>46127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17</v>
      </c>
      <c r="J12" s="6">
        <v>55712175</v>
      </c>
      <c r="K12" s="6" t="s">
        <v>5448</v>
      </c>
      <c r="L12" s="38" t="s">
        <v>1305</v>
      </c>
      <c r="M12" s="8">
        <v>49900</v>
      </c>
      <c r="N12" s="35">
        <v>0.9</v>
      </c>
      <c r="O12" s="34">
        <f t="shared" si="0"/>
        <v>4990</v>
      </c>
      <c r="P12" s="6" t="s">
        <v>16</v>
      </c>
    </row>
    <row r="13" spans="1:16" x14ac:dyDescent="0.35">
      <c r="A13" s="32" t="s">
        <v>6511</v>
      </c>
      <c r="B13" s="7">
        <f t="shared" si="1"/>
        <v>46121</v>
      </c>
      <c r="C13" s="7">
        <f t="shared" si="2"/>
        <v>46127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17</v>
      </c>
      <c r="J13" s="6">
        <v>55712184</v>
      </c>
      <c r="K13" s="6" t="s">
        <v>5448</v>
      </c>
      <c r="L13" s="38" t="s">
        <v>1306</v>
      </c>
      <c r="M13" s="8">
        <v>49900</v>
      </c>
      <c r="N13" s="35">
        <v>0.9</v>
      </c>
      <c r="O13" s="34">
        <f t="shared" si="0"/>
        <v>4990</v>
      </c>
      <c r="P13" s="6" t="s">
        <v>16</v>
      </c>
    </row>
    <row r="14" spans="1:16" x14ac:dyDescent="0.35">
      <c r="A14" s="32" t="s">
        <v>6511</v>
      </c>
      <c r="B14" s="7">
        <f t="shared" si="1"/>
        <v>46121</v>
      </c>
      <c r="C14" s="7">
        <f t="shared" si="2"/>
        <v>46127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17</v>
      </c>
      <c r="J14" s="6">
        <v>67591391</v>
      </c>
      <c r="K14" s="6" t="s">
        <v>1402</v>
      </c>
      <c r="L14" s="38" t="s">
        <v>1403</v>
      </c>
      <c r="M14" s="8">
        <v>129900</v>
      </c>
      <c r="N14" s="35">
        <v>0.9</v>
      </c>
      <c r="O14" s="34">
        <f t="shared" si="0"/>
        <v>12990</v>
      </c>
      <c r="P14" s="6" t="s">
        <v>16</v>
      </c>
    </row>
    <row r="15" spans="1:16" x14ac:dyDescent="0.35">
      <c r="A15" s="32" t="s">
        <v>6511</v>
      </c>
      <c r="B15" s="7">
        <f t="shared" si="1"/>
        <v>46121</v>
      </c>
      <c r="C15" s="7">
        <f t="shared" si="2"/>
        <v>46127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17</v>
      </c>
      <c r="J15" s="6">
        <v>70391734</v>
      </c>
      <c r="K15" s="6" t="s">
        <v>1404</v>
      </c>
      <c r="L15" s="38" t="s">
        <v>1405</v>
      </c>
      <c r="M15" s="8">
        <v>59900</v>
      </c>
      <c r="N15" s="35">
        <v>0.9</v>
      </c>
      <c r="O15" s="34">
        <f t="shared" si="0"/>
        <v>5990</v>
      </c>
      <c r="P15" s="6" t="s">
        <v>16</v>
      </c>
    </row>
    <row r="16" spans="1:16" x14ac:dyDescent="0.35">
      <c r="A16" s="32" t="s">
        <v>6511</v>
      </c>
      <c r="B16" s="7">
        <f t="shared" si="1"/>
        <v>46121</v>
      </c>
      <c r="C16" s="7">
        <f t="shared" si="2"/>
        <v>46127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17</v>
      </c>
      <c r="J16" s="6">
        <v>70391743</v>
      </c>
      <c r="K16" s="6" t="s">
        <v>1404</v>
      </c>
      <c r="L16" s="38" t="s">
        <v>1406</v>
      </c>
      <c r="M16" s="8">
        <v>59900</v>
      </c>
      <c r="N16" s="35">
        <v>0.9</v>
      </c>
      <c r="O16" s="34">
        <f t="shared" si="0"/>
        <v>5990</v>
      </c>
      <c r="P16" s="6" t="s">
        <v>16</v>
      </c>
    </row>
    <row r="17" spans="1:16" x14ac:dyDescent="0.35">
      <c r="A17" s="32" t="s">
        <v>6511</v>
      </c>
      <c r="B17" s="7">
        <f t="shared" si="1"/>
        <v>46121</v>
      </c>
      <c r="C17" s="7">
        <f t="shared" si="2"/>
        <v>46127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17</v>
      </c>
      <c r="J17" s="6">
        <v>70391752</v>
      </c>
      <c r="K17" s="6" t="s">
        <v>1404</v>
      </c>
      <c r="L17" s="38" t="s">
        <v>1407</v>
      </c>
      <c r="M17" s="8">
        <v>59900</v>
      </c>
      <c r="N17" s="35">
        <v>0.9</v>
      </c>
      <c r="O17" s="34">
        <f t="shared" si="0"/>
        <v>5990</v>
      </c>
      <c r="P17" s="6" t="s">
        <v>16</v>
      </c>
    </row>
    <row r="18" spans="1:16" x14ac:dyDescent="0.35">
      <c r="A18" s="32" t="s">
        <v>6511</v>
      </c>
      <c r="B18" s="7">
        <f t="shared" si="1"/>
        <v>46121</v>
      </c>
      <c r="C18" s="7">
        <f t="shared" si="2"/>
        <v>46127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17</v>
      </c>
      <c r="J18" s="6">
        <v>32600865</v>
      </c>
      <c r="K18" s="6" t="s">
        <v>1315</v>
      </c>
      <c r="L18" s="38" t="s">
        <v>1316</v>
      </c>
      <c r="M18" s="8">
        <v>129900</v>
      </c>
      <c r="N18" s="35">
        <v>0.9</v>
      </c>
      <c r="O18" s="34">
        <f t="shared" si="0"/>
        <v>12990</v>
      </c>
      <c r="P18" s="6" t="s">
        <v>16</v>
      </c>
    </row>
    <row r="19" spans="1:16" x14ac:dyDescent="0.35">
      <c r="A19" s="32" t="s">
        <v>6511</v>
      </c>
      <c r="B19" s="7">
        <f t="shared" si="1"/>
        <v>46121</v>
      </c>
      <c r="C19" s="7">
        <f t="shared" si="2"/>
        <v>46127</v>
      </c>
      <c r="D19" s="6">
        <v>3284</v>
      </c>
      <c r="E19" s="6">
        <v>338</v>
      </c>
      <c r="F19" s="6">
        <v>4</v>
      </c>
      <c r="G19" s="6">
        <v>1</v>
      </c>
      <c r="H19" s="6">
        <v>81421</v>
      </c>
      <c r="I19" s="6" t="s">
        <v>17</v>
      </c>
      <c r="J19" s="6">
        <v>32600874</v>
      </c>
      <c r="K19" s="6" t="s">
        <v>1315</v>
      </c>
      <c r="L19" s="38" t="s">
        <v>1317</v>
      </c>
      <c r="M19" s="8">
        <v>129900</v>
      </c>
      <c r="N19" s="35">
        <v>0.9</v>
      </c>
      <c r="O19" s="34">
        <f t="shared" si="0"/>
        <v>12990</v>
      </c>
      <c r="P19" s="6" t="s">
        <v>16</v>
      </c>
    </row>
    <row r="20" spans="1:16" x14ac:dyDescent="0.35">
      <c r="A20" s="32" t="s">
        <v>6511</v>
      </c>
      <c r="B20" s="7">
        <f t="shared" si="1"/>
        <v>46121</v>
      </c>
      <c r="C20" s="7">
        <f t="shared" si="2"/>
        <v>46127</v>
      </c>
      <c r="D20" s="6">
        <v>3284</v>
      </c>
      <c r="E20" s="6">
        <v>338</v>
      </c>
      <c r="F20" s="6">
        <v>4</v>
      </c>
      <c r="G20" s="6">
        <v>1</v>
      </c>
      <c r="H20" s="6">
        <v>81421</v>
      </c>
      <c r="I20" s="6" t="s">
        <v>17</v>
      </c>
      <c r="J20" s="6">
        <v>70391805</v>
      </c>
      <c r="K20" s="6" t="s">
        <v>1408</v>
      </c>
      <c r="L20" s="38" t="s">
        <v>1409</v>
      </c>
      <c r="M20" s="8">
        <v>59900</v>
      </c>
      <c r="N20" s="35">
        <v>0.9</v>
      </c>
      <c r="O20" s="34">
        <f t="shared" si="0"/>
        <v>5990</v>
      </c>
      <c r="P20" s="6" t="s">
        <v>16</v>
      </c>
    </row>
    <row r="21" spans="1:16" x14ac:dyDescent="0.35">
      <c r="A21" s="32" t="s">
        <v>6511</v>
      </c>
      <c r="B21" s="7">
        <f t="shared" si="1"/>
        <v>46121</v>
      </c>
      <c r="C21" s="7">
        <f t="shared" si="2"/>
        <v>46127</v>
      </c>
      <c r="D21" s="6">
        <v>3284</v>
      </c>
      <c r="E21" s="6">
        <v>338</v>
      </c>
      <c r="F21" s="6">
        <v>4</v>
      </c>
      <c r="G21" s="6">
        <v>1</v>
      </c>
      <c r="H21" s="6">
        <v>81421</v>
      </c>
      <c r="I21" s="6" t="s">
        <v>17</v>
      </c>
      <c r="J21" s="6">
        <v>70391814</v>
      </c>
      <c r="K21" s="6" t="s">
        <v>1408</v>
      </c>
      <c r="L21" s="38" t="s">
        <v>1410</v>
      </c>
      <c r="M21" s="8">
        <v>59900</v>
      </c>
      <c r="N21" s="35">
        <v>0.9</v>
      </c>
      <c r="O21" s="34">
        <f t="shared" si="0"/>
        <v>5990</v>
      </c>
      <c r="P21" s="6" t="s">
        <v>16</v>
      </c>
    </row>
    <row r="22" spans="1:16" x14ac:dyDescent="0.35">
      <c r="A22" s="32" t="s">
        <v>6511</v>
      </c>
      <c r="B22" s="7">
        <f t="shared" si="1"/>
        <v>46121</v>
      </c>
      <c r="C22" s="7">
        <f t="shared" si="2"/>
        <v>46127</v>
      </c>
      <c r="D22" s="6">
        <v>3284</v>
      </c>
      <c r="E22" s="6">
        <v>338</v>
      </c>
      <c r="F22" s="6">
        <v>4</v>
      </c>
      <c r="G22" s="6">
        <v>1</v>
      </c>
      <c r="H22" s="6">
        <v>81421</v>
      </c>
      <c r="I22" s="6" t="s">
        <v>17</v>
      </c>
      <c r="J22" s="6">
        <v>70391823</v>
      </c>
      <c r="K22" s="6" t="s">
        <v>1408</v>
      </c>
      <c r="L22" s="38" t="s">
        <v>1411</v>
      </c>
      <c r="M22" s="8">
        <v>59900</v>
      </c>
      <c r="N22" s="35">
        <v>0.9</v>
      </c>
      <c r="O22" s="34">
        <f t="shared" si="0"/>
        <v>5990</v>
      </c>
      <c r="P22" s="6" t="s">
        <v>16</v>
      </c>
    </row>
    <row r="23" spans="1:16" x14ac:dyDescent="0.35">
      <c r="A23" s="32" t="s">
        <v>6511</v>
      </c>
      <c r="B23" s="7">
        <f t="shared" si="1"/>
        <v>46121</v>
      </c>
      <c r="C23" s="7">
        <f t="shared" si="2"/>
        <v>46127</v>
      </c>
      <c r="D23" s="6">
        <v>3284</v>
      </c>
      <c r="E23" s="6">
        <v>338</v>
      </c>
      <c r="F23" s="6">
        <v>4</v>
      </c>
      <c r="G23" s="6">
        <v>1</v>
      </c>
      <c r="H23" s="6">
        <v>81421</v>
      </c>
      <c r="I23" s="6" t="s">
        <v>17</v>
      </c>
      <c r="J23" s="6">
        <v>70391832</v>
      </c>
      <c r="K23" s="6" t="s">
        <v>1408</v>
      </c>
      <c r="L23" s="38" t="s">
        <v>1412</v>
      </c>
      <c r="M23" s="8">
        <v>59900</v>
      </c>
      <c r="N23" s="35">
        <v>0.9</v>
      </c>
      <c r="O23" s="34">
        <f t="shared" si="0"/>
        <v>5990</v>
      </c>
      <c r="P23" s="6" t="s">
        <v>16</v>
      </c>
    </row>
    <row r="24" spans="1:16" x14ac:dyDescent="0.35">
      <c r="A24" s="32" t="s">
        <v>6511</v>
      </c>
      <c r="B24" s="7">
        <f t="shared" si="1"/>
        <v>46121</v>
      </c>
      <c r="C24" s="7">
        <f t="shared" si="2"/>
        <v>46127</v>
      </c>
      <c r="D24" s="6">
        <v>3284</v>
      </c>
      <c r="E24" s="6">
        <v>338</v>
      </c>
      <c r="F24" s="6">
        <v>4</v>
      </c>
      <c r="G24" s="6">
        <v>1</v>
      </c>
      <c r="H24" s="6">
        <v>81421</v>
      </c>
      <c r="I24" s="6" t="s">
        <v>17</v>
      </c>
      <c r="J24" s="6">
        <v>75960315</v>
      </c>
      <c r="K24" s="6" t="s">
        <v>1448</v>
      </c>
      <c r="L24" s="38" t="s">
        <v>1449</v>
      </c>
      <c r="M24" s="8">
        <v>79900</v>
      </c>
      <c r="N24" s="35">
        <v>0.9</v>
      </c>
      <c r="O24" s="34">
        <f t="shared" si="0"/>
        <v>7990</v>
      </c>
      <c r="P24" s="6" t="s">
        <v>16</v>
      </c>
    </row>
    <row r="25" spans="1:16" x14ac:dyDescent="0.35">
      <c r="A25" s="32" t="s">
        <v>6511</v>
      </c>
      <c r="B25" s="7">
        <f t="shared" si="1"/>
        <v>46121</v>
      </c>
      <c r="C25" s="7">
        <f t="shared" si="2"/>
        <v>46127</v>
      </c>
      <c r="D25" s="6">
        <v>3284</v>
      </c>
      <c r="E25" s="6">
        <v>338</v>
      </c>
      <c r="F25" s="6">
        <v>4</v>
      </c>
      <c r="G25" s="6">
        <v>1</v>
      </c>
      <c r="H25" s="6">
        <v>81421</v>
      </c>
      <c r="I25" s="6" t="s">
        <v>17</v>
      </c>
      <c r="J25" s="6">
        <v>75960324</v>
      </c>
      <c r="K25" s="6" t="s">
        <v>1448</v>
      </c>
      <c r="L25" s="38" t="s">
        <v>1450</v>
      </c>
      <c r="M25" s="8">
        <v>79900</v>
      </c>
      <c r="N25" s="35">
        <v>0.9</v>
      </c>
      <c r="O25" s="34">
        <f t="shared" si="0"/>
        <v>7990</v>
      </c>
      <c r="P25" s="6" t="s">
        <v>16</v>
      </c>
    </row>
    <row r="26" spans="1:16" x14ac:dyDescent="0.35">
      <c r="A26" s="32" t="s">
        <v>6511</v>
      </c>
      <c r="B26" s="7">
        <f t="shared" si="1"/>
        <v>46121</v>
      </c>
      <c r="C26" s="7">
        <f t="shared" si="2"/>
        <v>46127</v>
      </c>
      <c r="D26" s="6">
        <v>3284</v>
      </c>
      <c r="E26" s="6">
        <v>338</v>
      </c>
      <c r="F26" s="6">
        <v>4</v>
      </c>
      <c r="G26" s="6">
        <v>1</v>
      </c>
      <c r="H26" s="6">
        <v>81421</v>
      </c>
      <c r="I26" s="6" t="s">
        <v>17</v>
      </c>
      <c r="J26" s="6">
        <v>75960333</v>
      </c>
      <c r="K26" s="6" t="s">
        <v>1448</v>
      </c>
      <c r="L26" s="38" t="s">
        <v>1451</v>
      </c>
      <c r="M26" s="8">
        <v>79900</v>
      </c>
      <c r="N26" s="35">
        <v>0.9</v>
      </c>
      <c r="O26" s="34">
        <f t="shared" si="0"/>
        <v>7990</v>
      </c>
      <c r="P26" s="6" t="s">
        <v>16</v>
      </c>
    </row>
    <row r="27" spans="1:16" x14ac:dyDescent="0.35">
      <c r="A27" s="32" t="s">
        <v>6511</v>
      </c>
      <c r="B27" s="7">
        <f t="shared" si="1"/>
        <v>46121</v>
      </c>
      <c r="C27" s="7">
        <f t="shared" si="2"/>
        <v>46127</v>
      </c>
      <c r="D27" s="6">
        <v>3284</v>
      </c>
      <c r="E27" s="6">
        <v>338</v>
      </c>
      <c r="F27" s="6">
        <v>4</v>
      </c>
      <c r="G27" s="6">
        <v>1</v>
      </c>
      <c r="H27" s="6">
        <v>81421</v>
      </c>
      <c r="I27" s="6" t="s">
        <v>17</v>
      </c>
      <c r="J27" s="6">
        <v>75960342</v>
      </c>
      <c r="K27" s="6" t="s">
        <v>1448</v>
      </c>
      <c r="L27" s="38" t="s">
        <v>1452</v>
      </c>
      <c r="M27" s="8">
        <v>79900</v>
      </c>
      <c r="N27" s="35">
        <v>0.9</v>
      </c>
      <c r="O27" s="34">
        <f t="shared" si="0"/>
        <v>7990</v>
      </c>
      <c r="P27" s="6" t="s">
        <v>16</v>
      </c>
    </row>
    <row r="28" spans="1:16" x14ac:dyDescent="0.35">
      <c r="A28" s="32" t="s">
        <v>6511</v>
      </c>
      <c r="B28" s="7">
        <f t="shared" si="1"/>
        <v>46121</v>
      </c>
      <c r="C28" s="7">
        <f t="shared" si="2"/>
        <v>46127</v>
      </c>
      <c r="D28" s="6">
        <v>3284</v>
      </c>
      <c r="E28" s="6">
        <v>338</v>
      </c>
      <c r="F28" s="6">
        <v>4</v>
      </c>
      <c r="G28" s="6">
        <v>1</v>
      </c>
      <c r="H28" s="6">
        <v>81421</v>
      </c>
      <c r="I28" s="6" t="s">
        <v>17</v>
      </c>
      <c r="J28" s="6">
        <v>32689995</v>
      </c>
      <c r="K28" s="6" t="s">
        <v>1320</v>
      </c>
      <c r="L28" s="38" t="s">
        <v>1321</v>
      </c>
      <c r="M28" s="8">
        <v>129900</v>
      </c>
      <c r="N28" s="35">
        <v>0.9</v>
      </c>
      <c r="O28" s="34">
        <f t="shared" si="0"/>
        <v>12990</v>
      </c>
      <c r="P28" s="6" t="s">
        <v>16</v>
      </c>
    </row>
    <row r="29" spans="1:16" x14ac:dyDescent="0.35">
      <c r="A29" s="32" t="s">
        <v>6511</v>
      </c>
      <c r="B29" s="7">
        <f t="shared" si="1"/>
        <v>46121</v>
      </c>
      <c r="C29" s="7">
        <f t="shared" si="2"/>
        <v>46127</v>
      </c>
      <c r="D29" s="6">
        <v>3284</v>
      </c>
      <c r="E29" s="6">
        <v>338</v>
      </c>
      <c r="F29" s="6">
        <v>4</v>
      </c>
      <c r="G29" s="6">
        <v>1</v>
      </c>
      <c r="H29" s="6">
        <v>81421</v>
      </c>
      <c r="I29" s="6" t="s">
        <v>17</v>
      </c>
      <c r="J29" s="6">
        <v>32690009</v>
      </c>
      <c r="K29" s="6" t="s">
        <v>1320</v>
      </c>
      <c r="L29" s="38" t="s">
        <v>1322</v>
      </c>
      <c r="M29" s="8">
        <v>129900</v>
      </c>
      <c r="N29" s="35">
        <v>0.9</v>
      </c>
      <c r="O29" s="34">
        <f t="shared" si="0"/>
        <v>12990</v>
      </c>
      <c r="P29" s="6" t="s">
        <v>16</v>
      </c>
    </row>
    <row r="30" spans="1:16" x14ac:dyDescent="0.35">
      <c r="A30" s="32" t="s">
        <v>6511</v>
      </c>
      <c r="B30" s="7">
        <f t="shared" si="1"/>
        <v>46121</v>
      </c>
      <c r="C30" s="7">
        <f t="shared" si="2"/>
        <v>46127</v>
      </c>
      <c r="D30" s="6">
        <v>3284</v>
      </c>
      <c r="E30" s="6">
        <v>338</v>
      </c>
      <c r="F30" s="6">
        <v>4</v>
      </c>
      <c r="G30" s="6">
        <v>1</v>
      </c>
      <c r="H30" s="6">
        <v>81421</v>
      </c>
      <c r="I30" s="6" t="s">
        <v>17</v>
      </c>
      <c r="J30" s="6">
        <v>32690018</v>
      </c>
      <c r="K30" s="6" t="s">
        <v>1320</v>
      </c>
      <c r="L30" s="38" t="s">
        <v>1323</v>
      </c>
      <c r="M30" s="8">
        <v>129900</v>
      </c>
      <c r="N30" s="35">
        <v>0.9</v>
      </c>
      <c r="O30" s="34">
        <f t="shared" si="0"/>
        <v>12990</v>
      </c>
      <c r="P30" s="6" t="s">
        <v>16</v>
      </c>
    </row>
    <row r="31" spans="1:16" x14ac:dyDescent="0.35">
      <c r="A31" s="32" t="s">
        <v>6511</v>
      </c>
      <c r="B31" s="7">
        <f t="shared" si="1"/>
        <v>46121</v>
      </c>
      <c r="C31" s="7">
        <f t="shared" si="2"/>
        <v>46127</v>
      </c>
      <c r="D31" s="6">
        <v>3284</v>
      </c>
      <c r="E31" s="6">
        <v>338</v>
      </c>
      <c r="F31" s="6">
        <v>4</v>
      </c>
      <c r="G31" s="6">
        <v>1</v>
      </c>
      <c r="H31" s="6">
        <v>81421</v>
      </c>
      <c r="I31" s="6" t="s">
        <v>17</v>
      </c>
      <c r="J31" s="6">
        <v>32690027</v>
      </c>
      <c r="K31" s="6" t="s">
        <v>1320</v>
      </c>
      <c r="L31" s="38" t="s">
        <v>1324</v>
      </c>
      <c r="M31" s="8">
        <v>129900</v>
      </c>
      <c r="N31" s="35">
        <v>0.9</v>
      </c>
      <c r="O31" s="34">
        <f t="shared" si="0"/>
        <v>12990</v>
      </c>
      <c r="P31" s="6" t="s">
        <v>16</v>
      </c>
    </row>
    <row r="32" spans="1:16" x14ac:dyDescent="0.35">
      <c r="A32" s="32" t="s">
        <v>6511</v>
      </c>
      <c r="B32" s="7">
        <f t="shared" si="1"/>
        <v>46121</v>
      </c>
      <c r="C32" s="7">
        <f t="shared" si="2"/>
        <v>46127</v>
      </c>
      <c r="D32" s="6">
        <v>3284</v>
      </c>
      <c r="E32" s="6">
        <v>338</v>
      </c>
      <c r="F32" s="6">
        <v>4</v>
      </c>
      <c r="G32" s="6">
        <v>1</v>
      </c>
      <c r="H32" s="6">
        <v>190</v>
      </c>
      <c r="I32" s="6" t="s">
        <v>17</v>
      </c>
      <c r="J32" s="6">
        <v>76155694</v>
      </c>
      <c r="K32" s="6" t="s">
        <v>1473</v>
      </c>
      <c r="L32" s="38" t="s">
        <v>1474</v>
      </c>
      <c r="M32" s="8">
        <v>129900</v>
      </c>
      <c r="N32" s="35">
        <v>0.9</v>
      </c>
      <c r="O32" s="34">
        <f t="shared" si="0"/>
        <v>12990</v>
      </c>
      <c r="P32" s="6" t="s">
        <v>16</v>
      </c>
    </row>
    <row r="33" spans="1:16" x14ac:dyDescent="0.35">
      <c r="A33" s="32" t="s">
        <v>6511</v>
      </c>
      <c r="B33" s="7">
        <f t="shared" si="1"/>
        <v>46121</v>
      </c>
      <c r="C33" s="7">
        <f t="shared" si="2"/>
        <v>46127</v>
      </c>
      <c r="D33" s="6">
        <v>3284</v>
      </c>
      <c r="E33" s="6">
        <v>338</v>
      </c>
      <c r="F33" s="6">
        <v>4</v>
      </c>
      <c r="G33" s="6">
        <v>1</v>
      </c>
      <c r="H33" s="6">
        <v>190</v>
      </c>
      <c r="I33" s="6" t="s">
        <v>17</v>
      </c>
      <c r="J33" s="6">
        <v>67148647</v>
      </c>
      <c r="K33" s="6" t="s">
        <v>1367</v>
      </c>
      <c r="L33" s="38" t="s">
        <v>1368</v>
      </c>
      <c r="M33" s="8">
        <v>119900</v>
      </c>
      <c r="N33" s="35">
        <v>0.9</v>
      </c>
      <c r="O33" s="34">
        <f t="shared" si="0"/>
        <v>11990</v>
      </c>
      <c r="P33" s="6" t="s">
        <v>16</v>
      </c>
    </row>
    <row r="34" spans="1:16" x14ac:dyDescent="0.35">
      <c r="A34" s="32" t="s">
        <v>6511</v>
      </c>
      <c r="B34" s="7">
        <f t="shared" si="1"/>
        <v>46121</v>
      </c>
      <c r="C34" s="7">
        <f t="shared" si="2"/>
        <v>46127</v>
      </c>
      <c r="D34" s="6">
        <v>3284</v>
      </c>
      <c r="E34" s="6">
        <v>338</v>
      </c>
      <c r="F34" s="6">
        <v>4</v>
      </c>
      <c r="G34" s="6">
        <v>1</v>
      </c>
      <c r="H34" s="6">
        <v>190</v>
      </c>
      <c r="I34" s="6" t="s">
        <v>17</v>
      </c>
      <c r="J34" s="6">
        <v>67148656</v>
      </c>
      <c r="K34" s="6" t="s">
        <v>1367</v>
      </c>
      <c r="L34" s="38" t="s">
        <v>1400</v>
      </c>
      <c r="M34" s="8">
        <v>119900</v>
      </c>
      <c r="N34" s="35">
        <v>0.9</v>
      </c>
      <c r="O34" s="34">
        <f t="shared" si="0"/>
        <v>11990</v>
      </c>
      <c r="P34" s="6" t="s">
        <v>16</v>
      </c>
    </row>
    <row r="35" spans="1:16" x14ac:dyDescent="0.35">
      <c r="A35" s="32" t="s">
        <v>6511</v>
      </c>
      <c r="B35" s="7">
        <f t="shared" si="1"/>
        <v>46121</v>
      </c>
      <c r="C35" s="7">
        <f t="shared" si="2"/>
        <v>46127</v>
      </c>
      <c r="D35" s="6">
        <v>3284</v>
      </c>
      <c r="E35" s="6">
        <v>338</v>
      </c>
      <c r="F35" s="6">
        <v>4</v>
      </c>
      <c r="G35" s="6">
        <v>1</v>
      </c>
      <c r="H35" s="6">
        <v>190</v>
      </c>
      <c r="I35" s="6" t="s">
        <v>17</v>
      </c>
      <c r="J35" s="6">
        <v>67148674</v>
      </c>
      <c r="K35" s="6" t="s">
        <v>1367</v>
      </c>
      <c r="L35" s="38" t="s">
        <v>1401</v>
      </c>
      <c r="M35" s="8">
        <v>119900</v>
      </c>
      <c r="N35" s="35">
        <v>0.9</v>
      </c>
      <c r="O35" s="34">
        <f t="shared" si="0"/>
        <v>11990</v>
      </c>
      <c r="P35" s="6" t="s">
        <v>16</v>
      </c>
    </row>
    <row r="36" spans="1:16" x14ac:dyDescent="0.35">
      <c r="A36" s="32" t="s">
        <v>6511</v>
      </c>
      <c r="B36" s="7">
        <f t="shared" si="1"/>
        <v>46121</v>
      </c>
      <c r="C36" s="7">
        <f t="shared" si="2"/>
        <v>46127</v>
      </c>
      <c r="D36" s="6">
        <v>3284</v>
      </c>
      <c r="E36" s="6">
        <v>338</v>
      </c>
      <c r="F36" s="6">
        <v>4</v>
      </c>
      <c r="G36" s="6">
        <v>1</v>
      </c>
      <c r="H36" s="6">
        <v>81676</v>
      </c>
      <c r="I36" s="6" t="s">
        <v>17</v>
      </c>
      <c r="J36" s="6">
        <v>72012523</v>
      </c>
      <c r="K36" s="6" t="s">
        <v>1443</v>
      </c>
      <c r="L36" s="38" t="s">
        <v>1444</v>
      </c>
      <c r="M36" s="8">
        <v>79900</v>
      </c>
      <c r="N36" s="35">
        <v>0.9</v>
      </c>
      <c r="O36" s="34">
        <f t="shared" si="0"/>
        <v>7990</v>
      </c>
      <c r="P36" s="6" t="s">
        <v>16</v>
      </c>
    </row>
    <row r="37" spans="1:16" x14ac:dyDescent="0.35">
      <c r="A37" s="32" t="s">
        <v>6511</v>
      </c>
      <c r="B37" s="7">
        <f t="shared" si="1"/>
        <v>46121</v>
      </c>
      <c r="C37" s="7">
        <f t="shared" si="2"/>
        <v>46127</v>
      </c>
      <c r="D37" s="6">
        <v>3284</v>
      </c>
      <c r="E37" s="6">
        <v>338</v>
      </c>
      <c r="F37" s="6">
        <v>4</v>
      </c>
      <c r="G37" s="6">
        <v>1</v>
      </c>
      <c r="H37" s="6">
        <v>81676</v>
      </c>
      <c r="I37" s="6" t="s">
        <v>17</v>
      </c>
      <c r="J37" s="6">
        <v>72012532</v>
      </c>
      <c r="K37" s="6" t="s">
        <v>1443</v>
      </c>
      <c r="L37" s="38" t="s">
        <v>1445</v>
      </c>
      <c r="M37" s="8">
        <v>79900</v>
      </c>
      <c r="N37" s="35">
        <v>0.9</v>
      </c>
      <c r="O37" s="34">
        <f t="shared" si="0"/>
        <v>7990</v>
      </c>
      <c r="P37" s="6" t="s">
        <v>16</v>
      </c>
    </row>
    <row r="38" spans="1:16" x14ac:dyDescent="0.35">
      <c r="A38" s="32" t="s">
        <v>6511</v>
      </c>
      <c r="B38" s="7">
        <f t="shared" si="1"/>
        <v>46121</v>
      </c>
      <c r="C38" s="7">
        <f t="shared" si="2"/>
        <v>46127</v>
      </c>
      <c r="D38" s="6">
        <v>3284</v>
      </c>
      <c r="E38" s="6">
        <v>338</v>
      </c>
      <c r="F38" s="6">
        <v>4</v>
      </c>
      <c r="G38" s="6">
        <v>1</v>
      </c>
      <c r="H38" s="6">
        <v>81676</v>
      </c>
      <c r="I38" s="6" t="s">
        <v>17</v>
      </c>
      <c r="J38" s="6">
        <v>72012541</v>
      </c>
      <c r="K38" s="6" t="s">
        <v>1443</v>
      </c>
      <c r="L38" s="38" t="s">
        <v>1446</v>
      </c>
      <c r="M38" s="8">
        <v>79900</v>
      </c>
      <c r="N38" s="35">
        <v>0.9</v>
      </c>
      <c r="O38" s="34">
        <f t="shared" si="0"/>
        <v>7990</v>
      </c>
      <c r="P38" s="6" t="s">
        <v>16</v>
      </c>
    </row>
    <row r="39" spans="1:16" x14ac:dyDescent="0.35">
      <c r="A39" s="32" t="s">
        <v>6511</v>
      </c>
      <c r="B39" s="7">
        <f t="shared" si="1"/>
        <v>46121</v>
      </c>
      <c r="C39" s="7">
        <f t="shared" si="2"/>
        <v>46127</v>
      </c>
      <c r="D39" s="6">
        <v>3284</v>
      </c>
      <c r="E39" s="6">
        <v>338</v>
      </c>
      <c r="F39" s="6">
        <v>4</v>
      </c>
      <c r="G39" s="6">
        <v>1</v>
      </c>
      <c r="H39" s="6">
        <v>81676</v>
      </c>
      <c r="I39" s="6" t="s">
        <v>17</v>
      </c>
      <c r="J39" s="6">
        <v>72012550</v>
      </c>
      <c r="K39" s="6" t="s">
        <v>1443</v>
      </c>
      <c r="L39" s="38" t="s">
        <v>1447</v>
      </c>
      <c r="M39" s="8">
        <v>79900</v>
      </c>
      <c r="N39" s="35">
        <v>0.9</v>
      </c>
      <c r="O39" s="34">
        <f t="shared" si="0"/>
        <v>7990</v>
      </c>
      <c r="P39" s="6" t="s">
        <v>16</v>
      </c>
    </row>
    <row r="40" spans="1:16" x14ac:dyDescent="0.35">
      <c r="A40" s="32" t="s">
        <v>6511</v>
      </c>
      <c r="B40" s="7">
        <f t="shared" si="1"/>
        <v>46121</v>
      </c>
      <c r="C40" s="7">
        <f t="shared" si="2"/>
        <v>46127</v>
      </c>
      <c r="D40" s="6">
        <v>3284</v>
      </c>
      <c r="E40" s="6">
        <v>338</v>
      </c>
      <c r="F40" s="6">
        <v>4</v>
      </c>
      <c r="G40" s="6">
        <v>1</v>
      </c>
      <c r="H40" s="6">
        <v>81574</v>
      </c>
      <c r="I40" s="6" t="s">
        <v>17</v>
      </c>
      <c r="J40" s="6">
        <v>32716142</v>
      </c>
      <c r="K40" s="6" t="s">
        <v>1395</v>
      </c>
      <c r="L40" s="38" t="s">
        <v>1396</v>
      </c>
      <c r="M40" s="8">
        <v>49900</v>
      </c>
      <c r="N40" s="35">
        <v>0.9</v>
      </c>
      <c r="O40" s="34">
        <f t="shared" si="0"/>
        <v>4990</v>
      </c>
      <c r="P40" s="6" t="s">
        <v>16</v>
      </c>
    </row>
    <row r="41" spans="1:16" x14ac:dyDescent="0.35">
      <c r="A41" s="32" t="s">
        <v>6511</v>
      </c>
      <c r="B41" s="7">
        <f t="shared" si="1"/>
        <v>46121</v>
      </c>
      <c r="C41" s="7">
        <f t="shared" si="2"/>
        <v>46127</v>
      </c>
      <c r="D41" s="6">
        <v>3284</v>
      </c>
      <c r="E41" s="6">
        <v>338</v>
      </c>
      <c r="F41" s="6">
        <v>4</v>
      </c>
      <c r="G41" s="6">
        <v>1</v>
      </c>
      <c r="H41" s="6">
        <v>81574</v>
      </c>
      <c r="I41" s="6" t="s">
        <v>17</v>
      </c>
      <c r="J41" s="6">
        <v>32716151</v>
      </c>
      <c r="K41" s="6" t="s">
        <v>1395</v>
      </c>
      <c r="L41" s="38" t="s">
        <v>1397</v>
      </c>
      <c r="M41" s="8">
        <v>49900</v>
      </c>
      <c r="N41" s="35">
        <v>0.9</v>
      </c>
      <c r="O41" s="34">
        <f t="shared" si="0"/>
        <v>4990</v>
      </c>
      <c r="P41" s="6" t="s">
        <v>16</v>
      </c>
    </row>
    <row r="42" spans="1:16" x14ac:dyDescent="0.35">
      <c r="A42" s="32" t="s">
        <v>6511</v>
      </c>
      <c r="B42" s="7">
        <f t="shared" si="1"/>
        <v>46121</v>
      </c>
      <c r="C42" s="7">
        <f t="shared" si="2"/>
        <v>46127</v>
      </c>
      <c r="D42" s="6">
        <v>3284</v>
      </c>
      <c r="E42" s="6">
        <v>338</v>
      </c>
      <c r="F42" s="6">
        <v>4</v>
      </c>
      <c r="G42" s="6">
        <v>1</v>
      </c>
      <c r="H42" s="6">
        <v>81574</v>
      </c>
      <c r="I42" s="6" t="s">
        <v>17</v>
      </c>
      <c r="J42" s="6">
        <v>32716160</v>
      </c>
      <c r="K42" s="6" t="s">
        <v>1395</v>
      </c>
      <c r="L42" s="38" t="s">
        <v>1398</v>
      </c>
      <c r="M42" s="8">
        <v>49900</v>
      </c>
      <c r="N42" s="35">
        <v>0.9</v>
      </c>
      <c r="O42" s="34">
        <f t="shared" si="0"/>
        <v>4990</v>
      </c>
      <c r="P42" s="6" t="s">
        <v>16</v>
      </c>
    </row>
    <row r="43" spans="1:16" x14ac:dyDescent="0.35">
      <c r="A43" s="32" t="s">
        <v>6511</v>
      </c>
      <c r="B43" s="7">
        <f t="shared" si="1"/>
        <v>46121</v>
      </c>
      <c r="C43" s="7">
        <f t="shared" si="2"/>
        <v>46127</v>
      </c>
      <c r="D43" s="6">
        <v>3284</v>
      </c>
      <c r="E43" s="6">
        <v>338</v>
      </c>
      <c r="F43" s="6">
        <v>4</v>
      </c>
      <c r="G43" s="6">
        <v>1</v>
      </c>
      <c r="H43" s="6">
        <v>81574</v>
      </c>
      <c r="I43" s="6" t="s">
        <v>17</v>
      </c>
      <c r="J43" s="6">
        <v>32716179</v>
      </c>
      <c r="K43" s="6" t="s">
        <v>1395</v>
      </c>
      <c r="L43" s="38" t="s">
        <v>1399</v>
      </c>
      <c r="M43" s="8">
        <v>49900</v>
      </c>
      <c r="N43" s="35">
        <v>0.9</v>
      </c>
      <c r="O43" s="34">
        <f t="shared" si="0"/>
        <v>4990</v>
      </c>
      <c r="P43" s="6" t="s">
        <v>16</v>
      </c>
    </row>
    <row r="44" spans="1:16" x14ac:dyDescent="0.35">
      <c r="A44" s="32" t="s">
        <v>6511</v>
      </c>
      <c r="B44" s="7">
        <f t="shared" si="1"/>
        <v>46121</v>
      </c>
      <c r="C44" s="7">
        <f t="shared" si="2"/>
        <v>46127</v>
      </c>
      <c r="D44" s="6">
        <v>3284</v>
      </c>
      <c r="E44" s="6">
        <v>338</v>
      </c>
      <c r="F44" s="6">
        <v>4</v>
      </c>
      <c r="G44" s="6">
        <v>1</v>
      </c>
      <c r="H44" s="6">
        <v>81574</v>
      </c>
      <c r="I44" s="6" t="s">
        <v>17</v>
      </c>
      <c r="J44" s="6">
        <v>32717196</v>
      </c>
      <c r="K44" s="6" t="s">
        <v>1318</v>
      </c>
      <c r="L44" s="38" t="s">
        <v>1319</v>
      </c>
      <c r="M44" s="8">
        <v>49900</v>
      </c>
      <c r="N44" s="35">
        <v>0.9</v>
      </c>
      <c r="O44" s="34">
        <f t="shared" si="0"/>
        <v>4990</v>
      </c>
      <c r="P44" s="6" t="s">
        <v>16</v>
      </c>
    </row>
    <row r="45" spans="1:16" x14ac:dyDescent="0.35">
      <c r="A45" s="32" t="s">
        <v>6511</v>
      </c>
      <c r="B45" s="7">
        <f t="shared" si="1"/>
        <v>46121</v>
      </c>
      <c r="C45" s="7">
        <f t="shared" si="2"/>
        <v>46127</v>
      </c>
      <c r="D45" s="6">
        <v>3284</v>
      </c>
      <c r="E45" s="6">
        <v>338</v>
      </c>
      <c r="F45" s="6">
        <v>4</v>
      </c>
      <c r="G45" s="6">
        <v>1</v>
      </c>
      <c r="H45" s="6">
        <v>81574</v>
      </c>
      <c r="I45" s="6" t="s">
        <v>17</v>
      </c>
      <c r="J45" s="6">
        <v>32713421</v>
      </c>
      <c r="K45" s="6" t="s">
        <v>1393</v>
      </c>
      <c r="L45" s="38" t="s">
        <v>1394</v>
      </c>
      <c r="M45" s="8">
        <v>49900</v>
      </c>
      <c r="N45" s="35">
        <v>0.9</v>
      </c>
      <c r="O45" s="34">
        <f t="shared" si="0"/>
        <v>4990</v>
      </c>
      <c r="P45" s="6" t="s">
        <v>16</v>
      </c>
    </row>
    <row r="46" spans="1:16" x14ac:dyDescent="0.35">
      <c r="A46" s="32" t="s">
        <v>6511</v>
      </c>
      <c r="B46" s="7">
        <f t="shared" si="1"/>
        <v>46121</v>
      </c>
      <c r="C46" s="7">
        <f t="shared" si="2"/>
        <v>46127</v>
      </c>
      <c r="D46" s="6">
        <v>3284</v>
      </c>
      <c r="E46" s="6">
        <v>338</v>
      </c>
      <c r="F46" s="6">
        <v>4</v>
      </c>
      <c r="G46" s="6">
        <v>1</v>
      </c>
      <c r="H46" s="6">
        <v>81574</v>
      </c>
      <c r="I46" s="6" t="s">
        <v>17</v>
      </c>
      <c r="J46" s="6">
        <v>32714779</v>
      </c>
      <c r="K46" s="6" t="s">
        <v>1325</v>
      </c>
      <c r="L46" s="38" t="s">
        <v>1326</v>
      </c>
      <c r="M46" s="8">
        <v>49900</v>
      </c>
      <c r="N46" s="35">
        <v>0.9</v>
      </c>
      <c r="O46" s="34">
        <f t="shared" si="0"/>
        <v>4990</v>
      </c>
      <c r="P46" s="6" t="s">
        <v>16</v>
      </c>
    </row>
    <row r="47" spans="1:16" x14ac:dyDescent="0.35">
      <c r="A47" s="32" t="s">
        <v>6511</v>
      </c>
      <c r="B47" s="7">
        <f t="shared" si="1"/>
        <v>46121</v>
      </c>
      <c r="C47" s="7">
        <f t="shared" si="2"/>
        <v>46127</v>
      </c>
      <c r="D47" s="6">
        <v>3284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32714788</v>
      </c>
      <c r="K47" s="6" t="s">
        <v>1325</v>
      </c>
      <c r="L47" s="38" t="s">
        <v>1327</v>
      </c>
      <c r="M47" s="8">
        <v>49900</v>
      </c>
      <c r="N47" s="35">
        <v>0.9</v>
      </c>
      <c r="O47" s="34">
        <f t="shared" si="0"/>
        <v>4990</v>
      </c>
      <c r="P47" s="6" t="s">
        <v>16</v>
      </c>
    </row>
    <row r="48" spans="1:16" x14ac:dyDescent="0.35">
      <c r="A48" s="32" t="s">
        <v>6511</v>
      </c>
      <c r="B48" s="7">
        <f t="shared" si="1"/>
        <v>46121</v>
      </c>
      <c r="C48" s="7">
        <f t="shared" si="2"/>
        <v>46127</v>
      </c>
      <c r="D48" s="6">
        <v>3284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32714797</v>
      </c>
      <c r="K48" s="6" t="s">
        <v>1325</v>
      </c>
      <c r="L48" s="38" t="s">
        <v>1366</v>
      </c>
      <c r="M48" s="8">
        <v>49900</v>
      </c>
      <c r="N48" s="35">
        <v>0.9</v>
      </c>
      <c r="O48" s="34">
        <f t="shared" si="0"/>
        <v>4990</v>
      </c>
      <c r="P48" s="6" t="s">
        <v>16</v>
      </c>
    </row>
    <row r="49" spans="1:16" x14ac:dyDescent="0.35">
      <c r="A49" s="32" t="s">
        <v>6511</v>
      </c>
      <c r="B49" s="7">
        <f t="shared" si="1"/>
        <v>46121</v>
      </c>
      <c r="C49" s="7">
        <f t="shared" si="2"/>
        <v>46127</v>
      </c>
      <c r="D49" s="6">
        <v>3284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32714804</v>
      </c>
      <c r="K49" s="6" t="s">
        <v>1325</v>
      </c>
      <c r="L49" s="38" t="s">
        <v>1328</v>
      </c>
      <c r="M49" s="8">
        <v>49900</v>
      </c>
      <c r="N49" s="35">
        <v>0.9</v>
      </c>
      <c r="O49" s="34">
        <f t="shared" si="0"/>
        <v>4990</v>
      </c>
      <c r="P49" s="6" t="s">
        <v>16</v>
      </c>
    </row>
    <row r="50" spans="1:16" x14ac:dyDescent="0.35">
      <c r="A50" s="32" t="s">
        <v>6511</v>
      </c>
      <c r="B50" s="7">
        <f t="shared" si="1"/>
        <v>46121</v>
      </c>
      <c r="C50" s="7">
        <f t="shared" si="2"/>
        <v>46127</v>
      </c>
      <c r="D50" s="6">
        <v>3284</v>
      </c>
      <c r="E50" s="6">
        <v>338</v>
      </c>
      <c r="F50" s="6">
        <v>4</v>
      </c>
      <c r="G50" s="6">
        <v>2</v>
      </c>
      <c r="H50" s="6">
        <v>81421</v>
      </c>
      <c r="I50" s="6" t="s">
        <v>17</v>
      </c>
      <c r="J50" s="6">
        <v>32764859</v>
      </c>
      <c r="K50" s="6" t="s">
        <v>1329</v>
      </c>
      <c r="L50" s="38" t="s">
        <v>1330</v>
      </c>
      <c r="M50" s="8">
        <v>119900</v>
      </c>
      <c r="N50" s="35">
        <v>0.9</v>
      </c>
      <c r="O50" s="34">
        <f t="shared" si="0"/>
        <v>11990</v>
      </c>
      <c r="P50" s="6" t="s">
        <v>16</v>
      </c>
    </row>
    <row r="51" spans="1:16" x14ac:dyDescent="0.35">
      <c r="A51" s="32" t="s">
        <v>6511</v>
      </c>
      <c r="B51" s="7">
        <f t="shared" si="1"/>
        <v>46121</v>
      </c>
      <c r="C51" s="7">
        <f t="shared" si="2"/>
        <v>46127</v>
      </c>
      <c r="D51" s="6">
        <v>3284</v>
      </c>
      <c r="E51" s="6">
        <v>338</v>
      </c>
      <c r="F51" s="6">
        <v>4</v>
      </c>
      <c r="G51" s="6">
        <v>2</v>
      </c>
      <c r="H51" s="6">
        <v>81421</v>
      </c>
      <c r="I51" s="6" t="s">
        <v>17</v>
      </c>
      <c r="J51" s="6">
        <v>32764868</v>
      </c>
      <c r="K51" s="6" t="s">
        <v>1329</v>
      </c>
      <c r="L51" s="38" t="s">
        <v>1331</v>
      </c>
      <c r="M51" s="8">
        <v>119900</v>
      </c>
      <c r="N51" s="35">
        <v>0.9</v>
      </c>
      <c r="O51" s="34">
        <f t="shared" si="0"/>
        <v>11990</v>
      </c>
      <c r="P51" s="6" t="s">
        <v>16</v>
      </c>
    </row>
    <row r="52" spans="1:16" x14ac:dyDescent="0.35">
      <c r="A52" s="32" t="s">
        <v>6511</v>
      </c>
      <c r="B52" s="7">
        <f t="shared" si="1"/>
        <v>46121</v>
      </c>
      <c r="C52" s="7">
        <f t="shared" si="2"/>
        <v>46127</v>
      </c>
      <c r="D52" s="6">
        <v>3284</v>
      </c>
      <c r="E52" s="6">
        <v>338</v>
      </c>
      <c r="F52" s="6">
        <v>4</v>
      </c>
      <c r="G52" s="6">
        <v>2</v>
      </c>
      <c r="H52" s="6">
        <v>81421</v>
      </c>
      <c r="I52" s="6" t="s">
        <v>17</v>
      </c>
      <c r="J52" s="6">
        <v>32764877</v>
      </c>
      <c r="K52" s="6" t="s">
        <v>1329</v>
      </c>
      <c r="L52" s="38" t="s">
        <v>1332</v>
      </c>
      <c r="M52" s="8">
        <v>119900</v>
      </c>
      <c r="N52" s="35">
        <v>0.9</v>
      </c>
      <c r="O52" s="34">
        <f t="shared" si="0"/>
        <v>11990</v>
      </c>
      <c r="P52" s="6" t="s">
        <v>16</v>
      </c>
    </row>
    <row r="53" spans="1:16" x14ac:dyDescent="0.35">
      <c r="A53" s="32" t="s">
        <v>6511</v>
      </c>
      <c r="B53" s="7">
        <f t="shared" si="1"/>
        <v>46121</v>
      </c>
      <c r="C53" s="7">
        <f t="shared" si="2"/>
        <v>46127</v>
      </c>
      <c r="D53" s="6">
        <v>3284</v>
      </c>
      <c r="E53" s="6">
        <v>338</v>
      </c>
      <c r="F53" s="6">
        <v>4</v>
      </c>
      <c r="G53" s="6">
        <v>2</v>
      </c>
      <c r="H53" s="6">
        <v>81421</v>
      </c>
      <c r="I53" s="6" t="s">
        <v>17</v>
      </c>
      <c r="J53" s="6">
        <v>32764886</v>
      </c>
      <c r="K53" s="6" t="s">
        <v>1329</v>
      </c>
      <c r="L53" s="38" t="s">
        <v>1333</v>
      </c>
      <c r="M53" s="8">
        <v>119900</v>
      </c>
      <c r="N53" s="35">
        <v>0.9</v>
      </c>
      <c r="O53" s="34">
        <f t="shared" si="0"/>
        <v>11990</v>
      </c>
      <c r="P53" s="6" t="s">
        <v>16</v>
      </c>
    </row>
    <row r="54" spans="1:16" x14ac:dyDescent="0.35">
      <c r="A54" s="32" t="s">
        <v>6511</v>
      </c>
      <c r="B54" s="7">
        <f t="shared" si="1"/>
        <v>46121</v>
      </c>
      <c r="C54" s="7">
        <f t="shared" si="2"/>
        <v>46127</v>
      </c>
      <c r="D54" s="6">
        <v>3284</v>
      </c>
      <c r="E54" s="6">
        <v>338</v>
      </c>
      <c r="F54" s="6">
        <v>4</v>
      </c>
      <c r="G54" s="6">
        <v>2</v>
      </c>
      <c r="H54" s="6">
        <v>81421</v>
      </c>
      <c r="I54" s="6" t="s">
        <v>17</v>
      </c>
      <c r="J54" s="6">
        <v>67591417</v>
      </c>
      <c r="K54" s="6" t="s">
        <v>1415</v>
      </c>
      <c r="L54" s="38" t="s">
        <v>1416</v>
      </c>
      <c r="M54" s="8">
        <v>129900</v>
      </c>
      <c r="N54" s="35">
        <v>0.9</v>
      </c>
      <c r="O54" s="34">
        <f t="shared" si="0"/>
        <v>12990</v>
      </c>
      <c r="P54" s="6" t="s">
        <v>16</v>
      </c>
    </row>
    <row r="55" spans="1:16" x14ac:dyDescent="0.35">
      <c r="A55" s="32" t="s">
        <v>6511</v>
      </c>
      <c r="B55" s="7">
        <f t="shared" si="1"/>
        <v>46121</v>
      </c>
      <c r="C55" s="7">
        <f t="shared" si="2"/>
        <v>46127</v>
      </c>
      <c r="D55" s="6">
        <v>3284</v>
      </c>
      <c r="E55" s="6">
        <v>338</v>
      </c>
      <c r="F55" s="6">
        <v>4</v>
      </c>
      <c r="G55" s="6">
        <v>2</v>
      </c>
      <c r="H55" s="6">
        <v>81421</v>
      </c>
      <c r="I55" s="6" t="s">
        <v>17</v>
      </c>
      <c r="J55" s="6">
        <v>67591426</v>
      </c>
      <c r="K55" s="6" t="s">
        <v>1415</v>
      </c>
      <c r="L55" s="38" t="s">
        <v>1417</v>
      </c>
      <c r="M55" s="8">
        <v>129900</v>
      </c>
      <c r="N55" s="35">
        <v>0.9</v>
      </c>
      <c r="O55" s="34">
        <f t="shared" si="0"/>
        <v>12990</v>
      </c>
      <c r="P55" s="6" t="s">
        <v>16</v>
      </c>
    </row>
    <row r="56" spans="1:16" x14ac:dyDescent="0.35">
      <c r="A56" s="32" t="s">
        <v>6511</v>
      </c>
      <c r="B56" s="7">
        <f t="shared" si="1"/>
        <v>46121</v>
      </c>
      <c r="C56" s="7">
        <f t="shared" si="2"/>
        <v>46127</v>
      </c>
      <c r="D56" s="6">
        <v>3284</v>
      </c>
      <c r="E56" s="6">
        <v>338</v>
      </c>
      <c r="F56" s="6">
        <v>4</v>
      </c>
      <c r="G56" s="6">
        <v>2</v>
      </c>
      <c r="H56" s="6">
        <v>81421</v>
      </c>
      <c r="I56" s="6" t="s">
        <v>17</v>
      </c>
      <c r="J56" s="6">
        <v>67591435</v>
      </c>
      <c r="K56" s="6" t="s">
        <v>1415</v>
      </c>
      <c r="L56" s="38" t="s">
        <v>1418</v>
      </c>
      <c r="M56" s="8">
        <v>129900</v>
      </c>
      <c r="N56" s="35">
        <v>0.9</v>
      </c>
      <c r="O56" s="34">
        <f t="shared" si="0"/>
        <v>12990</v>
      </c>
      <c r="P56" s="6" t="s">
        <v>16</v>
      </c>
    </row>
    <row r="57" spans="1:16" x14ac:dyDescent="0.35">
      <c r="A57" s="32" t="s">
        <v>6511</v>
      </c>
      <c r="B57" s="7">
        <f t="shared" si="1"/>
        <v>46121</v>
      </c>
      <c r="C57" s="7">
        <f t="shared" si="2"/>
        <v>46127</v>
      </c>
      <c r="D57" s="6">
        <v>3284</v>
      </c>
      <c r="E57" s="6">
        <v>338</v>
      </c>
      <c r="F57" s="6">
        <v>4</v>
      </c>
      <c r="G57" s="6">
        <v>2</v>
      </c>
      <c r="H57" s="6">
        <v>81421</v>
      </c>
      <c r="I57" s="6" t="s">
        <v>17</v>
      </c>
      <c r="J57" s="6">
        <v>67591444</v>
      </c>
      <c r="K57" s="6" t="s">
        <v>1415</v>
      </c>
      <c r="L57" s="38" t="s">
        <v>1419</v>
      </c>
      <c r="M57" s="8">
        <v>129900</v>
      </c>
      <c r="N57" s="35">
        <v>0.9</v>
      </c>
      <c r="O57" s="34">
        <f t="shared" si="0"/>
        <v>12990</v>
      </c>
      <c r="P57" s="6" t="s">
        <v>16</v>
      </c>
    </row>
    <row r="58" spans="1:16" x14ac:dyDescent="0.35">
      <c r="A58" s="32" t="s">
        <v>6511</v>
      </c>
      <c r="B58" s="7">
        <f t="shared" si="1"/>
        <v>46121</v>
      </c>
      <c r="C58" s="7">
        <f t="shared" si="2"/>
        <v>46127</v>
      </c>
      <c r="D58" s="6">
        <v>3284</v>
      </c>
      <c r="E58" s="6">
        <v>338</v>
      </c>
      <c r="F58" s="6">
        <v>4</v>
      </c>
      <c r="G58" s="6">
        <v>2</v>
      </c>
      <c r="H58" s="6">
        <v>81421</v>
      </c>
      <c r="I58" s="6" t="s">
        <v>17</v>
      </c>
      <c r="J58" s="6">
        <v>32697182</v>
      </c>
      <c r="K58" s="6" t="s">
        <v>1334</v>
      </c>
      <c r="L58" s="38" t="s">
        <v>1335</v>
      </c>
      <c r="M58" s="8">
        <v>119900</v>
      </c>
      <c r="N58" s="35">
        <v>0.9</v>
      </c>
      <c r="O58" s="34">
        <f t="shared" si="0"/>
        <v>11990</v>
      </c>
      <c r="P58" s="6" t="s">
        <v>16</v>
      </c>
    </row>
    <row r="59" spans="1:16" x14ac:dyDescent="0.35">
      <c r="A59" s="32" t="s">
        <v>6511</v>
      </c>
      <c r="B59" s="7">
        <f t="shared" si="1"/>
        <v>46121</v>
      </c>
      <c r="C59" s="7">
        <f t="shared" si="2"/>
        <v>46127</v>
      </c>
      <c r="D59" s="6">
        <v>3284</v>
      </c>
      <c r="E59" s="6">
        <v>338</v>
      </c>
      <c r="F59" s="6">
        <v>4</v>
      </c>
      <c r="G59" s="6">
        <v>2</v>
      </c>
      <c r="H59" s="6">
        <v>81421</v>
      </c>
      <c r="I59" s="6" t="s">
        <v>17</v>
      </c>
      <c r="J59" s="6">
        <v>32697191</v>
      </c>
      <c r="K59" s="6" t="s">
        <v>1334</v>
      </c>
      <c r="L59" s="38" t="s">
        <v>1336</v>
      </c>
      <c r="M59" s="8">
        <v>119900</v>
      </c>
      <c r="N59" s="35">
        <v>0.9</v>
      </c>
      <c r="O59" s="34">
        <f t="shared" si="0"/>
        <v>11990</v>
      </c>
      <c r="P59" s="6" t="s">
        <v>16</v>
      </c>
    </row>
    <row r="60" spans="1:16" x14ac:dyDescent="0.35">
      <c r="A60" s="32" t="s">
        <v>6511</v>
      </c>
      <c r="B60" s="7">
        <f t="shared" si="1"/>
        <v>46121</v>
      </c>
      <c r="C60" s="7">
        <f t="shared" si="2"/>
        <v>46127</v>
      </c>
      <c r="D60" s="6">
        <v>3284</v>
      </c>
      <c r="E60" s="6">
        <v>338</v>
      </c>
      <c r="F60" s="6">
        <v>4</v>
      </c>
      <c r="G60" s="6">
        <v>2</v>
      </c>
      <c r="H60" s="6">
        <v>81421</v>
      </c>
      <c r="I60" s="6" t="s">
        <v>17</v>
      </c>
      <c r="J60" s="6">
        <v>32697208</v>
      </c>
      <c r="K60" s="6" t="s">
        <v>1334</v>
      </c>
      <c r="L60" s="38" t="s">
        <v>1337</v>
      </c>
      <c r="M60" s="8">
        <v>119900</v>
      </c>
      <c r="N60" s="35">
        <v>0.9</v>
      </c>
      <c r="O60" s="34">
        <f t="shared" si="0"/>
        <v>11990</v>
      </c>
      <c r="P60" s="6" t="s">
        <v>16</v>
      </c>
    </row>
    <row r="61" spans="1:16" x14ac:dyDescent="0.35">
      <c r="A61" s="32" t="s">
        <v>6511</v>
      </c>
      <c r="B61" s="7">
        <f t="shared" si="1"/>
        <v>46121</v>
      </c>
      <c r="C61" s="7">
        <f t="shared" si="2"/>
        <v>46127</v>
      </c>
      <c r="D61" s="6">
        <v>3284</v>
      </c>
      <c r="E61" s="6">
        <v>338</v>
      </c>
      <c r="F61" s="6">
        <v>4</v>
      </c>
      <c r="G61" s="6">
        <v>2</v>
      </c>
      <c r="H61" s="6">
        <v>81421</v>
      </c>
      <c r="I61" s="6" t="s">
        <v>17</v>
      </c>
      <c r="J61" s="6">
        <v>32697217</v>
      </c>
      <c r="K61" s="6" t="s">
        <v>1334</v>
      </c>
      <c r="L61" s="38" t="s">
        <v>1338</v>
      </c>
      <c r="M61" s="8">
        <v>119900</v>
      </c>
      <c r="N61" s="35">
        <v>0.9</v>
      </c>
      <c r="O61" s="34">
        <f t="shared" si="0"/>
        <v>11990</v>
      </c>
      <c r="P61" s="6" t="s">
        <v>16</v>
      </c>
    </row>
    <row r="62" spans="1:16" x14ac:dyDescent="0.35">
      <c r="A62" s="32" t="s">
        <v>6511</v>
      </c>
      <c r="B62" s="7">
        <f t="shared" si="1"/>
        <v>46121</v>
      </c>
      <c r="C62" s="7">
        <f t="shared" si="2"/>
        <v>46127</v>
      </c>
      <c r="D62" s="6">
        <v>3284</v>
      </c>
      <c r="E62" s="6">
        <v>338</v>
      </c>
      <c r="F62" s="6">
        <v>4</v>
      </c>
      <c r="G62" s="6">
        <v>2</v>
      </c>
      <c r="H62" s="6">
        <v>190</v>
      </c>
      <c r="I62" s="6" t="s">
        <v>17</v>
      </c>
      <c r="J62" s="6">
        <v>67148736</v>
      </c>
      <c r="K62" s="6" t="s">
        <v>1369</v>
      </c>
      <c r="L62" s="38" t="s">
        <v>1370</v>
      </c>
      <c r="M62" s="8">
        <v>129900</v>
      </c>
      <c r="N62" s="35">
        <v>0.9</v>
      </c>
      <c r="O62" s="34">
        <f t="shared" si="0"/>
        <v>12990</v>
      </c>
      <c r="P62" s="6" t="s">
        <v>16</v>
      </c>
    </row>
    <row r="63" spans="1:16" x14ac:dyDescent="0.35">
      <c r="A63" s="32" t="s">
        <v>6511</v>
      </c>
      <c r="B63" s="7">
        <f t="shared" si="1"/>
        <v>46121</v>
      </c>
      <c r="C63" s="7">
        <f t="shared" si="2"/>
        <v>46127</v>
      </c>
      <c r="D63" s="6">
        <v>3284</v>
      </c>
      <c r="E63" s="6">
        <v>338</v>
      </c>
      <c r="F63" s="6">
        <v>4</v>
      </c>
      <c r="G63" s="6">
        <v>2</v>
      </c>
      <c r="H63" s="6">
        <v>190</v>
      </c>
      <c r="I63" s="6" t="s">
        <v>17</v>
      </c>
      <c r="J63" s="6">
        <v>67148745</v>
      </c>
      <c r="K63" s="6" t="s">
        <v>1369</v>
      </c>
      <c r="L63" s="38" t="s">
        <v>1413</v>
      </c>
      <c r="M63" s="8">
        <v>129900</v>
      </c>
      <c r="N63" s="35">
        <v>0.9</v>
      </c>
      <c r="O63" s="34">
        <f t="shared" si="0"/>
        <v>12990</v>
      </c>
      <c r="P63" s="6" t="s">
        <v>16</v>
      </c>
    </row>
    <row r="64" spans="1:16" x14ac:dyDescent="0.35">
      <c r="A64" s="32" t="s">
        <v>6511</v>
      </c>
      <c r="B64" s="7">
        <f t="shared" si="1"/>
        <v>46121</v>
      </c>
      <c r="C64" s="7">
        <f t="shared" si="2"/>
        <v>46127</v>
      </c>
      <c r="D64" s="6">
        <v>3284</v>
      </c>
      <c r="E64" s="6">
        <v>338</v>
      </c>
      <c r="F64" s="6">
        <v>4</v>
      </c>
      <c r="G64" s="6">
        <v>2</v>
      </c>
      <c r="H64" s="6">
        <v>190</v>
      </c>
      <c r="I64" s="6" t="s">
        <v>17</v>
      </c>
      <c r="J64" s="6">
        <v>67148754</v>
      </c>
      <c r="K64" s="6" t="s">
        <v>1369</v>
      </c>
      <c r="L64" s="38" t="s">
        <v>1371</v>
      </c>
      <c r="M64" s="8">
        <v>129900</v>
      </c>
      <c r="N64" s="35">
        <v>0.9</v>
      </c>
      <c r="O64" s="34">
        <f t="shared" si="0"/>
        <v>12990</v>
      </c>
      <c r="P64" s="6" t="s">
        <v>16</v>
      </c>
    </row>
    <row r="65" spans="1:16" x14ac:dyDescent="0.35">
      <c r="A65" s="32" t="s">
        <v>6511</v>
      </c>
      <c r="B65" s="7">
        <f t="shared" si="1"/>
        <v>46121</v>
      </c>
      <c r="C65" s="7">
        <f t="shared" si="2"/>
        <v>46127</v>
      </c>
      <c r="D65" s="6">
        <v>3284</v>
      </c>
      <c r="E65" s="6">
        <v>338</v>
      </c>
      <c r="F65" s="6">
        <v>4</v>
      </c>
      <c r="G65" s="6">
        <v>2</v>
      </c>
      <c r="H65" s="6">
        <v>190</v>
      </c>
      <c r="I65" s="6" t="s">
        <v>17</v>
      </c>
      <c r="J65" s="6">
        <v>67148763</v>
      </c>
      <c r="K65" s="6" t="s">
        <v>1369</v>
      </c>
      <c r="L65" s="38" t="s">
        <v>1414</v>
      </c>
      <c r="M65" s="8">
        <v>129900</v>
      </c>
      <c r="N65" s="35">
        <v>0.9</v>
      </c>
      <c r="O65" s="34">
        <f t="shared" si="0"/>
        <v>12990</v>
      </c>
      <c r="P65" s="6" t="s">
        <v>16</v>
      </c>
    </row>
    <row r="66" spans="1:16" x14ac:dyDescent="0.35">
      <c r="A66" s="32" t="s">
        <v>6511</v>
      </c>
      <c r="B66" s="7">
        <f t="shared" si="1"/>
        <v>46121</v>
      </c>
      <c r="C66" s="7">
        <f t="shared" si="2"/>
        <v>46127</v>
      </c>
      <c r="D66" s="6">
        <v>3284</v>
      </c>
      <c r="E66" s="6">
        <v>338</v>
      </c>
      <c r="F66" s="6">
        <v>4</v>
      </c>
      <c r="G66" s="6">
        <v>2</v>
      </c>
      <c r="H66" s="6">
        <v>190</v>
      </c>
      <c r="I66" s="6" t="s">
        <v>17</v>
      </c>
      <c r="J66" s="6">
        <v>76160286</v>
      </c>
      <c r="K66" s="6" t="s">
        <v>1475</v>
      </c>
      <c r="L66" s="38" t="s">
        <v>1476</v>
      </c>
      <c r="M66" s="8">
        <v>139900</v>
      </c>
      <c r="N66" s="35">
        <v>0.9</v>
      </c>
      <c r="O66" s="34">
        <f t="shared" si="0"/>
        <v>13990</v>
      </c>
      <c r="P66" s="6" t="s">
        <v>16</v>
      </c>
    </row>
    <row r="67" spans="1:16" x14ac:dyDescent="0.35">
      <c r="A67" s="32" t="s">
        <v>6511</v>
      </c>
      <c r="B67" s="7">
        <f t="shared" si="1"/>
        <v>46121</v>
      </c>
      <c r="C67" s="7">
        <f t="shared" si="2"/>
        <v>46127</v>
      </c>
      <c r="D67" s="6">
        <v>3284</v>
      </c>
      <c r="E67" s="6">
        <v>338</v>
      </c>
      <c r="F67" s="6">
        <v>4</v>
      </c>
      <c r="G67" s="6">
        <v>3</v>
      </c>
      <c r="H67" s="6">
        <v>81421</v>
      </c>
      <c r="I67" s="6" t="s">
        <v>17</v>
      </c>
      <c r="J67" s="6">
        <v>28351348</v>
      </c>
      <c r="K67" s="6" t="s">
        <v>1339</v>
      </c>
      <c r="L67" s="38" t="s">
        <v>1340</v>
      </c>
      <c r="M67" s="8">
        <v>139900</v>
      </c>
      <c r="N67" s="35">
        <v>0.9</v>
      </c>
      <c r="O67" s="34">
        <f t="shared" ref="O67:O130" si="3">M67-((90*M67)/100)</f>
        <v>13990</v>
      </c>
      <c r="P67" s="6" t="s">
        <v>16</v>
      </c>
    </row>
    <row r="68" spans="1:16" x14ac:dyDescent="0.35">
      <c r="A68" s="32" t="s">
        <v>6511</v>
      </c>
      <c r="B68" s="7">
        <f t="shared" ref="B68:B131" si="4">B67</f>
        <v>46121</v>
      </c>
      <c r="C68" s="7">
        <f t="shared" ref="C68:C131" si="5">C67</f>
        <v>46127</v>
      </c>
      <c r="D68" s="6">
        <v>3284</v>
      </c>
      <c r="E68" s="6">
        <v>338</v>
      </c>
      <c r="F68" s="6">
        <v>4</v>
      </c>
      <c r="G68" s="6">
        <v>3</v>
      </c>
      <c r="H68" s="6">
        <v>81421</v>
      </c>
      <c r="I68" s="6" t="s">
        <v>17</v>
      </c>
      <c r="J68" s="6">
        <v>28351357</v>
      </c>
      <c r="K68" s="6" t="s">
        <v>1339</v>
      </c>
      <c r="L68" s="38" t="s">
        <v>1341</v>
      </c>
      <c r="M68" s="8">
        <v>139900</v>
      </c>
      <c r="N68" s="35">
        <v>0.9</v>
      </c>
      <c r="O68" s="34">
        <f t="shared" si="3"/>
        <v>13990</v>
      </c>
      <c r="P68" s="6" t="s">
        <v>16</v>
      </c>
    </row>
    <row r="69" spans="1:16" x14ac:dyDescent="0.35">
      <c r="A69" s="32" t="s">
        <v>6511</v>
      </c>
      <c r="B69" s="7">
        <f t="shared" si="4"/>
        <v>46121</v>
      </c>
      <c r="C69" s="7">
        <f t="shared" si="5"/>
        <v>46127</v>
      </c>
      <c r="D69" s="6">
        <v>3284</v>
      </c>
      <c r="E69" s="6">
        <v>338</v>
      </c>
      <c r="F69" s="6">
        <v>4</v>
      </c>
      <c r="G69" s="6">
        <v>3</v>
      </c>
      <c r="H69" s="6">
        <v>81421</v>
      </c>
      <c r="I69" s="6" t="s">
        <v>17</v>
      </c>
      <c r="J69" s="6">
        <v>28351366</v>
      </c>
      <c r="K69" s="6" t="s">
        <v>1339</v>
      </c>
      <c r="L69" s="38" t="s">
        <v>1342</v>
      </c>
      <c r="M69" s="8">
        <v>139900</v>
      </c>
      <c r="N69" s="35">
        <v>0.9</v>
      </c>
      <c r="O69" s="34">
        <f t="shared" si="3"/>
        <v>13990</v>
      </c>
      <c r="P69" s="6" t="s">
        <v>16</v>
      </c>
    </row>
    <row r="70" spans="1:16" x14ac:dyDescent="0.35">
      <c r="A70" s="32" t="s">
        <v>6511</v>
      </c>
      <c r="B70" s="7">
        <f t="shared" si="4"/>
        <v>46121</v>
      </c>
      <c r="C70" s="7">
        <f t="shared" si="5"/>
        <v>46127</v>
      </c>
      <c r="D70" s="6">
        <v>3284</v>
      </c>
      <c r="E70" s="6">
        <v>338</v>
      </c>
      <c r="F70" s="6">
        <v>4</v>
      </c>
      <c r="G70" s="6">
        <v>3</v>
      </c>
      <c r="H70" s="6">
        <v>81421</v>
      </c>
      <c r="I70" s="6" t="s">
        <v>17</v>
      </c>
      <c r="J70" s="6">
        <v>70660265</v>
      </c>
      <c r="K70" s="6" t="s">
        <v>1420</v>
      </c>
      <c r="L70" s="38" t="s">
        <v>1421</v>
      </c>
      <c r="M70" s="8">
        <v>159900</v>
      </c>
      <c r="N70" s="35">
        <v>0.9</v>
      </c>
      <c r="O70" s="34">
        <f t="shared" si="3"/>
        <v>15990</v>
      </c>
      <c r="P70" s="6" t="s">
        <v>16</v>
      </c>
    </row>
    <row r="71" spans="1:16" x14ac:dyDescent="0.35">
      <c r="A71" s="32" t="s">
        <v>6511</v>
      </c>
      <c r="B71" s="7">
        <f t="shared" si="4"/>
        <v>46121</v>
      </c>
      <c r="C71" s="7">
        <f t="shared" si="5"/>
        <v>46127</v>
      </c>
      <c r="D71" s="6">
        <v>3284</v>
      </c>
      <c r="E71" s="6">
        <v>338</v>
      </c>
      <c r="F71" s="6">
        <v>4</v>
      </c>
      <c r="G71" s="6">
        <v>3</v>
      </c>
      <c r="H71" s="6">
        <v>81421</v>
      </c>
      <c r="I71" s="6" t="s">
        <v>17</v>
      </c>
      <c r="J71" s="6">
        <v>70660274</v>
      </c>
      <c r="K71" s="6" t="s">
        <v>1420</v>
      </c>
      <c r="L71" s="38" t="s">
        <v>1422</v>
      </c>
      <c r="M71" s="8">
        <v>159900</v>
      </c>
      <c r="N71" s="35">
        <v>0.9</v>
      </c>
      <c r="O71" s="34">
        <f t="shared" si="3"/>
        <v>15990</v>
      </c>
      <c r="P71" s="6" t="s">
        <v>16</v>
      </c>
    </row>
    <row r="72" spans="1:16" x14ac:dyDescent="0.35">
      <c r="A72" s="32" t="s">
        <v>6511</v>
      </c>
      <c r="B72" s="7">
        <f t="shared" si="4"/>
        <v>46121</v>
      </c>
      <c r="C72" s="7">
        <f t="shared" si="5"/>
        <v>46127</v>
      </c>
      <c r="D72" s="6">
        <v>3284</v>
      </c>
      <c r="E72" s="6">
        <v>338</v>
      </c>
      <c r="F72" s="6">
        <v>4</v>
      </c>
      <c r="G72" s="6">
        <v>3</v>
      </c>
      <c r="H72" s="6">
        <v>81421</v>
      </c>
      <c r="I72" s="6" t="s">
        <v>17</v>
      </c>
      <c r="J72" s="6">
        <v>70660283</v>
      </c>
      <c r="K72" s="6" t="s">
        <v>1420</v>
      </c>
      <c r="L72" s="38" t="s">
        <v>1423</v>
      </c>
      <c r="M72" s="8">
        <v>159900</v>
      </c>
      <c r="N72" s="35">
        <v>0.9</v>
      </c>
      <c r="O72" s="34">
        <f t="shared" si="3"/>
        <v>15990</v>
      </c>
      <c r="P72" s="6" t="s">
        <v>16</v>
      </c>
    </row>
    <row r="73" spans="1:16" x14ac:dyDescent="0.35">
      <c r="A73" s="32" t="s">
        <v>6511</v>
      </c>
      <c r="B73" s="7">
        <f t="shared" si="4"/>
        <v>46121</v>
      </c>
      <c r="C73" s="7">
        <f t="shared" si="5"/>
        <v>46127</v>
      </c>
      <c r="D73" s="6">
        <v>3284</v>
      </c>
      <c r="E73" s="6">
        <v>338</v>
      </c>
      <c r="F73" s="6">
        <v>4</v>
      </c>
      <c r="G73" s="6">
        <v>3</v>
      </c>
      <c r="H73" s="6">
        <v>81421</v>
      </c>
      <c r="I73" s="6" t="s">
        <v>17</v>
      </c>
      <c r="J73" s="6">
        <v>75431815</v>
      </c>
      <c r="K73" s="6" t="s">
        <v>1441</v>
      </c>
      <c r="L73" s="38" t="s">
        <v>1442</v>
      </c>
      <c r="M73" s="8">
        <v>169900</v>
      </c>
      <c r="N73" s="35">
        <v>0.9</v>
      </c>
      <c r="O73" s="34">
        <f t="shared" si="3"/>
        <v>16990</v>
      </c>
      <c r="P73" s="6" t="s">
        <v>16</v>
      </c>
    </row>
    <row r="74" spans="1:16" x14ac:dyDescent="0.35">
      <c r="A74" s="32" t="s">
        <v>6511</v>
      </c>
      <c r="B74" s="7">
        <f t="shared" si="4"/>
        <v>46121</v>
      </c>
      <c r="C74" s="7">
        <f t="shared" si="5"/>
        <v>46127</v>
      </c>
      <c r="D74" s="6">
        <v>3284</v>
      </c>
      <c r="E74" s="6">
        <v>338</v>
      </c>
      <c r="F74" s="6">
        <v>4</v>
      </c>
      <c r="G74" s="6">
        <v>3</v>
      </c>
      <c r="H74" s="6">
        <v>81421</v>
      </c>
      <c r="I74" s="6" t="s">
        <v>17</v>
      </c>
      <c r="J74" s="6">
        <v>32603200</v>
      </c>
      <c r="K74" s="6" t="s">
        <v>1372</v>
      </c>
      <c r="L74" s="38" t="s">
        <v>1373</v>
      </c>
      <c r="M74" s="8">
        <v>119900</v>
      </c>
      <c r="N74" s="35">
        <v>0.9</v>
      </c>
      <c r="O74" s="34">
        <f t="shared" si="3"/>
        <v>11990</v>
      </c>
      <c r="P74" s="6" t="s">
        <v>16</v>
      </c>
    </row>
    <row r="75" spans="1:16" x14ac:dyDescent="0.35">
      <c r="A75" s="32" t="s">
        <v>6511</v>
      </c>
      <c r="B75" s="7">
        <f t="shared" si="4"/>
        <v>46121</v>
      </c>
      <c r="C75" s="7">
        <f t="shared" si="5"/>
        <v>46127</v>
      </c>
      <c r="D75" s="6">
        <v>3284</v>
      </c>
      <c r="E75" s="6">
        <v>338</v>
      </c>
      <c r="F75" s="6">
        <v>4</v>
      </c>
      <c r="G75" s="6">
        <v>3</v>
      </c>
      <c r="H75" s="6">
        <v>81421</v>
      </c>
      <c r="I75" s="6" t="s">
        <v>17</v>
      </c>
      <c r="J75" s="6">
        <v>32603219</v>
      </c>
      <c r="K75" s="6" t="s">
        <v>1372</v>
      </c>
      <c r="L75" s="38" t="s">
        <v>1374</v>
      </c>
      <c r="M75" s="8">
        <v>119900</v>
      </c>
      <c r="N75" s="35">
        <v>0.9</v>
      </c>
      <c r="O75" s="34">
        <f t="shared" si="3"/>
        <v>11990</v>
      </c>
      <c r="P75" s="6" t="s">
        <v>16</v>
      </c>
    </row>
    <row r="76" spans="1:16" x14ac:dyDescent="0.35">
      <c r="A76" s="32" t="s">
        <v>6511</v>
      </c>
      <c r="B76" s="7">
        <f t="shared" si="4"/>
        <v>46121</v>
      </c>
      <c r="C76" s="7">
        <f t="shared" si="5"/>
        <v>46127</v>
      </c>
      <c r="D76" s="6">
        <v>3284</v>
      </c>
      <c r="E76" s="6">
        <v>338</v>
      </c>
      <c r="F76" s="6">
        <v>4</v>
      </c>
      <c r="G76" s="6">
        <v>3</v>
      </c>
      <c r="H76" s="6">
        <v>81421</v>
      </c>
      <c r="I76" s="6" t="s">
        <v>17</v>
      </c>
      <c r="J76" s="6">
        <v>32603228</v>
      </c>
      <c r="K76" s="6" t="s">
        <v>1372</v>
      </c>
      <c r="L76" s="38" t="s">
        <v>1375</v>
      </c>
      <c r="M76" s="8">
        <v>119900</v>
      </c>
      <c r="N76" s="35">
        <v>0.9</v>
      </c>
      <c r="O76" s="34">
        <f t="shared" si="3"/>
        <v>11990</v>
      </c>
      <c r="P76" s="6" t="s">
        <v>16</v>
      </c>
    </row>
    <row r="77" spans="1:16" x14ac:dyDescent="0.35">
      <c r="A77" s="32" t="s">
        <v>6511</v>
      </c>
      <c r="B77" s="7">
        <f t="shared" si="4"/>
        <v>46121</v>
      </c>
      <c r="C77" s="7">
        <f t="shared" si="5"/>
        <v>46127</v>
      </c>
      <c r="D77" s="6">
        <v>3284</v>
      </c>
      <c r="E77" s="6">
        <v>338</v>
      </c>
      <c r="F77" s="6">
        <v>4</v>
      </c>
      <c r="G77" s="6">
        <v>3</v>
      </c>
      <c r="H77" s="6">
        <v>81421</v>
      </c>
      <c r="I77" s="6" t="s">
        <v>17</v>
      </c>
      <c r="J77" s="6">
        <v>32603237</v>
      </c>
      <c r="K77" s="6" t="s">
        <v>1372</v>
      </c>
      <c r="L77" s="38" t="s">
        <v>1376</v>
      </c>
      <c r="M77" s="8">
        <v>119900</v>
      </c>
      <c r="N77" s="35">
        <v>0.9</v>
      </c>
      <c r="O77" s="34">
        <f t="shared" si="3"/>
        <v>11990</v>
      </c>
      <c r="P77" s="6" t="s">
        <v>16</v>
      </c>
    </row>
    <row r="78" spans="1:16" x14ac:dyDescent="0.35">
      <c r="A78" s="32" t="s">
        <v>6511</v>
      </c>
      <c r="B78" s="7">
        <f t="shared" si="4"/>
        <v>46121</v>
      </c>
      <c r="C78" s="7">
        <f t="shared" si="5"/>
        <v>46127</v>
      </c>
      <c r="D78" s="6">
        <v>3284</v>
      </c>
      <c r="E78" s="6">
        <v>338</v>
      </c>
      <c r="F78" s="6">
        <v>4</v>
      </c>
      <c r="G78" s="6">
        <v>3</v>
      </c>
      <c r="H78" s="6">
        <v>81421</v>
      </c>
      <c r="I78" s="6" t="s">
        <v>17</v>
      </c>
      <c r="J78" s="6">
        <v>32604334</v>
      </c>
      <c r="K78" s="6" t="s">
        <v>1343</v>
      </c>
      <c r="L78" s="38" t="s">
        <v>1344</v>
      </c>
      <c r="M78" s="8">
        <v>139900</v>
      </c>
      <c r="N78" s="35">
        <v>0.9</v>
      </c>
      <c r="O78" s="34">
        <f t="shared" si="3"/>
        <v>13990</v>
      </c>
      <c r="P78" s="6" t="s">
        <v>16</v>
      </c>
    </row>
    <row r="79" spans="1:16" x14ac:dyDescent="0.35">
      <c r="A79" s="32" t="s">
        <v>6511</v>
      </c>
      <c r="B79" s="7">
        <f t="shared" si="4"/>
        <v>46121</v>
      </c>
      <c r="C79" s="7">
        <f t="shared" si="5"/>
        <v>46127</v>
      </c>
      <c r="D79" s="6">
        <v>3284</v>
      </c>
      <c r="E79" s="6">
        <v>338</v>
      </c>
      <c r="F79" s="6">
        <v>4</v>
      </c>
      <c r="G79" s="6">
        <v>3</v>
      </c>
      <c r="H79" s="6">
        <v>81421</v>
      </c>
      <c r="I79" s="6" t="s">
        <v>17</v>
      </c>
      <c r="J79" s="6">
        <v>32604343</v>
      </c>
      <c r="K79" s="6" t="s">
        <v>1343</v>
      </c>
      <c r="L79" s="38" t="s">
        <v>1345</v>
      </c>
      <c r="M79" s="8">
        <v>139900</v>
      </c>
      <c r="N79" s="35">
        <v>0.9</v>
      </c>
      <c r="O79" s="34">
        <f t="shared" si="3"/>
        <v>13990</v>
      </c>
      <c r="P79" s="6" t="s">
        <v>16</v>
      </c>
    </row>
    <row r="80" spans="1:16" x14ac:dyDescent="0.35">
      <c r="A80" s="32" t="s">
        <v>6511</v>
      </c>
      <c r="B80" s="7">
        <f t="shared" si="4"/>
        <v>46121</v>
      </c>
      <c r="C80" s="7">
        <f t="shared" si="5"/>
        <v>46127</v>
      </c>
      <c r="D80" s="6">
        <v>3284</v>
      </c>
      <c r="E80" s="6">
        <v>338</v>
      </c>
      <c r="F80" s="6">
        <v>4</v>
      </c>
      <c r="G80" s="6">
        <v>3</v>
      </c>
      <c r="H80" s="6">
        <v>81421</v>
      </c>
      <c r="I80" s="6" t="s">
        <v>17</v>
      </c>
      <c r="J80" s="6">
        <v>32604352</v>
      </c>
      <c r="K80" s="6" t="s">
        <v>1343</v>
      </c>
      <c r="L80" s="38" t="s">
        <v>1346</v>
      </c>
      <c r="M80" s="8">
        <v>139900</v>
      </c>
      <c r="N80" s="35">
        <v>0.9</v>
      </c>
      <c r="O80" s="34">
        <f t="shared" si="3"/>
        <v>13990</v>
      </c>
      <c r="P80" s="6" t="s">
        <v>16</v>
      </c>
    </row>
    <row r="81" spans="1:16" x14ac:dyDescent="0.35">
      <c r="A81" s="32" t="s">
        <v>6511</v>
      </c>
      <c r="B81" s="7">
        <f t="shared" si="4"/>
        <v>46121</v>
      </c>
      <c r="C81" s="7">
        <f t="shared" si="5"/>
        <v>46127</v>
      </c>
      <c r="D81" s="6">
        <v>3284</v>
      </c>
      <c r="E81" s="6">
        <v>338</v>
      </c>
      <c r="F81" s="6">
        <v>4</v>
      </c>
      <c r="G81" s="6">
        <v>3</v>
      </c>
      <c r="H81" s="6">
        <v>81421</v>
      </c>
      <c r="I81" s="6" t="s">
        <v>17</v>
      </c>
      <c r="J81" s="6">
        <v>32604361</v>
      </c>
      <c r="K81" s="6" t="s">
        <v>1343</v>
      </c>
      <c r="L81" s="38" t="s">
        <v>1347</v>
      </c>
      <c r="M81" s="8">
        <v>139900</v>
      </c>
      <c r="N81" s="35">
        <v>0.9</v>
      </c>
      <c r="O81" s="34">
        <f t="shared" si="3"/>
        <v>13990</v>
      </c>
      <c r="P81" s="6" t="s">
        <v>16</v>
      </c>
    </row>
    <row r="82" spans="1:16" x14ac:dyDescent="0.35">
      <c r="A82" s="32" t="s">
        <v>6511</v>
      </c>
      <c r="B82" s="7">
        <f t="shared" si="4"/>
        <v>46121</v>
      </c>
      <c r="C82" s="7">
        <f t="shared" si="5"/>
        <v>46127</v>
      </c>
      <c r="D82" s="6">
        <v>3284</v>
      </c>
      <c r="E82" s="6">
        <v>338</v>
      </c>
      <c r="F82" s="6">
        <v>4</v>
      </c>
      <c r="G82" s="6">
        <v>3</v>
      </c>
      <c r="H82" s="6">
        <v>81676</v>
      </c>
      <c r="I82" s="6" t="s">
        <v>17</v>
      </c>
      <c r="J82" s="6">
        <v>75960351</v>
      </c>
      <c r="K82" s="6" t="s">
        <v>1453</v>
      </c>
      <c r="L82" s="38" t="s">
        <v>1454</v>
      </c>
      <c r="M82" s="8">
        <v>149900</v>
      </c>
      <c r="N82" s="35">
        <v>0.9</v>
      </c>
      <c r="O82" s="34">
        <f t="shared" si="3"/>
        <v>14990</v>
      </c>
      <c r="P82" s="6" t="s">
        <v>16</v>
      </c>
    </row>
    <row r="83" spans="1:16" x14ac:dyDescent="0.35">
      <c r="A83" s="32" t="s">
        <v>6511</v>
      </c>
      <c r="B83" s="7">
        <f t="shared" si="4"/>
        <v>46121</v>
      </c>
      <c r="C83" s="7">
        <f t="shared" si="5"/>
        <v>46127</v>
      </c>
      <c r="D83" s="6">
        <v>3284</v>
      </c>
      <c r="E83" s="6">
        <v>338</v>
      </c>
      <c r="F83" s="6">
        <v>4</v>
      </c>
      <c r="G83" s="6">
        <v>3</v>
      </c>
      <c r="H83" s="6">
        <v>81676</v>
      </c>
      <c r="I83" s="6" t="s">
        <v>17</v>
      </c>
      <c r="J83" s="6">
        <v>75960360</v>
      </c>
      <c r="K83" s="6" t="s">
        <v>1453</v>
      </c>
      <c r="L83" s="38" t="s">
        <v>1455</v>
      </c>
      <c r="M83" s="8">
        <v>149900</v>
      </c>
      <c r="N83" s="35">
        <v>0.9</v>
      </c>
      <c r="O83" s="34">
        <f t="shared" si="3"/>
        <v>14990</v>
      </c>
      <c r="P83" s="6" t="s">
        <v>16</v>
      </c>
    </row>
    <row r="84" spans="1:16" x14ac:dyDescent="0.35">
      <c r="A84" s="32" t="s">
        <v>6511</v>
      </c>
      <c r="B84" s="7">
        <f t="shared" si="4"/>
        <v>46121</v>
      </c>
      <c r="C84" s="7">
        <f t="shared" si="5"/>
        <v>46127</v>
      </c>
      <c r="D84" s="6">
        <v>3284</v>
      </c>
      <c r="E84" s="6">
        <v>338</v>
      </c>
      <c r="F84" s="6">
        <v>4</v>
      </c>
      <c r="G84" s="6">
        <v>3</v>
      </c>
      <c r="H84" s="6">
        <v>81676</v>
      </c>
      <c r="I84" s="6" t="s">
        <v>17</v>
      </c>
      <c r="J84" s="6">
        <v>75960379</v>
      </c>
      <c r="K84" s="6" t="s">
        <v>1453</v>
      </c>
      <c r="L84" s="38" t="s">
        <v>1456</v>
      </c>
      <c r="M84" s="8">
        <v>149900</v>
      </c>
      <c r="N84" s="35">
        <v>0.9</v>
      </c>
      <c r="O84" s="34">
        <f t="shared" si="3"/>
        <v>14990</v>
      </c>
      <c r="P84" s="6" t="s">
        <v>16</v>
      </c>
    </row>
    <row r="85" spans="1:16" x14ac:dyDescent="0.35">
      <c r="A85" s="32" t="s">
        <v>6511</v>
      </c>
      <c r="B85" s="7">
        <f t="shared" si="4"/>
        <v>46121</v>
      </c>
      <c r="C85" s="7">
        <f t="shared" si="5"/>
        <v>46127</v>
      </c>
      <c r="D85" s="6">
        <v>3284</v>
      </c>
      <c r="E85" s="6">
        <v>338</v>
      </c>
      <c r="F85" s="6">
        <v>4</v>
      </c>
      <c r="G85" s="6">
        <v>3</v>
      </c>
      <c r="H85" s="6">
        <v>81676</v>
      </c>
      <c r="I85" s="6" t="s">
        <v>17</v>
      </c>
      <c r="J85" s="6">
        <v>75960388</v>
      </c>
      <c r="K85" s="6" t="s">
        <v>1453</v>
      </c>
      <c r="L85" s="38" t="s">
        <v>1457</v>
      </c>
      <c r="M85" s="8">
        <v>149900</v>
      </c>
      <c r="N85" s="35">
        <v>0.9</v>
      </c>
      <c r="O85" s="34">
        <f t="shared" si="3"/>
        <v>14990</v>
      </c>
      <c r="P85" s="6" t="s">
        <v>16</v>
      </c>
    </row>
    <row r="86" spans="1:16" x14ac:dyDescent="0.35">
      <c r="A86" s="32" t="s">
        <v>6511</v>
      </c>
      <c r="B86" s="7">
        <f t="shared" si="4"/>
        <v>46121</v>
      </c>
      <c r="C86" s="7">
        <f t="shared" si="5"/>
        <v>46127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66520629</v>
      </c>
      <c r="K86" s="6" t="s">
        <v>1378</v>
      </c>
      <c r="L86" s="38" t="s">
        <v>1379</v>
      </c>
      <c r="M86" s="8">
        <v>199900</v>
      </c>
      <c r="N86" s="35">
        <v>0.9</v>
      </c>
      <c r="O86" s="34">
        <f t="shared" si="3"/>
        <v>19990</v>
      </c>
      <c r="P86" s="6" t="s">
        <v>16</v>
      </c>
    </row>
    <row r="87" spans="1:16" x14ac:dyDescent="0.35">
      <c r="A87" s="32" t="s">
        <v>6511</v>
      </c>
      <c r="B87" s="7">
        <f t="shared" si="4"/>
        <v>46121</v>
      </c>
      <c r="C87" s="7">
        <f t="shared" si="5"/>
        <v>46127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66520638</v>
      </c>
      <c r="K87" s="6" t="s">
        <v>1378</v>
      </c>
      <c r="L87" s="38" t="s">
        <v>1380</v>
      </c>
      <c r="M87" s="8">
        <v>199900</v>
      </c>
      <c r="N87" s="35">
        <v>0.9</v>
      </c>
      <c r="O87" s="34">
        <f t="shared" si="3"/>
        <v>19990</v>
      </c>
      <c r="P87" s="6" t="s">
        <v>16</v>
      </c>
    </row>
    <row r="88" spans="1:16" x14ac:dyDescent="0.35">
      <c r="A88" s="32" t="s">
        <v>6511</v>
      </c>
      <c r="B88" s="7">
        <f t="shared" si="4"/>
        <v>46121</v>
      </c>
      <c r="C88" s="7">
        <f t="shared" si="5"/>
        <v>46127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66520647</v>
      </c>
      <c r="K88" s="6" t="s">
        <v>1378</v>
      </c>
      <c r="L88" s="38" t="s">
        <v>1381</v>
      </c>
      <c r="M88" s="8">
        <v>199900</v>
      </c>
      <c r="N88" s="35">
        <v>0.9</v>
      </c>
      <c r="O88" s="34">
        <f t="shared" si="3"/>
        <v>19990</v>
      </c>
      <c r="P88" s="6" t="s">
        <v>16</v>
      </c>
    </row>
    <row r="89" spans="1:16" x14ac:dyDescent="0.35">
      <c r="A89" s="32" t="s">
        <v>6511</v>
      </c>
      <c r="B89" s="7">
        <f t="shared" si="4"/>
        <v>46121</v>
      </c>
      <c r="C89" s="7">
        <f t="shared" si="5"/>
        <v>46127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66520656</v>
      </c>
      <c r="K89" s="6" t="s">
        <v>1378</v>
      </c>
      <c r="L89" s="38" t="s">
        <v>1382</v>
      </c>
      <c r="M89" s="8">
        <v>199900</v>
      </c>
      <c r="N89" s="35">
        <v>0.9</v>
      </c>
      <c r="O89" s="34">
        <f t="shared" si="3"/>
        <v>19990</v>
      </c>
      <c r="P89" s="6" t="s">
        <v>16</v>
      </c>
    </row>
    <row r="90" spans="1:16" x14ac:dyDescent="0.35">
      <c r="A90" s="32" t="s">
        <v>6511</v>
      </c>
      <c r="B90" s="7">
        <f t="shared" si="4"/>
        <v>46121</v>
      </c>
      <c r="C90" s="7">
        <f t="shared" si="5"/>
        <v>46127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67147862</v>
      </c>
      <c r="K90" s="6" t="s">
        <v>1383</v>
      </c>
      <c r="L90" s="38" t="s">
        <v>1384</v>
      </c>
      <c r="M90" s="8">
        <v>199900</v>
      </c>
      <c r="N90" s="35">
        <v>0.9</v>
      </c>
      <c r="O90" s="34">
        <f t="shared" si="3"/>
        <v>19990</v>
      </c>
      <c r="P90" s="6" t="s">
        <v>16</v>
      </c>
    </row>
    <row r="91" spans="1:16" x14ac:dyDescent="0.35">
      <c r="A91" s="32" t="s">
        <v>6511</v>
      </c>
      <c r="B91" s="7">
        <f t="shared" si="4"/>
        <v>46121</v>
      </c>
      <c r="C91" s="7">
        <f t="shared" si="5"/>
        <v>46127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67147871</v>
      </c>
      <c r="K91" s="6" t="s">
        <v>1383</v>
      </c>
      <c r="L91" s="38" t="s">
        <v>1385</v>
      </c>
      <c r="M91" s="8">
        <v>199900</v>
      </c>
      <c r="N91" s="35">
        <v>0.9</v>
      </c>
      <c r="O91" s="34">
        <f t="shared" si="3"/>
        <v>19990</v>
      </c>
      <c r="P91" s="6" t="s">
        <v>16</v>
      </c>
    </row>
    <row r="92" spans="1:16" x14ac:dyDescent="0.35">
      <c r="A92" s="32" t="s">
        <v>6511</v>
      </c>
      <c r="B92" s="7">
        <f t="shared" si="4"/>
        <v>46121</v>
      </c>
      <c r="C92" s="7">
        <f t="shared" si="5"/>
        <v>46127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67147899</v>
      </c>
      <c r="K92" s="6" t="s">
        <v>1383</v>
      </c>
      <c r="L92" s="38" t="s">
        <v>1386</v>
      </c>
      <c r="M92" s="8">
        <v>199900</v>
      </c>
      <c r="N92" s="35">
        <v>0.9</v>
      </c>
      <c r="O92" s="34">
        <f t="shared" si="3"/>
        <v>19990</v>
      </c>
      <c r="P92" s="6" t="s">
        <v>16</v>
      </c>
    </row>
    <row r="93" spans="1:16" x14ac:dyDescent="0.35">
      <c r="A93" s="32" t="s">
        <v>6511</v>
      </c>
      <c r="B93" s="7">
        <f t="shared" si="4"/>
        <v>46121</v>
      </c>
      <c r="C93" s="7">
        <f t="shared" si="5"/>
        <v>46127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67591453</v>
      </c>
      <c r="K93" s="6" t="s">
        <v>1428</v>
      </c>
      <c r="L93" s="38" t="s">
        <v>1429</v>
      </c>
      <c r="M93" s="8">
        <v>199900</v>
      </c>
      <c r="N93" s="35">
        <v>0.9</v>
      </c>
      <c r="O93" s="34">
        <f t="shared" si="3"/>
        <v>19990</v>
      </c>
      <c r="P93" s="6" t="s">
        <v>16</v>
      </c>
    </row>
    <row r="94" spans="1:16" x14ac:dyDescent="0.35">
      <c r="A94" s="32" t="s">
        <v>6511</v>
      </c>
      <c r="B94" s="7">
        <f t="shared" si="4"/>
        <v>46121</v>
      </c>
      <c r="C94" s="7">
        <f t="shared" si="5"/>
        <v>46127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67591471</v>
      </c>
      <c r="K94" s="6" t="s">
        <v>1428</v>
      </c>
      <c r="L94" s="38" t="s">
        <v>1430</v>
      </c>
      <c r="M94" s="8">
        <v>199900</v>
      </c>
      <c r="N94" s="35">
        <v>0.9</v>
      </c>
      <c r="O94" s="34">
        <f t="shared" si="3"/>
        <v>19990</v>
      </c>
      <c r="P94" s="6" t="s">
        <v>16</v>
      </c>
    </row>
    <row r="95" spans="1:16" x14ac:dyDescent="0.35">
      <c r="A95" s="32" t="s">
        <v>6511</v>
      </c>
      <c r="B95" s="7">
        <f t="shared" si="4"/>
        <v>46121</v>
      </c>
      <c r="C95" s="7">
        <f t="shared" si="5"/>
        <v>46127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67591480</v>
      </c>
      <c r="K95" s="6" t="s">
        <v>1428</v>
      </c>
      <c r="L95" s="38" t="s">
        <v>1431</v>
      </c>
      <c r="M95" s="8">
        <v>199900</v>
      </c>
      <c r="N95" s="35">
        <v>0.9</v>
      </c>
      <c r="O95" s="34">
        <f t="shared" si="3"/>
        <v>19990</v>
      </c>
      <c r="P95" s="6" t="s">
        <v>16</v>
      </c>
    </row>
    <row r="96" spans="1:16" x14ac:dyDescent="0.35">
      <c r="A96" s="32" t="s">
        <v>6511</v>
      </c>
      <c r="B96" s="7">
        <f t="shared" si="4"/>
        <v>46121</v>
      </c>
      <c r="C96" s="7">
        <f t="shared" si="5"/>
        <v>46127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70391930</v>
      </c>
      <c r="K96" s="6" t="s">
        <v>1438</v>
      </c>
      <c r="L96" s="38" t="s">
        <v>1439</v>
      </c>
      <c r="M96" s="8">
        <v>199900</v>
      </c>
      <c r="N96" s="35">
        <v>0.9</v>
      </c>
      <c r="O96" s="34">
        <f t="shared" si="3"/>
        <v>19990</v>
      </c>
      <c r="P96" s="6" t="s">
        <v>16</v>
      </c>
    </row>
    <row r="97" spans="1:16" x14ac:dyDescent="0.35">
      <c r="A97" s="32" t="s">
        <v>6511</v>
      </c>
      <c r="B97" s="7">
        <f t="shared" si="4"/>
        <v>46121</v>
      </c>
      <c r="C97" s="7">
        <f t="shared" si="5"/>
        <v>46127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70391949</v>
      </c>
      <c r="K97" s="6" t="s">
        <v>1438</v>
      </c>
      <c r="L97" s="38" t="s">
        <v>1440</v>
      </c>
      <c r="M97" s="8">
        <v>199900</v>
      </c>
      <c r="N97" s="35">
        <v>0.9</v>
      </c>
      <c r="O97" s="34">
        <f t="shared" si="3"/>
        <v>19990</v>
      </c>
      <c r="P97" s="6" t="s">
        <v>16</v>
      </c>
    </row>
    <row r="98" spans="1:16" x14ac:dyDescent="0.35">
      <c r="A98" s="32" t="s">
        <v>6511</v>
      </c>
      <c r="B98" s="7">
        <f t="shared" si="4"/>
        <v>46121</v>
      </c>
      <c r="C98" s="7">
        <f t="shared" si="5"/>
        <v>46127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33259144</v>
      </c>
      <c r="K98" s="6" t="s">
        <v>1352</v>
      </c>
      <c r="L98" s="38" t="s">
        <v>1353</v>
      </c>
      <c r="M98" s="8">
        <v>159900</v>
      </c>
      <c r="N98" s="35">
        <v>0.9</v>
      </c>
      <c r="O98" s="34">
        <f t="shared" si="3"/>
        <v>15990</v>
      </c>
      <c r="P98" s="6" t="s">
        <v>16</v>
      </c>
    </row>
    <row r="99" spans="1:16" x14ac:dyDescent="0.35">
      <c r="A99" s="32" t="s">
        <v>6511</v>
      </c>
      <c r="B99" s="7">
        <f t="shared" si="4"/>
        <v>46121</v>
      </c>
      <c r="C99" s="7">
        <f t="shared" si="5"/>
        <v>46127</v>
      </c>
      <c r="D99" s="6">
        <v>3284</v>
      </c>
      <c r="E99" s="6">
        <v>338</v>
      </c>
      <c r="F99" s="6">
        <v>4</v>
      </c>
      <c r="G99" s="6">
        <v>4</v>
      </c>
      <c r="H99" s="6">
        <v>190</v>
      </c>
      <c r="I99" s="6" t="s">
        <v>17</v>
      </c>
      <c r="J99" s="6">
        <v>65898411</v>
      </c>
      <c r="K99" s="6" t="s">
        <v>1348</v>
      </c>
      <c r="L99" s="38" t="s">
        <v>1349</v>
      </c>
      <c r="M99" s="8">
        <v>189900</v>
      </c>
      <c r="N99" s="35">
        <v>0.9</v>
      </c>
      <c r="O99" s="34">
        <f t="shared" si="3"/>
        <v>18990</v>
      </c>
      <c r="P99" s="6" t="s">
        <v>16</v>
      </c>
    </row>
    <row r="100" spans="1:16" x14ac:dyDescent="0.35">
      <c r="A100" s="32" t="s">
        <v>6511</v>
      </c>
      <c r="B100" s="7">
        <f t="shared" si="4"/>
        <v>46121</v>
      </c>
      <c r="C100" s="7">
        <f t="shared" si="5"/>
        <v>46127</v>
      </c>
      <c r="D100" s="6">
        <v>3284</v>
      </c>
      <c r="E100" s="6">
        <v>338</v>
      </c>
      <c r="F100" s="6">
        <v>4</v>
      </c>
      <c r="G100" s="6">
        <v>4</v>
      </c>
      <c r="H100" s="6">
        <v>190</v>
      </c>
      <c r="I100" s="6" t="s">
        <v>17</v>
      </c>
      <c r="J100" s="6">
        <v>65898420</v>
      </c>
      <c r="K100" s="6" t="s">
        <v>1348</v>
      </c>
      <c r="L100" s="38" t="s">
        <v>1377</v>
      </c>
      <c r="M100" s="8">
        <v>189900</v>
      </c>
      <c r="N100" s="35">
        <v>0.9</v>
      </c>
      <c r="O100" s="34">
        <f t="shared" si="3"/>
        <v>18990</v>
      </c>
      <c r="P100" s="6" t="s">
        <v>16</v>
      </c>
    </row>
    <row r="101" spans="1:16" x14ac:dyDescent="0.35">
      <c r="A101" s="32" t="s">
        <v>6511</v>
      </c>
      <c r="B101" s="7">
        <f t="shared" si="4"/>
        <v>46121</v>
      </c>
      <c r="C101" s="7">
        <f t="shared" si="5"/>
        <v>46127</v>
      </c>
      <c r="D101" s="6">
        <v>3284</v>
      </c>
      <c r="E101" s="6">
        <v>338</v>
      </c>
      <c r="F101" s="6">
        <v>4</v>
      </c>
      <c r="G101" s="6">
        <v>4</v>
      </c>
      <c r="H101" s="6">
        <v>190</v>
      </c>
      <c r="I101" s="6" t="s">
        <v>17</v>
      </c>
      <c r="J101" s="6">
        <v>65898439</v>
      </c>
      <c r="K101" s="6" t="s">
        <v>1348</v>
      </c>
      <c r="L101" s="38" t="s">
        <v>1350</v>
      </c>
      <c r="M101" s="8">
        <v>189900</v>
      </c>
      <c r="N101" s="35">
        <v>0.9</v>
      </c>
      <c r="O101" s="34">
        <f t="shared" si="3"/>
        <v>18990</v>
      </c>
      <c r="P101" s="6" t="s">
        <v>16</v>
      </c>
    </row>
    <row r="102" spans="1:16" x14ac:dyDescent="0.35">
      <c r="A102" s="32" t="s">
        <v>6511</v>
      </c>
      <c r="B102" s="7">
        <f t="shared" si="4"/>
        <v>46121</v>
      </c>
      <c r="C102" s="7">
        <f t="shared" si="5"/>
        <v>46127</v>
      </c>
      <c r="D102" s="6">
        <v>3284</v>
      </c>
      <c r="E102" s="6">
        <v>338</v>
      </c>
      <c r="F102" s="6">
        <v>4</v>
      </c>
      <c r="G102" s="6">
        <v>4</v>
      </c>
      <c r="H102" s="6">
        <v>190</v>
      </c>
      <c r="I102" s="6" t="s">
        <v>17</v>
      </c>
      <c r="J102" s="6">
        <v>65898448</v>
      </c>
      <c r="K102" s="6" t="s">
        <v>1348</v>
      </c>
      <c r="L102" s="38" t="s">
        <v>1351</v>
      </c>
      <c r="M102" s="8">
        <v>189900</v>
      </c>
      <c r="N102" s="35">
        <v>0.9</v>
      </c>
      <c r="O102" s="34">
        <f t="shared" si="3"/>
        <v>18990</v>
      </c>
      <c r="P102" s="6" t="s">
        <v>16</v>
      </c>
    </row>
    <row r="103" spans="1:16" x14ac:dyDescent="0.35">
      <c r="A103" s="32" t="s">
        <v>6511</v>
      </c>
      <c r="B103" s="7">
        <f t="shared" si="4"/>
        <v>46121</v>
      </c>
      <c r="C103" s="7">
        <f t="shared" si="5"/>
        <v>46127</v>
      </c>
      <c r="D103" s="6">
        <v>3284</v>
      </c>
      <c r="E103" s="6">
        <v>338</v>
      </c>
      <c r="F103" s="6">
        <v>4</v>
      </c>
      <c r="G103" s="6">
        <v>4</v>
      </c>
      <c r="H103" s="6">
        <v>190</v>
      </c>
      <c r="I103" s="6" t="s">
        <v>17</v>
      </c>
      <c r="J103" s="6">
        <v>76155836</v>
      </c>
      <c r="K103" s="6" t="s">
        <v>1458</v>
      </c>
      <c r="L103" s="38" t="s">
        <v>1459</v>
      </c>
      <c r="M103" s="8">
        <v>219900</v>
      </c>
      <c r="N103" s="35">
        <v>0.9</v>
      </c>
      <c r="O103" s="34">
        <f t="shared" si="3"/>
        <v>21990</v>
      </c>
      <c r="P103" s="6" t="s">
        <v>16</v>
      </c>
    </row>
    <row r="104" spans="1:16" x14ac:dyDescent="0.35">
      <c r="A104" s="32" t="s">
        <v>6511</v>
      </c>
      <c r="B104" s="7">
        <f t="shared" si="4"/>
        <v>46121</v>
      </c>
      <c r="C104" s="7">
        <f t="shared" si="5"/>
        <v>46127</v>
      </c>
      <c r="D104" s="6">
        <v>3284</v>
      </c>
      <c r="E104" s="6">
        <v>338</v>
      </c>
      <c r="F104" s="6">
        <v>4</v>
      </c>
      <c r="G104" s="6">
        <v>4</v>
      </c>
      <c r="H104" s="6">
        <v>190</v>
      </c>
      <c r="I104" s="6" t="s">
        <v>17</v>
      </c>
      <c r="J104" s="6">
        <v>76155845</v>
      </c>
      <c r="K104" s="6" t="s">
        <v>1458</v>
      </c>
      <c r="L104" s="38" t="s">
        <v>1460</v>
      </c>
      <c r="M104" s="8">
        <v>219900</v>
      </c>
      <c r="N104" s="35">
        <v>0.9</v>
      </c>
      <c r="O104" s="34">
        <f t="shared" si="3"/>
        <v>21990</v>
      </c>
      <c r="P104" s="6" t="s">
        <v>16</v>
      </c>
    </row>
    <row r="105" spans="1:16" x14ac:dyDescent="0.35">
      <c r="A105" s="32" t="s">
        <v>6511</v>
      </c>
      <c r="B105" s="7">
        <f t="shared" si="4"/>
        <v>46121</v>
      </c>
      <c r="C105" s="7">
        <f t="shared" si="5"/>
        <v>46127</v>
      </c>
      <c r="D105" s="6">
        <v>3284</v>
      </c>
      <c r="E105" s="6">
        <v>338</v>
      </c>
      <c r="F105" s="6">
        <v>4</v>
      </c>
      <c r="G105" s="6">
        <v>4</v>
      </c>
      <c r="H105" s="6">
        <v>190</v>
      </c>
      <c r="I105" s="6" t="s">
        <v>17</v>
      </c>
      <c r="J105" s="6">
        <v>76155854</v>
      </c>
      <c r="K105" s="6" t="s">
        <v>1458</v>
      </c>
      <c r="L105" s="38" t="s">
        <v>1461</v>
      </c>
      <c r="M105" s="8">
        <v>219900</v>
      </c>
      <c r="N105" s="35">
        <v>0.9</v>
      </c>
      <c r="O105" s="34">
        <f t="shared" si="3"/>
        <v>21990</v>
      </c>
      <c r="P105" s="6" t="s">
        <v>16</v>
      </c>
    </row>
    <row r="106" spans="1:16" x14ac:dyDescent="0.35">
      <c r="A106" s="32" t="s">
        <v>6511</v>
      </c>
      <c r="B106" s="7">
        <f t="shared" si="4"/>
        <v>46121</v>
      </c>
      <c r="C106" s="7">
        <f t="shared" si="5"/>
        <v>46127</v>
      </c>
      <c r="D106" s="6">
        <v>3284</v>
      </c>
      <c r="E106" s="6">
        <v>338</v>
      </c>
      <c r="F106" s="6">
        <v>4</v>
      </c>
      <c r="G106" s="6">
        <v>4</v>
      </c>
      <c r="H106" s="6">
        <v>190</v>
      </c>
      <c r="I106" s="6" t="s">
        <v>17</v>
      </c>
      <c r="J106" s="6">
        <v>76160311</v>
      </c>
      <c r="K106" s="6" t="s">
        <v>1458</v>
      </c>
      <c r="L106" s="38" t="s">
        <v>1462</v>
      </c>
      <c r="M106" s="8">
        <v>219900</v>
      </c>
      <c r="N106" s="35">
        <v>0.9</v>
      </c>
      <c r="O106" s="34">
        <f t="shared" si="3"/>
        <v>21990</v>
      </c>
      <c r="P106" s="6" t="s">
        <v>16</v>
      </c>
    </row>
    <row r="107" spans="1:16" x14ac:dyDescent="0.35">
      <c r="A107" s="32" t="s">
        <v>6511</v>
      </c>
      <c r="B107" s="7">
        <f t="shared" si="4"/>
        <v>46121</v>
      </c>
      <c r="C107" s="7">
        <f t="shared" si="5"/>
        <v>46127</v>
      </c>
      <c r="D107" s="6">
        <v>3284</v>
      </c>
      <c r="E107" s="6">
        <v>338</v>
      </c>
      <c r="F107" s="6">
        <v>4</v>
      </c>
      <c r="G107" s="6">
        <v>4</v>
      </c>
      <c r="H107" s="6">
        <v>190</v>
      </c>
      <c r="I107" s="6" t="s">
        <v>17</v>
      </c>
      <c r="J107" s="6">
        <v>33259153</v>
      </c>
      <c r="K107" s="6" t="s">
        <v>1307</v>
      </c>
      <c r="L107" s="38" t="s">
        <v>1308</v>
      </c>
      <c r="M107" s="8">
        <v>179900</v>
      </c>
      <c r="N107" s="35">
        <v>0.9</v>
      </c>
      <c r="O107" s="34">
        <f t="shared" si="3"/>
        <v>17990</v>
      </c>
      <c r="P107" s="6" t="s">
        <v>16</v>
      </c>
    </row>
    <row r="108" spans="1:16" x14ac:dyDescent="0.35">
      <c r="A108" s="32" t="s">
        <v>6511</v>
      </c>
      <c r="B108" s="7">
        <f t="shared" si="4"/>
        <v>46121</v>
      </c>
      <c r="C108" s="7">
        <f t="shared" si="5"/>
        <v>46127</v>
      </c>
      <c r="D108" s="6">
        <v>3284</v>
      </c>
      <c r="E108" s="6">
        <v>338</v>
      </c>
      <c r="F108" s="6">
        <v>4</v>
      </c>
      <c r="G108" s="6">
        <v>4</v>
      </c>
      <c r="H108" s="6">
        <v>190</v>
      </c>
      <c r="I108" s="6" t="s">
        <v>17</v>
      </c>
      <c r="J108" s="6">
        <v>33259171</v>
      </c>
      <c r="K108" s="6" t="s">
        <v>1307</v>
      </c>
      <c r="L108" s="38" t="s">
        <v>1309</v>
      </c>
      <c r="M108" s="8">
        <v>179900</v>
      </c>
      <c r="N108" s="35">
        <v>0.9</v>
      </c>
      <c r="O108" s="34">
        <f t="shared" si="3"/>
        <v>17990</v>
      </c>
      <c r="P108" s="6" t="s">
        <v>16</v>
      </c>
    </row>
    <row r="109" spans="1:16" x14ac:dyDescent="0.35">
      <c r="A109" s="32" t="s">
        <v>6511</v>
      </c>
      <c r="B109" s="7">
        <f t="shared" si="4"/>
        <v>46121</v>
      </c>
      <c r="C109" s="7">
        <f t="shared" si="5"/>
        <v>46127</v>
      </c>
      <c r="D109" s="6">
        <v>3284</v>
      </c>
      <c r="E109" s="6">
        <v>338</v>
      </c>
      <c r="F109" s="6">
        <v>4</v>
      </c>
      <c r="G109" s="6">
        <v>4</v>
      </c>
      <c r="H109" s="6">
        <v>190</v>
      </c>
      <c r="I109" s="6" t="s">
        <v>17</v>
      </c>
      <c r="J109" s="6">
        <v>67147755</v>
      </c>
      <c r="K109" s="6" t="s">
        <v>1424</v>
      </c>
      <c r="L109" s="38" t="s">
        <v>1425</v>
      </c>
      <c r="M109" s="8">
        <v>199900</v>
      </c>
      <c r="N109" s="35">
        <v>0.9</v>
      </c>
      <c r="O109" s="34">
        <f t="shared" si="3"/>
        <v>19990</v>
      </c>
      <c r="P109" s="6" t="s">
        <v>16</v>
      </c>
    </row>
    <row r="110" spans="1:16" x14ac:dyDescent="0.35">
      <c r="A110" s="32" t="s">
        <v>6511</v>
      </c>
      <c r="B110" s="7">
        <f t="shared" si="4"/>
        <v>46121</v>
      </c>
      <c r="C110" s="7">
        <f t="shared" si="5"/>
        <v>46127</v>
      </c>
      <c r="D110" s="6">
        <v>3284</v>
      </c>
      <c r="E110" s="6">
        <v>338</v>
      </c>
      <c r="F110" s="6">
        <v>4</v>
      </c>
      <c r="G110" s="6">
        <v>4</v>
      </c>
      <c r="H110" s="6">
        <v>190</v>
      </c>
      <c r="I110" s="6" t="s">
        <v>17</v>
      </c>
      <c r="J110" s="6">
        <v>67147764</v>
      </c>
      <c r="K110" s="6" t="s">
        <v>1424</v>
      </c>
      <c r="L110" s="38" t="s">
        <v>1426</v>
      </c>
      <c r="M110" s="8">
        <v>199900</v>
      </c>
      <c r="N110" s="35">
        <v>0.9</v>
      </c>
      <c r="O110" s="34">
        <f t="shared" si="3"/>
        <v>19990</v>
      </c>
      <c r="P110" s="6" t="s">
        <v>16</v>
      </c>
    </row>
    <row r="111" spans="1:16" x14ac:dyDescent="0.35">
      <c r="A111" s="32" t="s">
        <v>6511</v>
      </c>
      <c r="B111" s="7">
        <f t="shared" si="4"/>
        <v>46121</v>
      </c>
      <c r="C111" s="7">
        <f t="shared" si="5"/>
        <v>46127</v>
      </c>
      <c r="D111" s="6">
        <v>3284</v>
      </c>
      <c r="E111" s="6">
        <v>338</v>
      </c>
      <c r="F111" s="6">
        <v>4</v>
      </c>
      <c r="G111" s="6">
        <v>4</v>
      </c>
      <c r="H111" s="6">
        <v>190</v>
      </c>
      <c r="I111" s="6" t="s">
        <v>17</v>
      </c>
      <c r="J111" s="6">
        <v>67147773</v>
      </c>
      <c r="K111" s="6" t="s">
        <v>1424</v>
      </c>
      <c r="L111" s="38" t="s">
        <v>1427</v>
      </c>
      <c r="M111" s="8">
        <v>199900</v>
      </c>
      <c r="N111" s="35">
        <v>0.9</v>
      </c>
      <c r="O111" s="34">
        <f t="shared" si="3"/>
        <v>19990</v>
      </c>
      <c r="P111" s="6" t="s">
        <v>16</v>
      </c>
    </row>
    <row r="112" spans="1:16" x14ac:dyDescent="0.35">
      <c r="A112" s="32" t="s">
        <v>6511</v>
      </c>
      <c r="B112" s="7">
        <f t="shared" si="4"/>
        <v>46121</v>
      </c>
      <c r="C112" s="7">
        <f t="shared" si="5"/>
        <v>46127</v>
      </c>
      <c r="D112" s="6">
        <v>3284</v>
      </c>
      <c r="E112" s="6">
        <v>338</v>
      </c>
      <c r="F112" s="6">
        <v>4</v>
      </c>
      <c r="G112" s="6">
        <v>5</v>
      </c>
      <c r="H112" s="6">
        <v>81421</v>
      </c>
      <c r="I112" s="6" t="s">
        <v>17</v>
      </c>
      <c r="J112" s="6">
        <v>65072866</v>
      </c>
      <c r="K112" s="6" t="s">
        <v>1354</v>
      </c>
      <c r="L112" s="38" t="s">
        <v>1355</v>
      </c>
      <c r="M112" s="8">
        <v>189900</v>
      </c>
      <c r="N112" s="35">
        <v>0.9</v>
      </c>
      <c r="O112" s="34">
        <f t="shared" si="3"/>
        <v>18990</v>
      </c>
      <c r="P112" s="6" t="s">
        <v>16</v>
      </c>
    </row>
    <row r="113" spans="1:16" x14ac:dyDescent="0.35">
      <c r="A113" s="32" t="s">
        <v>6511</v>
      </c>
      <c r="B113" s="7">
        <f t="shared" si="4"/>
        <v>46121</v>
      </c>
      <c r="C113" s="7">
        <f t="shared" si="5"/>
        <v>46127</v>
      </c>
      <c r="D113" s="6">
        <v>3284</v>
      </c>
      <c r="E113" s="6">
        <v>338</v>
      </c>
      <c r="F113" s="6">
        <v>4</v>
      </c>
      <c r="G113" s="6">
        <v>5</v>
      </c>
      <c r="H113" s="6">
        <v>81421</v>
      </c>
      <c r="I113" s="6" t="s">
        <v>17</v>
      </c>
      <c r="J113" s="6">
        <v>65072875</v>
      </c>
      <c r="K113" s="6" t="s">
        <v>1354</v>
      </c>
      <c r="L113" s="38" t="s">
        <v>1356</v>
      </c>
      <c r="M113" s="8">
        <v>189900</v>
      </c>
      <c r="N113" s="35">
        <v>0.9</v>
      </c>
      <c r="O113" s="34">
        <f t="shared" si="3"/>
        <v>18990</v>
      </c>
      <c r="P113" s="6" t="s">
        <v>16</v>
      </c>
    </row>
    <row r="114" spans="1:16" x14ac:dyDescent="0.35">
      <c r="A114" s="32" t="s">
        <v>6511</v>
      </c>
      <c r="B114" s="7">
        <f t="shared" si="4"/>
        <v>46121</v>
      </c>
      <c r="C114" s="7">
        <f t="shared" si="5"/>
        <v>46127</v>
      </c>
      <c r="D114" s="6">
        <v>3284</v>
      </c>
      <c r="E114" s="6">
        <v>338</v>
      </c>
      <c r="F114" s="6">
        <v>4</v>
      </c>
      <c r="G114" s="6">
        <v>5</v>
      </c>
      <c r="H114" s="6">
        <v>81421</v>
      </c>
      <c r="I114" s="6" t="s">
        <v>17</v>
      </c>
      <c r="J114" s="6">
        <v>65072884</v>
      </c>
      <c r="K114" s="6" t="s">
        <v>1354</v>
      </c>
      <c r="L114" s="38" t="s">
        <v>1357</v>
      </c>
      <c r="M114" s="8">
        <v>189900</v>
      </c>
      <c r="N114" s="35">
        <v>0.9</v>
      </c>
      <c r="O114" s="34">
        <f t="shared" si="3"/>
        <v>18990</v>
      </c>
      <c r="P114" s="6" t="s">
        <v>16</v>
      </c>
    </row>
    <row r="115" spans="1:16" x14ac:dyDescent="0.35">
      <c r="A115" s="32" t="s">
        <v>6511</v>
      </c>
      <c r="B115" s="7">
        <f t="shared" si="4"/>
        <v>46121</v>
      </c>
      <c r="C115" s="7">
        <f t="shared" si="5"/>
        <v>46127</v>
      </c>
      <c r="D115" s="6">
        <v>3284</v>
      </c>
      <c r="E115" s="6">
        <v>338</v>
      </c>
      <c r="F115" s="6">
        <v>4</v>
      </c>
      <c r="G115" s="6">
        <v>5</v>
      </c>
      <c r="H115" s="6">
        <v>81421</v>
      </c>
      <c r="I115" s="6" t="s">
        <v>17</v>
      </c>
      <c r="J115" s="6">
        <v>73313661</v>
      </c>
      <c r="K115" s="6" t="s">
        <v>1463</v>
      </c>
      <c r="L115" s="38" t="s">
        <v>1464</v>
      </c>
      <c r="M115" s="8">
        <v>199900</v>
      </c>
      <c r="N115" s="35">
        <v>0.9</v>
      </c>
      <c r="O115" s="34">
        <f t="shared" si="3"/>
        <v>19990</v>
      </c>
      <c r="P115" s="6" t="s">
        <v>16</v>
      </c>
    </row>
    <row r="116" spans="1:16" x14ac:dyDescent="0.35">
      <c r="A116" s="32" t="s">
        <v>6511</v>
      </c>
      <c r="B116" s="7">
        <f t="shared" si="4"/>
        <v>46121</v>
      </c>
      <c r="C116" s="7">
        <f t="shared" si="5"/>
        <v>46127</v>
      </c>
      <c r="D116" s="6">
        <v>3284</v>
      </c>
      <c r="E116" s="6">
        <v>338</v>
      </c>
      <c r="F116" s="6">
        <v>4</v>
      </c>
      <c r="G116" s="6">
        <v>5</v>
      </c>
      <c r="H116" s="6">
        <v>81421</v>
      </c>
      <c r="I116" s="6" t="s">
        <v>17</v>
      </c>
      <c r="J116" s="6">
        <v>73313670</v>
      </c>
      <c r="K116" s="6" t="s">
        <v>1463</v>
      </c>
      <c r="L116" s="38" t="s">
        <v>1465</v>
      </c>
      <c r="M116" s="8">
        <v>199900</v>
      </c>
      <c r="N116" s="35">
        <v>0.9</v>
      </c>
      <c r="O116" s="34">
        <f t="shared" si="3"/>
        <v>19990</v>
      </c>
      <c r="P116" s="6" t="s">
        <v>16</v>
      </c>
    </row>
    <row r="117" spans="1:16" x14ac:dyDescent="0.35">
      <c r="A117" s="32" t="s">
        <v>6511</v>
      </c>
      <c r="B117" s="7">
        <f t="shared" si="4"/>
        <v>46121</v>
      </c>
      <c r="C117" s="7">
        <f t="shared" si="5"/>
        <v>46127</v>
      </c>
      <c r="D117" s="6">
        <v>3284</v>
      </c>
      <c r="E117" s="6">
        <v>338</v>
      </c>
      <c r="F117" s="6">
        <v>4</v>
      </c>
      <c r="G117" s="6">
        <v>5</v>
      </c>
      <c r="H117" s="6">
        <v>81421</v>
      </c>
      <c r="I117" s="6" t="s">
        <v>17</v>
      </c>
      <c r="J117" s="6">
        <v>73313689</v>
      </c>
      <c r="K117" s="6" t="s">
        <v>1463</v>
      </c>
      <c r="L117" s="38" t="s">
        <v>1466</v>
      </c>
      <c r="M117" s="8">
        <v>199900</v>
      </c>
      <c r="N117" s="35">
        <v>0.9</v>
      </c>
      <c r="O117" s="34">
        <f t="shared" si="3"/>
        <v>19990</v>
      </c>
      <c r="P117" s="6" t="s">
        <v>16</v>
      </c>
    </row>
    <row r="118" spans="1:16" x14ac:dyDescent="0.35">
      <c r="A118" s="32" t="s">
        <v>6511</v>
      </c>
      <c r="B118" s="7">
        <f t="shared" si="4"/>
        <v>46121</v>
      </c>
      <c r="C118" s="7">
        <f t="shared" si="5"/>
        <v>46127</v>
      </c>
      <c r="D118" s="6">
        <v>3284</v>
      </c>
      <c r="E118" s="6">
        <v>338</v>
      </c>
      <c r="F118" s="6">
        <v>4</v>
      </c>
      <c r="G118" s="6">
        <v>5</v>
      </c>
      <c r="H118" s="6">
        <v>81421</v>
      </c>
      <c r="I118" s="6" t="s">
        <v>17</v>
      </c>
      <c r="J118" s="6">
        <v>73313698</v>
      </c>
      <c r="K118" s="6" t="s">
        <v>1463</v>
      </c>
      <c r="L118" s="38" t="s">
        <v>1467</v>
      </c>
      <c r="M118" s="8">
        <v>199900</v>
      </c>
      <c r="N118" s="35">
        <v>0.9</v>
      </c>
      <c r="O118" s="34">
        <f t="shared" si="3"/>
        <v>19990</v>
      </c>
      <c r="P118" s="6" t="s">
        <v>16</v>
      </c>
    </row>
    <row r="119" spans="1:16" x14ac:dyDescent="0.35">
      <c r="A119" s="32" t="s">
        <v>6511</v>
      </c>
      <c r="B119" s="7">
        <f t="shared" si="4"/>
        <v>46121</v>
      </c>
      <c r="C119" s="7">
        <f t="shared" si="5"/>
        <v>46127</v>
      </c>
      <c r="D119" s="6">
        <v>3284</v>
      </c>
      <c r="E119" s="6">
        <v>338</v>
      </c>
      <c r="F119" s="6">
        <v>4</v>
      </c>
      <c r="G119" s="6">
        <v>5</v>
      </c>
      <c r="H119" s="6">
        <v>81421</v>
      </c>
      <c r="I119" s="6" t="s">
        <v>17</v>
      </c>
      <c r="J119" s="6">
        <v>76381314</v>
      </c>
      <c r="K119" s="6" t="s">
        <v>1468</v>
      </c>
      <c r="L119" s="38" t="s">
        <v>1469</v>
      </c>
      <c r="M119" s="8">
        <v>169900</v>
      </c>
      <c r="N119" s="35">
        <v>0.9</v>
      </c>
      <c r="O119" s="34">
        <f t="shared" si="3"/>
        <v>16990</v>
      </c>
      <c r="P119" s="6" t="s">
        <v>16</v>
      </c>
    </row>
    <row r="120" spans="1:16" x14ac:dyDescent="0.35">
      <c r="A120" s="32" t="s">
        <v>6511</v>
      </c>
      <c r="B120" s="7">
        <f t="shared" si="4"/>
        <v>46121</v>
      </c>
      <c r="C120" s="7">
        <f t="shared" si="5"/>
        <v>46127</v>
      </c>
      <c r="D120" s="6">
        <v>3284</v>
      </c>
      <c r="E120" s="6">
        <v>338</v>
      </c>
      <c r="F120" s="6">
        <v>4</v>
      </c>
      <c r="G120" s="6">
        <v>5</v>
      </c>
      <c r="H120" s="6">
        <v>81421</v>
      </c>
      <c r="I120" s="6" t="s">
        <v>17</v>
      </c>
      <c r="J120" s="6">
        <v>76381323</v>
      </c>
      <c r="K120" s="6" t="s">
        <v>1468</v>
      </c>
      <c r="L120" s="38" t="s">
        <v>1470</v>
      </c>
      <c r="M120" s="8">
        <v>169900</v>
      </c>
      <c r="N120" s="35">
        <v>0.9</v>
      </c>
      <c r="O120" s="34">
        <f t="shared" si="3"/>
        <v>16990</v>
      </c>
      <c r="P120" s="6" t="s">
        <v>16</v>
      </c>
    </row>
    <row r="121" spans="1:16" x14ac:dyDescent="0.35">
      <c r="A121" s="32" t="s">
        <v>6511</v>
      </c>
      <c r="B121" s="7">
        <f t="shared" si="4"/>
        <v>46121</v>
      </c>
      <c r="C121" s="7">
        <f t="shared" si="5"/>
        <v>46127</v>
      </c>
      <c r="D121" s="6">
        <v>3284</v>
      </c>
      <c r="E121" s="6">
        <v>338</v>
      </c>
      <c r="F121" s="6">
        <v>4</v>
      </c>
      <c r="G121" s="6">
        <v>5</v>
      </c>
      <c r="H121" s="6">
        <v>81421</v>
      </c>
      <c r="I121" s="6" t="s">
        <v>17</v>
      </c>
      <c r="J121" s="6">
        <v>76381332</v>
      </c>
      <c r="K121" s="6" t="s">
        <v>1468</v>
      </c>
      <c r="L121" s="38" t="s">
        <v>1471</v>
      </c>
      <c r="M121" s="8">
        <v>169900</v>
      </c>
      <c r="N121" s="35">
        <v>0.9</v>
      </c>
      <c r="O121" s="34">
        <f t="shared" si="3"/>
        <v>16990</v>
      </c>
      <c r="P121" s="6" t="s">
        <v>16</v>
      </c>
    </row>
    <row r="122" spans="1:16" x14ac:dyDescent="0.35">
      <c r="A122" s="32" t="s">
        <v>6511</v>
      </c>
      <c r="B122" s="7">
        <f t="shared" si="4"/>
        <v>46121</v>
      </c>
      <c r="C122" s="7">
        <f t="shared" si="5"/>
        <v>46127</v>
      </c>
      <c r="D122" s="6">
        <v>3284</v>
      </c>
      <c r="E122" s="6">
        <v>338</v>
      </c>
      <c r="F122" s="6">
        <v>4</v>
      </c>
      <c r="G122" s="6">
        <v>5</v>
      </c>
      <c r="H122" s="6">
        <v>81421</v>
      </c>
      <c r="I122" s="6" t="s">
        <v>17</v>
      </c>
      <c r="J122" s="6">
        <v>76397521</v>
      </c>
      <c r="K122" s="6" t="s">
        <v>1468</v>
      </c>
      <c r="L122" s="38" t="s">
        <v>1472</v>
      </c>
      <c r="M122" s="8">
        <v>169900</v>
      </c>
      <c r="N122" s="35">
        <v>0.9</v>
      </c>
      <c r="O122" s="34">
        <f t="shared" si="3"/>
        <v>16990</v>
      </c>
      <c r="P122" s="6" t="s">
        <v>16</v>
      </c>
    </row>
    <row r="123" spans="1:16" x14ac:dyDescent="0.35">
      <c r="A123" s="32" t="s">
        <v>6511</v>
      </c>
      <c r="B123" s="7">
        <f t="shared" si="4"/>
        <v>46121</v>
      </c>
      <c r="C123" s="7">
        <f t="shared" si="5"/>
        <v>46127</v>
      </c>
      <c r="D123" s="6">
        <v>3284</v>
      </c>
      <c r="E123" s="6">
        <v>338</v>
      </c>
      <c r="F123" s="6">
        <v>4</v>
      </c>
      <c r="G123" s="6">
        <v>6</v>
      </c>
      <c r="H123" s="6">
        <v>2060</v>
      </c>
      <c r="I123" s="6" t="s">
        <v>17</v>
      </c>
      <c r="J123" s="6">
        <v>33374724</v>
      </c>
      <c r="K123" s="6" t="s">
        <v>1496</v>
      </c>
      <c r="L123" s="38" t="s">
        <v>1497</v>
      </c>
      <c r="M123" s="8">
        <v>39900</v>
      </c>
      <c r="N123" s="35">
        <v>0.9</v>
      </c>
      <c r="O123" s="34">
        <f t="shared" si="3"/>
        <v>3990</v>
      </c>
      <c r="P123" s="6" t="s">
        <v>16</v>
      </c>
    </row>
    <row r="124" spans="1:16" x14ac:dyDescent="0.35">
      <c r="A124" s="32" t="s">
        <v>6511</v>
      </c>
      <c r="B124" s="7">
        <f t="shared" si="4"/>
        <v>46121</v>
      </c>
      <c r="C124" s="7">
        <f t="shared" si="5"/>
        <v>46127</v>
      </c>
      <c r="D124" s="6">
        <v>3284</v>
      </c>
      <c r="E124" s="6">
        <v>338</v>
      </c>
      <c r="F124" s="6">
        <v>4</v>
      </c>
      <c r="G124" s="6">
        <v>6</v>
      </c>
      <c r="H124" s="6">
        <v>2060</v>
      </c>
      <c r="I124" s="6" t="s">
        <v>17</v>
      </c>
      <c r="J124" s="6">
        <v>33374733</v>
      </c>
      <c r="K124" s="6" t="s">
        <v>1496</v>
      </c>
      <c r="L124" s="38" t="s">
        <v>1498</v>
      </c>
      <c r="M124" s="8">
        <v>39900</v>
      </c>
      <c r="N124" s="35">
        <v>0.9</v>
      </c>
      <c r="O124" s="34">
        <f t="shared" si="3"/>
        <v>3990</v>
      </c>
      <c r="P124" s="6" t="s">
        <v>16</v>
      </c>
    </row>
    <row r="125" spans="1:16" x14ac:dyDescent="0.35">
      <c r="A125" s="32" t="s">
        <v>6511</v>
      </c>
      <c r="B125" s="7">
        <f t="shared" si="4"/>
        <v>46121</v>
      </c>
      <c r="C125" s="7">
        <f t="shared" si="5"/>
        <v>46127</v>
      </c>
      <c r="D125" s="6">
        <v>3284</v>
      </c>
      <c r="E125" s="6">
        <v>338</v>
      </c>
      <c r="F125" s="6">
        <v>4</v>
      </c>
      <c r="G125" s="6">
        <v>6</v>
      </c>
      <c r="H125" s="6">
        <v>2060</v>
      </c>
      <c r="I125" s="6" t="s">
        <v>17</v>
      </c>
      <c r="J125" s="6">
        <v>33374742</v>
      </c>
      <c r="K125" s="6" t="s">
        <v>1499</v>
      </c>
      <c r="L125" s="38" t="s">
        <v>1500</v>
      </c>
      <c r="M125" s="8">
        <v>49900</v>
      </c>
      <c r="N125" s="35">
        <v>0.9</v>
      </c>
      <c r="O125" s="34">
        <f t="shared" si="3"/>
        <v>4990</v>
      </c>
      <c r="P125" s="6" t="s">
        <v>16</v>
      </c>
    </row>
    <row r="126" spans="1:16" x14ac:dyDescent="0.35">
      <c r="A126" s="32" t="s">
        <v>6511</v>
      </c>
      <c r="B126" s="7">
        <f t="shared" si="4"/>
        <v>46121</v>
      </c>
      <c r="C126" s="7">
        <f t="shared" si="5"/>
        <v>46127</v>
      </c>
      <c r="D126" s="6">
        <v>3284</v>
      </c>
      <c r="E126" s="6">
        <v>338</v>
      </c>
      <c r="F126" s="6">
        <v>4</v>
      </c>
      <c r="G126" s="6">
        <v>6</v>
      </c>
      <c r="H126" s="6">
        <v>2060</v>
      </c>
      <c r="I126" s="6" t="s">
        <v>17</v>
      </c>
      <c r="J126" s="6">
        <v>33374751</v>
      </c>
      <c r="K126" s="6" t="s">
        <v>1499</v>
      </c>
      <c r="L126" s="38" t="s">
        <v>1501</v>
      </c>
      <c r="M126" s="8">
        <v>49900</v>
      </c>
      <c r="N126" s="35">
        <v>0.9</v>
      </c>
      <c r="O126" s="34">
        <f t="shared" si="3"/>
        <v>4990</v>
      </c>
      <c r="P126" s="6" t="s">
        <v>16</v>
      </c>
    </row>
    <row r="127" spans="1:16" x14ac:dyDescent="0.35">
      <c r="A127" s="32" t="s">
        <v>6511</v>
      </c>
      <c r="B127" s="7">
        <f t="shared" si="4"/>
        <v>46121</v>
      </c>
      <c r="C127" s="7">
        <f t="shared" si="5"/>
        <v>46127</v>
      </c>
      <c r="D127" s="6">
        <v>3284</v>
      </c>
      <c r="E127" s="6">
        <v>338</v>
      </c>
      <c r="F127" s="6">
        <v>4</v>
      </c>
      <c r="G127" s="6">
        <v>6</v>
      </c>
      <c r="H127" s="6">
        <v>2060</v>
      </c>
      <c r="I127" s="6" t="s">
        <v>17</v>
      </c>
      <c r="J127" s="6">
        <v>33374760</v>
      </c>
      <c r="K127" s="6" t="s">
        <v>1502</v>
      </c>
      <c r="L127" s="38" t="s">
        <v>1503</v>
      </c>
      <c r="M127" s="8">
        <v>39900</v>
      </c>
      <c r="N127" s="35">
        <v>0.9</v>
      </c>
      <c r="O127" s="34">
        <f t="shared" si="3"/>
        <v>3990</v>
      </c>
      <c r="P127" s="6" t="s">
        <v>16</v>
      </c>
    </row>
    <row r="128" spans="1:16" x14ac:dyDescent="0.35">
      <c r="A128" s="32" t="s">
        <v>6511</v>
      </c>
      <c r="B128" s="7">
        <f t="shared" si="4"/>
        <v>46121</v>
      </c>
      <c r="C128" s="7">
        <f t="shared" si="5"/>
        <v>46127</v>
      </c>
      <c r="D128" s="6">
        <v>3284</v>
      </c>
      <c r="E128" s="6">
        <v>338</v>
      </c>
      <c r="F128" s="6">
        <v>4</v>
      </c>
      <c r="G128" s="6">
        <v>6</v>
      </c>
      <c r="H128" s="6">
        <v>2060</v>
      </c>
      <c r="I128" s="6" t="s">
        <v>17</v>
      </c>
      <c r="J128" s="6">
        <v>33374779</v>
      </c>
      <c r="K128" s="6" t="s">
        <v>1502</v>
      </c>
      <c r="L128" s="38" t="s">
        <v>1504</v>
      </c>
      <c r="M128" s="8">
        <v>39900</v>
      </c>
      <c r="N128" s="35">
        <v>0.9</v>
      </c>
      <c r="O128" s="34">
        <f t="shared" si="3"/>
        <v>3990</v>
      </c>
      <c r="P128" s="6" t="s">
        <v>16</v>
      </c>
    </row>
    <row r="129" spans="1:16" x14ac:dyDescent="0.35">
      <c r="A129" s="32" t="s">
        <v>6511</v>
      </c>
      <c r="B129" s="7">
        <f t="shared" si="4"/>
        <v>46121</v>
      </c>
      <c r="C129" s="7">
        <f t="shared" si="5"/>
        <v>46127</v>
      </c>
      <c r="D129" s="6">
        <v>3284</v>
      </c>
      <c r="E129" s="6">
        <v>338</v>
      </c>
      <c r="F129" s="6">
        <v>4</v>
      </c>
      <c r="G129" s="6">
        <v>6</v>
      </c>
      <c r="H129" s="6">
        <v>2060</v>
      </c>
      <c r="I129" s="6" t="s">
        <v>17</v>
      </c>
      <c r="J129" s="6">
        <v>33366680</v>
      </c>
      <c r="K129" s="6" t="s">
        <v>1490</v>
      </c>
      <c r="L129" s="38" t="s">
        <v>1491</v>
      </c>
      <c r="M129" s="8">
        <v>49900</v>
      </c>
      <c r="N129" s="35">
        <v>0.9</v>
      </c>
      <c r="O129" s="34">
        <f t="shared" si="3"/>
        <v>4990</v>
      </c>
      <c r="P129" s="6" t="s">
        <v>16</v>
      </c>
    </row>
    <row r="130" spans="1:16" x14ac:dyDescent="0.35">
      <c r="A130" s="32" t="s">
        <v>6511</v>
      </c>
      <c r="B130" s="7">
        <f t="shared" si="4"/>
        <v>46121</v>
      </c>
      <c r="C130" s="7">
        <f t="shared" si="5"/>
        <v>46127</v>
      </c>
      <c r="D130" s="6">
        <v>3284</v>
      </c>
      <c r="E130" s="6">
        <v>338</v>
      </c>
      <c r="F130" s="6">
        <v>4</v>
      </c>
      <c r="G130" s="6">
        <v>6</v>
      </c>
      <c r="H130" s="6">
        <v>2060</v>
      </c>
      <c r="I130" s="6" t="s">
        <v>17</v>
      </c>
      <c r="J130" s="6">
        <v>33366699</v>
      </c>
      <c r="K130" s="6" t="s">
        <v>1490</v>
      </c>
      <c r="L130" s="38" t="s">
        <v>1492</v>
      </c>
      <c r="M130" s="8">
        <v>49900</v>
      </c>
      <c r="N130" s="35">
        <v>0.9</v>
      </c>
      <c r="O130" s="34">
        <f t="shared" si="3"/>
        <v>4990</v>
      </c>
      <c r="P130" s="6" t="s">
        <v>16</v>
      </c>
    </row>
    <row r="131" spans="1:16" x14ac:dyDescent="0.35">
      <c r="A131" s="32" t="s">
        <v>6511</v>
      </c>
      <c r="B131" s="7">
        <f t="shared" si="4"/>
        <v>46121</v>
      </c>
      <c r="C131" s="7">
        <f t="shared" si="5"/>
        <v>46127</v>
      </c>
      <c r="D131" s="6">
        <v>3284</v>
      </c>
      <c r="E131" s="6">
        <v>338</v>
      </c>
      <c r="F131" s="6">
        <v>4</v>
      </c>
      <c r="G131" s="6">
        <v>6</v>
      </c>
      <c r="H131" s="6">
        <v>2060</v>
      </c>
      <c r="I131" s="6" t="s">
        <v>17</v>
      </c>
      <c r="J131" s="6">
        <v>33366724</v>
      </c>
      <c r="K131" s="6" t="s">
        <v>1493</v>
      </c>
      <c r="L131" s="38" t="s">
        <v>1494</v>
      </c>
      <c r="M131" s="8">
        <v>49900</v>
      </c>
      <c r="N131" s="35">
        <v>0.9</v>
      </c>
      <c r="O131" s="34">
        <f t="shared" ref="O131:O194" si="6">M131-((90*M131)/100)</f>
        <v>4990</v>
      </c>
      <c r="P131" s="6" t="s">
        <v>16</v>
      </c>
    </row>
    <row r="132" spans="1:16" x14ac:dyDescent="0.35">
      <c r="A132" s="32" t="s">
        <v>6511</v>
      </c>
      <c r="B132" s="7">
        <f t="shared" ref="B132:B195" si="7">B131</f>
        <v>46121</v>
      </c>
      <c r="C132" s="7">
        <f t="shared" ref="C132:C195" si="8">C131</f>
        <v>46127</v>
      </c>
      <c r="D132" s="6">
        <v>3284</v>
      </c>
      <c r="E132" s="6">
        <v>338</v>
      </c>
      <c r="F132" s="6">
        <v>4</v>
      </c>
      <c r="G132" s="6">
        <v>6</v>
      </c>
      <c r="H132" s="6">
        <v>2060</v>
      </c>
      <c r="I132" s="6" t="s">
        <v>17</v>
      </c>
      <c r="J132" s="6">
        <v>33366733</v>
      </c>
      <c r="K132" s="6" t="s">
        <v>1493</v>
      </c>
      <c r="L132" s="38" t="s">
        <v>1495</v>
      </c>
      <c r="M132" s="8">
        <v>39900</v>
      </c>
      <c r="N132" s="35">
        <v>0.9</v>
      </c>
      <c r="O132" s="34">
        <f t="shared" si="6"/>
        <v>3990</v>
      </c>
      <c r="P132" s="6" t="s">
        <v>16</v>
      </c>
    </row>
    <row r="133" spans="1:16" x14ac:dyDescent="0.35">
      <c r="A133" s="32" t="s">
        <v>6511</v>
      </c>
      <c r="B133" s="7">
        <f t="shared" si="7"/>
        <v>46121</v>
      </c>
      <c r="C133" s="7">
        <f t="shared" si="8"/>
        <v>46127</v>
      </c>
      <c r="D133" s="6">
        <v>3284</v>
      </c>
      <c r="E133" s="6">
        <v>338</v>
      </c>
      <c r="F133" s="6">
        <v>4</v>
      </c>
      <c r="G133" s="6">
        <v>6</v>
      </c>
      <c r="H133" s="6">
        <v>2060</v>
      </c>
      <c r="I133" s="6" t="s">
        <v>17</v>
      </c>
      <c r="J133" s="6">
        <v>33374797</v>
      </c>
      <c r="K133" s="6" t="s">
        <v>1505</v>
      </c>
      <c r="L133" s="38" t="s">
        <v>1506</v>
      </c>
      <c r="M133" s="8">
        <v>59900</v>
      </c>
      <c r="N133" s="35">
        <v>0.9</v>
      </c>
      <c r="O133" s="34">
        <f t="shared" si="6"/>
        <v>5990</v>
      </c>
      <c r="P133" s="6" t="s">
        <v>16</v>
      </c>
    </row>
    <row r="134" spans="1:16" x14ac:dyDescent="0.35">
      <c r="A134" s="32" t="s">
        <v>6511</v>
      </c>
      <c r="B134" s="7">
        <f t="shared" si="7"/>
        <v>46121</v>
      </c>
      <c r="C134" s="7">
        <f t="shared" si="8"/>
        <v>46127</v>
      </c>
      <c r="D134" s="6">
        <v>3284</v>
      </c>
      <c r="E134" s="6">
        <v>338</v>
      </c>
      <c r="F134" s="6">
        <v>4</v>
      </c>
      <c r="G134" s="6">
        <v>6</v>
      </c>
      <c r="H134" s="6">
        <v>2060</v>
      </c>
      <c r="I134" s="6" t="s">
        <v>17</v>
      </c>
      <c r="J134" s="6">
        <v>33374804</v>
      </c>
      <c r="K134" s="6" t="s">
        <v>1505</v>
      </c>
      <c r="L134" s="38" t="s">
        <v>1507</v>
      </c>
      <c r="M134" s="8">
        <v>59900</v>
      </c>
      <c r="N134" s="35">
        <v>0.9</v>
      </c>
      <c r="O134" s="34">
        <f t="shared" si="6"/>
        <v>5990</v>
      </c>
      <c r="P134" s="6" t="s">
        <v>16</v>
      </c>
    </row>
    <row r="135" spans="1:16" x14ac:dyDescent="0.35">
      <c r="A135" s="32" t="s">
        <v>6511</v>
      </c>
      <c r="B135" s="7">
        <f t="shared" si="7"/>
        <v>46121</v>
      </c>
      <c r="C135" s="7">
        <f t="shared" si="8"/>
        <v>46127</v>
      </c>
      <c r="D135" s="6">
        <v>3284</v>
      </c>
      <c r="E135" s="6">
        <v>338</v>
      </c>
      <c r="F135" s="6">
        <v>4</v>
      </c>
      <c r="G135" s="6">
        <v>6</v>
      </c>
      <c r="H135" s="6">
        <v>2060</v>
      </c>
      <c r="I135" s="6" t="s">
        <v>17</v>
      </c>
      <c r="J135" s="6">
        <v>33374813</v>
      </c>
      <c r="K135" s="6" t="s">
        <v>1508</v>
      </c>
      <c r="L135" s="38" t="s">
        <v>1509</v>
      </c>
      <c r="M135" s="8">
        <v>69900</v>
      </c>
      <c r="N135" s="35">
        <v>0.9</v>
      </c>
      <c r="O135" s="34">
        <f t="shared" si="6"/>
        <v>6990</v>
      </c>
      <c r="P135" s="6" t="s">
        <v>16</v>
      </c>
    </row>
    <row r="136" spans="1:16" x14ac:dyDescent="0.35">
      <c r="A136" s="32" t="s">
        <v>6511</v>
      </c>
      <c r="B136" s="7">
        <f t="shared" si="7"/>
        <v>46121</v>
      </c>
      <c r="C136" s="7">
        <f t="shared" si="8"/>
        <v>46127</v>
      </c>
      <c r="D136" s="6">
        <v>3284</v>
      </c>
      <c r="E136" s="6">
        <v>338</v>
      </c>
      <c r="F136" s="6">
        <v>4</v>
      </c>
      <c r="G136" s="6">
        <v>6</v>
      </c>
      <c r="H136" s="6">
        <v>2060</v>
      </c>
      <c r="I136" s="6" t="s">
        <v>17</v>
      </c>
      <c r="J136" s="6">
        <v>33374822</v>
      </c>
      <c r="K136" s="6" t="s">
        <v>1508</v>
      </c>
      <c r="L136" s="38" t="s">
        <v>1510</v>
      </c>
      <c r="M136" s="8">
        <v>69900</v>
      </c>
      <c r="N136" s="35">
        <v>0.9</v>
      </c>
      <c r="O136" s="34">
        <f t="shared" si="6"/>
        <v>6990</v>
      </c>
      <c r="P136" s="6" t="s">
        <v>16</v>
      </c>
    </row>
    <row r="137" spans="1:16" x14ac:dyDescent="0.35">
      <c r="A137" s="32" t="s">
        <v>6511</v>
      </c>
      <c r="B137" s="7">
        <f t="shared" si="7"/>
        <v>46121</v>
      </c>
      <c r="C137" s="7">
        <f t="shared" si="8"/>
        <v>46127</v>
      </c>
      <c r="D137" s="6">
        <v>3284</v>
      </c>
      <c r="E137" s="6">
        <v>338</v>
      </c>
      <c r="F137" s="6">
        <v>4</v>
      </c>
      <c r="G137" s="6">
        <v>6</v>
      </c>
      <c r="H137" s="6">
        <v>2060</v>
      </c>
      <c r="I137" s="6" t="s">
        <v>17</v>
      </c>
      <c r="J137" s="6">
        <v>33374831</v>
      </c>
      <c r="K137" s="6" t="s">
        <v>1511</v>
      </c>
      <c r="L137" s="38" t="s">
        <v>1512</v>
      </c>
      <c r="M137" s="8">
        <v>59900</v>
      </c>
      <c r="N137" s="35">
        <v>0.9</v>
      </c>
      <c r="O137" s="34">
        <f t="shared" si="6"/>
        <v>5990</v>
      </c>
      <c r="P137" s="6" t="s">
        <v>16</v>
      </c>
    </row>
    <row r="138" spans="1:16" x14ac:dyDescent="0.35">
      <c r="A138" s="32" t="s">
        <v>6511</v>
      </c>
      <c r="B138" s="7">
        <f t="shared" si="7"/>
        <v>46121</v>
      </c>
      <c r="C138" s="7">
        <f t="shared" si="8"/>
        <v>46127</v>
      </c>
      <c r="D138" s="6">
        <v>3284</v>
      </c>
      <c r="E138" s="6">
        <v>338</v>
      </c>
      <c r="F138" s="6">
        <v>4</v>
      </c>
      <c r="G138" s="6">
        <v>6</v>
      </c>
      <c r="H138" s="6">
        <v>2060</v>
      </c>
      <c r="I138" s="6" t="s">
        <v>17</v>
      </c>
      <c r="J138" s="6">
        <v>33374840</v>
      </c>
      <c r="K138" s="6" t="s">
        <v>1511</v>
      </c>
      <c r="L138" s="38" t="s">
        <v>1513</v>
      </c>
      <c r="M138" s="8">
        <v>59900</v>
      </c>
      <c r="N138" s="35">
        <v>0.9</v>
      </c>
      <c r="O138" s="34">
        <f t="shared" si="6"/>
        <v>5990</v>
      </c>
      <c r="P138" s="6" t="s">
        <v>16</v>
      </c>
    </row>
    <row r="139" spans="1:16" x14ac:dyDescent="0.35">
      <c r="A139" s="32" t="s">
        <v>6511</v>
      </c>
      <c r="B139" s="7">
        <f t="shared" si="7"/>
        <v>46121</v>
      </c>
      <c r="C139" s="7">
        <f t="shared" si="8"/>
        <v>46127</v>
      </c>
      <c r="D139" s="6">
        <v>3284</v>
      </c>
      <c r="E139" s="6">
        <v>338</v>
      </c>
      <c r="F139" s="6">
        <v>4</v>
      </c>
      <c r="G139" s="6">
        <v>6</v>
      </c>
      <c r="H139" s="6">
        <v>2060</v>
      </c>
      <c r="I139" s="6" t="s">
        <v>17</v>
      </c>
      <c r="J139" s="6">
        <v>33374859</v>
      </c>
      <c r="K139" s="6" t="s">
        <v>1514</v>
      </c>
      <c r="L139" s="38" t="s">
        <v>1515</v>
      </c>
      <c r="M139" s="8">
        <v>49900</v>
      </c>
      <c r="N139" s="35">
        <v>0.9</v>
      </c>
      <c r="O139" s="34">
        <f t="shared" si="6"/>
        <v>4990</v>
      </c>
      <c r="P139" s="6" t="s">
        <v>16</v>
      </c>
    </row>
    <row r="140" spans="1:16" x14ac:dyDescent="0.35">
      <c r="A140" s="32" t="s">
        <v>6511</v>
      </c>
      <c r="B140" s="7">
        <f t="shared" si="7"/>
        <v>46121</v>
      </c>
      <c r="C140" s="7">
        <f t="shared" si="8"/>
        <v>46127</v>
      </c>
      <c r="D140" s="6">
        <v>3284</v>
      </c>
      <c r="E140" s="6">
        <v>338</v>
      </c>
      <c r="F140" s="6">
        <v>4</v>
      </c>
      <c r="G140" s="6">
        <v>6</v>
      </c>
      <c r="H140" s="6">
        <v>2060</v>
      </c>
      <c r="I140" s="6" t="s">
        <v>17</v>
      </c>
      <c r="J140" s="6">
        <v>33374868</v>
      </c>
      <c r="K140" s="6" t="s">
        <v>1514</v>
      </c>
      <c r="L140" s="38" t="s">
        <v>1516</v>
      </c>
      <c r="M140" s="8">
        <v>49900</v>
      </c>
      <c r="N140" s="35">
        <v>0.9</v>
      </c>
      <c r="O140" s="34">
        <f t="shared" si="6"/>
        <v>4990</v>
      </c>
      <c r="P140" s="6" t="s">
        <v>16</v>
      </c>
    </row>
    <row r="141" spans="1:16" x14ac:dyDescent="0.35">
      <c r="A141" s="32" t="s">
        <v>6511</v>
      </c>
      <c r="B141" s="7">
        <f t="shared" si="7"/>
        <v>46121</v>
      </c>
      <c r="C141" s="7">
        <f t="shared" si="8"/>
        <v>46127</v>
      </c>
      <c r="D141" s="6">
        <v>3284</v>
      </c>
      <c r="E141" s="6">
        <v>338</v>
      </c>
      <c r="F141" s="6">
        <v>4</v>
      </c>
      <c r="G141" s="6">
        <v>6</v>
      </c>
      <c r="H141" s="6">
        <v>2060</v>
      </c>
      <c r="I141" s="6" t="s">
        <v>17</v>
      </c>
      <c r="J141" s="6">
        <v>33374975</v>
      </c>
      <c r="K141" s="6" t="s">
        <v>1517</v>
      </c>
      <c r="L141" s="38" t="s">
        <v>1518</v>
      </c>
      <c r="M141" s="8">
        <v>49900</v>
      </c>
      <c r="N141" s="35">
        <v>0.9</v>
      </c>
      <c r="O141" s="34">
        <f t="shared" si="6"/>
        <v>4990</v>
      </c>
      <c r="P141" s="6" t="s">
        <v>16</v>
      </c>
    </row>
    <row r="142" spans="1:16" x14ac:dyDescent="0.35">
      <c r="A142" s="32" t="s">
        <v>6511</v>
      </c>
      <c r="B142" s="7">
        <f t="shared" si="7"/>
        <v>46121</v>
      </c>
      <c r="C142" s="7">
        <f t="shared" si="8"/>
        <v>46127</v>
      </c>
      <c r="D142" s="6">
        <v>3284</v>
      </c>
      <c r="E142" s="6">
        <v>338</v>
      </c>
      <c r="F142" s="6">
        <v>4</v>
      </c>
      <c r="G142" s="6">
        <v>6</v>
      </c>
      <c r="H142" s="6">
        <v>2060</v>
      </c>
      <c r="I142" s="6" t="s">
        <v>17</v>
      </c>
      <c r="J142" s="6">
        <v>33374984</v>
      </c>
      <c r="K142" s="6" t="s">
        <v>1517</v>
      </c>
      <c r="L142" s="38" t="s">
        <v>1519</v>
      </c>
      <c r="M142" s="8">
        <v>49900</v>
      </c>
      <c r="N142" s="35">
        <v>0.9</v>
      </c>
      <c r="O142" s="34">
        <f t="shared" si="6"/>
        <v>4990</v>
      </c>
      <c r="P142" s="6" t="s">
        <v>16</v>
      </c>
    </row>
    <row r="143" spans="1:16" x14ac:dyDescent="0.35">
      <c r="A143" s="32" t="s">
        <v>6511</v>
      </c>
      <c r="B143" s="7">
        <f t="shared" si="7"/>
        <v>46121</v>
      </c>
      <c r="C143" s="7">
        <f t="shared" si="8"/>
        <v>46127</v>
      </c>
      <c r="D143" s="6">
        <v>3284</v>
      </c>
      <c r="E143" s="6">
        <v>338</v>
      </c>
      <c r="F143" s="6">
        <v>4</v>
      </c>
      <c r="G143" s="6">
        <v>6</v>
      </c>
      <c r="H143" s="6">
        <v>2060</v>
      </c>
      <c r="I143" s="6" t="s">
        <v>17</v>
      </c>
      <c r="J143" s="6">
        <v>33374993</v>
      </c>
      <c r="K143" s="6" t="s">
        <v>1520</v>
      </c>
      <c r="L143" s="38" t="s">
        <v>1521</v>
      </c>
      <c r="M143" s="8">
        <v>49900</v>
      </c>
      <c r="N143" s="35">
        <v>0.9</v>
      </c>
      <c r="O143" s="34">
        <f t="shared" si="6"/>
        <v>4990</v>
      </c>
      <c r="P143" s="6" t="s">
        <v>16</v>
      </c>
    </row>
    <row r="144" spans="1:16" x14ac:dyDescent="0.35">
      <c r="A144" s="32" t="s">
        <v>6511</v>
      </c>
      <c r="B144" s="7">
        <f t="shared" si="7"/>
        <v>46121</v>
      </c>
      <c r="C144" s="7">
        <f t="shared" si="8"/>
        <v>46127</v>
      </c>
      <c r="D144" s="6">
        <v>3284</v>
      </c>
      <c r="E144" s="6">
        <v>338</v>
      </c>
      <c r="F144" s="6">
        <v>4</v>
      </c>
      <c r="G144" s="6">
        <v>6</v>
      </c>
      <c r="H144" s="6">
        <v>2060</v>
      </c>
      <c r="I144" s="6" t="s">
        <v>17</v>
      </c>
      <c r="J144" s="6">
        <v>33375009</v>
      </c>
      <c r="K144" s="6" t="s">
        <v>1520</v>
      </c>
      <c r="L144" s="38" t="s">
        <v>1522</v>
      </c>
      <c r="M144" s="8">
        <v>49900</v>
      </c>
      <c r="N144" s="35">
        <v>0.9</v>
      </c>
      <c r="O144" s="34">
        <f t="shared" si="6"/>
        <v>4990</v>
      </c>
      <c r="P144" s="6" t="s">
        <v>16</v>
      </c>
    </row>
    <row r="145" spans="1:16" x14ac:dyDescent="0.35">
      <c r="A145" s="32" t="s">
        <v>6511</v>
      </c>
      <c r="B145" s="7">
        <f t="shared" si="7"/>
        <v>46121</v>
      </c>
      <c r="C145" s="7">
        <f t="shared" si="8"/>
        <v>46127</v>
      </c>
      <c r="D145" s="6">
        <v>3284</v>
      </c>
      <c r="E145" s="6">
        <v>338</v>
      </c>
      <c r="F145" s="6">
        <v>4</v>
      </c>
      <c r="G145" s="6">
        <v>6</v>
      </c>
      <c r="H145" s="6">
        <v>2060</v>
      </c>
      <c r="I145" s="6" t="s">
        <v>17</v>
      </c>
      <c r="J145" s="6">
        <v>33375018</v>
      </c>
      <c r="K145" s="6" t="s">
        <v>1523</v>
      </c>
      <c r="L145" s="38" t="s">
        <v>1524</v>
      </c>
      <c r="M145" s="8">
        <v>39900</v>
      </c>
      <c r="N145" s="35">
        <v>0.9</v>
      </c>
      <c r="O145" s="34">
        <f t="shared" si="6"/>
        <v>3990</v>
      </c>
      <c r="P145" s="6" t="s">
        <v>16</v>
      </c>
    </row>
    <row r="146" spans="1:16" x14ac:dyDescent="0.35">
      <c r="A146" s="32" t="s">
        <v>6511</v>
      </c>
      <c r="B146" s="7">
        <f t="shared" si="7"/>
        <v>46121</v>
      </c>
      <c r="C146" s="7">
        <f t="shared" si="8"/>
        <v>46127</v>
      </c>
      <c r="D146" s="6">
        <v>3284</v>
      </c>
      <c r="E146" s="6">
        <v>338</v>
      </c>
      <c r="F146" s="6">
        <v>4</v>
      </c>
      <c r="G146" s="6">
        <v>6</v>
      </c>
      <c r="H146" s="6">
        <v>2060</v>
      </c>
      <c r="I146" s="6" t="s">
        <v>17</v>
      </c>
      <c r="J146" s="6">
        <v>33375027</v>
      </c>
      <c r="K146" s="6" t="s">
        <v>1523</v>
      </c>
      <c r="L146" s="38" t="s">
        <v>1525</v>
      </c>
      <c r="M146" s="8">
        <v>49900</v>
      </c>
      <c r="N146" s="35">
        <v>0.9</v>
      </c>
      <c r="O146" s="34">
        <f t="shared" si="6"/>
        <v>4990</v>
      </c>
      <c r="P146" s="6" t="s">
        <v>16</v>
      </c>
    </row>
    <row r="147" spans="1:16" x14ac:dyDescent="0.35">
      <c r="A147" s="32" t="s">
        <v>6511</v>
      </c>
      <c r="B147" s="7">
        <f t="shared" si="7"/>
        <v>46121</v>
      </c>
      <c r="C147" s="7">
        <f t="shared" si="8"/>
        <v>46127</v>
      </c>
      <c r="D147" s="6">
        <v>3284</v>
      </c>
      <c r="E147" s="6">
        <v>338</v>
      </c>
      <c r="F147" s="6">
        <v>4</v>
      </c>
      <c r="G147" s="6">
        <v>6</v>
      </c>
      <c r="H147" s="6">
        <v>2060</v>
      </c>
      <c r="I147" s="6" t="s">
        <v>17</v>
      </c>
      <c r="J147" s="6">
        <v>33375036</v>
      </c>
      <c r="K147" s="6" t="s">
        <v>1526</v>
      </c>
      <c r="L147" s="38" t="s">
        <v>1527</v>
      </c>
      <c r="M147" s="8">
        <v>39900</v>
      </c>
      <c r="N147" s="35">
        <v>0.9</v>
      </c>
      <c r="O147" s="34">
        <f t="shared" si="6"/>
        <v>3990</v>
      </c>
      <c r="P147" s="6" t="s">
        <v>16</v>
      </c>
    </row>
    <row r="148" spans="1:16" x14ac:dyDescent="0.35">
      <c r="A148" s="32" t="s">
        <v>6511</v>
      </c>
      <c r="B148" s="7">
        <f t="shared" si="7"/>
        <v>46121</v>
      </c>
      <c r="C148" s="7">
        <f t="shared" si="8"/>
        <v>46127</v>
      </c>
      <c r="D148" s="6">
        <v>3284</v>
      </c>
      <c r="E148" s="6">
        <v>338</v>
      </c>
      <c r="F148" s="6">
        <v>4</v>
      </c>
      <c r="G148" s="6">
        <v>6</v>
      </c>
      <c r="H148" s="6">
        <v>2060</v>
      </c>
      <c r="I148" s="6" t="s">
        <v>17</v>
      </c>
      <c r="J148" s="6">
        <v>33375045</v>
      </c>
      <c r="K148" s="6" t="s">
        <v>1526</v>
      </c>
      <c r="L148" s="38" t="s">
        <v>1528</v>
      </c>
      <c r="M148" s="8">
        <v>39900</v>
      </c>
      <c r="N148" s="35">
        <v>0.9</v>
      </c>
      <c r="O148" s="34">
        <f t="shared" si="6"/>
        <v>3990</v>
      </c>
      <c r="P148" s="6" t="s">
        <v>16</v>
      </c>
    </row>
    <row r="149" spans="1:16" x14ac:dyDescent="0.35">
      <c r="A149" s="32" t="s">
        <v>6511</v>
      </c>
      <c r="B149" s="7">
        <f t="shared" si="7"/>
        <v>46121</v>
      </c>
      <c r="C149" s="7">
        <f t="shared" si="8"/>
        <v>46127</v>
      </c>
      <c r="D149" s="6">
        <v>3284</v>
      </c>
      <c r="E149" s="6">
        <v>338</v>
      </c>
      <c r="F149" s="6">
        <v>4</v>
      </c>
      <c r="G149" s="6">
        <v>6</v>
      </c>
      <c r="H149" s="6">
        <v>2060</v>
      </c>
      <c r="I149" s="6" t="s">
        <v>17</v>
      </c>
      <c r="J149" s="6">
        <v>33375072</v>
      </c>
      <c r="K149" s="6" t="s">
        <v>1529</v>
      </c>
      <c r="L149" s="38" t="s">
        <v>1530</v>
      </c>
      <c r="M149" s="8">
        <v>45900</v>
      </c>
      <c r="N149" s="35">
        <v>0.9</v>
      </c>
      <c r="O149" s="34">
        <f t="shared" si="6"/>
        <v>4590</v>
      </c>
      <c r="P149" s="6" t="s">
        <v>16</v>
      </c>
    </row>
    <row r="150" spans="1:16" x14ac:dyDescent="0.35">
      <c r="A150" s="32" t="s">
        <v>6511</v>
      </c>
      <c r="B150" s="7">
        <f t="shared" si="7"/>
        <v>46121</v>
      </c>
      <c r="C150" s="7">
        <f t="shared" si="8"/>
        <v>46127</v>
      </c>
      <c r="D150" s="6">
        <v>3284</v>
      </c>
      <c r="E150" s="6">
        <v>338</v>
      </c>
      <c r="F150" s="6">
        <v>4</v>
      </c>
      <c r="G150" s="6">
        <v>6</v>
      </c>
      <c r="H150" s="6">
        <v>2060</v>
      </c>
      <c r="I150" s="6" t="s">
        <v>17</v>
      </c>
      <c r="J150" s="6">
        <v>33375081</v>
      </c>
      <c r="K150" s="6" t="s">
        <v>1529</v>
      </c>
      <c r="L150" s="38" t="s">
        <v>1531</v>
      </c>
      <c r="M150" s="8">
        <v>45900</v>
      </c>
      <c r="N150" s="35">
        <v>0.9</v>
      </c>
      <c r="O150" s="34">
        <f t="shared" si="6"/>
        <v>4590</v>
      </c>
      <c r="P150" s="6" t="s">
        <v>16</v>
      </c>
    </row>
    <row r="151" spans="1:16" x14ac:dyDescent="0.35">
      <c r="A151" s="32" t="s">
        <v>6511</v>
      </c>
      <c r="B151" s="7">
        <f t="shared" si="7"/>
        <v>46121</v>
      </c>
      <c r="C151" s="7">
        <f t="shared" si="8"/>
        <v>46127</v>
      </c>
      <c r="D151" s="6">
        <v>3284</v>
      </c>
      <c r="E151" s="6">
        <v>338</v>
      </c>
      <c r="F151" s="6">
        <v>4</v>
      </c>
      <c r="G151" s="6">
        <v>6</v>
      </c>
      <c r="H151" s="6">
        <v>2060</v>
      </c>
      <c r="I151" s="6" t="s">
        <v>17</v>
      </c>
      <c r="J151" s="6">
        <v>33375090</v>
      </c>
      <c r="K151" s="6" t="s">
        <v>1532</v>
      </c>
      <c r="L151" s="38" t="s">
        <v>1533</v>
      </c>
      <c r="M151" s="8">
        <v>39900</v>
      </c>
      <c r="N151" s="35">
        <v>0.9</v>
      </c>
      <c r="O151" s="34">
        <f t="shared" si="6"/>
        <v>3990</v>
      </c>
      <c r="P151" s="6" t="s">
        <v>16</v>
      </c>
    </row>
    <row r="152" spans="1:16" x14ac:dyDescent="0.35">
      <c r="A152" s="32" t="s">
        <v>6511</v>
      </c>
      <c r="B152" s="7">
        <f t="shared" si="7"/>
        <v>46121</v>
      </c>
      <c r="C152" s="7">
        <f t="shared" si="8"/>
        <v>46127</v>
      </c>
      <c r="D152" s="6">
        <v>3284</v>
      </c>
      <c r="E152" s="6">
        <v>338</v>
      </c>
      <c r="F152" s="6">
        <v>4</v>
      </c>
      <c r="G152" s="6">
        <v>6</v>
      </c>
      <c r="H152" s="6">
        <v>2060</v>
      </c>
      <c r="I152" s="6" t="s">
        <v>17</v>
      </c>
      <c r="J152" s="6">
        <v>33375107</v>
      </c>
      <c r="K152" s="6" t="s">
        <v>1532</v>
      </c>
      <c r="L152" s="38" t="s">
        <v>1534</v>
      </c>
      <c r="M152" s="8">
        <v>39900</v>
      </c>
      <c r="N152" s="35">
        <v>0.9</v>
      </c>
      <c r="O152" s="34">
        <f t="shared" si="6"/>
        <v>3990</v>
      </c>
      <c r="P152" s="6" t="s">
        <v>16</v>
      </c>
    </row>
    <row r="153" spans="1:16" x14ac:dyDescent="0.35">
      <c r="A153" s="32" t="s">
        <v>6511</v>
      </c>
      <c r="B153" s="7">
        <f t="shared" si="7"/>
        <v>46121</v>
      </c>
      <c r="C153" s="7">
        <f t="shared" si="8"/>
        <v>46127</v>
      </c>
      <c r="D153" s="6">
        <v>3284</v>
      </c>
      <c r="E153" s="6">
        <v>338</v>
      </c>
      <c r="F153" s="6">
        <v>4</v>
      </c>
      <c r="G153" s="6">
        <v>6</v>
      </c>
      <c r="H153" s="6">
        <v>2060</v>
      </c>
      <c r="I153" s="6" t="s">
        <v>17</v>
      </c>
      <c r="J153" s="6">
        <v>33375116</v>
      </c>
      <c r="K153" s="6" t="s">
        <v>1535</v>
      </c>
      <c r="L153" s="38" t="s">
        <v>1536</v>
      </c>
      <c r="M153" s="8">
        <v>29900</v>
      </c>
      <c r="N153" s="35">
        <v>0.9</v>
      </c>
      <c r="O153" s="34">
        <f t="shared" si="6"/>
        <v>2990</v>
      </c>
      <c r="P153" s="6" t="s">
        <v>16</v>
      </c>
    </row>
    <row r="154" spans="1:16" x14ac:dyDescent="0.35">
      <c r="A154" s="32" t="s">
        <v>6511</v>
      </c>
      <c r="B154" s="7">
        <f t="shared" si="7"/>
        <v>46121</v>
      </c>
      <c r="C154" s="7">
        <f t="shared" si="8"/>
        <v>46127</v>
      </c>
      <c r="D154" s="6">
        <v>3284</v>
      </c>
      <c r="E154" s="6">
        <v>338</v>
      </c>
      <c r="F154" s="6">
        <v>4</v>
      </c>
      <c r="G154" s="6">
        <v>6</v>
      </c>
      <c r="H154" s="6">
        <v>2060</v>
      </c>
      <c r="I154" s="6" t="s">
        <v>17</v>
      </c>
      <c r="J154" s="6">
        <v>33375125</v>
      </c>
      <c r="K154" s="6" t="s">
        <v>1535</v>
      </c>
      <c r="L154" s="38" t="s">
        <v>1537</v>
      </c>
      <c r="M154" s="8">
        <v>29900</v>
      </c>
      <c r="N154" s="35">
        <v>0.9</v>
      </c>
      <c r="O154" s="34">
        <f t="shared" si="6"/>
        <v>2990</v>
      </c>
      <c r="P154" s="6" t="s">
        <v>16</v>
      </c>
    </row>
    <row r="155" spans="1:16" x14ac:dyDescent="0.35">
      <c r="A155" s="32" t="s">
        <v>6511</v>
      </c>
      <c r="B155" s="7">
        <f t="shared" si="7"/>
        <v>46121</v>
      </c>
      <c r="C155" s="7">
        <f t="shared" si="8"/>
        <v>46127</v>
      </c>
      <c r="D155" s="6">
        <v>3284</v>
      </c>
      <c r="E155" s="6">
        <v>338</v>
      </c>
      <c r="F155" s="6">
        <v>4</v>
      </c>
      <c r="G155" s="6">
        <v>6</v>
      </c>
      <c r="H155" s="6">
        <v>2060</v>
      </c>
      <c r="I155" s="6" t="s">
        <v>17</v>
      </c>
      <c r="J155" s="6">
        <v>33383036</v>
      </c>
      <c r="K155" s="6" t="s">
        <v>1538</v>
      </c>
      <c r="L155" s="38" t="s">
        <v>1539</v>
      </c>
      <c r="M155" s="8">
        <v>59900</v>
      </c>
      <c r="N155" s="35">
        <v>0.9</v>
      </c>
      <c r="O155" s="34">
        <f t="shared" si="6"/>
        <v>5990</v>
      </c>
      <c r="P155" s="6" t="s">
        <v>16</v>
      </c>
    </row>
    <row r="156" spans="1:16" x14ac:dyDescent="0.35">
      <c r="A156" s="32" t="s">
        <v>6511</v>
      </c>
      <c r="B156" s="7">
        <f t="shared" si="7"/>
        <v>46121</v>
      </c>
      <c r="C156" s="7">
        <f t="shared" si="8"/>
        <v>46127</v>
      </c>
      <c r="D156" s="6">
        <v>3284</v>
      </c>
      <c r="E156" s="6">
        <v>338</v>
      </c>
      <c r="F156" s="6">
        <v>4</v>
      </c>
      <c r="G156" s="6">
        <v>6</v>
      </c>
      <c r="H156" s="6">
        <v>2060</v>
      </c>
      <c r="I156" s="6" t="s">
        <v>17</v>
      </c>
      <c r="J156" s="6">
        <v>33383045</v>
      </c>
      <c r="K156" s="6" t="s">
        <v>1538</v>
      </c>
      <c r="L156" s="38" t="s">
        <v>1540</v>
      </c>
      <c r="M156" s="8">
        <v>47900</v>
      </c>
      <c r="N156" s="35">
        <v>0.9</v>
      </c>
      <c r="O156" s="34">
        <f t="shared" si="6"/>
        <v>4790</v>
      </c>
      <c r="P156" s="6" t="s">
        <v>16</v>
      </c>
    </row>
    <row r="157" spans="1:16" x14ac:dyDescent="0.35">
      <c r="A157" s="32" t="s">
        <v>6511</v>
      </c>
      <c r="B157" s="7">
        <f t="shared" si="7"/>
        <v>46121</v>
      </c>
      <c r="C157" s="7">
        <f t="shared" si="8"/>
        <v>46127</v>
      </c>
      <c r="D157" s="6">
        <v>3284</v>
      </c>
      <c r="E157" s="6">
        <v>338</v>
      </c>
      <c r="F157" s="6">
        <v>4</v>
      </c>
      <c r="G157" s="6">
        <v>6</v>
      </c>
      <c r="H157" s="6">
        <v>2060</v>
      </c>
      <c r="I157" s="6" t="s">
        <v>17</v>
      </c>
      <c r="J157" s="6">
        <v>38270667</v>
      </c>
      <c r="K157" s="6" t="s">
        <v>1541</v>
      </c>
      <c r="L157" s="38" t="s">
        <v>1542</v>
      </c>
      <c r="M157" s="8">
        <v>59900</v>
      </c>
      <c r="N157" s="35">
        <v>0.9</v>
      </c>
      <c r="O157" s="34">
        <f t="shared" si="6"/>
        <v>5990</v>
      </c>
      <c r="P157" s="6" t="s">
        <v>16</v>
      </c>
    </row>
    <row r="158" spans="1:16" x14ac:dyDescent="0.35">
      <c r="A158" s="32" t="s">
        <v>6511</v>
      </c>
      <c r="B158" s="7">
        <f t="shared" si="7"/>
        <v>46121</v>
      </c>
      <c r="C158" s="7">
        <f t="shared" si="8"/>
        <v>46127</v>
      </c>
      <c r="D158" s="6">
        <v>3284</v>
      </c>
      <c r="E158" s="6">
        <v>338</v>
      </c>
      <c r="F158" s="6">
        <v>4</v>
      </c>
      <c r="G158" s="6">
        <v>6</v>
      </c>
      <c r="H158" s="6">
        <v>2060</v>
      </c>
      <c r="I158" s="6" t="s">
        <v>17</v>
      </c>
      <c r="J158" s="6">
        <v>38270676</v>
      </c>
      <c r="K158" s="6" t="s">
        <v>1541</v>
      </c>
      <c r="L158" s="38" t="s">
        <v>1543</v>
      </c>
      <c r="M158" s="8">
        <v>59900</v>
      </c>
      <c r="N158" s="35">
        <v>0.9</v>
      </c>
      <c r="O158" s="34">
        <f t="shared" si="6"/>
        <v>5990</v>
      </c>
      <c r="P158" s="6" t="s">
        <v>16</v>
      </c>
    </row>
    <row r="159" spans="1:16" x14ac:dyDescent="0.35">
      <c r="A159" s="32" t="s">
        <v>6511</v>
      </c>
      <c r="B159" s="7">
        <f t="shared" si="7"/>
        <v>46121</v>
      </c>
      <c r="C159" s="7">
        <f t="shared" si="8"/>
        <v>46127</v>
      </c>
      <c r="D159" s="6">
        <v>3284</v>
      </c>
      <c r="E159" s="6">
        <v>338</v>
      </c>
      <c r="F159" s="6">
        <v>4</v>
      </c>
      <c r="G159" s="6">
        <v>6</v>
      </c>
      <c r="H159" s="6">
        <v>2060</v>
      </c>
      <c r="I159" s="6" t="s">
        <v>17</v>
      </c>
      <c r="J159" s="6">
        <v>38270685</v>
      </c>
      <c r="K159" s="6" t="s">
        <v>1544</v>
      </c>
      <c r="L159" s="38" t="s">
        <v>1545</v>
      </c>
      <c r="M159" s="8">
        <v>49900</v>
      </c>
      <c r="N159" s="35">
        <v>0.9</v>
      </c>
      <c r="O159" s="34">
        <f t="shared" si="6"/>
        <v>4990</v>
      </c>
      <c r="P159" s="6" t="s">
        <v>16</v>
      </c>
    </row>
    <row r="160" spans="1:16" x14ac:dyDescent="0.35">
      <c r="A160" s="32" t="s">
        <v>6511</v>
      </c>
      <c r="B160" s="7">
        <f t="shared" si="7"/>
        <v>46121</v>
      </c>
      <c r="C160" s="7">
        <f t="shared" si="8"/>
        <v>46127</v>
      </c>
      <c r="D160" s="6">
        <v>3284</v>
      </c>
      <c r="E160" s="6">
        <v>338</v>
      </c>
      <c r="F160" s="6">
        <v>4</v>
      </c>
      <c r="G160" s="6">
        <v>6</v>
      </c>
      <c r="H160" s="6">
        <v>2060</v>
      </c>
      <c r="I160" s="6" t="s">
        <v>17</v>
      </c>
      <c r="J160" s="6">
        <v>38270694</v>
      </c>
      <c r="K160" s="6" t="s">
        <v>1544</v>
      </c>
      <c r="L160" s="38" t="s">
        <v>1546</v>
      </c>
      <c r="M160" s="8">
        <v>42900</v>
      </c>
      <c r="N160" s="35">
        <v>0.9</v>
      </c>
      <c r="O160" s="34">
        <f t="shared" si="6"/>
        <v>4290</v>
      </c>
      <c r="P160" s="6" t="s">
        <v>16</v>
      </c>
    </row>
    <row r="161" spans="1:16" x14ac:dyDescent="0.35">
      <c r="A161" s="32" t="s">
        <v>6511</v>
      </c>
      <c r="B161" s="7">
        <f t="shared" si="7"/>
        <v>46121</v>
      </c>
      <c r="C161" s="7">
        <f t="shared" si="8"/>
        <v>46127</v>
      </c>
      <c r="D161" s="6">
        <v>3284</v>
      </c>
      <c r="E161" s="6">
        <v>338</v>
      </c>
      <c r="F161" s="6">
        <v>4</v>
      </c>
      <c r="G161" s="6">
        <v>6</v>
      </c>
      <c r="H161" s="6">
        <v>2060</v>
      </c>
      <c r="I161" s="6" t="s">
        <v>17</v>
      </c>
      <c r="J161" s="6">
        <v>38270701</v>
      </c>
      <c r="K161" s="6" t="s">
        <v>1547</v>
      </c>
      <c r="L161" s="38" t="s">
        <v>1548</v>
      </c>
      <c r="M161" s="8">
        <v>219900</v>
      </c>
      <c r="N161" s="35">
        <v>0.9</v>
      </c>
      <c r="O161" s="34">
        <f t="shared" si="6"/>
        <v>21990</v>
      </c>
      <c r="P161" s="6" t="s">
        <v>16</v>
      </c>
    </row>
    <row r="162" spans="1:16" x14ac:dyDescent="0.35">
      <c r="A162" s="32" t="s">
        <v>6511</v>
      </c>
      <c r="B162" s="7">
        <f t="shared" si="7"/>
        <v>46121</v>
      </c>
      <c r="C162" s="7">
        <f t="shared" si="8"/>
        <v>46127</v>
      </c>
      <c r="D162" s="6">
        <v>3284</v>
      </c>
      <c r="E162" s="6">
        <v>338</v>
      </c>
      <c r="F162" s="6">
        <v>4</v>
      </c>
      <c r="G162" s="6">
        <v>6</v>
      </c>
      <c r="H162" s="6">
        <v>2060</v>
      </c>
      <c r="I162" s="6" t="s">
        <v>17</v>
      </c>
      <c r="J162" s="6">
        <v>76524124</v>
      </c>
      <c r="K162" s="6" t="s">
        <v>5449</v>
      </c>
      <c r="L162" s="38" t="s">
        <v>5450</v>
      </c>
      <c r="M162" s="8">
        <v>39900</v>
      </c>
      <c r="N162" s="35">
        <v>0.9</v>
      </c>
      <c r="O162" s="34">
        <f t="shared" si="6"/>
        <v>3990</v>
      </c>
      <c r="P162" s="6" t="s">
        <v>16</v>
      </c>
    </row>
    <row r="163" spans="1:16" x14ac:dyDescent="0.35">
      <c r="A163" s="32" t="s">
        <v>6511</v>
      </c>
      <c r="B163" s="7">
        <f t="shared" si="7"/>
        <v>46121</v>
      </c>
      <c r="C163" s="7">
        <f t="shared" si="8"/>
        <v>46127</v>
      </c>
      <c r="D163" s="6">
        <v>3284</v>
      </c>
      <c r="E163" s="6">
        <v>338</v>
      </c>
      <c r="F163" s="6">
        <v>4</v>
      </c>
      <c r="G163" s="6">
        <v>6</v>
      </c>
      <c r="H163" s="6">
        <v>2060</v>
      </c>
      <c r="I163" s="6" t="s">
        <v>17</v>
      </c>
      <c r="J163" s="6">
        <v>76524133</v>
      </c>
      <c r="K163" s="6" t="s">
        <v>5449</v>
      </c>
      <c r="L163" s="38" t="s">
        <v>5451</v>
      </c>
      <c r="M163" s="8">
        <v>39900</v>
      </c>
      <c r="N163" s="35">
        <v>0.9</v>
      </c>
      <c r="O163" s="34">
        <f t="shared" si="6"/>
        <v>3990</v>
      </c>
      <c r="P163" s="6" t="s">
        <v>16</v>
      </c>
    </row>
    <row r="164" spans="1:16" x14ac:dyDescent="0.35">
      <c r="A164" s="32" t="s">
        <v>6511</v>
      </c>
      <c r="B164" s="7">
        <f t="shared" si="7"/>
        <v>46121</v>
      </c>
      <c r="C164" s="7">
        <f t="shared" si="8"/>
        <v>46127</v>
      </c>
      <c r="D164" s="6">
        <v>3284</v>
      </c>
      <c r="E164" s="6">
        <v>338</v>
      </c>
      <c r="F164" s="6">
        <v>4</v>
      </c>
      <c r="G164" s="6">
        <v>6</v>
      </c>
      <c r="H164" s="6">
        <v>2060</v>
      </c>
      <c r="I164" s="6" t="s">
        <v>17</v>
      </c>
      <c r="J164" s="6">
        <v>76524151</v>
      </c>
      <c r="K164" s="6" t="s">
        <v>5452</v>
      </c>
      <c r="L164" s="38" t="s">
        <v>5453</v>
      </c>
      <c r="M164" s="8">
        <v>49900</v>
      </c>
      <c r="N164" s="35">
        <v>0.9</v>
      </c>
      <c r="O164" s="34">
        <f t="shared" si="6"/>
        <v>4990</v>
      </c>
      <c r="P164" s="6" t="s">
        <v>16</v>
      </c>
    </row>
    <row r="165" spans="1:16" x14ac:dyDescent="0.35">
      <c r="A165" s="32" t="s">
        <v>6511</v>
      </c>
      <c r="B165" s="7">
        <f t="shared" si="7"/>
        <v>46121</v>
      </c>
      <c r="C165" s="7">
        <f t="shared" si="8"/>
        <v>46127</v>
      </c>
      <c r="D165" s="6">
        <v>3284</v>
      </c>
      <c r="E165" s="6">
        <v>338</v>
      </c>
      <c r="F165" s="6">
        <v>4</v>
      </c>
      <c r="G165" s="6">
        <v>6</v>
      </c>
      <c r="H165" s="6">
        <v>2060</v>
      </c>
      <c r="I165" s="6" t="s">
        <v>17</v>
      </c>
      <c r="J165" s="6">
        <v>76524188</v>
      </c>
      <c r="K165" s="6" t="s">
        <v>5454</v>
      </c>
      <c r="L165" s="38" t="s">
        <v>5455</v>
      </c>
      <c r="M165" s="8">
        <v>49900</v>
      </c>
      <c r="N165" s="35">
        <v>0.9</v>
      </c>
      <c r="O165" s="34">
        <f t="shared" si="6"/>
        <v>4990</v>
      </c>
      <c r="P165" s="6" t="s">
        <v>16</v>
      </c>
    </row>
    <row r="166" spans="1:16" x14ac:dyDescent="0.35">
      <c r="A166" s="32" t="s">
        <v>6511</v>
      </c>
      <c r="B166" s="7">
        <f t="shared" si="7"/>
        <v>46121</v>
      </c>
      <c r="C166" s="7">
        <f t="shared" si="8"/>
        <v>46127</v>
      </c>
      <c r="D166" s="6">
        <v>3284</v>
      </c>
      <c r="E166" s="6">
        <v>338</v>
      </c>
      <c r="F166" s="6">
        <v>4</v>
      </c>
      <c r="G166" s="6">
        <v>6</v>
      </c>
      <c r="H166" s="6">
        <v>2060</v>
      </c>
      <c r="I166" s="6" t="s">
        <v>17</v>
      </c>
      <c r="J166" s="6">
        <v>76524197</v>
      </c>
      <c r="K166" s="6" t="s">
        <v>5454</v>
      </c>
      <c r="L166" s="38" t="s">
        <v>5456</v>
      </c>
      <c r="M166" s="8">
        <v>49900</v>
      </c>
      <c r="N166" s="35">
        <v>0.9</v>
      </c>
      <c r="O166" s="34">
        <f t="shared" si="6"/>
        <v>4990</v>
      </c>
      <c r="P166" s="6" t="s">
        <v>16</v>
      </c>
    </row>
    <row r="167" spans="1:16" x14ac:dyDescent="0.35">
      <c r="A167" s="32" t="s">
        <v>6511</v>
      </c>
      <c r="B167" s="7">
        <f t="shared" si="7"/>
        <v>46121</v>
      </c>
      <c r="C167" s="7">
        <f t="shared" si="8"/>
        <v>46127</v>
      </c>
      <c r="D167" s="6">
        <v>3284</v>
      </c>
      <c r="E167" s="6">
        <v>338</v>
      </c>
      <c r="F167" s="6">
        <v>4</v>
      </c>
      <c r="G167" s="6">
        <v>6</v>
      </c>
      <c r="H167" s="6">
        <v>2060</v>
      </c>
      <c r="I167" s="6" t="s">
        <v>17</v>
      </c>
      <c r="J167" s="6">
        <v>76524213</v>
      </c>
      <c r="K167" s="6" t="s">
        <v>5457</v>
      </c>
      <c r="L167" s="38" t="s">
        <v>5458</v>
      </c>
      <c r="M167" s="8">
        <v>59900</v>
      </c>
      <c r="N167" s="35">
        <v>0.9</v>
      </c>
      <c r="O167" s="34">
        <f t="shared" si="6"/>
        <v>5990</v>
      </c>
      <c r="P167" s="6" t="s">
        <v>16</v>
      </c>
    </row>
    <row r="168" spans="1:16" x14ac:dyDescent="0.35">
      <c r="A168" s="32" t="s">
        <v>6511</v>
      </c>
      <c r="B168" s="7">
        <f t="shared" si="7"/>
        <v>46121</v>
      </c>
      <c r="C168" s="7">
        <f t="shared" si="8"/>
        <v>46127</v>
      </c>
      <c r="D168" s="6">
        <v>3284</v>
      </c>
      <c r="E168" s="6">
        <v>338</v>
      </c>
      <c r="F168" s="6">
        <v>4</v>
      </c>
      <c r="G168" s="6">
        <v>6</v>
      </c>
      <c r="H168" s="6">
        <v>2060</v>
      </c>
      <c r="I168" s="6" t="s">
        <v>17</v>
      </c>
      <c r="J168" s="6">
        <v>76524222</v>
      </c>
      <c r="K168" s="6" t="s">
        <v>5459</v>
      </c>
      <c r="L168" s="38" t="s">
        <v>5460</v>
      </c>
      <c r="M168" s="8">
        <v>59900</v>
      </c>
      <c r="N168" s="35">
        <v>0.9</v>
      </c>
      <c r="O168" s="34">
        <f t="shared" si="6"/>
        <v>5990</v>
      </c>
      <c r="P168" s="6" t="s">
        <v>16</v>
      </c>
    </row>
    <row r="169" spans="1:16" x14ac:dyDescent="0.35">
      <c r="A169" s="32" t="s">
        <v>6511</v>
      </c>
      <c r="B169" s="7">
        <f t="shared" si="7"/>
        <v>46121</v>
      </c>
      <c r="C169" s="7">
        <f t="shared" si="8"/>
        <v>46127</v>
      </c>
      <c r="D169" s="6">
        <v>3284</v>
      </c>
      <c r="E169" s="6">
        <v>338</v>
      </c>
      <c r="F169" s="6">
        <v>4</v>
      </c>
      <c r="G169" s="6">
        <v>6</v>
      </c>
      <c r="H169" s="6">
        <v>2060</v>
      </c>
      <c r="I169" s="6" t="s">
        <v>17</v>
      </c>
      <c r="J169" s="6">
        <v>76524268</v>
      </c>
      <c r="K169" s="6" t="s">
        <v>5461</v>
      </c>
      <c r="L169" s="38" t="s">
        <v>5462</v>
      </c>
      <c r="M169" s="8">
        <v>39900</v>
      </c>
      <c r="N169" s="35">
        <v>0.9</v>
      </c>
      <c r="O169" s="34">
        <f t="shared" si="6"/>
        <v>3990</v>
      </c>
      <c r="P169" s="6" t="s">
        <v>16</v>
      </c>
    </row>
    <row r="170" spans="1:16" x14ac:dyDescent="0.35">
      <c r="A170" s="32" t="s">
        <v>6511</v>
      </c>
      <c r="B170" s="7">
        <f t="shared" si="7"/>
        <v>46121</v>
      </c>
      <c r="C170" s="7">
        <f t="shared" si="8"/>
        <v>46127</v>
      </c>
      <c r="D170" s="6">
        <v>3284</v>
      </c>
      <c r="E170" s="6">
        <v>338</v>
      </c>
      <c r="F170" s="6">
        <v>4</v>
      </c>
      <c r="G170" s="6">
        <v>6</v>
      </c>
      <c r="H170" s="6">
        <v>2060</v>
      </c>
      <c r="I170" s="6" t="s">
        <v>17</v>
      </c>
      <c r="J170" s="6">
        <v>76524277</v>
      </c>
      <c r="K170" s="6" t="s">
        <v>5463</v>
      </c>
      <c r="L170" s="38" t="s">
        <v>5464</v>
      </c>
      <c r="M170" s="8">
        <v>39900</v>
      </c>
      <c r="N170" s="35">
        <v>0.9</v>
      </c>
      <c r="O170" s="34">
        <f t="shared" si="6"/>
        <v>3990</v>
      </c>
      <c r="P170" s="6" t="s">
        <v>16</v>
      </c>
    </row>
    <row r="171" spans="1:16" x14ac:dyDescent="0.35">
      <c r="A171" s="32" t="s">
        <v>6511</v>
      </c>
      <c r="B171" s="7">
        <f t="shared" si="7"/>
        <v>46121</v>
      </c>
      <c r="C171" s="7">
        <f t="shared" si="8"/>
        <v>46127</v>
      </c>
      <c r="D171" s="6">
        <v>3284</v>
      </c>
      <c r="E171" s="6">
        <v>338</v>
      </c>
      <c r="F171" s="6">
        <v>4</v>
      </c>
      <c r="G171" s="6">
        <v>6</v>
      </c>
      <c r="H171" s="6">
        <v>2060</v>
      </c>
      <c r="I171" s="6" t="s">
        <v>17</v>
      </c>
      <c r="J171" s="6">
        <v>76524286</v>
      </c>
      <c r="K171" s="6" t="s">
        <v>5465</v>
      </c>
      <c r="L171" s="38" t="s">
        <v>5466</v>
      </c>
      <c r="M171" s="8">
        <v>39900</v>
      </c>
      <c r="N171" s="35">
        <v>0.9</v>
      </c>
      <c r="O171" s="34">
        <f t="shared" si="6"/>
        <v>3990</v>
      </c>
      <c r="P171" s="6" t="s">
        <v>16</v>
      </c>
    </row>
    <row r="172" spans="1:16" x14ac:dyDescent="0.35">
      <c r="A172" s="32" t="s">
        <v>6511</v>
      </c>
      <c r="B172" s="7">
        <f t="shared" si="7"/>
        <v>46121</v>
      </c>
      <c r="C172" s="7">
        <f t="shared" si="8"/>
        <v>46127</v>
      </c>
      <c r="D172" s="6">
        <v>3284</v>
      </c>
      <c r="E172" s="6">
        <v>338</v>
      </c>
      <c r="F172" s="6">
        <v>4</v>
      </c>
      <c r="G172" s="6">
        <v>6</v>
      </c>
      <c r="H172" s="6">
        <v>2060</v>
      </c>
      <c r="I172" s="6" t="s">
        <v>17</v>
      </c>
      <c r="J172" s="6">
        <v>76524311</v>
      </c>
      <c r="K172" s="6" t="s">
        <v>5467</v>
      </c>
      <c r="L172" s="38" t="s">
        <v>5468</v>
      </c>
      <c r="M172" s="8">
        <v>89900</v>
      </c>
      <c r="N172" s="35">
        <v>0.9</v>
      </c>
      <c r="O172" s="34">
        <f t="shared" si="6"/>
        <v>8990</v>
      </c>
      <c r="P172" s="6" t="s">
        <v>16</v>
      </c>
    </row>
    <row r="173" spans="1:16" x14ac:dyDescent="0.35">
      <c r="A173" s="32" t="s">
        <v>6511</v>
      </c>
      <c r="B173" s="7">
        <f t="shared" si="7"/>
        <v>46121</v>
      </c>
      <c r="C173" s="7">
        <f t="shared" si="8"/>
        <v>46127</v>
      </c>
      <c r="D173" s="6">
        <v>3284</v>
      </c>
      <c r="E173" s="6">
        <v>338</v>
      </c>
      <c r="F173" s="6">
        <v>4</v>
      </c>
      <c r="G173" s="6">
        <v>6</v>
      </c>
      <c r="H173" s="6">
        <v>2060</v>
      </c>
      <c r="I173" s="6" t="s">
        <v>17</v>
      </c>
      <c r="J173" s="6">
        <v>76524320</v>
      </c>
      <c r="K173" s="6" t="s">
        <v>5467</v>
      </c>
      <c r="L173" s="38" t="s">
        <v>5469</v>
      </c>
      <c r="M173" s="8">
        <v>89900</v>
      </c>
      <c r="N173" s="35">
        <v>0.9</v>
      </c>
      <c r="O173" s="34">
        <f t="shared" si="6"/>
        <v>8990</v>
      </c>
      <c r="P173" s="6" t="s">
        <v>16</v>
      </c>
    </row>
    <row r="174" spans="1:16" x14ac:dyDescent="0.35">
      <c r="A174" s="32" t="s">
        <v>6511</v>
      </c>
      <c r="B174" s="7">
        <f t="shared" si="7"/>
        <v>46121</v>
      </c>
      <c r="C174" s="7">
        <f t="shared" si="8"/>
        <v>46127</v>
      </c>
      <c r="D174" s="6">
        <v>3284</v>
      </c>
      <c r="E174" s="6">
        <v>338</v>
      </c>
      <c r="F174" s="6">
        <v>4</v>
      </c>
      <c r="G174" s="6">
        <v>6</v>
      </c>
      <c r="H174" s="6">
        <v>2060</v>
      </c>
      <c r="I174" s="6" t="s">
        <v>17</v>
      </c>
      <c r="J174" s="6">
        <v>76524339</v>
      </c>
      <c r="K174" s="6" t="s">
        <v>5467</v>
      </c>
      <c r="L174" s="38" t="s">
        <v>5470</v>
      </c>
      <c r="M174" s="8">
        <v>89900</v>
      </c>
      <c r="N174" s="35">
        <v>0.9</v>
      </c>
      <c r="O174" s="34">
        <f t="shared" si="6"/>
        <v>8990</v>
      </c>
      <c r="P174" s="6" t="s">
        <v>16</v>
      </c>
    </row>
    <row r="175" spans="1:16" x14ac:dyDescent="0.35">
      <c r="A175" s="32" t="s">
        <v>6511</v>
      </c>
      <c r="B175" s="7">
        <f t="shared" si="7"/>
        <v>46121</v>
      </c>
      <c r="C175" s="7">
        <f t="shared" si="8"/>
        <v>46127</v>
      </c>
      <c r="D175" s="6">
        <v>3284</v>
      </c>
      <c r="E175" s="6">
        <v>338</v>
      </c>
      <c r="F175" s="6">
        <v>4</v>
      </c>
      <c r="G175" s="6">
        <v>6</v>
      </c>
      <c r="H175" s="6">
        <v>2060</v>
      </c>
      <c r="I175" s="6" t="s">
        <v>17</v>
      </c>
      <c r="J175" s="6">
        <v>76524348</v>
      </c>
      <c r="K175" s="6" t="s">
        <v>5471</v>
      </c>
      <c r="L175" s="38" t="s">
        <v>5472</v>
      </c>
      <c r="M175" s="8">
        <v>89900</v>
      </c>
      <c r="N175" s="35">
        <v>0.9</v>
      </c>
      <c r="O175" s="34">
        <f t="shared" si="6"/>
        <v>8990</v>
      </c>
      <c r="P175" s="6" t="s">
        <v>16</v>
      </c>
    </row>
    <row r="176" spans="1:16" x14ac:dyDescent="0.35">
      <c r="A176" s="32" t="s">
        <v>6511</v>
      </c>
      <c r="B176" s="7">
        <f t="shared" si="7"/>
        <v>46121</v>
      </c>
      <c r="C176" s="7">
        <f t="shared" si="8"/>
        <v>46127</v>
      </c>
      <c r="D176" s="6">
        <v>3284</v>
      </c>
      <c r="E176" s="6">
        <v>338</v>
      </c>
      <c r="F176" s="6">
        <v>4</v>
      </c>
      <c r="G176" s="6">
        <v>6</v>
      </c>
      <c r="H176" s="6">
        <v>2060</v>
      </c>
      <c r="I176" s="6" t="s">
        <v>17</v>
      </c>
      <c r="J176" s="6">
        <v>76524357</v>
      </c>
      <c r="K176" s="6" t="s">
        <v>5471</v>
      </c>
      <c r="L176" s="38" t="s">
        <v>5473</v>
      </c>
      <c r="M176" s="8">
        <v>89900</v>
      </c>
      <c r="N176" s="35">
        <v>0.9</v>
      </c>
      <c r="O176" s="34">
        <f t="shared" si="6"/>
        <v>8990</v>
      </c>
      <c r="P176" s="6" t="s">
        <v>16</v>
      </c>
    </row>
    <row r="177" spans="1:16" x14ac:dyDescent="0.35">
      <c r="A177" s="32" t="s">
        <v>6511</v>
      </c>
      <c r="B177" s="7">
        <f t="shared" si="7"/>
        <v>46121</v>
      </c>
      <c r="C177" s="7">
        <f t="shared" si="8"/>
        <v>46127</v>
      </c>
      <c r="D177" s="6">
        <v>3284</v>
      </c>
      <c r="E177" s="6">
        <v>338</v>
      </c>
      <c r="F177" s="6">
        <v>4</v>
      </c>
      <c r="G177" s="6">
        <v>7</v>
      </c>
      <c r="H177" s="6">
        <v>81421</v>
      </c>
      <c r="I177" s="6" t="s">
        <v>17</v>
      </c>
      <c r="J177" s="6">
        <v>73366640</v>
      </c>
      <c r="K177" s="6" t="s">
        <v>1477</v>
      </c>
      <c r="L177" s="38" t="s">
        <v>1479</v>
      </c>
      <c r="M177" s="8">
        <v>69900</v>
      </c>
      <c r="N177" s="35">
        <v>0.9</v>
      </c>
      <c r="O177" s="34">
        <f t="shared" si="6"/>
        <v>6990</v>
      </c>
      <c r="P177" s="6" t="s">
        <v>16</v>
      </c>
    </row>
    <row r="178" spans="1:16" x14ac:dyDescent="0.35">
      <c r="A178" s="32" t="s">
        <v>6511</v>
      </c>
      <c r="B178" s="7">
        <f t="shared" si="7"/>
        <v>46121</v>
      </c>
      <c r="C178" s="7">
        <f t="shared" si="8"/>
        <v>46127</v>
      </c>
      <c r="D178" s="6">
        <v>3284</v>
      </c>
      <c r="E178" s="6">
        <v>338</v>
      </c>
      <c r="F178" s="6">
        <v>4</v>
      </c>
      <c r="G178" s="6">
        <v>7</v>
      </c>
      <c r="H178" s="6">
        <v>81421</v>
      </c>
      <c r="I178" s="6" t="s">
        <v>17</v>
      </c>
      <c r="J178" s="6">
        <v>73366659</v>
      </c>
      <c r="K178" s="6" t="s">
        <v>1477</v>
      </c>
      <c r="L178" s="38" t="s">
        <v>1478</v>
      </c>
      <c r="M178" s="8">
        <v>69900</v>
      </c>
      <c r="N178" s="35">
        <v>0.9</v>
      </c>
      <c r="O178" s="34">
        <f t="shared" si="6"/>
        <v>6990</v>
      </c>
      <c r="P178" s="6" t="s">
        <v>16</v>
      </c>
    </row>
    <row r="179" spans="1:16" x14ac:dyDescent="0.35">
      <c r="A179" s="32" t="s">
        <v>6511</v>
      </c>
      <c r="B179" s="7">
        <f t="shared" si="7"/>
        <v>46121</v>
      </c>
      <c r="C179" s="7">
        <f t="shared" si="8"/>
        <v>46127</v>
      </c>
      <c r="D179" s="6">
        <v>3284</v>
      </c>
      <c r="E179" s="6">
        <v>338</v>
      </c>
      <c r="F179" s="6">
        <v>4</v>
      </c>
      <c r="G179" s="6">
        <v>7</v>
      </c>
      <c r="H179" s="6">
        <v>81421</v>
      </c>
      <c r="I179" s="6" t="s">
        <v>17</v>
      </c>
      <c r="J179" s="6">
        <v>73366668</v>
      </c>
      <c r="K179" s="6" t="s">
        <v>1477</v>
      </c>
      <c r="L179" s="38" t="s">
        <v>1480</v>
      </c>
      <c r="M179" s="8">
        <v>69900</v>
      </c>
      <c r="N179" s="35">
        <v>0.9</v>
      </c>
      <c r="O179" s="34">
        <f t="shared" si="6"/>
        <v>6990</v>
      </c>
      <c r="P179" s="6" t="s">
        <v>16</v>
      </c>
    </row>
    <row r="180" spans="1:16" x14ac:dyDescent="0.35">
      <c r="A180" s="32" t="s">
        <v>6511</v>
      </c>
      <c r="B180" s="7">
        <f t="shared" si="7"/>
        <v>46121</v>
      </c>
      <c r="C180" s="7">
        <f t="shared" si="8"/>
        <v>46127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65072893</v>
      </c>
      <c r="K180" s="6" t="s">
        <v>1358</v>
      </c>
      <c r="L180" s="38" t="s">
        <v>1359</v>
      </c>
      <c r="M180" s="8">
        <v>79900</v>
      </c>
      <c r="N180" s="35">
        <v>0.9</v>
      </c>
      <c r="O180" s="34">
        <f t="shared" si="6"/>
        <v>7990</v>
      </c>
      <c r="P180" s="6" t="s">
        <v>16</v>
      </c>
    </row>
    <row r="181" spans="1:16" x14ac:dyDescent="0.35">
      <c r="A181" s="32" t="s">
        <v>6511</v>
      </c>
      <c r="B181" s="7">
        <f t="shared" si="7"/>
        <v>46121</v>
      </c>
      <c r="C181" s="7">
        <f t="shared" si="8"/>
        <v>46127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65072900</v>
      </c>
      <c r="K181" s="6" t="s">
        <v>1358</v>
      </c>
      <c r="L181" s="38" t="s">
        <v>1387</v>
      </c>
      <c r="M181" s="8">
        <v>79900</v>
      </c>
      <c r="N181" s="35">
        <v>0.9</v>
      </c>
      <c r="O181" s="34">
        <f t="shared" si="6"/>
        <v>7990</v>
      </c>
      <c r="P181" s="6" t="s">
        <v>16</v>
      </c>
    </row>
    <row r="182" spans="1:16" x14ac:dyDescent="0.35">
      <c r="A182" s="32" t="s">
        <v>6511</v>
      </c>
      <c r="B182" s="7">
        <f t="shared" si="7"/>
        <v>46121</v>
      </c>
      <c r="C182" s="7">
        <f t="shared" si="8"/>
        <v>46127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65072919</v>
      </c>
      <c r="K182" s="6" t="s">
        <v>1358</v>
      </c>
      <c r="L182" s="38" t="s">
        <v>1360</v>
      </c>
      <c r="M182" s="8">
        <v>79900</v>
      </c>
      <c r="N182" s="35">
        <v>0.9</v>
      </c>
      <c r="O182" s="34">
        <f t="shared" si="6"/>
        <v>7990</v>
      </c>
      <c r="P182" s="6" t="s">
        <v>16</v>
      </c>
    </row>
    <row r="183" spans="1:16" x14ac:dyDescent="0.35">
      <c r="A183" s="32" t="s">
        <v>6511</v>
      </c>
      <c r="B183" s="7">
        <f t="shared" si="7"/>
        <v>46121</v>
      </c>
      <c r="C183" s="7">
        <f t="shared" si="8"/>
        <v>46127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65072928</v>
      </c>
      <c r="K183" s="6" t="s">
        <v>1358</v>
      </c>
      <c r="L183" s="38" t="s">
        <v>1361</v>
      </c>
      <c r="M183" s="8">
        <v>79900</v>
      </c>
      <c r="N183" s="35">
        <v>0.9</v>
      </c>
      <c r="O183" s="34">
        <f t="shared" si="6"/>
        <v>7990</v>
      </c>
      <c r="P183" s="6" t="s">
        <v>16</v>
      </c>
    </row>
    <row r="184" spans="1:16" x14ac:dyDescent="0.35">
      <c r="A184" s="32" t="s">
        <v>6511</v>
      </c>
      <c r="B184" s="7">
        <f t="shared" si="7"/>
        <v>46121</v>
      </c>
      <c r="C184" s="7">
        <f t="shared" si="8"/>
        <v>46127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65072937</v>
      </c>
      <c r="K184" s="6" t="s">
        <v>1362</v>
      </c>
      <c r="L184" s="38" t="s">
        <v>1363</v>
      </c>
      <c r="M184" s="8">
        <v>119900</v>
      </c>
      <c r="N184" s="35">
        <v>0.9</v>
      </c>
      <c r="O184" s="34">
        <f t="shared" si="6"/>
        <v>11990</v>
      </c>
      <c r="P184" s="6" t="s">
        <v>16</v>
      </c>
    </row>
    <row r="185" spans="1:16" x14ac:dyDescent="0.35">
      <c r="A185" s="32" t="s">
        <v>6511</v>
      </c>
      <c r="B185" s="7">
        <f t="shared" si="7"/>
        <v>46121</v>
      </c>
      <c r="C185" s="7">
        <f t="shared" si="8"/>
        <v>46127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65072946</v>
      </c>
      <c r="K185" s="6" t="s">
        <v>1362</v>
      </c>
      <c r="L185" s="38" t="s">
        <v>1388</v>
      </c>
      <c r="M185" s="8">
        <v>119900</v>
      </c>
      <c r="N185" s="35">
        <v>0.9</v>
      </c>
      <c r="O185" s="34">
        <f t="shared" si="6"/>
        <v>11990</v>
      </c>
      <c r="P185" s="6" t="s">
        <v>16</v>
      </c>
    </row>
    <row r="186" spans="1:16" x14ac:dyDescent="0.35">
      <c r="A186" s="32" t="s">
        <v>6511</v>
      </c>
      <c r="B186" s="7">
        <f t="shared" si="7"/>
        <v>46121</v>
      </c>
      <c r="C186" s="7">
        <f t="shared" si="8"/>
        <v>46127</v>
      </c>
      <c r="D186" s="6">
        <v>3284</v>
      </c>
      <c r="E186" s="6">
        <v>338</v>
      </c>
      <c r="F186" s="6">
        <v>4</v>
      </c>
      <c r="G186" s="6">
        <v>7</v>
      </c>
      <c r="H186" s="6">
        <v>81676</v>
      </c>
      <c r="I186" s="6" t="s">
        <v>17</v>
      </c>
      <c r="J186" s="6">
        <v>65072955</v>
      </c>
      <c r="K186" s="6" t="s">
        <v>1362</v>
      </c>
      <c r="L186" s="38" t="s">
        <v>1364</v>
      </c>
      <c r="M186" s="8">
        <v>119900</v>
      </c>
      <c r="N186" s="35">
        <v>0.9</v>
      </c>
      <c r="O186" s="34">
        <f t="shared" si="6"/>
        <v>11990</v>
      </c>
      <c r="P186" s="6" t="s">
        <v>16</v>
      </c>
    </row>
    <row r="187" spans="1:16" x14ac:dyDescent="0.35">
      <c r="A187" s="32" t="s">
        <v>6511</v>
      </c>
      <c r="B187" s="7">
        <f t="shared" si="7"/>
        <v>46121</v>
      </c>
      <c r="C187" s="7">
        <f t="shared" si="8"/>
        <v>46127</v>
      </c>
      <c r="D187" s="6">
        <v>3284</v>
      </c>
      <c r="E187" s="6">
        <v>338</v>
      </c>
      <c r="F187" s="6">
        <v>4</v>
      </c>
      <c r="G187" s="6">
        <v>7</v>
      </c>
      <c r="H187" s="6">
        <v>81676</v>
      </c>
      <c r="I187" s="6" t="s">
        <v>17</v>
      </c>
      <c r="J187" s="6">
        <v>65072964</v>
      </c>
      <c r="K187" s="6" t="s">
        <v>1362</v>
      </c>
      <c r="L187" s="38" t="s">
        <v>1365</v>
      </c>
      <c r="M187" s="8">
        <v>119900</v>
      </c>
      <c r="N187" s="35">
        <v>0.9</v>
      </c>
      <c r="O187" s="34">
        <f t="shared" si="6"/>
        <v>11990</v>
      </c>
      <c r="P187" s="6" t="s">
        <v>16</v>
      </c>
    </row>
    <row r="188" spans="1:16" x14ac:dyDescent="0.35">
      <c r="A188" s="32" t="s">
        <v>6511</v>
      </c>
      <c r="B188" s="7">
        <f t="shared" si="7"/>
        <v>46121</v>
      </c>
      <c r="C188" s="7">
        <f t="shared" si="8"/>
        <v>46127</v>
      </c>
      <c r="D188" s="6">
        <v>3284</v>
      </c>
      <c r="E188" s="6">
        <v>338</v>
      </c>
      <c r="F188" s="6">
        <v>4</v>
      </c>
      <c r="G188" s="6">
        <v>7</v>
      </c>
      <c r="H188" s="6">
        <v>81676</v>
      </c>
      <c r="I188" s="6" t="s">
        <v>17</v>
      </c>
      <c r="J188" s="6">
        <v>65073767</v>
      </c>
      <c r="K188" s="6" t="s">
        <v>1389</v>
      </c>
      <c r="L188" s="38" t="s">
        <v>1390</v>
      </c>
      <c r="M188" s="8">
        <v>189900</v>
      </c>
      <c r="N188" s="35">
        <v>0.9</v>
      </c>
      <c r="O188" s="34">
        <f t="shared" si="6"/>
        <v>18990</v>
      </c>
      <c r="P188" s="6" t="s">
        <v>16</v>
      </c>
    </row>
    <row r="189" spans="1:16" x14ac:dyDescent="0.35">
      <c r="A189" s="32" t="s">
        <v>6511</v>
      </c>
      <c r="B189" s="7">
        <f t="shared" si="7"/>
        <v>46121</v>
      </c>
      <c r="C189" s="7">
        <f t="shared" si="8"/>
        <v>46127</v>
      </c>
      <c r="D189" s="6">
        <v>3284</v>
      </c>
      <c r="E189" s="6">
        <v>338</v>
      </c>
      <c r="F189" s="6">
        <v>4</v>
      </c>
      <c r="G189" s="6">
        <v>7</v>
      </c>
      <c r="H189" s="6">
        <v>81676</v>
      </c>
      <c r="I189" s="6" t="s">
        <v>17</v>
      </c>
      <c r="J189" s="6">
        <v>65073776</v>
      </c>
      <c r="K189" s="6" t="s">
        <v>1389</v>
      </c>
      <c r="L189" s="38" t="s">
        <v>1432</v>
      </c>
      <c r="M189" s="8">
        <v>189900</v>
      </c>
      <c r="N189" s="35">
        <v>0.9</v>
      </c>
      <c r="O189" s="34">
        <f t="shared" si="6"/>
        <v>18990</v>
      </c>
      <c r="P189" s="6" t="s">
        <v>16</v>
      </c>
    </row>
    <row r="190" spans="1:16" x14ac:dyDescent="0.35">
      <c r="A190" s="32" t="s">
        <v>6511</v>
      </c>
      <c r="B190" s="7">
        <f t="shared" si="7"/>
        <v>46121</v>
      </c>
      <c r="C190" s="7">
        <f t="shared" si="8"/>
        <v>46127</v>
      </c>
      <c r="D190" s="6">
        <v>3284</v>
      </c>
      <c r="E190" s="6">
        <v>338</v>
      </c>
      <c r="F190" s="6">
        <v>4</v>
      </c>
      <c r="G190" s="6">
        <v>7</v>
      </c>
      <c r="H190" s="6">
        <v>81676</v>
      </c>
      <c r="I190" s="6" t="s">
        <v>17</v>
      </c>
      <c r="J190" s="6">
        <v>65073785</v>
      </c>
      <c r="K190" s="6" t="s">
        <v>1389</v>
      </c>
      <c r="L190" s="38" t="s">
        <v>1391</v>
      </c>
      <c r="M190" s="8">
        <v>189900</v>
      </c>
      <c r="N190" s="35">
        <v>0.9</v>
      </c>
      <c r="O190" s="34">
        <f t="shared" si="6"/>
        <v>18990</v>
      </c>
      <c r="P190" s="6" t="s">
        <v>16</v>
      </c>
    </row>
    <row r="191" spans="1:16" x14ac:dyDescent="0.35">
      <c r="A191" s="32" t="s">
        <v>6511</v>
      </c>
      <c r="B191" s="7">
        <f t="shared" si="7"/>
        <v>46121</v>
      </c>
      <c r="C191" s="7">
        <f t="shared" si="8"/>
        <v>46127</v>
      </c>
      <c r="D191" s="6">
        <v>3284</v>
      </c>
      <c r="E191" s="6">
        <v>338</v>
      </c>
      <c r="F191" s="6">
        <v>4</v>
      </c>
      <c r="G191" s="6">
        <v>7</v>
      </c>
      <c r="H191" s="6">
        <v>81676</v>
      </c>
      <c r="I191" s="6" t="s">
        <v>17</v>
      </c>
      <c r="J191" s="6">
        <v>65073794</v>
      </c>
      <c r="K191" s="6" t="s">
        <v>1389</v>
      </c>
      <c r="L191" s="38" t="s">
        <v>1392</v>
      </c>
      <c r="M191" s="8">
        <v>189900</v>
      </c>
      <c r="N191" s="35">
        <v>0.9</v>
      </c>
      <c r="O191" s="34">
        <f t="shared" si="6"/>
        <v>18990</v>
      </c>
      <c r="P191" s="6" t="s">
        <v>16</v>
      </c>
    </row>
    <row r="192" spans="1:16" x14ac:dyDescent="0.35">
      <c r="A192" s="32" t="s">
        <v>6511</v>
      </c>
      <c r="B192" s="7">
        <f t="shared" si="7"/>
        <v>46121</v>
      </c>
      <c r="C192" s="7">
        <f t="shared" si="8"/>
        <v>46127</v>
      </c>
      <c r="D192" s="6">
        <v>3284</v>
      </c>
      <c r="E192" s="6">
        <v>338</v>
      </c>
      <c r="F192" s="6">
        <v>4</v>
      </c>
      <c r="G192" s="6">
        <v>7</v>
      </c>
      <c r="H192" s="6">
        <v>81676</v>
      </c>
      <c r="I192" s="6" t="s">
        <v>17</v>
      </c>
      <c r="J192" s="6">
        <v>71306388</v>
      </c>
      <c r="K192" s="6" t="s">
        <v>1433</v>
      </c>
      <c r="L192" s="38" t="s">
        <v>1434</v>
      </c>
      <c r="M192" s="8">
        <v>139900</v>
      </c>
      <c r="N192" s="35">
        <v>0.9</v>
      </c>
      <c r="O192" s="34">
        <f t="shared" si="6"/>
        <v>13990</v>
      </c>
      <c r="P192" s="6" t="s">
        <v>16</v>
      </c>
    </row>
    <row r="193" spans="1:16" x14ac:dyDescent="0.35">
      <c r="A193" s="32" t="s">
        <v>6511</v>
      </c>
      <c r="B193" s="7">
        <f t="shared" si="7"/>
        <v>46121</v>
      </c>
      <c r="C193" s="7">
        <f t="shared" si="8"/>
        <v>46127</v>
      </c>
      <c r="D193" s="6">
        <v>3284</v>
      </c>
      <c r="E193" s="6">
        <v>338</v>
      </c>
      <c r="F193" s="6">
        <v>4</v>
      </c>
      <c r="G193" s="6">
        <v>7</v>
      </c>
      <c r="H193" s="6">
        <v>81676</v>
      </c>
      <c r="I193" s="6" t="s">
        <v>17</v>
      </c>
      <c r="J193" s="6">
        <v>71306422</v>
      </c>
      <c r="K193" s="6" t="s">
        <v>1435</v>
      </c>
      <c r="L193" s="38" t="s">
        <v>1436</v>
      </c>
      <c r="M193" s="8">
        <v>139900</v>
      </c>
      <c r="N193" s="35">
        <v>0.9</v>
      </c>
      <c r="O193" s="34">
        <f t="shared" si="6"/>
        <v>13990</v>
      </c>
      <c r="P193" s="6" t="s">
        <v>16</v>
      </c>
    </row>
    <row r="194" spans="1:16" x14ac:dyDescent="0.35">
      <c r="A194" s="32" t="s">
        <v>6511</v>
      </c>
      <c r="B194" s="7">
        <f t="shared" si="7"/>
        <v>46121</v>
      </c>
      <c r="C194" s="7">
        <f t="shared" si="8"/>
        <v>46127</v>
      </c>
      <c r="D194" s="6">
        <v>3284</v>
      </c>
      <c r="E194" s="6">
        <v>338</v>
      </c>
      <c r="F194" s="6">
        <v>4</v>
      </c>
      <c r="G194" s="6">
        <v>7</v>
      </c>
      <c r="H194" s="6">
        <v>81676</v>
      </c>
      <c r="I194" s="6" t="s">
        <v>17</v>
      </c>
      <c r="J194" s="6">
        <v>71306431</v>
      </c>
      <c r="K194" s="6" t="s">
        <v>1435</v>
      </c>
      <c r="L194" s="38" t="s">
        <v>1437</v>
      </c>
      <c r="M194" s="8">
        <v>139900</v>
      </c>
      <c r="N194" s="35">
        <v>0.9</v>
      </c>
      <c r="O194" s="34">
        <f t="shared" si="6"/>
        <v>13990</v>
      </c>
      <c r="P194" s="6" t="s">
        <v>16</v>
      </c>
    </row>
    <row r="195" spans="1:16" x14ac:dyDescent="0.35">
      <c r="A195" s="32" t="s">
        <v>6511</v>
      </c>
      <c r="B195" s="7">
        <f t="shared" si="7"/>
        <v>46121</v>
      </c>
      <c r="C195" s="7">
        <f t="shared" si="8"/>
        <v>46127</v>
      </c>
      <c r="D195" s="6">
        <v>3284</v>
      </c>
      <c r="E195" s="6">
        <v>338</v>
      </c>
      <c r="F195" s="6">
        <v>4</v>
      </c>
      <c r="G195" s="6">
        <v>7</v>
      </c>
      <c r="H195" s="6">
        <v>81676</v>
      </c>
      <c r="I195" s="6" t="s">
        <v>17</v>
      </c>
      <c r="J195" s="6">
        <v>75960431</v>
      </c>
      <c r="K195" s="6" t="s">
        <v>1481</v>
      </c>
      <c r="L195" s="38" t="s">
        <v>1482</v>
      </c>
      <c r="M195" s="8">
        <v>159900</v>
      </c>
      <c r="N195" s="35">
        <v>0.9</v>
      </c>
      <c r="O195" s="34">
        <f t="shared" ref="O195:O201" si="9">M195-((90*M195)/100)</f>
        <v>15990</v>
      </c>
      <c r="P195" s="6" t="s">
        <v>16</v>
      </c>
    </row>
    <row r="196" spans="1:16" x14ac:dyDescent="0.35">
      <c r="A196" s="32" t="s">
        <v>6511</v>
      </c>
      <c r="B196" s="7">
        <f t="shared" ref="B196:B201" si="10">B195</f>
        <v>46121</v>
      </c>
      <c r="C196" s="7">
        <f t="shared" ref="C196:C201" si="11">C195</f>
        <v>46127</v>
      </c>
      <c r="D196" s="6">
        <v>3284</v>
      </c>
      <c r="E196" s="6">
        <v>338</v>
      </c>
      <c r="F196" s="6">
        <v>4</v>
      </c>
      <c r="G196" s="6">
        <v>7</v>
      </c>
      <c r="H196" s="6">
        <v>81676</v>
      </c>
      <c r="I196" s="6" t="s">
        <v>17</v>
      </c>
      <c r="J196" s="6">
        <v>75960440</v>
      </c>
      <c r="K196" s="6" t="s">
        <v>1481</v>
      </c>
      <c r="L196" s="38" t="s">
        <v>1483</v>
      </c>
      <c r="M196" s="8">
        <v>159900</v>
      </c>
      <c r="N196" s="35">
        <v>0.9</v>
      </c>
      <c r="O196" s="34">
        <f t="shared" si="9"/>
        <v>15990</v>
      </c>
      <c r="P196" s="6" t="s">
        <v>16</v>
      </c>
    </row>
    <row r="197" spans="1:16" x14ac:dyDescent="0.35">
      <c r="A197" s="32" t="s">
        <v>6511</v>
      </c>
      <c r="B197" s="7">
        <f t="shared" si="10"/>
        <v>46121</v>
      </c>
      <c r="C197" s="7">
        <f t="shared" si="11"/>
        <v>46127</v>
      </c>
      <c r="D197" s="6">
        <v>3284</v>
      </c>
      <c r="E197" s="6">
        <v>338</v>
      </c>
      <c r="F197" s="6">
        <v>4</v>
      </c>
      <c r="G197" s="6">
        <v>7</v>
      </c>
      <c r="H197" s="6">
        <v>81676</v>
      </c>
      <c r="I197" s="6" t="s">
        <v>17</v>
      </c>
      <c r="J197" s="6">
        <v>75960468</v>
      </c>
      <c r="K197" s="6" t="s">
        <v>1481</v>
      </c>
      <c r="L197" s="38" t="s">
        <v>1484</v>
      </c>
      <c r="M197" s="8">
        <v>159900</v>
      </c>
      <c r="N197" s="35">
        <v>0.9</v>
      </c>
      <c r="O197" s="34">
        <f t="shared" si="9"/>
        <v>15990</v>
      </c>
      <c r="P197" s="6" t="s">
        <v>16</v>
      </c>
    </row>
    <row r="198" spans="1:16" x14ac:dyDescent="0.35">
      <c r="A198" s="32" t="s">
        <v>6511</v>
      </c>
      <c r="B198" s="7">
        <f t="shared" si="10"/>
        <v>46121</v>
      </c>
      <c r="C198" s="7">
        <f t="shared" si="11"/>
        <v>46127</v>
      </c>
      <c r="D198" s="6">
        <v>3284</v>
      </c>
      <c r="E198" s="6">
        <v>338</v>
      </c>
      <c r="F198" s="6">
        <v>4</v>
      </c>
      <c r="G198" s="6">
        <v>7</v>
      </c>
      <c r="H198" s="6">
        <v>81676</v>
      </c>
      <c r="I198" s="6" t="s">
        <v>17</v>
      </c>
      <c r="J198" s="6">
        <v>75960477</v>
      </c>
      <c r="K198" s="6" t="s">
        <v>1485</v>
      </c>
      <c r="L198" s="38" t="s">
        <v>1486</v>
      </c>
      <c r="M198" s="8">
        <v>139900</v>
      </c>
      <c r="N198" s="35">
        <v>0.9</v>
      </c>
      <c r="O198" s="34">
        <f t="shared" si="9"/>
        <v>13990</v>
      </c>
      <c r="P198" s="6" t="s">
        <v>16</v>
      </c>
    </row>
    <row r="199" spans="1:16" x14ac:dyDescent="0.35">
      <c r="A199" s="32" t="s">
        <v>6511</v>
      </c>
      <c r="B199" s="7">
        <f t="shared" si="10"/>
        <v>46121</v>
      </c>
      <c r="C199" s="7">
        <f t="shared" si="11"/>
        <v>46127</v>
      </c>
      <c r="D199" s="6">
        <v>3284</v>
      </c>
      <c r="E199" s="6">
        <v>338</v>
      </c>
      <c r="F199" s="6">
        <v>4</v>
      </c>
      <c r="G199" s="6">
        <v>7</v>
      </c>
      <c r="H199" s="6">
        <v>81676</v>
      </c>
      <c r="I199" s="6" t="s">
        <v>17</v>
      </c>
      <c r="J199" s="6">
        <v>75960486</v>
      </c>
      <c r="K199" s="6" t="s">
        <v>1485</v>
      </c>
      <c r="L199" s="38" t="s">
        <v>1487</v>
      </c>
      <c r="M199" s="8">
        <v>139900</v>
      </c>
      <c r="N199" s="35">
        <v>0.9</v>
      </c>
      <c r="O199" s="34">
        <f t="shared" si="9"/>
        <v>13990</v>
      </c>
      <c r="P199" s="6" t="s">
        <v>16</v>
      </c>
    </row>
    <row r="200" spans="1:16" x14ac:dyDescent="0.35">
      <c r="A200" s="32" t="s">
        <v>6511</v>
      </c>
      <c r="B200" s="7">
        <f t="shared" si="10"/>
        <v>46121</v>
      </c>
      <c r="C200" s="7">
        <f t="shared" si="11"/>
        <v>46127</v>
      </c>
      <c r="D200" s="6">
        <v>3284</v>
      </c>
      <c r="E200" s="6">
        <v>338</v>
      </c>
      <c r="F200" s="6">
        <v>4</v>
      </c>
      <c r="G200" s="6">
        <v>7</v>
      </c>
      <c r="H200" s="6">
        <v>81676</v>
      </c>
      <c r="I200" s="6" t="s">
        <v>17</v>
      </c>
      <c r="J200" s="6">
        <v>75960495</v>
      </c>
      <c r="K200" s="6" t="s">
        <v>1485</v>
      </c>
      <c r="L200" s="38" t="s">
        <v>1488</v>
      </c>
      <c r="M200" s="8">
        <v>139900</v>
      </c>
      <c r="N200" s="35">
        <v>0.9</v>
      </c>
      <c r="O200" s="34">
        <f t="shared" si="9"/>
        <v>13990</v>
      </c>
      <c r="P200" s="6" t="s">
        <v>16</v>
      </c>
    </row>
    <row r="201" spans="1:16" x14ac:dyDescent="0.35">
      <c r="A201" s="32" t="s">
        <v>6511</v>
      </c>
      <c r="B201" s="7">
        <f t="shared" si="10"/>
        <v>46121</v>
      </c>
      <c r="C201" s="7">
        <f t="shared" si="11"/>
        <v>46127</v>
      </c>
      <c r="D201" s="6">
        <v>3284</v>
      </c>
      <c r="E201" s="6">
        <v>338</v>
      </c>
      <c r="F201" s="6">
        <v>4</v>
      </c>
      <c r="G201" s="6">
        <v>7</v>
      </c>
      <c r="H201" s="6">
        <v>81676</v>
      </c>
      <c r="I201" s="6" t="s">
        <v>17</v>
      </c>
      <c r="J201" s="6">
        <v>75960502</v>
      </c>
      <c r="K201" s="6" t="s">
        <v>1485</v>
      </c>
      <c r="L201" s="38" t="s">
        <v>1489</v>
      </c>
      <c r="M201" s="8">
        <v>139900</v>
      </c>
      <c r="N201" s="35">
        <v>0.9</v>
      </c>
      <c r="O201" s="34">
        <f t="shared" si="9"/>
        <v>13990</v>
      </c>
      <c r="P201" s="6" t="s">
        <v>16</v>
      </c>
    </row>
  </sheetData>
  <autoFilter ref="A1:P1" xr:uid="{00000000-0009-0000-0000-00001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9"/>
  <sheetViews>
    <sheetView zoomScale="55" zoomScaleNormal="100" workbookViewId="0">
      <pane ySplit="1" topLeftCell="A72" activePane="bottomLeft" state="frozen"/>
      <selection activeCell="M23" sqref="M23"/>
      <selection pane="bottomLeft" activeCell="L105" sqref="L105"/>
    </sheetView>
  </sheetViews>
  <sheetFormatPr defaultColWidth="8.6328125" defaultRowHeight="14.5" x14ac:dyDescent="0.35"/>
  <cols>
    <col min="1" max="1" width="29.90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6510</v>
      </c>
      <c r="B2" s="7">
        <f>'2025 HILITE D80 - 3321'!B2</f>
        <v>46121</v>
      </c>
      <c r="C2" s="7">
        <f>'2025 HILITE D80 - 3321'!C2</f>
        <v>46127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26115491</v>
      </c>
      <c r="K2" s="6" t="s">
        <v>1549</v>
      </c>
      <c r="L2" s="38" t="s">
        <v>1550</v>
      </c>
      <c r="M2" s="8">
        <v>59900</v>
      </c>
      <c r="N2" s="9">
        <v>0.9</v>
      </c>
      <c r="O2" s="8">
        <f>M2-((90*M2)/100)</f>
        <v>5990</v>
      </c>
      <c r="P2" s="6" t="s">
        <v>16</v>
      </c>
    </row>
    <row r="3" spans="1:16" x14ac:dyDescent="0.35">
      <c r="A3" s="32" t="s">
        <v>6510</v>
      </c>
      <c r="B3" s="7">
        <f>B2</f>
        <v>46121</v>
      </c>
      <c r="C3" s="7">
        <f>C2</f>
        <v>46127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26953237</v>
      </c>
      <c r="K3" s="6" t="s">
        <v>1554</v>
      </c>
      <c r="L3" s="38" t="s">
        <v>1555</v>
      </c>
      <c r="M3" s="8">
        <v>59900</v>
      </c>
      <c r="N3" s="35">
        <v>0.9</v>
      </c>
      <c r="O3" s="34">
        <f t="shared" ref="O3:O66" si="0">M3-((90*M3)/100)</f>
        <v>5990</v>
      </c>
      <c r="P3" s="6" t="s">
        <v>16</v>
      </c>
    </row>
    <row r="4" spans="1:16" x14ac:dyDescent="0.35">
      <c r="A4" s="32" t="s">
        <v>6510</v>
      </c>
      <c r="B4" s="7">
        <f t="shared" ref="B4:B67" si="1">B3</f>
        <v>46121</v>
      </c>
      <c r="C4" s="7">
        <f t="shared" ref="C4:C67" si="2">C3</f>
        <v>46127</v>
      </c>
      <c r="D4" s="6">
        <v>3284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26507460</v>
      </c>
      <c r="K4" s="6" t="s">
        <v>1551</v>
      </c>
      <c r="L4" s="38" t="s">
        <v>1552</v>
      </c>
      <c r="M4" s="8">
        <v>59900</v>
      </c>
      <c r="N4" s="35">
        <v>0.9</v>
      </c>
      <c r="O4" s="34">
        <f t="shared" si="0"/>
        <v>5990</v>
      </c>
      <c r="P4" s="6" t="s">
        <v>16</v>
      </c>
    </row>
    <row r="5" spans="1:16" x14ac:dyDescent="0.35">
      <c r="A5" s="32" t="s">
        <v>6510</v>
      </c>
      <c r="B5" s="7">
        <f t="shared" si="1"/>
        <v>46121</v>
      </c>
      <c r="C5" s="7">
        <f t="shared" si="2"/>
        <v>46127</v>
      </c>
      <c r="D5" s="6">
        <v>3284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26507497</v>
      </c>
      <c r="K5" s="6" t="s">
        <v>1551</v>
      </c>
      <c r="L5" s="38" t="s">
        <v>1553</v>
      </c>
      <c r="M5" s="8">
        <v>59900</v>
      </c>
      <c r="N5" s="35">
        <v>0.9</v>
      </c>
      <c r="O5" s="34">
        <f t="shared" si="0"/>
        <v>5990</v>
      </c>
      <c r="P5" s="6" t="s">
        <v>16</v>
      </c>
    </row>
    <row r="6" spans="1:16" x14ac:dyDescent="0.35">
      <c r="A6" s="32" t="s">
        <v>6510</v>
      </c>
      <c r="B6" s="7">
        <f t="shared" si="1"/>
        <v>46121</v>
      </c>
      <c r="C6" s="7">
        <f t="shared" si="2"/>
        <v>46127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26699254</v>
      </c>
      <c r="K6" s="6" t="s">
        <v>1556</v>
      </c>
      <c r="L6" s="38" t="s">
        <v>1557</v>
      </c>
      <c r="M6" s="8">
        <v>59900</v>
      </c>
      <c r="N6" s="35">
        <v>0.9</v>
      </c>
      <c r="O6" s="34">
        <f t="shared" si="0"/>
        <v>5990</v>
      </c>
      <c r="P6" s="6" t="s">
        <v>16</v>
      </c>
    </row>
    <row r="7" spans="1:16" x14ac:dyDescent="0.35">
      <c r="A7" s="32" t="s">
        <v>6510</v>
      </c>
      <c r="B7" s="7">
        <f t="shared" si="1"/>
        <v>46121</v>
      </c>
      <c r="C7" s="7">
        <f t="shared" si="2"/>
        <v>46127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26699263</v>
      </c>
      <c r="K7" s="6" t="s">
        <v>1556</v>
      </c>
      <c r="L7" s="38" t="s">
        <v>1558</v>
      </c>
      <c r="M7" s="8">
        <v>59900</v>
      </c>
      <c r="N7" s="35">
        <v>0.9</v>
      </c>
      <c r="O7" s="34">
        <f t="shared" si="0"/>
        <v>5990</v>
      </c>
      <c r="P7" s="6" t="s">
        <v>16</v>
      </c>
    </row>
    <row r="8" spans="1:16" x14ac:dyDescent="0.35">
      <c r="A8" s="32" t="s">
        <v>6510</v>
      </c>
      <c r="B8" s="7">
        <f t="shared" si="1"/>
        <v>46121</v>
      </c>
      <c r="C8" s="7">
        <f t="shared" si="2"/>
        <v>46127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26699370</v>
      </c>
      <c r="K8" s="6" t="s">
        <v>1559</v>
      </c>
      <c r="L8" s="38" t="s">
        <v>1560</v>
      </c>
      <c r="M8" s="8">
        <v>129900</v>
      </c>
      <c r="N8" s="35">
        <v>0.9</v>
      </c>
      <c r="O8" s="34">
        <f t="shared" si="0"/>
        <v>12990</v>
      </c>
      <c r="P8" s="6" t="s">
        <v>16</v>
      </c>
    </row>
    <row r="9" spans="1:16" x14ac:dyDescent="0.35">
      <c r="A9" s="32" t="s">
        <v>6510</v>
      </c>
      <c r="B9" s="7">
        <f t="shared" si="1"/>
        <v>46121</v>
      </c>
      <c r="C9" s="7">
        <f t="shared" si="2"/>
        <v>46127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28031612</v>
      </c>
      <c r="K9" s="6" t="s">
        <v>1566</v>
      </c>
      <c r="L9" s="38" t="s">
        <v>5474</v>
      </c>
      <c r="M9" s="8">
        <v>99900</v>
      </c>
      <c r="N9" s="35">
        <v>0.9</v>
      </c>
      <c r="O9" s="34">
        <f t="shared" si="0"/>
        <v>9990</v>
      </c>
      <c r="P9" s="6" t="s">
        <v>16</v>
      </c>
    </row>
    <row r="10" spans="1:16" x14ac:dyDescent="0.35">
      <c r="A10" s="32" t="s">
        <v>6510</v>
      </c>
      <c r="B10" s="7">
        <f t="shared" si="1"/>
        <v>46121</v>
      </c>
      <c r="C10" s="7">
        <f t="shared" si="2"/>
        <v>46127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28031621</v>
      </c>
      <c r="K10" s="6" t="s">
        <v>1566</v>
      </c>
      <c r="L10" s="38" t="s">
        <v>1567</v>
      </c>
      <c r="M10" s="8">
        <v>99900</v>
      </c>
      <c r="N10" s="35">
        <v>0.9</v>
      </c>
      <c r="O10" s="34">
        <f t="shared" si="0"/>
        <v>9990</v>
      </c>
      <c r="P10" s="6" t="s">
        <v>16</v>
      </c>
    </row>
    <row r="11" spans="1:16" x14ac:dyDescent="0.35">
      <c r="A11" s="32" t="s">
        <v>6510</v>
      </c>
      <c r="B11" s="7">
        <f t="shared" si="1"/>
        <v>46121</v>
      </c>
      <c r="C11" s="7">
        <f t="shared" si="2"/>
        <v>46127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28351848</v>
      </c>
      <c r="K11" s="6" t="s">
        <v>1568</v>
      </c>
      <c r="L11" s="38" t="s">
        <v>1569</v>
      </c>
      <c r="M11" s="8">
        <v>99900</v>
      </c>
      <c r="N11" s="35">
        <v>0.9</v>
      </c>
      <c r="O11" s="34">
        <f t="shared" si="0"/>
        <v>9990</v>
      </c>
      <c r="P11" s="6" t="s">
        <v>16</v>
      </c>
    </row>
    <row r="12" spans="1:16" x14ac:dyDescent="0.35">
      <c r="A12" s="32" t="s">
        <v>6510</v>
      </c>
      <c r="B12" s="7">
        <f t="shared" si="1"/>
        <v>46121</v>
      </c>
      <c r="C12" s="7">
        <f t="shared" si="2"/>
        <v>46127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17</v>
      </c>
      <c r="J12" s="6">
        <v>28351866</v>
      </c>
      <c r="K12" s="6" t="s">
        <v>1568</v>
      </c>
      <c r="L12" s="38" t="s">
        <v>1570</v>
      </c>
      <c r="M12" s="8">
        <v>99900</v>
      </c>
      <c r="N12" s="35">
        <v>0.9</v>
      </c>
      <c r="O12" s="34">
        <f t="shared" si="0"/>
        <v>9990</v>
      </c>
      <c r="P12" s="6" t="s">
        <v>16</v>
      </c>
    </row>
    <row r="13" spans="1:16" x14ac:dyDescent="0.35">
      <c r="A13" s="32" t="s">
        <v>6510</v>
      </c>
      <c r="B13" s="7">
        <f t="shared" si="1"/>
        <v>46121</v>
      </c>
      <c r="C13" s="7">
        <f t="shared" si="2"/>
        <v>46127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17</v>
      </c>
      <c r="J13" s="6">
        <v>28351884</v>
      </c>
      <c r="K13" s="6" t="s">
        <v>1571</v>
      </c>
      <c r="L13" s="38" t="s">
        <v>1572</v>
      </c>
      <c r="M13" s="8">
        <v>119900</v>
      </c>
      <c r="N13" s="35">
        <v>0.9</v>
      </c>
      <c r="O13" s="34">
        <f t="shared" si="0"/>
        <v>11990</v>
      </c>
      <c r="P13" s="6" t="s">
        <v>16</v>
      </c>
    </row>
    <row r="14" spans="1:16" x14ac:dyDescent="0.35">
      <c r="A14" s="32" t="s">
        <v>6510</v>
      </c>
      <c r="B14" s="7">
        <f t="shared" si="1"/>
        <v>46121</v>
      </c>
      <c r="C14" s="7">
        <f t="shared" si="2"/>
        <v>46127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17</v>
      </c>
      <c r="J14" s="6">
        <v>33417080</v>
      </c>
      <c r="K14" s="6" t="s">
        <v>1561</v>
      </c>
      <c r="L14" s="38" t="s">
        <v>1562</v>
      </c>
      <c r="M14" s="8">
        <v>169900</v>
      </c>
      <c r="N14" s="35">
        <v>0.9</v>
      </c>
      <c r="O14" s="34">
        <f t="shared" si="0"/>
        <v>16990</v>
      </c>
      <c r="P14" s="6" t="s">
        <v>16</v>
      </c>
    </row>
    <row r="15" spans="1:16" x14ac:dyDescent="0.35">
      <c r="A15" s="32" t="s">
        <v>6510</v>
      </c>
      <c r="B15" s="7">
        <f t="shared" si="1"/>
        <v>46121</v>
      </c>
      <c r="C15" s="7">
        <f t="shared" si="2"/>
        <v>46127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17</v>
      </c>
      <c r="J15" s="6">
        <v>33417099</v>
      </c>
      <c r="K15" s="6" t="s">
        <v>1561</v>
      </c>
      <c r="L15" s="38" t="s">
        <v>1563</v>
      </c>
      <c r="M15" s="8">
        <v>169900</v>
      </c>
      <c r="N15" s="35">
        <v>0.9</v>
      </c>
      <c r="O15" s="34">
        <f t="shared" si="0"/>
        <v>16990</v>
      </c>
      <c r="P15" s="6" t="s">
        <v>16</v>
      </c>
    </row>
    <row r="16" spans="1:16" x14ac:dyDescent="0.35">
      <c r="A16" s="32" t="s">
        <v>6510</v>
      </c>
      <c r="B16" s="7">
        <f t="shared" si="1"/>
        <v>46121</v>
      </c>
      <c r="C16" s="7">
        <f t="shared" si="2"/>
        <v>46127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17</v>
      </c>
      <c r="J16" s="6">
        <v>33417106</v>
      </c>
      <c r="K16" s="6" t="s">
        <v>1561</v>
      </c>
      <c r="L16" s="38" t="s">
        <v>1564</v>
      </c>
      <c r="M16" s="8">
        <v>169900</v>
      </c>
      <c r="N16" s="35">
        <v>0.9</v>
      </c>
      <c r="O16" s="34">
        <f t="shared" si="0"/>
        <v>16990</v>
      </c>
      <c r="P16" s="6" t="s">
        <v>16</v>
      </c>
    </row>
    <row r="17" spans="1:16" x14ac:dyDescent="0.35">
      <c r="A17" s="32" t="s">
        <v>6510</v>
      </c>
      <c r="B17" s="7">
        <f t="shared" si="1"/>
        <v>46121</v>
      </c>
      <c r="C17" s="7">
        <f t="shared" si="2"/>
        <v>46127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17</v>
      </c>
      <c r="J17" s="6">
        <v>33417115</v>
      </c>
      <c r="K17" s="6" t="s">
        <v>1561</v>
      </c>
      <c r="L17" s="38" t="s">
        <v>1565</v>
      </c>
      <c r="M17" s="8">
        <v>169900</v>
      </c>
      <c r="N17" s="35">
        <v>0.9</v>
      </c>
      <c r="O17" s="34">
        <f t="shared" si="0"/>
        <v>16990</v>
      </c>
      <c r="P17" s="6" t="s">
        <v>16</v>
      </c>
    </row>
    <row r="18" spans="1:16" x14ac:dyDescent="0.35">
      <c r="A18" s="32" t="s">
        <v>6510</v>
      </c>
      <c r="B18" s="7">
        <f t="shared" si="1"/>
        <v>46121</v>
      </c>
      <c r="C18" s="7">
        <f t="shared" si="2"/>
        <v>46127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17</v>
      </c>
      <c r="J18" s="6">
        <v>33943314</v>
      </c>
      <c r="K18" s="6" t="s">
        <v>1573</v>
      </c>
      <c r="L18" s="38" t="s">
        <v>1574</v>
      </c>
      <c r="M18" s="8">
        <v>49900</v>
      </c>
      <c r="N18" s="35">
        <v>0.9</v>
      </c>
      <c r="O18" s="34">
        <f t="shared" si="0"/>
        <v>4990</v>
      </c>
      <c r="P18" s="6" t="s">
        <v>16</v>
      </c>
    </row>
    <row r="19" spans="1:16" x14ac:dyDescent="0.35">
      <c r="A19" s="32" t="s">
        <v>6510</v>
      </c>
      <c r="B19" s="7">
        <f t="shared" si="1"/>
        <v>46121</v>
      </c>
      <c r="C19" s="7">
        <f t="shared" si="2"/>
        <v>46127</v>
      </c>
      <c r="D19" s="6">
        <v>3284</v>
      </c>
      <c r="E19" s="6">
        <v>338</v>
      </c>
      <c r="F19" s="6">
        <v>4</v>
      </c>
      <c r="G19" s="6">
        <v>1</v>
      </c>
      <c r="H19" s="6">
        <v>190</v>
      </c>
      <c r="I19" s="6" t="s">
        <v>17</v>
      </c>
      <c r="J19" s="6">
        <v>27034184</v>
      </c>
      <c r="K19" s="6" t="s">
        <v>1575</v>
      </c>
      <c r="L19" s="38" t="s">
        <v>1576</v>
      </c>
      <c r="M19" s="8">
        <v>129900</v>
      </c>
      <c r="N19" s="35">
        <v>0.9</v>
      </c>
      <c r="O19" s="34">
        <f t="shared" si="0"/>
        <v>12990</v>
      </c>
      <c r="P19" s="6" t="s">
        <v>16</v>
      </c>
    </row>
    <row r="20" spans="1:16" x14ac:dyDescent="0.35">
      <c r="A20" s="32" t="s">
        <v>6510</v>
      </c>
      <c r="B20" s="7">
        <f t="shared" si="1"/>
        <v>46121</v>
      </c>
      <c r="C20" s="7">
        <f t="shared" si="2"/>
        <v>46127</v>
      </c>
      <c r="D20" s="6">
        <v>3284</v>
      </c>
      <c r="E20" s="6">
        <v>338</v>
      </c>
      <c r="F20" s="6">
        <v>4</v>
      </c>
      <c r="G20" s="6">
        <v>2</v>
      </c>
      <c r="H20" s="6">
        <v>81421</v>
      </c>
      <c r="I20" s="6" t="s">
        <v>17</v>
      </c>
      <c r="J20" s="6">
        <v>33417124</v>
      </c>
      <c r="K20" s="6" t="s">
        <v>1577</v>
      </c>
      <c r="L20" s="38" t="s">
        <v>1578</v>
      </c>
      <c r="M20" s="8">
        <v>119900</v>
      </c>
      <c r="N20" s="35">
        <v>0.9</v>
      </c>
      <c r="O20" s="34">
        <f t="shared" si="0"/>
        <v>11990</v>
      </c>
      <c r="P20" s="6" t="s">
        <v>16</v>
      </c>
    </row>
    <row r="21" spans="1:16" x14ac:dyDescent="0.35">
      <c r="A21" s="32" t="s">
        <v>6510</v>
      </c>
      <c r="B21" s="7">
        <f t="shared" si="1"/>
        <v>46121</v>
      </c>
      <c r="C21" s="7">
        <f t="shared" si="2"/>
        <v>46127</v>
      </c>
      <c r="D21" s="6">
        <v>3284</v>
      </c>
      <c r="E21" s="6">
        <v>338</v>
      </c>
      <c r="F21" s="6">
        <v>4</v>
      </c>
      <c r="G21" s="6">
        <v>2</v>
      </c>
      <c r="H21" s="6">
        <v>81421</v>
      </c>
      <c r="I21" s="6" t="s">
        <v>17</v>
      </c>
      <c r="J21" s="6">
        <v>33417133</v>
      </c>
      <c r="K21" s="6" t="s">
        <v>1577</v>
      </c>
      <c r="L21" s="38" t="s">
        <v>1579</v>
      </c>
      <c r="M21" s="8">
        <v>119900</v>
      </c>
      <c r="N21" s="35">
        <v>0.9</v>
      </c>
      <c r="O21" s="34">
        <f t="shared" si="0"/>
        <v>11990</v>
      </c>
      <c r="P21" s="6" t="s">
        <v>16</v>
      </c>
    </row>
    <row r="22" spans="1:16" x14ac:dyDescent="0.35">
      <c r="A22" s="32" t="s">
        <v>6510</v>
      </c>
      <c r="B22" s="7">
        <f t="shared" si="1"/>
        <v>46121</v>
      </c>
      <c r="C22" s="7">
        <f t="shared" si="2"/>
        <v>46127</v>
      </c>
      <c r="D22" s="6">
        <v>3284</v>
      </c>
      <c r="E22" s="6">
        <v>338</v>
      </c>
      <c r="F22" s="6">
        <v>4</v>
      </c>
      <c r="G22" s="6">
        <v>2</v>
      </c>
      <c r="H22" s="6">
        <v>81421</v>
      </c>
      <c r="I22" s="6" t="s">
        <v>17</v>
      </c>
      <c r="J22" s="6">
        <v>33417142</v>
      </c>
      <c r="K22" s="6" t="s">
        <v>1577</v>
      </c>
      <c r="L22" s="38" t="s">
        <v>1580</v>
      </c>
      <c r="M22" s="8">
        <v>119900</v>
      </c>
      <c r="N22" s="35">
        <v>0.9</v>
      </c>
      <c r="O22" s="34">
        <f t="shared" si="0"/>
        <v>11990</v>
      </c>
      <c r="P22" s="6" t="s">
        <v>16</v>
      </c>
    </row>
    <row r="23" spans="1:16" x14ac:dyDescent="0.35">
      <c r="A23" s="32" t="s">
        <v>6510</v>
      </c>
      <c r="B23" s="7">
        <f t="shared" si="1"/>
        <v>46121</v>
      </c>
      <c r="C23" s="7">
        <f t="shared" si="2"/>
        <v>46127</v>
      </c>
      <c r="D23" s="6">
        <v>3284</v>
      </c>
      <c r="E23" s="6">
        <v>338</v>
      </c>
      <c r="F23" s="6">
        <v>4</v>
      </c>
      <c r="G23" s="6">
        <v>2</v>
      </c>
      <c r="H23" s="6">
        <v>81421</v>
      </c>
      <c r="I23" s="6" t="s">
        <v>17</v>
      </c>
      <c r="J23" s="6">
        <v>33417151</v>
      </c>
      <c r="K23" s="6" t="s">
        <v>1577</v>
      </c>
      <c r="L23" s="38" t="s">
        <v>1581</v>
      </c>
      <c r="M23" s="8">
        <v>119900</v>
      </c>
      <c r="N23" s="35">
        <v>0.9</v>
      </c>
      <c r="O23" s="34">
        <f t="shared" si="0"/>
        <v>11990</v>
      </c>
      <c r="P23" s="6" t="s">
        <v>16</v>
      </c>
    </row>
    <row r="24" spans="1:16" x14ac:dyDescent="0.35">
      <c r="A24" s="32" t="s">
        <v>6510</v>
      </c>
      <c r="B24" s="7">
        <f t="shared" si="1"/>
        <v>46121</v>
      </c>
      <c r="C24" s="7">
        <f t="shared" si="2"/>
        <v>46127</v>
      </c>
      <c r="D24" s="6">
        <v>3284</v>
      </c>
      <c r="E24" s="6">
        <v>338</v>
      </c>
      <c r="F24" s="6">
        <v>4</v>
      </c>
      <c r="G24" s="6">
        <v>2</v>
      </c>
      <c r="H24" s="6">
        <v>81421</v>
      </c>
      <c r="I24" s="6" t="s">
        <v>17</v>
      </c>
      <c r="J24" s="6">
        <v>26699601</v>
      </c>
      <c r="K24" s="6" t="s">
        <v>1585</v>
      </c>
      <c r="L24" s="38" t="s">
        <v>1586</v>
      </c>
      <c r="M24" s="8">
        <v>119900</v>
      </c>
      <c r="N24" s="35">
        <v>0.9</v>
      </c>
      <c r="O24" s="34">
        <f t="shared" si="0"/>
        <v>11990</v>
      </c>
      <c r="P24" s="6" t="s">
        <v>16</v>
      </c>
    </row>
    <row r="25" spans="1:16" x14ac:dyDescent="0.35">
      <c r="A25" s="32" t="s">
        <v>6510</v>
      </c>
      <c r="B25" s="7">
        <f t="shared" si="1"/>
        <v>46121</v>
      </c>
      <c r="C25" s="7">
        <f t="shared" si="2"/>
        <v>46127</v>
      </c>
      <c r="D25" s="6">
        <v>3284</v>
      </c>
      <c r="E25" s="6">
        <v>338</v>
      </c>
      <c r="F25" s="6">
        <v>4</v>
      </c>
      <c r="G25" s="6">
        <v>2</v>
      </c>
      <c r="H25" s="6">
        <v>81421</v>
      </c>
      <c r="I25" s="6" t="s">
        <v>17</v>
      </c>
      <c r="J25" s="6">
        <v>32603193</v>
      </c>
      <c r="K25" s="6" t="s">
        <v>1587</v>
      </c>
      <c r="L25" s="38" t="s">
        <v>1588</v>
      </c>
      <c r="M25" s="8">
        <v>119900</v>
      </c>
      <c r="N25" s="35">
        <v>0.9</v>
      </c>
      <c r="O25" s="34">
        <f t="shared" si="0"/>
        <v>11990</v>
      </c>
      <c r="P25" s="6" t="s">
        <v>16</v>
      </c>
    </row>
    <row r="26" spans="1:16" x14ac:dyDescent="0.35">
      <c r="A26" s="32" t="s">
        <v>6510</v>
      </c>
      <c r="B26" s="7">
        <f t="shared" si="1"/>
        <v>46121</v>
      </c>
      <c r="C26" s="7">
        <f t="shared" si="2"/>
        <v>46127</v>
      </c>
      <c r="D26" s="6">
        <v>3284</v>
      </c>
      <c r="E26" s="6">
        <v>338</v>
      </c>
      <c r="F26" s="6">
        <v>4</v>
      </c>
      <c r="G26" s="6">
        <v>2</v>
      </c>
      <c r="H26" s="6">
        <v>190</v>
      </c>
      <c r="I26" s="6" t="s">
        <v>17</v>
      </c>
      <c r="J26" s="6">
        <v>27034219</v>
      </c>
      <c r="K26" s="6" t="s">
        <v>1589</v>
      </c>
      <c r="L26" s="38" t="s">
        <v>1590</v>
      </c>
      <c r="M26" s="8">
        <v>119900</v>
      </c>
      <c r="N26" s="35">
        <v>0.9</v>
      </c>
      <c r="O26" s="34">
        <f t="shared" si="0"/>
        <v>11990</v>
      </c>
      <c r="P26" s="6" t="s">
        <v>16</v>
      </c>
    </row>
    <row r="27" spans="1:16" x14ac:dyDescent="0.35">
      <c r="A27" s="32" t="s">
        <v>6510</v>
      </c>
      <c r="B27" s="7">
        <f t="shared" si="1"/>
        <v>46121</v>
      </c>
      <c r="C27" s="7">
        <f t="shared" si="2"/>
        <v>46127</v>
      </c>
      <c r="D27" s="6">
        <v>3284</v>
      </c>
      <c r="E27" s="6">
        <v>338</v>
      </c>
      <c r="F27" s="6">
        <v>4</v>
      </c>
      <c r="G27" s="6">
        <v>2</v>
      </c>
      <c r="H27" s="6">
        <v>190</v>
      </c>
      <c r="I27" s="6" t="s">
        <v>17</v>
      </c>
      <c r="J27" s="6">
        <v>31303410</v>
      </c>
      <c r="K27" s="6" t="s">
        <v>1582</v>
      </c>
      <c r="L27" s="38" t="s">
        <v>1583</v>
      </c>
      <c r="M27" s="8">
        <v>119900</v>
      </c>
      <c r="N27" s="35">
        <v>0.9</v>
      </c>
      <c r="O27" s="34">
        <f t="shared" si="0"/>
        <v>11990</v>
      </c>
      <c r="P27" s="6" t="s">
        <v>16</v>
      </c>
    </row>
    <row r="28" spans="1:16" x14ac:dyDescent="0.35">
      <c r="A28" s="32" t="s">
        <v>6510</v>
      </c>
      <c r="B28" s="7">
        <f t="shared" si="1"/>
        <v>46121</v>
      </c>
      <c r="C28" s="7">
        <f t="shared" si="2"/>
        <v>46127</v>
      </c>
      <c r="D28" s="6">
        <v>3284</v>
      </c>
      <c r="E28" s="6">
        <v>338</v>
      </c>
      <c r="F28" s="6">
        <v>4</v>
      </c>
      <c r="G28" s="6">
        <v>2</v>
      </c>
      <c r="H28" s="6">
        <v>190</v>
      </c>
      <c r="I28" s="6" t="s">
        <v>17</v>
      </c>
      <c r="J28" s="6">
        <v>31303429</v>
      </c>
      <c r="K28" s="6" t="s">
        <v>1582</v>
      </c>
      <c r="L28" s="38" t="s">
        <v>1584</v>
      </c>
      <c r="M28" s="8">
        <v>119900</v>
      </c>
      <c r="N28" s="35">
        <v>0.9</v>
      </c>
      <c r="O28" s="34">
        <f t="shared" si="0"/>
        <v>11990</v>
      </c>
      <c r="P28" s="6" t="s">
        <v>16</v>
      </c>
    </row>
    <row r="29" spans="1:16" x14ac:dyDescent="0.35">
      <c r="A29" s="32" t="s">
        <v>6510</v>
      </c>
      <c r="B29" s="7">
        <f t="shared" si="1"/>
        <v>46121</v>
      </c>
      <c r="C29" s="7">
        <f t="shared" si="2"/>
        <v>46127</v>
      </c>
      <c r="D29" s="6">
        <v>3284</v>
      </c>
      <c r="E29" s="6">
        <v>338</v>
      </c>
      <c r="F29" s="6">
        <v>4</v>
      </c>
      <c r="G29" s="6">
        <v>3</v>
      </c>
      <c r="H29" s="6">
        <v>81421</v>
      </c>
      <c r="I29" s="6" t="s">
        <v>17</v>
      </c>
      <c r="J29" s="6">
        <v>26317273</v>
      </c>
      <c r="K29" s="6" t="s">
        <v>1612</v>
      </c>
      <c r="L29" s="38" t="s">
        <v>1613</v>
      </c>
      <c r="M29" s="8">
        <v>139900</v>
      </c>
      <c r="N29" s="35">
        <v>0.9</v>
      </c>
      <c r="O29" s="34">
        <f t="shared" si="0"/>
        <v>13990</v>
      </c>
      <c r="P29" s="6" t="s">
        <v>16</v>
      </c>
    </row>
    <row r="30" spans="1:16" x14ac:dyDescent="0.35">
      <c r="A30" s="32" t="s">
        <v>6510</v>
      </c>
      <c r="B30" s="7">
        <f t="shared" si="1"/>
        <v>46121</v>
      </c>
      <c r="C30" s="7">
        <f t="shared" si="2"/>
        <v>46127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26317282</v>
      </c>
      <c r="K30" s="6" t="s">
        <v>1612</v>
      </c>
      <c r="L30" s="38" t="s">
        <v>1614</v>
      </c>
      <c r="M30" s="8">
        <v>139900</v>
      </c>
      <c r="N30" s="35">
        <v>0.9</v>
      </c>
      <c r="O30" s="34">
        <f t="shared" si="0"/>
        <v>13990</v>
      </c>
      <c r="P30" s="6" t="s">
        <v>16</v>
      </c>
    </row>
    <row r="31" spans="1:16" x14ac:dyDescent="0.35">
      <c r="A31" s="32" t="s">
        <v>6510</v>
      </c>
      <c r="B31" s="7">
        <f t="shared" si="1"/>
        <v>46121</v>
      </c>
      <c r="C31" s="7">
        <f t="shared" si="2"/>
        <v>46127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26317291</v>
      </c>
      <c r="K31" s="6" t="s">
        <v>1612</v>
      </c>
      <c r="L31" s="38" t="s">
        <v>1615</v>
      </c>
      <c r="M31" s="8">
        <v>139900</v>
      </c>
      <c r="N31" s="35">
        <v>0.9</v>
      </c>
      <c r="O31" s="34">
        <f t="shared" si="0"/>
        <v>13990</v>
      </c>
      <c r="P31" s="6" t="s">
        <v>16</v>
      </c>
    </row>
    <row r="32" spans="1:16" x14ac:dyDescent="0.35">
      <c r="A32" s="32" t="s">
        <v>6510</v>
      </c>
      <c r="B32" s="7">
        <f t="shared" si="1"/>
        <v>46121</v>
      </c>
      <c r="C32" s="7">
        <f t="shared" si="2"/>
        <v>46127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26317308</v>
      </c>
      <c r="K32" s="6" t="s">
        <v>1612</v>
      </c>
      <c r="L32" s="38" t="s">
        <v>5475</v>
      </c>
      <c r="M32" s="8">
        <v>139900</v>
      </c>
      <c r="N32" s="35">
        <v>0.9</v>
      </c>
      <c r="O32" s="34">
        <f t="shared" si="0"/>
        <v>13990</v>
      </c>
      <c r="P32" s="6" t="s">
        <v>16</v>
      </c>
    </row>
    <row r="33" spans="1:16" x14ac:dyDescent="0.35">
      <c r="A33" s="32" t="s">
        <v>6510</v>
      </c>
      <c r="B33" s="7">
        <f t="shared" si="1"/>
        <v>46121</v>
      </c>
      <c r="C33" s="7">
        <f t="shared" si="2"/>
        <v>46127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26433914</v>
      </c>
      <c r="K33" s="6" t="s">
        <v>1591</v>
      </c>
      <c r="L33" s="38" t="s">
        <v>1592</v>
      </c>
      <c r="M33" s="8">
        <v>129900</v>
      </c>
      <c r="N33" s="35">
        <v>0.9</v>
      </c>
      <c r="O33" s="34">
        <f t="shared" si="0"/>
        <v>12990</v>
      </c>
      <c r="P33" s="6" t="s">
        <v>16</v>
      </c>
    </row>
    <row r="34" spans="1:16" x14ac:dyDescent="0.35">
      <c r="A34" s="32" t="s">
        <v>6510</v>
      </c>
      <c r="B34" s="7">
        <f t="shared" si="1"/>
        <v>46121</v>
      </c>
      <c r="C34" s="7">
        <f t="shared" si="2"/>
        <v>46127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26433941</v>
      </c>
      <c r="K34" s="6" t="s">
        <v>1591</v>
      </c>
      <c r="L34" s="38" t="s">
        <v>1593</v>
      </c>
      <c r="M34" s="8">
        <v>129900</v>
      </c>
      <c r="N34" s="35">
        <v>0.9</v>
      </c>
      <c r="O34" s="34">
        <f t="shared" si="0"/>
        <v>12990</v>
      </c>
      <c r="P34" s="6" t="s">
        <v>16</v>
      </c>
    </row>
    <row r="35" spans="1:16" x14ac:dyDescent="0.35">
      <c r="A35" s="32" t="s">
        <v>6510</v>
      </c>
      <c r="B35" s="7">
        <f t="shared" si="1"/>
        <v>46121</v>
      </c>
      <c r="C35" s="7">
        <f t="shared" si="2"/>
        <v>46127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26434128</v>
      </c>
      <c r="K35" s="6" t="s">
        <v>1594</v>
      </c>
      <c r="L35" s="38" t="s">
        <v>1595</v>
      </c>
      <c r="M35" s="8">
        <v>129900</v>
      </c>
      <c r="N35" s="35">
        <v>0.9</v>
      </c>
      <c r="O35" s="34">
        <f t="shared" si="0"/>
        <v>12990</v>
      </c>
      <c r="P35" s="6" t="s">
        <v>16</v>
      </c>
    </row>
    <row r="36" spans="1:16" x14ac:dyDescent="0.35">
      <c r="A36" s="32" t="s">
        <v>6510</v>
      </c>
      <c r="B36" s="7">
        <f t="shared" si="1"/>
        <v>46121</v>
      </c>
      <c r="C36" s="7">
        <f t="shared" si="2"/>
        <v>46127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26434137</v>
      </c>
      <c r="K36" s="6" t="s">
        <v>1596</v>
      </c>
      <c r="L36" s="38" t="s">
        <v>1592</v>
      </c>
      <c r="M36" s="8">
        <v>129900</v>
      </c>
      <c r="N36" s="35">
        <v>0.9</v>
      </c>
      <c r="O36" s="34">
        <f t="shared" si="0"/>
        <v>12990</v>
      </c>
      <c r="P36" s="6" t="s">
        <v>16</v>
      </c>
    </row>
    <row r="37" spans="1:16" x14ac:dyDescent="0.35">
      <c r="A37" s="32" t="s">
        <v>6510</v>
      </c>
      <c r="B37" s="7">
        <f t="shared" si="1"/>
        <v>46121</v>
      </c>
      <c r="C37" s="7">
        <f t="shared" si="2"/>
        <v>46127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26434164</v>
      </c>
      <c r="K37" s="6" t="s">
        <v>1596</v>
      </c>
      <c r="L37" s="38" t="s">
        <v>1593</v>
      </c>
      <c r="M37" s="8">
        <v>129900</v>
      </c>
      <c r="N37" s="35">
        <v>0.9</v>
      </c>
      <c r="O37" s="34">
        <f t="shared" si="0"/>
        <v>12990</v>
      </c>
      <c r="P37" s="6" t="s">
        <v>16</v>
      </c>
    </row>
    <row r="38" spans="1:16" x14ac:dyDescent="0.35">
      <c r="A38" s="32" t="s">
        <v>6510</v>
      </c>
      <c r="B38" s="7">
        <f t="shared" si="1"/>
        <v>46121</v>
      </c>
      <c r="C38" s="7">
        <f t="shared" si="2"/>
        <v>46127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26519617</v>
      </c>
      <c r="K38" s="6" t="s">
        <v>1597</v>
      </c>
      <c r="L38" s="38" t="s">
        <v>1598</v>
      </c>
      <c r="M38" s="8">
        <v>129900</v>
      </c>
      <c r="N38" s="35">
        <v>0.9</v>
      </c>
      <c r="O38" s="34">
        <f t="shared" si="0"/>
        <v>12990</v>
      </c>
      <c r="P38" s="6" t="s">
        <v>16</v>
      </c>
    </row>
    <row r="39" spans="1:16" x14ac:dyDescent="0.35">
      <c r="A39" s="32" t="s">
        <v>6510</v>
      </c>
      <c r="B39" s="7">
        <f t="shared" si="1"/>
        <v>46121</v>
      </c>
      <c r="C39" s="7">
        <f t="shared" si="2"/>
        <v>46127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26519644</v>
      </c>
      <c r="K39" s="6" t="s">
        <v>1597</v>
      </c>
      <c r="L39" s="38" t="s">
        <v>1599</v>
      </c>
      <c r="M39" s="8">
        <v>129900</v>
      </c>
      <c r="N39" s="35">
        <v>0.9</v>
      </c>
      <c r="O39" s="34">
        <f t="shared" si="0"/>
        <v>12990</v>
      </c>
      <c r="P39" s="6" t="s">
        <v>16</v>
      </c>
    </row>
    <row r="40" spans="1:16" x14ac:dyDescent="0.35">
      <c r="A40" s="32" t="s">
        <v>6510</v>
      </c>
      <c r="B40" s="7">
        <f t="shared" si="1"/>
        <v>46121</v>
      </c>
      <c r="C40" s="7">
        <f t="shared" si="2"/>
        <v>46127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26520070</v>
      </c>
      <c r="K40" s="6" t="s">
        <v>1600</v>
      </c>
      <c r="L40" s="38" t="s">
        <v>1601</v>
      </c>
      <c r="M40" s="8">
        <v>129900</v>
      </c>
      <c r="N40" s="35">
        <v>0.9</v>
      </c>
      <c r="O40" s="34">
        <f t="shared" si="0"/>
        <v>12990</v>
      </c>
      <c r="P40" s="6" t="s">
        <v>16</v>
      </c>
    </row>
    <row r="41" spans="1:16" x14ac:dyDescent="0.35">
      <c r="A41" s="32" t="s">
        <v>6510</v>
      </c>
      <c r="B41" s="7">
        <f t="shared" si="1"/>
        <v>46121</v>
      </c>
      <c r="C41" s="7">
        <f t="shared" si="2"/>
        <v>46127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26520098</v>
      </c>
      <c r="K41" s="6" t="s">
        <v>1600</v>
      </c>
      <c r="L41" s="38" t="s">
        <v>1602</v>
      </c>
      <c r="M41" s="8">
        <v>129900</v>
      </c>
      <c r="N41" s="35">
        <v>0.9</v>
      </c>
      <c r="O41" s="34">
        <f t="shared" si="0"/>
        <v>12990</v>
      </c>
      <c r="P41" s="6" t="s">
        <v>16</v>
      </c>
    </row>
    <row r="42" spans="1:16" x14ac:dyDescent="0.35">
      <c r="A42" s="32" t="s">
        <v>6510</v>
      </c>
      <c r="B42" s="7">
        <f t="shared" si="1"/>
        <v>46121</v>
      </c>
      <c r="C42" s="7">
        <f t="shared" si="2"/>
        <v>46127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26509913</v>
      </c>
      <c r="K42" s="6" t="s">
        <v>1603</v>
      </c>
      <c r="L42" s="38" t="s">
        <v>1604</v>
      </c>
      <c r="M42" s="8">
        <v>139900</v>
      </c>
      <c r="N42" s="35">
        <v>0.9</v>
      </c>
      <c r="O42" s="34">
        <f t="shared" si="0"/>
        <v>13990</v>
      </c>
      <c r="P42" s="6" t="s">
        <v>16</v>
      </c>
    </row>
    <row r="43" spans="1:16" x14ac:dyDescent="0.35">
      <c r="A43" s="32" t="s">
        <v>6510</v>
      </c>
      <c r="B43" s="7">
        <f t="shared" si="1"/>
        <v>46121</v>
      </c>
      <c r="C43" s="7">
        <f t="shared" si="2"/>
        <v>46127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26509922</v>
      </c>
      <c r="K43" s="6" t="s">
        <v>1603</v>
      </c>
      <c r="L43" s="38" t="s">
        <v>1605</v>
      </c>
      <c r="M43" s="8">
        <v>139900</v>
      </c>
      <c r="N43" s="35">
        <v>0.9</v>
      </c>
      <c r="O43" s="34">
        <f t="shared" si="0"/>
        <v>13990</v>
      </c>
      <c r="P43" s="6" t="s">
        <v>16</v>
      </c>
    </row>
    <row r="44" spans="1:16" x14ac:dyDescent="0.35">
      <c r="A44" s="32" t="s">
        <v>6510</v>
      </c>
      <c r="B44" s="7">
        <f t="shared" si="1"/>
        <v>46121</v>
      </c>
      <c r="C44" s="7">
        <f t="shared" si="2"/>
        <v>46127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26509931</v>
      </c>
      <c r="K44" s="6" t="s">
        <v>1603</v>
      </c>
      <c r="L44" s="38" t="s">
        <v>1606</v>
      </c>
      <c r="M44" s="8">
        <v>139900</v>
      </c>
      <c r="N44" s="35">
        <v>0.9</v>
      </c>
      <c r="O44" s="34">
        <f t="shared" si="0"/>
        <v>13990</v>
      </c>
      <c r="P44" s="6" t="s">
        <v>16</v>
      </c>
    </row>
    <row r="45" spans="1:16" x14ac:dyDescent="0.35">
      <c r="A45" s="32" t="s">
        <v>6510</v>
      </c>
      <c r="B45" s="7">
        <f t="shared" si="1"/>
        <v>46121</v>
      </c>
      <c r="C45" s="7">
        <f t="shared" si="2"/>
        <v>46127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26509940</v>
      </c>
      <c r="K45" s="6" t="s">
        <v>1603</v>
      </c>
      <c r="L45" s="38" t="s">
        <v>1607</v>
      </c>
      <c r="M45" s="8">
        <v>139900</v>
      </c>
      <c r="N45" s="35">
        <v>0.9</v>
      </c>
      <c r="O45" s="34">
        <f t="shared" si="0"/>
        <v>13990</v>
      </c>
      <c r="P45" s="6" t="s">
        <v>16</v>
      </c>
    </row>
    <row r="46" spans="1:16" x14ac:dyDescent="0.35">
      <c r="A46" s="32" t="s">
        <v>6510</v>
      </c>
      <c r="B46" s="7">
        <f t="shared" si="1"/>
        <v>46121</v>
      </c>
      <c r="C46" s="7">
        <f t="shared" si="2"/>
        <v>46127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26510376</v>
      </c>
      <c r="K46" s="6" t="s">
        <v>1616</v>
      </c>
      <c r="L46" s="38" t="s">
        <v>1617</v>
      </c>
      <c r="M46" s="8">
        <v>129900</v>
      </c>
      <c r="N46" s="35">
        <v>0.9</v>
      </c>
      <c r="O46" s="34">
        <f t="shared" si="0"/>
        <v>12990</v>
      </c>
      <c r="P46" s="6" t="s">
        <v>16</v>
      </c>
    </row>
    <row r="47" spans="1:16" x14ac:dyDescent="0.35">
      <c r="A47" s="32" t="s">
        <v>6510</v>
      </c>
      <c r="B47" s="7">
        <f t="shared" si="1"/>
        <v>46121</v>
      </c>
      <c r="C47" s="7">
        <f t="shared" si="2"/>
        <v>46127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26510385</v>
      </c>
      <c r="K47" s="6" t="s">
        <v>1616</v>
      </c>
      <c r="L47" s="38" t="s">
        <v>1618</v>
      </c>
      <c r="M47" s="8">
        <v>129900</v>
      </c>
      <c r="N47" s="35">
        <v>0.9</v>
      </c>
      <c r="O47" s="34">
        <f t="shared" si="0"/>
        <v>12990</v>
      </c>
      <c r="P47" s="6" t="s">
        <v>16</v>
      </c>
    </row>
    <row r="48" spans="1:16" x14ac:dyDescent="0.35">
      <c r="A48" s="32" t="s">
        <v>6510</v>
      </c>
      <c r="B48" s="7">
        <f t="shared" si="1"/>
        <v>46121</v>
      </c>
      <c r="C48" s="7">
        <f t="shared" si="2"/>
        <v>46127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26510394</v>
      </c>
      <c r="K48" s="6" t="s">
        <v>1616</v>
      </c>
      <c r="L48" s="38" t="s">
        <v>1619</v>
      </c>
      <c r="M48" s="8">
        <v>129900</v>
      </c>
      <c r="N48" s="35">
        <v>0.9</v>
      </c>
      <c r="O48" s="34">
        <f t="shared" si="0"/>
        <v>12990</v>
      </c>
      <c r="P48" s="6" t="s">
        <v>16</v>
      </c>
    </row>
    <row r="49" spans="1:16" x14ac:dyDescent="0.35">
      <c r="A49" s="32" t="s">
        <v>6510</v>
      </c>
      <c r="B49" s="7">
        <f t="shared" si="1"/>
        <v>46121</v>
      </c>
      <c r="C49" s="7">
        <f t="shared" si="2"/>
        <v>46127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26510401</v>
      </c>
      <c r="K49" s="6" t="s">
        <v>1616</v>
      </c>
      <c r="L49" s="38" t="s">
        <v>1620</v>
      </c>
      <c r="M49" s="8">
        <v>129900</v>
      </c>
      <c r="N49" s="35">
        <v>0.9</v>
      </c>
      <c r="O49" s="34">
        <f t="shared" si="0"/>
        <v>12990</v>
      </c>
      <c r="P49" s="6" t="s">
        <v>16</v>
      </c>
    </row>
    <row r="50" spans="1:16" x14ac:dyDescent="0.35">
      <c r="A50" s="32" t="s">
        <v>6510</v>
      </c>
      <c r="B50" s="7">
        <f t="shared" si="1"/>
        <v>46121</v>
      </c>
      <c r="C50" s="7">
        <f t="shared" si="2"/>
        <v>46127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26510410</v>
      </c>
      <c r="K50" s="6" t="s">
        <v>1608</v>
      </c>
      <c r="L50" s="38" t="s">
        <v>1609</v>
      </c>
      <c r="M50" s="8">
        <v>139900</v>
      </c>
      <c r="N50" s="35">
        <v>0.9</v>
      </c>
      <c r="O50" s="34">
        <f t="shared" si="0"/>
        <v>13990</v>
      </c>
      <c r="P50" s="6" t="s">
        <v>16</v>
      </c>
    </row>
    <row r="51" spans="1:16" x14ac:dyDescent="0.35">
      <c r="A51" s="32" t="s">
        <v>6510</v>
      </c>
      <c r="B51" s="7">
        <f t="shared" si="1"/>
        <v>46121</v>
      </c>
      <c r="C51" s="7">
        <f t="shared" si="2"/>
        <v>46127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26510429</v>
      </c>
      <c r="K51" s="6" t="s">
        <v>1608</v>
      </c>
      <c r="L51" s="38" t="s">
        <v>1610</v>
      </c>
      <c r="M51" s="8">
        <v>139900</v>
      </c>
      <c r="N51" s="35">
        <v>0.9</v>
      </c>
      <c r="O51" s="34">
        <f t="shared" si="0"/>
        <v>13990</v>
      </c>
      <c r="P51" s="6" t="s">
        <v>16</v>
      </c>
    </row>
    <row r="52" spans="1:16" x14ac:dyDescent="0.35">
      <c r="A52" s="32" t="s">
        <v>6510</v>
      </c>
      <c r="B52" s="7">
        <f t="shared" si="1"/>
        <v>46121</v>
      </c>
      <c r="C52" s="7">
        <f t="shared" si="2"/>
        <v>46127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26510438</v>
      </c>
      <c r="K52" s="6" t="s">
        <v>1608</v>
      </c>
      <c r="L52" s="38" t="s">
        <v>1611</v>
      </c>
      <c r="M52" s="8">
        <v>139900</v>
      </c>
      <c r="N52" s="35">
        <v>0.9</v>
      </c>
      <c r="O52" s="34">
        <f t="shared" si="0"/>
        <v>13990</v>
      </c>
      <c r="P52" s="6" t="s">
        <v>16</v>
      </c>
    </row>
    <row r="53" spans="1:16" x14ac:dyDescent="0.35">
      <c r="A53" s="32" t="s">
        <v>6510</v>
      </c>
      <c r="B53" s="7">
        <f t="shared" si="1"/>
        <v>46121</v>
      </c>
      <c r="C53" s="7">
        <f t="shared" si="2"/>
        <v>46127</v>
      </c>
      <c r="D53" s="6">
        <v>3284</v>
      </c>
      <c r="E53" s="6">
        <v>338</v>
      </c>
      <c r="F53" s="6">
        <v>4</v>
      </c>
      <c r="G53" s="6">
        <v>4</v>
      </c>
      <c r="H53" s="6">
        <v>81421</v>
      </c>
      <c r="I53" s="6" t="s">
        <v>17</v>
      </c>
      <c r="J53" s="6">
        <v>28032522</v>
      </c>
      <c r="K53" s="6" t="s">
        <v>1623</v>
      </c>
      <c r="L53" s="38" t="s">
        <v>1624</v>
      </c>
      <c r="M53" s="8">
        <v>119900</v>
      </c>
      <c r="N53" s="35">
        <v>0.9</v>
      </c>
      <c r="O53" s="34">
        <f t="shared" si="0"/>
        <v>11990</v>
      </c>
      <c r="P53" s="6" t="s">
        <v>16</v>
      </c>
    </row>
    <row r="54" spans="1:16" x14ac:dyDescent="0.35">
      <c r="A54" s="32" t="s">
        <v>6510</v>
      </c>
      <c r="B54" s="7">
        <f t="shared" si="1"/>
        <v>46121</v>
      </c>
      <c r="C54" s="7">
        <f t="shared" si="2"/>
        <v>46127</v>
      </c>
      <c r="D54" s="6">
        <v>3284</v>
      </c>
      <c r="E54" s="6">
        <v>338</v>
      </c>
      <c r="F54" s="6">
        <v>4</v>
      </c>
      <c r="G54" s="6">
        <v>4</v>
      </c>
      <c r="H54" s="6">
        <v>81421</v>
      </c>
      <c r="I54" s="6" t="s">
        <v>17</v>
      </c>
      <c r="J54" s="6">
        <v>28032540</v>
      </c>
      <c r="K54" s="6" t="s">
        <v>1623</v>
      </c>
      <c r="L54" s="38" t="s">
        <v>1625</v>
      </c>
      <c r="M54" s="8">
        <v>119900</v>
      </c>
      <c r="N54" s="35">
        <v>0.9</v>
      </c>
      <c r="O54" s="34">
        <f t="shared" si="0"/>
        <v>11990</v>
      </c>
      <c r="P54" s="6" t="s">
        <v>16</v>
      </c>
    </row>
    <row r="55" spans="1:16" x14ac:dyDescent="0.35">
      <c r="A55" s="32" t="s">
        <v>6510</v>
      </c>
      <c r="B55" s="7">
        <f t="shared" si="1"/>
        <v>46121</v>
      </c>
      <c r="C55" s="7">
        <f t="shared" si="2"/>
        <v>46127</v>
      </c>
      <c r="D55" s="6">
        <v>3284</v>
      </c>
      <c r="E55" s="6">
        <v>338</v>
      </c>
      <c r="F55" s="6">
        <v>4</v>
      </c>
      <c r="G55" s="6">
        <v>4</v>
      </c>
      <c r="H55" s="6">
        <v>81421</v>
      </c>
      <c r="I55" s="6" t="s">
        <v>17</v>
      </c>
      <c r="J55" s="6">
        <v>32603273</v>
      </c>
      <c r="K55" s="6" t="s">
        <v>1629</v>
      </c>
      <c r="L55" s="38" t="s">
        <v>1630</v>
      </c>
      <c r="M55" s="8">
        <v>149900</v>
      </c>
      <c r="N55" s="35">
        <v>0.9</v>
      </c>
      <c r="O55" s="34">
        <f t="shared" si="0"/>
        <v>14990</v>
      </c>
      <c r="P55" s="6" t="s">
        <v>16</v>
      </c>
    </row>
    <row r="56" spans="1:16" x14ac:dyDescent="0.35">
      <c r="A56" s="32" t="s">
        <v>6510</v>
      </c>
      <c r="B56" s="7">
        <f t="shared" si="1"/>
        <v>46121</v>
      </c>
      <c r="C56" s="7">
        <f t="shared" si="2"/>
        <v>46127</v>
      </c>
      <c r="D56" s="6">
        <v>3284</v>
      </c>
      <c r="E56" s="6">
        <v>338</v>
      </c>
      <c r="F56" s="6">
        <v>4</v>
      </c>
      <c r="G56" s="6">
        <v>4</v>
      </c>
      <c r="H56" s="6">
        <v>81421</v>
      </c>
      <c r="I56" s="6" t="s">
        <v>17</v>
      </c>
      <c r="J56" s="6">
        <v>33417160</v>
      </c>
      <c r="K56" s="6" t="s">
        <v>1632</v>
      </c>
      <c r="L56" s="38" t="s">
        <v>1633</v>
      </c>
      <c r="M56" s="8">
        <v>179900</v>
      </c>
      <c r="N56" s="35">
        <v>0.9</v>
      </c>
      <c r="O56" s="34">
        <f t="shared" si="0"/>
        <v>17990</v>
      </c>
      <c r="P56" s="6" t="s">
        <v>16</v>
      </c>
    </row>
    <row r="57" spans="1:16" x14ac:dyDescent="0.35">
      <c r="A57" s="32" t="s">
        <v>6510</v>
      </c>
      <c r="B57" s="7">
        <f t="shared" si="1"/>
        <v>46121</v>
      </c>
      <c r="C57" s="7">
        <f t="shared" si="2"/>
        <v>46127</v>
      </c>
      <c r="D57" s="6">
        <v>3284</v>
      </c>
      <c r="E57" s="6">
        <v>338</v>
      </c>
      <c r="F57" s="6">
        <v>4</v>
      </c>
      <c r="G57" s="6">
        <v>4</v>
      </c>
      <c r="H57" s="6">
        <v>81421</v>
      </c>
      <c r="I57" s="6" t="s">
        <v>17</v>
      </c>
      <c r="J57" s="6">
        <v>33417179</v>
      </c>
      <c r="K57" s="6" t="s">
        <v>1632</v>
      </c>
      <c r="L57" s="38" t="s">
        <v>1634</v>
      </c>
      <c r="M57" s="8">
        <v>179900</v>
      </c>
      <c r="N57" s="35">
        <v>0.9</v>
      </c>
      <c r="O57" s="34">
        <f t="shared" si="0"/>
        <v>17990</v>
      </c>
      <c r="P57" s="6" t="s">
        <v>16</v>
      </c>
    </row>
    <row r="58" spans="1:16" x14ac:dyDescent="0.35">
      <c r="A58" s="32" t="s">
        <v>6510</v>
      </c>
      <c r="B58" s="7">
        <f t="shared" si="1"/>
        <v>46121</v>
      </c>
      <c r="C58" s="7">
        <f t="shared" si="2"/>
        <v>46127</v>
      </c>
      <c r="D58" s="6">
        <v>3284</v>
      </c>
      <c r="E58" s="6">
        <v>338</v>
      </c>
      <c r="F58" s="6">
        <v>4</v>
      </c>
      <c r="G58" s="6">
        <v>4</v>
      </c>
      <c r="H58" s="6">
        <v>81421</v>
      </c>
      <c r="I58" s="6" t="s">
        <v>17</v>
      </c>
      <c r="J58" s="6">
        <v>33417188</v>
      </c>
      <c r="K58" s="6" t="s">
        <v>1632</v>
      </c>
      <c r="L58" s="38" t="s">
        <v>1635</v>
      </c>
      <c r="M58" s="8">
        <v>179900</v>
      </c>
      <c r="N58" s="35">
        <v>0.9</v>
      </c>
      <c r="O58" s="34">
        <f t="shared" si="0"/>
        <v>17990</v>
      </c>
      <c r="P58" s="6" t="s">
        <v>16</v>
      </c>
    </row>
    <row r="59" spans="1:16" x14ac:dyDescent="0.35">
      <c r="A59" s="32" t="s">
        <v>6510</v>
      </c>
      <c r="B59" s="7">
        <f t="shared" si="1"/>
        <v>46121</v>
      </c>
      <c r="C59" s="7">
        <f t="shared" si="2"/>
        <v>46127</v>
      </c>
      <c r="D59" s="6">
        <v>3284</v>
      </c>
      <c r="E59" s="6">
        <v>338</v>
      </c>
      <c r="F59" s="6">
        <v>4</v>
      </c>
      <c r="G59" s="6">
        <v>4</v>
      </c>
      <c r="H59" s="6">
        <v>81421</v>
      </c>
      <c r="I59" s="6" t="s">
        <v>17</v>
      </c>
      <c r="J59" s="6">
        <v>33417197</v>
      </c>
      <c r="K59" s="6" t="s">
        <v>1632</v>
      </c>
      <c r="L59" s="38" t="s">
        <v>1636</v>
      </c>
      <c r="M59" s="8">
        <v>179900</v>
      </c>
      <c r="N59" s="35">
        <v>0.9</v>
      </c>
      <c r="O59" s="34">
        <f t="shared" si="0"/>
        <v>17990</v>
      </c>
      <c r="P59" s="6" t="s">
        <v>16</v>
      </c>
    </row>
    <row r="60" spans="1:16" x14ac:dyDescent="0.35">
      <c r="A60" s="32" t="s">
        <v>6510</v>
      </c>
      <c r="B60" s="7">
        <f t="shared" si="1"/>
        <v>46121</v>
      </c>
      <c r="C60" s="7">
        <f t="shared" si="2"/>
        <v>46127</v>
      </c>
      <c r="D60" s="6">
        <v>3284</v>
      </c>
      <c r="E60" s="6">
        <v>338</v>
      </c>
      <c r="F60" s="6">
        <v>4</v>
      </c>
      <c r="G60" s="6">
        <v>4</v>
      </c>
      <c r="H60" s="6">
        <v>81421</v>
      </c>
      <c r="I60" s="6" t="s">
        <v>17</v>
      </c>
      <c r="J60" s="6">
        <v>42439692</v>
      </c>
      <c r="K60" s="6" t="s">
        <v>1637</v>
      </c>
      <c r="L60" s="38" t="s">
        <v>1638</v>
      </c>
      <c r="M60" s="8">
        <v>179900</v>
      </c>
      <c r="N60" s="35">
        <v>0.9</v>
      </c>
      <c r="O60" s="34">
        <f t="shared" si="0"/>
        <v>17990</v>
      </c>
      <c r="P60" s="6" t="s">
        <v>16</v>
      </c>
    </row>
    <row r="61" spans="1:16" x14ac:dyDescent="0.35">
      <c r="A61" s="32" t="s">
        <v>6510</v>
      </c>
      <c r="B61" s="7">
        <f t="shared" si="1"/>
        <v>46121</v>
      </c>
      <c r="C61" s="7">
        <f t="shared" si="2"/>
        <v>46127</v>
      </c>
      <c r="D61" s="6">
        <v>3284</v>
      </c>
      <c r="E61" s="6">
        <v>338</v>
      </c>
      <c r="F61" s="6">
        <v>4</v>
      </c>
      <c r="G61" s="6">
        <v>4</v>
      </c>
      <c r="H61" s="6">
        <v>81421</v>
      </c>
      <c r="I61" s="6" t="s">
        <v>17</v>
      </c>
      <c r="J61" s="6">
        <v>42439727</v>
      </c>
      <c r="K61" s="6" t="s">
        <v>1637</v>
      </c>
      <c r="L61" s="38" t="s">
        <v>1639</v>
      </c>
      <c r="M61" s="8">
        <v>179900</v>
      </c>
      <c r="N61" s="35">
        <v>0.9</v>
      </c>
      <c r="O61" s="34">
        <f t="shared" si="0"/>
        <v>17990</v>
      </c>
      <c r="P61" s="6" t="s">
        <v>16</v>
      </c>
    </row>
    <row r="62" spans="1:16" x14ac:dyDescent="0.35">
      <c r="A62" s="32" t="s">
        <v>6510</v>
      </c>
      <c r="B62" s="7">
        <f t="shared" si="1"/>
        <v>46121</v>
      </c>
      <c r="C62" s="7">
        <f t="shared" si="2"/>
        <v>46127</v>
      </c>
      <c r="D62" s="6">
        <v>3284</v>
      </c>
      <c r="E62" s="6">
        <v>338</v>
      </c>
      <c r="F62" s="6">
        <v>4</v>
      </c>
      <c r="G62" s="6">
        <v>4</v>
      </c>
      <c r="H62" s="6">
        <v>81421</v>
      </c>
      <c r="I62" s="6" t="s">
        <v>17</v>
      </c>
      <c r="J62" s="6">
        <v>26699692</v>
      </c>
      <c r="K62" s="6" t="s">
        <v>1621</v>
      </c>
      <c r="L62" s="38" t="s">
        <v>1622</v>
      </c>
      <c r="M62" s="8">
        <v>189900</v>
      </c>
      <c r="N62" s="35">
        <v>0.9</v>
      </c>
      <c r="O62" s="34">
        <f t="shared" si="0"/>
        <v>18990</v>
      </c>
      <c r="P62" s="6" t="s">
        <v>16</v>
      </c>
    </row>
    <row r="63" spans="1:16" x14ac:dyDescent="0.35">
      <c r="A63" s="32" t="s">
        <v>6510</v>
      </c>
      <c r="B63" s="7">
        <f t="shared" si="1"/>
        <v>46121</v>
      </c>
      <c r="C63" s="7">
        <f t="shared" si="2"/>
        <v>46127</v>
      </c>
      <c r="D63" s="6">
        <v>3284</v>
      </c>
      <c r="E63" s="6">
        <v>338</v>
      </c>
      <c r="F63" s="6">
        <v>4</v>
      </c>
      <c r="G63" s="6">
        <v>4</v>
      </c>
      <c r="H63" s="6">
        <v>81421</v>
      </c>
      <c r="I63" s="6" t="s">
        <v>17</v>
      </c>
      <c r="J63" s="6">
        <v>28350983</v>
      </c>
      <c r="K63" s="6" t="s">
        <v>1626</v>
      </c>
      <c r="L63" s="38" t="s">
        <v>1627</v>
      </c>
      <c r="M63" s="8">
        <v>159900</v>
      </c>
      <c r="N63" s="35">
        <v>0.9</v>
      </c>
      <c r="O63" s="34">
        <f t="shared" si="0"/>
        <v>15990</v>
      </c>
      <c r="P63" s="6" t="s">
        <v>16</v>
      </c>
    </row>
    <row r="64" spans="1:16" x14ac:dyDescent="0.35">
      <c r="A64" s="32" t="s">
        <v>6510</v>
      </c>
      <c r="B64" s="7">
        <f t="shared" si="1"/>
        <v>46121</v>
      </c>
      <c r="C64" s="7">
        <f t="shared" si="2"/>
        <v>46127</v>
      </c>
      <c r="D64" s="6">
        <v>3284</v>
      </c>
      <c r="E64" s="6">
        <v>338</v>
      </c>
      <c r="F64" s="6">
        <v>4</v>
      </c>
      <c r="G64" s="6">
        <v>4</v>
      </c>
      <c r="H64" s="6">
        <v>81421</v>
      </c>
      <c r="I64" s="6" t="s">
        <v>17</v>
      </c>
      <c r="J64" s="6">
        <v>28350992</v>
      </c>
      <c r="K64" s="6" t="s">
        <v>1626</v>
      </c>
      <c r="L64" s="38" t="s">
        <v>1628</v>
      </c>
      <c r="M64" s="8">
        <v>159900</v>
      </c>
      <c r="N64" s="35">
        <v>0.9</v>
      </c>
      <c r="O64" s="34">
        <f t="shared" si="0"/>
        <v>15990</v>
      </c>
      <c r="P64" s="6" t="s">
        <v>16</v>
      </c>
    </row>
    <row r="65" spans="1:16" x14ac:dyDescent="0.35">
      <c r="A65" s="32" t="s">
        <v>6510</v>
      </c>
      <c r="B65" s="7">
        <f t="shared" si="1"/>
        <v>46121</v>
      </c>
      <c r="C65" s="7">
        <f t="shared" si="2"/>
        <v>46127</v>
      </c>
      <c r="D65" s="6">
        <v>3284</v>
      </c>
      <c r="E65" s="6">
        <v>338</v>
      </c>
      <c r="F65" s="6">
        <v>4</v>
      </c>
      <c r="G65" s="6">
        <v>4</v>
      </c>
      <c r="H65" s="6">
        <v>81421</v>
      </c>
      <c r="I65" s="6" t="s">
        <v>17</v>
      </c>
      <c r="J65" s="6">
        <v>32764840</v>
      </c>
      <c r="K65" s="6" t="s">
        <v>147</v>
      </c>
      <c r="L65" s="38" t="s">
        <v>1631</v>
      </c>
      <c r="M65" s="8">
        <v>179900</v>
      </c>
      <c r="N65" s="35">
        <v>0.9</v>
      </c>
      <c r="O65" s="34">
        <f t="shared" si="0"/>
        <v>17990</v>
      </c>
      <c r="P65" s="6" t="s">
        <v>16</v>
      </c>
    </row>
    <row r="66" spans="1:16" x14ac:dyDescent="0.35">
      <c r="A66" s="32" t="s">
        <v>6510</v>
      </c>
      <c r="B66" s="7">
        <f t="shared" si="1"/>
        <v>46121</v>
      </c>
      <c r="C66" s="7">
        <f t="shared" si="2"/>
        <v>46127</v>
      </c>
      <c r="D66" s="6">
        <v>3284</v>
      </c>
      <c r="E66" s="6">
        <v>338</v>
      </c>
      <c r="F66" s="6">
        <v>4</v>
      </c>
      <c r="G66" s="6">
        <v>4</v>
      </c>
      <c r="H66" s="6">
        <v>190</v>
      </c>
      <c r="I66" s="6" t="s">
        <v>17</v>
      </c>
      <c r="J66" s="6">
        <v>27046073</v>
      </c>
      <c r="K66" s="6" t="s">
        <v>1640</v>
      </c>
      <c r="L66" s="38" t="s">
        <v>1641</v>
      </c>
      <c r="M66" s="8">
        <v>189900</v>
      </c>
      <c r="N66" s="35">
        <v>0.9</v>
      </c>
      <c r="O66" s="34">
        <f t="shared" si="0"/>
        <v>18990</v>
      </c>
      <c r="P66" s="6" t="s">
        <v>16</v>
      </c>
    </row>
    <row r="67" spans="1:16" x14ac:dyDescent="0.35">
      <c r="A67" s="32" t="s">
        <v>6510</v>
      </c>
      <c r="B67" s="7">
        <f t="shared" si="1"/>
        <v>46121</v>
      </c>
      <c r="C67" s="7">
        <f t="shared" si="2"/>
        <v>46127</v>
      </c>
      <c r="D67" s="6">
        <v>3284</v>
      </c>
      <c r="E67" s="6">
        <v>338</v>
      </c>
      <c r="F67" s="6">
        <v>4</v>
      </c>
      <c r="G67" s="6">
        <v>4</v>
      </c>
      <c r="H67" s="6">
        <v>190</v>
      </c>
      <c r="I67" s="6" t="s">
        <v>17</v>
      </c>
      <c r="J67" s="6">
        <v>33028796</v>
      </c>
      <c r="K67" s="6" t="s">
        <v>1646</v>
      </c>
      <c r="L67" s="38" t="s">
        <v>1647</v>
      </c>
      <c r="M67" s="8">
        <v>189900</v>
      </c>
      <c r="N67" s="35">
        <v>0.9</v>
      </c>
      <c r="O67" s="34">
        <f t="shared" ref="O67:O99" si="3">M67-((90*M67)/100)</f>
        <v>18990</v>
      </c>
      <c r="P67" s="6" t="s">
        <v>16</v>
      </c>
    </row>
    <row r="68" spans="1:16" x14ac:dyDescent="0.35">
      <c r="A68" s="32" t="s">
        <v>6510</v>
      </c>
      <c r="B68" s="7">
        <f t="shared" ref="B68:B99" si="4">B67</f>
        <v>46121</v>
      </c>
      <c r="C68" s="7">
        <f t="shared" ref="C68:C99" si="5">C67</f>
        <v>46127</v>
      </c>
      <c r="D68" s="6">
        <v>3284</v>
      </c>
      <c r="E68" s="6">
        <v>338</v>
      </c>
      <c r="F68" s="6">
        <v>4</v>
      </c>
      <c r="G68" s="6">
        <v>4</v>
      </c>
      <c r="H68" s="6">
        <v>190</v>
      </c>
      <c r="I68" s="6" t="s">
        <v>17</v>
      </c>
      <c r="J68" s="6">
        <v>32705565</v>
      </c>
      <c r="K68" s="6" t="s">
        <v>1642</v>
      </c>
      <c r="L68" s="38" t="s">
        <v>1643</v>
      </c>
      <c r="M68" s="8">
        <v>159900</v>
      </c>
      <c r="N68" s="35">
        <v>0.9</v>
      </c>
      <c r="O68" s="34">
        <f t="shared" si="3"/>
        <v>15990</v>
      </c>
      <c r="P68" s="6" t="s">
        <v>16</v>
      </c>
    </row>
    <row r="69" spans="1:16" x14ac:dyDescent="0.35">
      <c r="A69" s="32" t="s">
        <v>6510</v>
      </c>
      <c r="B69" s="7">
        <f t="shared" si="4"/>
        <v>46121</v>
      </c>
      <c r="C69" s="7">
        <f t="shared" si="5"/>
        <v>46127</v>
      </c>
      <c r="D69" s="6">
        <v>3284</v>
      </c>
      <c r="E69" s="6">
        <v>338</v>
      </c>
      <c r="F69" s="6">
        <v>4</v>
      </c>
      <c r="G69" s="6">
        <v>4</v>
      </c>
      <c r="H69" s="6">
        <v>190</v>
      </c>
      <c r="I69" s="6" t="s">
        <v>17</v>
      </c>
      <c r="J69" s="6">
        <v>32705574</v>
      </c>
      <c r="K69" s="6" t="s">
        <v>1642</v>
      </c>
      <c r="L69" s="38" t="s">
        <v>1644</v>
      </c>
      <c r="M69" s="8">
        <v>159900</v>
      </c>
      <c r="N69" s="35">
        <v>0.9</v>
      </c>
      <c r="O69" s="34">
        <f t="shared" si="3"/>
        <v>15990</v>
      </c>
      <c r="P69" s="6" t="s">
        <v>16</v>
      </c>
    </row>
    <row r="70" spans="1:16" x14ac:dyDescent="0.35">
      <c r="A70" s="32" t="s">
        <v>6510</v>
      </c>
      <c r="B70" s="7">
        <f t="shared" si="4"/>
        <v>46121</v>
      </c>
      <c r="C70" s="7">
        <f t="shared" si="5"/>
        <v>46127</v>
      </c>
      <c r="D70" s="6">
        <v>3284</v>
      </c>
      <c r="E70" s="6">
        <v>338</v>
      </c>
      <c r="F70" s="6">
        <v>4</v>
      </c>
      <c r="G70" s="6">
        <v>4</v>
      </c>
      <c r="H70" s="6">
        <v>190</v>
      </c>
      <c r="I70" s="6" t="s">
        <v>17</v>
      </c>
      <c r="J70" s="6">
        <v>32705583</v>
      </c>
      <c r="K70" s="6" t="s">
        <v>1642</v>
      </c>
      <c r="L70" s="38" t="s">
        <v>1645</v>
      </c>
      <c r="M70" s="8">
        <v>159900</v>
      </c>
      <c r="N70" s="35">
        <v>0.9</v>
      </c>
      <c r="O70" s="34">
        <f t="shared" si="3"/>
        <v>15990</v>
      </c>
      <c r="P70" s="6" t="s">
        <v>16</v>
      </c>
    </row>
    <row r="71" spans="1:16" x14ac:dyDescent="0.35">
      <c r="A71" s="32" t="s">
        <v>6510</v>
      </c>
      <c r="B71" s="7">
        <f t="shared" si="4"/>
        <v>46121</v>
      </c>
      <c r="C71" s="7">
        <f t="shared" si="5"/>
        <v>46127</v>
      </c>
      <c r="D71" s="6">
        <v>3284</v>
      </c>
      <c r="E71" s="6">
        <v>338</v>
      </c>
      <c r="F71" s="6">
        <v>4</v>
      </c>
      <c r="G71" s="6">
        <v>5</v>
      </c>
      <c r="H71" s="6">
        <v>81421</v>
      </c>
      <c r="I71" s="6" t="s">
        <v>17</v>
      </c>
      <c r="J71" s="6">
        <v>24862455</v>
      </c>
      <c r="K71" s="6" t="s">
        <v>1648</v>
      </c>
      <c r="L71" s="38" t="s">
        <v>1649</v>
      </c>
      <c r="M71" s="8">
        <v>169900</v>
      </c>
      <c r="N71" s="35">
        <v>0.9</v>
      </c>
      <c r="O71" s="34">
        <f t="shared" si="3"/>
        <v>16990</v>
      </c>
      <c r="P71" s="6" t="s">
        <v>16</v>
      </c>
    </row>
    <row r="72" spans="1:16" x14ac:dyDescent="0.35">
      <c r="A72" s="32" t="s">
        <v>6510</v>
      </c>
      <c r="B72" s="7">
        <f t="shared" si="4"/>
        <v>46121</v>
      </c>
      <c r="C72" s="7">
        <f t="shared" si="5"/>
        <v>46127</v>
      </c>
      <c r="D72" s="6">
        <v>3284</v>
      </c>
      <c r="E72" s="6">
        <v>338</v>
      </c>
      <c r="F72" s="6">
        <v>4</v>
      </c>
      <c r="G72" s="6">
        <v>5</v>
      </c>
      <c r="H72" s="6">
        <v>81421</v>
      </c>
      <c r="I72" s="6" t="s">
        <v>17</v>
      </c>
      <c r="J72" s="6">
        <v>24862464</v>
      </c>
      <c r="K72" s="6" t="s">
        <v>1648</v>
      </c>
      <c r="L72" s="38" t="s">
        <v>1650</v>
      </c>
      <c r="M72" s="8">
        <v>169900</v>
      </c>
      <c r="N72" s="35">
        <v>0.9</v>
      </c>
      <c r="O72" s="34">
        <f t="shared" si="3"/>
        <v>16990</v>
      </c>
      <c r="P72" s="6" t="s">
        <v>16</v>
      </c>
    </row>
    <row r="73" spans="1:16" x14ac:dyDescent="0.35">
      <c r="A73" s="32" t="s">
        <v>6510</v>
      </c>
      <c r="B73" s="7">
        <f t="shared" si="4"/>
        <v>46121</v>
      </c>
      <c r="C73" s="7">
        <f t="shared" si="5"/>
        <v>46127</v>
      </c>
      <c r="D73" s="6">
        <v>3284</v>
      </c>
      <c r="E73" s="6">
        <v>338</v>
      </c>
      <c r="F73" s="6">
        <v>4</v>
      </c>
      <c r="G73" s="6">
        <v>5</v>
      </c>
      <c r="H73" s="6">
        <v>81421</v>
      </c>
      <c r="I73" s="6" t="s">
        <v>17</v>
      </c>
      <c r="J73" s="6">
        <v>24862473</v>
      </c>
      <c r="K73" s="6" t="s">
        <v>1648</v>
      </c>
      <c r="L73" s="38" t="s">
        <v>1651</v>
      </c>
      <c r="M73" s="8">
        <v>169900</v>
      </c>
      <c r="N73" s="35">
        <v>0.9</v>
      </c>
      <c r="O73" s="34">
        <f t="shared" si="3"/>
        <v>16990</v>
      </c>
      <c r="P73" s="6" t="s">
        <v>16</v>
      </c>
    </row>
    <row r="74" spans="1:16" x14ac:dyDescent="0.35">
      <c r="A74" s="32" t="s">
        <v>6510</v>
      </c>
      <c r="B74" s="7">
        <f t="shared" si="4"/>
        <v>46121</v>
      </c>
      <c r="C74" s="7">
        <f t="shared" si="5"/>
        <v>46127</v>
      </c>
      <c r="D74" s="6">
        <v>3284</v>
      </c>
      <c r="E74" s="6">
        <v>338</v>
      </c>
      <c r="F74" s="6">
        <v>4</v>
      </c>
      <c r="G74" s="6">
        <v>5</v>
      </c>
      <c r="H74" s="6">
        <v>81421</v>
      </c>
      <c r="I74" s="6" t="s">
        <v>17</v>
      </c>
      <c r="J74" s="6">
        <v>26278682</v>
      </c>
      <c r="K74" s="6" t="s">
        <v>1652</v>
      </c>
      <c r="L74" s="38" t="s">
        <v>1653</v>
      </c>
      <c r="M74" s="8">
        <v>189900</v>
      </c>
      <c r="N74" s="35">
        <v>0.9</v>
      </c>
      <c r="O74" s="34">
        <f t="shared" si="3"/>
        <v>18990</v>
      </c>
      <c r="P74" s="6" t="s">
        <v>16</v>
      </c>
    </row>
    <row r="75" spans="1:16" x14ac:dyDescent="0.35">
      <c r="A75" s="32" t="s">
        <v>6510</v>
      </c>
      <c r="B75" s="7">
        <f t="shared" si="4"/>
        <v>46121</v>
      </c>
      <c r="C75" s="7">
        <f t="shared" si="5"/>
        <v>46127</v>
      </c>
      <c r="D75" s="6">
        <v>3284</v>
      </c>
      <c r="E75" s="6">
        <v>338</v>
      </c>
      <c r="F75" s="6">
        <v>4</v>
      </c>
      <c r="G75" s="6">
        <v>5</v>
      </c>
      <c r="H75" s="6">
        <v>81421</v>
      </c>
      <c r="I75" s="6" t="s">
        <v>17</v>
      </c>
      <c r="J75" s="6">
        <v>26278708</v>
      </c>
      <c r="K75" s="6" t="s">
        <v>1652</v>
      </c>
      <c r="L75" s="38" t="s">
        <v>1654</v>
      </c>
      <c r="M75" s="8">
        <v>189900</v>
      </c>
      <c r="N75" s="35">
        <v>0.9</v>
      </c>
      <c r="O75" s="34">
        <f t="shared" si="3"/>
        <v>18990</v>
      </c>
      <c r="P75" s="6" t="s">
        <v>16</v>
      </c>
    </row>
    <row r="76" spans="1:16" x14ac:dyDescent="0.35">
      <c r="A76" s="32" t="s">
        <v>6510</v>
      </c>
      <c r="B76" s="7">
        <f t="shared" si="4"/>
        <v>46121</v>
      </c>
      <c r="C76" s="7">
        <f t="shared" si="5"/>
        <v>46127</v>
      </c>
      <c r="D76" s="6">
        <v>3284</v>
      </c>
      <c r="E76" s="6">
        <v>338</v>
      </c>
      <c r="F76" s="6">
        <v>4</v>
      </c>
      <c r="G76" s="6">
        <v>5</v>
      </c>
      <c r="H76" s="6">
        <v>81421</v>
      </c>
      <c r="I76" s="6" t="s">
        <v>17</v>
      </c>
      <c r="J76" s="6">
        <v>26278717</v>
      </c>
      <c r="K76" s="6" t="s">
        <v>1652</v>
      </c>
      <c r="L76" s="38" t="s">
        <v>1655</v>
      </c>
      <c r="M76" s="8">
        <v>189900</v>
      </c>
      <c r="N76" s="35">
        <v>0.9</v>
      </c>
      <c r="O76" s="34">
        <f t="shared" si="3"/>
        <v>18990</v>
      </c>
      <c r="P76" s="6" t="s">
        <v>16</v>
      </c>
    </row>
    <row r="77" spans="1:16" x14ac:dyDescent="0.35">
      <c r="A77" s="32" t="s">
        <v>6510</v>
      </c>
      <c r="B77" s="7">
        <f t="shared" si="4"/>
        <v>46121</v>
      </c>
      <c r="C77" s="7">
        <f t="shared" si="5"/>
        <v>46127</v>
      </c>
      <c r="D77" s="6">
        <v>3284</v>
      </c>
      <c r="E77" s="6">
        <v>338</v>
      </c>
      <c r="F77" s="6">
        <v>4</v>
      </c>
      <c r="G77" s="6">
        <v>5</v>
      </c>
      <c r="H77" s="6">
        <v>81421</v>
      </c>
      <c r="I77" s="6" t="s">
        <v>17</v>
      </c>
      <c r="J77" s="6">
        <v>27034246</v>
      </c>
      <c r="K77" s="6" t="s">
        <v>1656</v>
      </c>
      <c r="L77" s="38" t="s">
        <v>1657</v>
      </c>
      <c r="M77" s="8">
        <v>189900</v>
      </c>
      <c r="N77" s="35">
        <v>0.9</v>
      </c>
      <c r="O77" s="34">
        <f t="shared" si="3"/>
        <v>18990</v>
      </c>
      <c r="P77" s="6" t="s">
        <v>16</v>
      </c>
    </row>
    <row r="78" spans="1:16" x14ac:dyDescent="0.35">
      <c r="A78" s="32" t="s">
        <v>6510</v>
      </c>
      <c r="B78" s="7">
        <f t="shared" si="4"/>
        <v>46121</v>
      </c>
      <c r="C78" s="7">
        <f t="shared" si="5"/>
        <v>46127</v>
      </c>
      <c r="D78" s="6">
        <v>3284</v>
      </c>
      <c r="E78" s="6">
        <v>338</v>
      </c>
      <c r="F78" s="6">
        <v>4</v>
      </c>
      <c r="G78" s="6">
        <v>5</v>
      </c>
      <c r="H78" s="6">
        <v>81421</v>
      </c>
      <c r="I78" s="6" t="s">
        <v>17</v>
      </c>
      <c r="J78" s="6">
        <v>27034255</v>
      </c>
      <c r="K78" s="6" t="s">
        <v>1656</v>
      </c>
      <c r="L78" s="38" t="s">
        <v>1658</v>
      </c>
      <c r="M78" s="8">
        <v>189900</v>
      </c>
      <c r="N78" s="35">
        <v>0.9</v>
      </c>
      <c r="O78" s="34">
        <f t="shared" si="3"/>
        <v>18990</v>
      </c>
      <c r="P78" s="6" t="s">
        <v>16</v>
      </c>
    </row>
    <row r="79" spans="1:16" x14ac:dyDescent="0.35">
      <c r="A79" s="32" t="s">
        <v>6510</v>
      </c>
      <c r="B79" s="7">
        <f t="shared" si="4"/>
        <v>46121</v>
      </c>
      <c r="C79" s="7">
        <f t="shared" si="5"/>
        <v>46127</v>
      </c>
      <c r="D79" s="6">
        <v>3284</v>
      </c>
      <c r="E79" s="6">
        <v>338</v>
      </c>
      <c r="F79" s="6">
        <v>4</v>
      </c>
      <c r="G79" s="6">
        <v>5</v>
      </c>
      <c r="H79" s="6">
        <v>81421</v>
      </c>
      <c r="I79" s="6" t="s">
        <v>17</v>
      </c>
      <c r="J79" s="6">
        <v>28351535</v>
      </c>
      <c r="K79" s="6" t="s">
        <v>1659</v>
      </c>
      <c r="L79" s="38" t="s">
        <v>1660</v>
      </c>
      <c r="M79" s="8">
        <v>179900</v>
      </c>
      <c r="N79" s="35">
        <v>0.9</v>
      </c>
      <c r="O79" s="34">
        <f t="shared" si="3"/>
        <v>17990</v>
      </c>
      <c r="P79" s="6" t="s">
        <v>16</v>
      </c>
    </row>
    <row r="80" spans="1:16" x14ac:dyDescent="0.35">
      <c r="A80" s="32" t="s">
        <v>6510</v>
      </c>
      <c r="B80" s="7">
        <f t="shared" si="4"/>
        <v>46121</v>
      </c>
      <c r="C80" s="7">
        <f t="shared" si="5"/>
        <v>46127</v>
      </c>
      <c r="D80" s="6">
        <v>3284</v>
      </c>
      <c r="E80" s="6">
        <v>338</v>
      </c>
      <c r="F80" s="6">
        <v>4</v>
      </c>
      <c r="G80" s="6">
        <v>5</v>
      </c>
      <c r="H80" s="6">
        <v>81421</v>
      </c>
      <c r="I80" s="6" t="s">
        <v>17</v>
      </c>
      <c r="J80" s="6">
        <v>28351544</v>
      </c>
      <c r="K80" s="6" t="s">
        <v>1659</v>
      </c>
      <c r="L80" s="38" t="s">
        <v>1661</v>
      </c>
      <c r="M80" s="8">
        <v>179900</v>
      </c>
      <c r="N80" s="35">
        <v>0.9</v>
      </c>
      <c r="O80" s="34">
        <f t="shared" si="3"/>
        <v>17990</v>
      </c>
      <c r="P80" s="6" t="s">
        <v>16</v>
      </c>
    </row>
    <row r="81" spans="1:16" x14ac:dyDescent="0.35">
      <c r="A81" s="32" t="s">
        <v>6510</v>
      </c>
      <c r="B81" s="7">
        <f t="shared" si="4"/>
        <v>46121</v>
      </c>
      <c r="C81" s="7">
        <f t="shared" si="5"/>
        <v>46127</v>
      </c>
      <c r="D81" s="6">
        <v>3284</v>
      </c>
      <c r="E81" s="6">
        <v>338</v>
      </c>
      <c r="F81" s="6">
        <v>4</v>
      </c>
      <c r="G81" s="6">
        <v>5</v>
      </c>
      <c r="H81" s="6">
        <v>81421</v>
      </c>
      <c r="I81" s="6" t="s">
        <v>17</v>
      </c>
      <c r="J81" s="6">
        <v>28351562</v>
      </c>
      <c r="K81" s="6" t="s">
        <v>1659</v>
      </c>
      <c r="L81" s="38" t="s">
        <v>1662</v>
      </c>
      <c r="M81" s="8">
        <v>179900</v>
      </c>
      <c r="N81" s="35">
        <v>0.9</v>
      </c>
      <c r="O81" s="34">
        <f t="shared" si="3"/>
        <v>17990</v>
      </c>
      <c r="P81" s="6" t="s">
        <v>16</v>
      </c>
    </row>
    <row r="82" spans="1:16" x14ac:dyDescent="0.35">
      <c r="A82" s="32" t="s">
        <v>6510</v>
      </c>
      <c r="B82" s="7">
        <f t="shared" si="4"/>
        <v>46121</v>
      </c>
      <c r="C82" s="7">
        <f t="shared" si="5"/>
        <v>46127</v>
      </c>
      <c r="D82" s="6">
        <v>3284</v>
      </c>
      <c r="E82" s="6">
        <v>338</v>
      </c>
      <c r="F82" s="6">
        <v>4</v>
      </c>
      <c r="G82" s="6">
        <v>5</v>
      </c>
      <c r="H82" s="6">
        <v>81421</v>
      </c>
      <c r="I82" s="6" t="s">
        <v>17</v>
      </c>
      <c r="J82" s="6">
        <v>33259180</v>
      </c>
      <c r="K82" s="6" t="s">
        <v>1671</v>
      </c>
      <c r="L82" s="38" t="s">
        <v>1672</v>
      </c>
      <c r="M82" s="8">
        <v>179900</v>
      </c>
      <c r="N82" s="35">
        <v>0.9</v>
      </c>
      <c r="O82" s="34">
        <f t="shared" si="3"/>
        <v>17990</v>
      </c>
      <c r="P82" s="6" t="s">
        <v>16</v>
      </c>
    </row>
    <row r="83" spans="1:16" x14ac:dyDescent="0.35">
      <c r="A83" s="32" t="s">
        <v>6510</v>
      </c>
      <c r="B83" s="7">
        <f t="shared" si="4"/>
        <v>46121</v>
      </c>
      <c r="C83" s="7">
        <f t="shared" si="5"/>
        <v>46127</v>
      </c>
      <c r="D83" s="6">
        <v>3284</v>
      </c>
      <c r="E83" s="6">
        <v>338</v>
      </c>
      <c r="F83" s="6">
        <v>4</v>
      </c>
      <c r="G83" s="6">
        <v>5</v>
      </c>
      <c r="H83" s="6">
        <v>81421</v>
      </c>
      <c r="I83" s="6" t="s">
        <v>17</v>
      </c>
      <c r="J83" s="6">
        <v>33259199</v>
      </c>
      <c r="K83" s="6" t="s">
        <v>1671</v>
      </c>
      <c r="L83" s="38" t="s">
        <v>1673</v>
      </c>
      <c r="M83" s="8">
        <v>179900</v>
      </c>
      <c r="N83" s="35">
        <v>0.9</v>
      </c>
      <c r="O83" s="34">
        <f t="shared" si="3"/>
        <v>17990</v>
      </c>
      <c r="P83" s="6" t="s">
        <v>16</v>
      </c>
    </row>
    <row r="84" spans="1:16" x14ac:dyDescent="0.35">
      <c r="A84" s="32" t="s">
        <v>6510</v>
      </c>
      <c r="B84" s="7">
        <f t="shared" si="4"/>
        <v>46121</v>
      </c>
      <c r="C84" s="7">
        <f t="shared" si="5"/>
        <v>46127</v>
      </c>
      <c r="D84" s="6">
        <v>3284</v>
      </c>
      <c r="E84" s="6">
        <v>338</v>
      </c>
      <c r="F84" s="6">
        <v>4</v>
      </c>
      <c r="G84" s="6">
        <v>5</v>
      </c>
      <c r="H84" s="6">
        <v>81421</v>
      </c>
      <c r="I84" s="6" t="s">
        <v>17</v>
      </c>
      <c r="J84" s="6">
        <v>33259206</v>
      </c>
      <c r="K84" s="6" t="s">
        <v>1671</v>
      </c>
      <c r="L84" s="38" t="s">
        <v>1674</v>
      </c>
      <c r="M84" s="8">
        <v>179900</v>
      </c>
      <c r="N84" s="35">
        <v>0.9</v>
      </c>
      <c r="O84" s="34">
        <f t="shared" si="3"/>
        <v>17990</v>
      </c>
      <c r="P84" s="6" t="s">
        <v>16</v>
      </c>
    </row>
    <row r="85" spans="1:16" x14ac:dyDescent="0.35">
      <c r="A85" s="32" t="s">
        <v>6510</v>
      </c>
      <c r="B85" s="7">
        <f t="shared" si="4"/>
        <v>46121</v>
      </c>
      <c r="C85" s="7">
        <f t="shared" si="5"/>
        <v>46127</v>
      </c>
      <c r="D85" s="6">
        <v>3284</v>
      </c>
      <c r="E85" s="6">
        <v>338</v>
      </c>
      <c r="F85" s="6">
        <v>4</v>
      </c>
      <c r="G85" s="6">
        <v>5</v>
      </c>
      <c r="H85" s="6">
        <v>81421</v>
      </c>
      <c r="I85" s="6" t="s">
        <v>17</v>
      </c>
      <c r="J85" s="6">
        <v>33259215</v>
      </c>
      <c r="K85" s="6" t="s">
        <v>1671</v>
      </c>
      <c r="L85" s="38" t="s">
        <v>1675</v>
      </c>
      <c r="M85" s="8">
        <v>179900</v>
      </c>
      <c r="N85" s="35">
        <v>0.9</v>
      </c>
      <c r="O85" s="34">
        <f t="shared" si="3"/>
        <v>17990</v>
      </c>
      <c r="P85" s="6" t="s">
        <v>16</v>
      </c>
    </row>
    <row r="86" spans="1:16" x14ac:dyDescent="0.35">
      <c r="A86" s="32" t="s">
        <v>6510</v>
      </c>
      <c r="B86" s="7">
        <f t="shared" si="4"/>
        <v>46121</v>
      </c>
      <c r="C86" s="7">
        <f t="shared" si="5"/>
        <v>46127</v>
      </c>
      <c r="D86" s="6">
        <v>3284</v>
      </c>
      <c r="E86" s="6">
        <v>338</v>
      </c>
      <c r="F86" s="6">
        <v>4</v>
      </c>
      <c r="G86" s="6">
        <v>5</v>
      </c>
      <c r="H86" s="6">
        <v>81421</v>
      </c>
      <c r="I86" s="6" t="s">
        <v>17</v>
      </c>
      <c r="J86" s="6">
        <v>33417204</v>
      </c>
      <c r="K86" s="6" t="s">
        <v>1676</v>
      </c>
      <c r="L86" s="38" t="s">
        <v>1677</v>
      </c>
      <c r="M86" s="8">
        <v>179900</v>
      </c>
      <c r="N86" s="35">
        <v>0.9</v>
      </c>
      <c r="O86" s="34">
        <f t="shared" si="3"/>
        <v>17990</v>
      </c>
      <c r="P86" s="6" t="s">
        <v>16</v>
      </c>
    </row>
    <row r="87" spans="1:16" x14ac:dyDescent="0.35">
      <c r="A87" s="32" t="s">
        <v>6510</v>
      </c>
      <c r="B87" s="7">
        <f t="shared" si="4"/>
        <v>46121</v>
      </c>
      <c r="C87" s="7">
        <f t="shared" si="5"/>
        <v>46127</v>
      </c>
      <c r="D87" s="6">
        <v>3284</v>
      </c>
      <c r="E87" s="6">
        <v>338</v>
      </c>
      <c r="F87" s="6">
        <v>4</v>
      </c>
      <c r="G87" s="6">
        <v>5</v>
      </c>
      <c r="H87" s="6">
        <v>81421</v>
      </c>
      <c r="I87" s="6" t="s">
        <v>17</v>
      </c>
      <c r="J87" s="6">
        <v>33417213</v>
      </c>
      <c r="K87" s="6" t="s">
        <v>1676</v>
      </c>
      <c r="L87" s="38" t="s">
        <v>1678</v>
      </c>
      <c r="M87" s="8">
        <v>179900</v>
      </c>
      <c r="N87" s="35">
        <v>0.9</v>
      </c>
      <c r="O87" s="34">
        <f t="shared" si="3"/>
        <v>17990</v>
      </c>
      <c r="P87" s="6" t="s">
        <v>16</v>
      </c>
    </row>
    <row r="88" spans="1:16" x14ac:dyDescent="0.35">
      <c r="A88" s="32" t="s">
        <v>6510</v>
      </c>
      <c r="B88" s="7">
        <f t="shared" si="4"/>
        <v>46121</v>
      </c>
      <c r="C88" s="7">
        <f t="shared" si="5"/>
        <v>46127</v>
      </c>
      <c r="D88" s="6">
        <v>3284</v>
      </c>
      <c r="E88" s="6">
        <v>338</v>
      </c>
      <c r="F88" s="6">
        <v>4</v>
      </c>
      <c r="G88" s="6">
        <v>5</v>
      </c>
      <c r="H88" s="6">
        <v>81421</v>
      </c>
      <c r="I88" s="6" t="s">
        <v>17</v>
      </c>
      <c r="J88" s="6">
        <v>33417222</v>
      </c>
      <c r="K88" s="6" t="s">
        <v>1676</v>
      </c>
      <c r="L88" s="38" t="s">
        <v>1679</v>
      </c>
      <c r="M88" s="8">
        <v>179900</v>
      </c>
      <c r="N88" s="35">
        <v>0.9</v>
      </c>
      <c r="O88" s="34">
        <f t="shared" si="3"/>
        <v>17990</v>
      </c>
      <c r="P88" s="6" t="s">
        <v>16</v>
      </c>
    </row>
    <row r="89" spans="1:16" x14ac:dyDescent="0.35">
      <c r="A89" s="32" t="s">
        <v>6510</v>
      </c>
      <c r="B89" s="7">
        <f t="shared" si="4"/>
        <v>46121</v>
      </c>
      <c r="C89" s="7">
        <f t="shared" si="5"/>
        <v>46127</v>
      </c>
      <c r="D89" s="6">
        <v>3284</v>
      </c>
      <c r="E89" s="6">
        <v>338</v>
      </c>
      <c r="F89" s="6">
        <v>4</v>
      </c>
      <c r="G89" s="6">
        <v>5</v>
      </c>
      <c r="H89" s="6">
        <v>81421</v>
      </c>
      <c r="I89" s="6" t="s">
        <v>17</v>
      </c>
      <c r="J89" s="6">
        <v>33417231</v>
      </c>
      <c r="K89" s="6" t="s">
        <v>1676</v>
      </c>
      <c r="L89" s="38" t="s">
        <v>1680</v>
      </c>
      <c r="M89" s="8">
        <v>179900</v>
      </c>
      <c r="N89" s="35">
        <v>0.9</v>
      </c>
      <c r="O89" s="34">
        <f t="shared" si="3"/>
        <v>17990</v>
      </c>
      <c r="P89" s="6" t="s">
        <v>16</v>
      </c>
    </row>
    <row r="90" spans="1:16" x14ac:dyDescent="0.35">
      <c r="A90" s="32" t="s">
        <v>6510</v>
      </c>
      <c r="B90" s="7">
        <f t="shared" si="4"/>
        <v>46121</v>
      </c>
      <c r="C90" s="7">
        <f t="shared" si="5"/>
        <v>46127</v>
      </c>
      <c r="D90" s="6">
        <v>3284</v>
      </c>
      <c r="E90" s="6">
        <v>338</v>
      </c>
      <c r="F90" s="6">
        <v>4</v>
      </c>
      <c r="G90" s="6">
        <v>5</v>
      </c>
      <c r="H90" s="6">
        <v>81421</v>
      </c>
      <c r="I90" s="6" t="s">
        <v>17</v>
      </c>
      <c r="J90" s="6">
        <v>42439736</v>
      </c>
      <c r="K90" s="6" t="s">
        <v>1681</v>
      </c>
      <c r="L90" s="38" t="s">
        <v>1682</v>
      </c>
      <c r="M90" s="8">
        <v>189900</v>
      </c>
      <c r="N90" s="35">
        <v>0.9</v>
      </c>
      <c r="O90" s="34">
        <f t="shared" si="3"/>
        <v>18990</v>
      </c>
      <c r="P90" s="6" t="s">
        <v>16</v>
      </c>
    </row>
    <row r="91" spans="1:16" x14ac:dyDescent="0.35">
      <c r="A91" s="32" t="s">
        <v>6510</v>
      </c>
      <c r="B91" s="7">
        <f t="shared" si="4"/>
        <v>46121</v>
      </c>
      <c r="C91" s="7">
        <f t="shared" si="5"/>
        <v>46127</v>
      </c>
      <c r="D91" s="6">
        <v>3284</v>
      </c>
      <c r="E91" s="6">
        <v>338</v>
      </c>
      <c r="F91" s="6">
        <v>4</v>
      </c>
      <c r="G91" s="6">
        <v>5</v>
      </c>
      <c r="H91" s="6">
        <v>81421</v>
      </c>
      <c r="I91" s="6" t="s">
        <v>17</v>
      </c>
      <c r="J91" s="6">
        <v>32603317</v>
      </c>
      <c r="K91" s="6" t="s">
        <v>1663</v>
      </c>
      <c r="L91" s="38" t="s">
        <v>1664</v>
      </c>
      <c r="M91" s="8">
        <v>179900</v>
      </c>
      <c r="N91" s="35">
        <v>0.9</v>
      </c>
      <c r="O91" s="34">
        <f t="shared" si="3"/>
        <v>17990</v>
      </c>
      <c r="P91" s="6" t="s">
        <v>16</v>
      </c>
    </row>
    <row r="92" spans="1:16" x14ac:dyDescent="0.35">
      <c r="A92" s="32" t="s">
        <v>6510</v>
      </c>
      <c r="B92" s="7">
        <f t="shared" si="4"/>
        <v>46121</v>
      </c>
      <c r="C92" s="7">
        <f t="shared" si="5"/>
        <v>46127</v>
      </c>
      <c r="D92" s="6">
        <v>3284</v>
      </c>
      <c r="E92" s="6">
        <v>338</v>
      </c>
      <c r="F92" s="6">
        <v>4</v>
      </c>
      <c r="G92" s="6">
        <v>5</v>
      </c>
      <c r="H92" s="6">
        <v>81421</v>
      </c>
      <c r="I92" s="6" t="s">
        <v>17</v>
      </c>
      <c r="J92" s="6">
        <v>32603326</v>
      </c>
      <c r="K92" s="6" t="s">
        <v>1663</v>
      </c>
      <c r="L92" s="38" t="s">
        <v>1665</v>
      </c>
      <c r="M92" s="8">
        <v>179900</v>
      </c>
      <c r="N92" s="35">
        <v>0.9</v>
      </c>
      <c r="O92" s="34">
        <f t="shared" si="3"/>
        <v>17990</v>
      </c>
      <c r="P92" s="6" t="s">
        <v>16</v>
      </c>
    </row>
    <row r="93" spans="1:16" x14ac:dyDescent="0.35">
      <c r="A93" s="32" t="s">
        <v>6510</v>
      </c>
      <c r="B93" s="7">
        <f t="shared" si="4"/>
        <v>46121</v>
      </c>
      <c r="C93" s="7">
        <f t="shared" si="5"/>
        <v>46127</v>
      </c>
      <c r="D93" s="6">
        <v>3284</v>
      </c>
      <c r="E93" s="6">
        <v>338</v>
      </c>
      <c r="F93" s="6">
        <v>4</v>
      </c>
      <c r="G93" s="6">
        <v>5</v>
      </c>
      <c r="H93" s="6">
        <v>81421</v>
      </c>
      <c r="I93" s="6" t="s">
        <v>17</v>
      </c>
      <c r="J93" s="6">
        <v>32603344</v>
      </c>
      <c r="K93" s="6" t="s">
        <v>1663</v>
      </c>
      <c r="L93" s="38" t="s">
        <v>1666</v>
      </c>
      <c r="M93" s="8">
        <v>179900</v>
      </c>
      <c r="N93" s="35">
        <v>0.9</v>
      </c>
      <c r="O93" s="34">
        <f t="shared" si="3"/>
        <v>17990</v>
      </c>
      <c r="P93" s="6" t="s">
        <v>16</v>
      </c>
    </row>
    <row r="94" spans="1:16" x14ac:dyDescent="0.35">
      <c r="A94" s="32" t="s">
        <v>6510</v>
      </c>
      <c r="B94" s="7">
        <f t="shared" si="4"/>
        <v>46121</v>
      </c>
      <c r="C94" s="7">
        <f t="shared" si="5"/>
        <v>46127</v>
      </c>
      <c r="D94" s="6">
        <v>3284</v>
      </c>
      <c r="E94" s="6">
        <v>338</v>
      </c>
      <c r="F94" s="6">
        <v>4</v>
      </c>
      <c r="G94" s="6">
        <v>5</v>
      </c>
      <c r="H94" s="6">
        <v>81421</v>
      </c>
      <c r="I94" s="6" t="s">
        <v>17</v>
      </c>
      <c r="J94" s="6">
        <v>32686041</v>
      </c>
      <c r="K94" s="6" t="s">
        <v>1667</v>
      </c>
      <c r="L94" s="38" t="s">
        <v>1668</v>
      </c>
      <c r="M94" s="8">
        <v>179900</v>
      </c>
      <c r="N94" s="35">
        <v>0.9</v>
      </c>
      <c r="O94" s="34">
        <f t="shared" si="3"/>
        <v>17990</v>
      </c>
      <c r="P94" s="6" t="s">
        <v>16</v>
      </c>
    </row>
    <row r="95" spans="1:16" x14ac:dyDescent="0.35">
      <c r="A95" s="32" t="s">
        <v>6510</v>
      </c>
      <c r="B95" s="7">
        <f t="shared" si="4"/>
        <v>46121</v>
      </c>
      <c r="C95" s="7">
        <f t="shared" si="5"/>
        <v>46127</v>
      </c>
      <c r="D95" s="6">
        <v>3284</v>
      </c>
      <c r="E95" s="6">
        <v>338</v>
      </c>
      <c r="F95" s="6">
        <v>4</v>
      </c>
      <c r="G95" s="6">
        <v>5</v>
      </c>
      <c r="H95" s="6">
        <v>81421</v>
      </c>
      <c r="I95" s="6" t="s">
        <v>17</v>
      </c>
      <c r="J95" s="6">
        <v>32686050</v>
      </c>
      <c r="K95" s="6" t="s">
        <v>1667</v>
      </c>
      <c r="L95" s="38" t="s">
        <v>1669</v>
      </c>
      <c r="M95" s="8">
        <v>179900</v>
      </c>
      <c r="N95" s="35">
        <v>0.9</v>
      </c>
      <c r="O95" s="34">
        <f t="shared" si="3"/>
        <v>17990</v>
      </c>
      <c r="P95" s="6" t="s">
        <v>16</v>
      </c>
    </row>
    <row r="96" spans="1:16" x14ac:dyDescent="0.35">
      <c r="A96" s="32" t="s">
        <v>6510</v>
      </c>
      <c r="B96" s="7">
        <f t="shared" si="4"/>
        <v>46121</v>
      </c>
      <c r="C96" s="7">
        <f t="shared" si="5"/>
        <v>46127</v>
      </c>
      <c r="D96" s="6">
        <v>3284</v>
      </c>
      <c r="E96" s="6">
        <v>338</v>
      </c>
      <c r="F96" s="6">
        <v>4</v>
      </c>
      <c r="G96" s="6">
        <v>5</v>
      </c>
      <c r="H96" s="6">
        <v>81421</v>
      </c>
      <c r="I96" s="6" t="s">
        <v>17</v>
      </c>
      <c r="J96" s="6">
        <v>32686078</v>
      </c>
      <c r="K96" s="6" t="s">
        <v>1667</v>
      </c>
      <c r="L96" s="38" t="s">
        <v>1670</v>
      </c>
      <c r="M96" s="8">
        <v>179900</v>
      </c>
      <c r="N96" s="35">
        <v>0.9</v>
      </c>
      <c r="O96" s="34">
        <f t="shared" si="3"/>
        <v>17990</v>
      </c>
      <c r="P96" s="6" t="s">
        <v>16</v>
      </c>
    </row>
    <row r="97" spans="1:16" x14ac:dyDescent="0.35">
      <c r="A97" s="32" t="s">
        <v>6510</v>
      </c>
      <c r="B97" s="7">
        <f t="shared" si="4"/>
        <v>46121</v>
      </c>
      <c r="C97" s="7">
        <f t="shared" si="5"/>
        <v>46127</v>
      </c>
      <c r="D97" s="6">
        <v>3284</v>
      </c>
      <c r="E97" s="6">
        <v>338</v>
      </c>
      <c r="F97" s="6">
        <v>4</v>
      </c>
      <c r="G97" s="6">
        <v>5</v>
      </c>
      <c r="H97" s="6">
        <v>190</v>
      </c>
      <c r="I97" s="6" t="s">
        <v>17</v>
      </c>
      <c r="J97" s="6">
        <v>33028876</v>
      </c>
      <c r="K97" s="6" t="s">
        <v>1683</v>
      </c>
      <c r="L97" s="38" t="s">
        <v>1684</v>
      </c>
      <c r="M97" s="8">
        <v>189900</v>
      </c>
      <c r="N97" s="35">
        <v>0.9</v>
      </c>
      <c r="O97" s="34">
        <f t="shared" si="3"/>
        <v>18990</v>
      </c>
      <c r="P97" s="6" t="s">
        <v>16</v>
      </c>
    </row>
    <row r="98" spans="1:16" x14ac:dyDescent="0.35">
      <c r="A98" s="32" t="s">
        <v>6510</v>
      </c>
      <c r="B98" s="7">
        <f t="shared" si="4"/>
        <v>46121</v>
      </c>
      <c r="C98" s="7">
        <f t="shared" si="5"/>
        <v>46127</v>
      </c>
      <c r="D98" s="6">
        <v>3284</v>
      </c>
      <c r="E98" s="6">
        <v>338</v>
      </c>
      <c r="F98" s="6">
        <v>4</v>
      </c>
      <c r="G98" s="6">
        <v>5</v>
      </c>
      <c r="H98" s="6">
        <v>190</v>
      </c>
      <c r="I98" s="6" t="s">
        <v>17</v>
      </c>
      <c r="J98" s="6">
        <v>33028885</v>
      </c>
      <c r="K98" s="6" t="s">
        <v>1683</v>
      </c>
      <c r="L98" s="38" t="s">
        <v>1685</v>
      </c>
      <c r="M98" s="8">
        <v>189900</v>
      </c>
      <c r="N98" s="35">
        <v>0.9</v>
      </c>
      <c r="O98" s="34">
        <f t="shared" si="3"/>
        <v>18990</v>
      </c>
      <c r="P98" s="6" t="s">
        <v>16</v>
      </c>
    </row>
    <row r="99" spans="1:16" x14ac:dyDescent="0.35">
      <c r="A99" s="32" t="s">
        <v>6510</v>
      </c>
      <c r="B99" s="7">
        <f t="shared" si="4"/>
        <v>46121</v>
      </c>
      <c r="C99" s="7">
        <f t="shared" si="5"/>
        <v>46127</v>
      </c>
      <c r="D99" s="6">
        <v>3284</v>
      </c>
      <c r="E99" s="6">
        <v>338</v>
      </c>
      <c r="F99" s="6">
        <v>4</v>
      </c>
      <c r="G99" s="6">
        <v>5</v>
      </c>
      <c r="H99" s="6">
        <v>190</v>
      </c>
      <c r="I99" s="6" t="s">
        <v>17</v>
      </c>
      <c r="J99" s="6">
        <v>33028894</v>
      </c>
      <c r="K99" s="6" t="s">
        <v>1683</v>
      </c>
      <c r="L99" s="38" t="s">
        <v>1686</v>
      </c>
      <c r="M99" s="8">
        <v>189900</v>
      </c>
      <c r="N99" s="35">
        <v>0.9</v>
      </c>
      <c r="O99" s="34">
        <f t="shared" si="3"/>
        <v>18990</v>
      </c>
      <c r="P99" s="6" t="s">
        <v>16</v>
      </c>
    </row>
  </sheetData>
  <autoFilter ref="A1:P1" xr:uid="{00000000-0009-0000-0000-00001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4"/>
  <sheetViews>
    <sheetView zoomScale="52" zoomScaleNormal="100" workbookViewId="0">
      <pane ySplit="1" topLeftCell="A2" activePane="bottomLeft" state="frozen"/>
      <selection activeCell="M23" sqref="M23"/>
      <selection pane="bottomLeft" activeCell="M29" sqref="M29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4371</v>
      </c>
      <c r="B2" s="7">
        <f>'2025 HILITE D80 - 3321'!B2</f>
        <v>46121</v>
      </c>
      <c r="C2" s="7">
        <f>'2025 HILITE D80 - 3321'!C2</f>
        <v>46127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23791364</v>
      </c>
      <c r="K2" s="6" t="s">
        <v>1692</v>
      </c>
      <c r="L2" s="38" t="s">
        <v>1693</v>
      </c>
      <c r="M2" s="8">
        <v>69900</v>
      </c>
      <c r="N2" s="9">
        <v>0.95</v>
      </c>
      <c r="O2" s="8">
        <f>M2-((95*M2)/100)</f>
        <v>3495</v>
      </c>
      <c r="P2" s="6" t="s">
        <v>16</v>
      </c>
    </row>
    <row r="3" spans="1:16" x14ac:dyDescent="0.35">
      <c r="A3" s="6" t="s">
        <v>4371</v>
      </c>
      <c r="B3" s="7">
        <f>B2</f>
        <v>46121</v>
      </c>
      <c r="C3" s="7">
        <f>C2</f>
        <v>46127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21395751</v>
      </c>
      <c r="K3" s="6" t="s">
        <v>5476</v>
      </c>
      <c r="L3" s="38" t="s">
        <v>5477</v>
      </c>
      <c r="M3" s="8">
        <v>49900</v>
      </c>
      <c r="N3" s="9">
        <v>0.95</v>
      </c>
      <c r="O3" s="8">
        <f>M3-((95*M3)/100)</f>
        <v>2495</v>
      </c>
      <c r="P3" s="6" t="s">
        <v>16</v>
      </c>
    </row>
    <row r="4" spans="1:16" x14ac:dyDescent="0.35">
      <c r="A4" s="6" t="s">
        <v>4371</v>
      </c>
      <c r="B4" s="7">
        <f t="shared" ref="B4:B24" si="0">B3</f>
        <v>46121</v>
      </c>
      <c r="C4" s="7">
        <f t="shared" ref="C4:C24" si="1">C3</f>
        <v>46127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23310507</v>
      </c>
      <c r="K4" s="6" t="s">
        <v>1687</v>
      </c>
      <c r="L4" s="38" t="s">
        <v>1688</v>
      </c>
      <c r="M4" s="8">
        <v>109900</v>
      </c>
      <c r="N4" s="9">
        <v>0.95</v>
      </c>
      <c r="O4" s="8">
        <f t="shared" ref="O4:O24" si="2">M4-((95*M4)/100)</f>
        <v>5495</v>
      </c>
      <c r="P4" s="6" t="s">
        <v>16</v>
      </c>
    </row>
    <row r="5" spans="1:16" x14ac:dyDescent="0.35">
      <c r="A5" s="6" t="s">
        <v>4371</v>
      </c>
      <c r="B5" s="7">
        <f t="shared" si="0"/>
        <v>46121</v>
      </c>
      <c r="C5" s="7">
        <f t="shared" si="1"/>
        <v>46127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23310516</v>
      </c>
      <c r="K5" s="6" t="s">
        <v>1687</v>
      </c>
      <c r="L5" s="38" t="s">
        <v>1689</v>
      </c>
      <c r="M5" s="8">
        <v>109900</v>
      </c>
      <c r="N5" s="9">
        <v>0.95</v>
      </c>
      <c r="O5" s="8">
        <f t="shared" si="2"/>
        <v>5495</v>
      </c>
      <c r="P5" s="6" t="s">
        <v>16</v>
      </c>
    </row>
    <row r="6" spans="1:16" x14ac:dyDescent="0.35">
      <c r="A6" s="6" t="s">
        <v>4371</v>
      </c>
      <c r="B6" s="7">
        <f t="shared" si="0"/>
        <v>46121</v>
      </c>
      <c r="C6" s="7">
        <f t="shared" si="1"/>
        <v>46127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23311346</v>
      </c>
      <c r="K6" s="6" t="s">
        <v>1694</v>
      </c>
      <c r="L6" s="38" t="s">
        <v>1695</v>
      </c>
      <c r="M6" s="8">
        <v>99900</v>
      </c>
      <c r="N6" s="9">
        <v>0.95</v>
      </c>
      <c r="O6" s="8">
        <f t="shared" si="2"/>
        <v>4995</v>
      </c>
      <c r="P6" s="6" t="s">
        <v>16</v>
      </c>
    </row>
    <row r="7" spans="1:16" x14ac:dyDescent="0.35">
      <c r="A7" s="6" t="s">
        <v>4371</v>
      </c>
      <c r="B7" s="7">
        <f t="shared" si="0"/>
        <v>46121</v>
      </c>
      <c r="C7" s="7">
        <f t="shared" si="1"/>
        <v>46127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23311364</v>
      </c>
      <c r="K7" s="6" t="s">
        <v>1694</v>
      </c>
      <c r="L7" s="38" t="s">
        <v>1696</v>
      </c>
      <c r="M7" s="8">
        <v>99900</v>
      </c>
      <c r="N7" s="9">
        <v>0.95</v>
      </c>
      <c r="O7" s="8">
        <f t="shared" si="2"/>
        <v>4995</v>
      </c>
      <c r="P7" s="6" t="s">
        <v>16</v>
      </c>
    </row>
    <row r="8" spans="1:16" x14ac:dyDescent="0.35">
      <c r="A8" s="6" t="s">
        <v>4371</v>
      </c>
      <c r="B8" s="7">
        <f t="shared" si="0"/>
        <v>46121</v>
      </c>
      <c r="C8" s="7">
        <f t="shared" si="1"/>
        <v>46127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23829627</v>
      </c>
      <c r="K8" s="6" t="s">
        <v>1690</v>
      </c>
      <c r="L8" s="38" t="s">
        <v>1691</v>
      </c>
      <c r="M8" s="8">
        <v>119900</v>
      </c>
      <c r="N8" s="9">
        <v>0.95</v>
      </c>
      <c r="O8" s="8">
        <f t="shared" si="2"/>
        <v>5995</v>
      </c>
      <c r="P8" s="6" t="s">
        <v>16</v>
      </c>
    </row>
    <row r="9" spans="1:16" x14ac:dyDescent="0.35">
      <c r="A9" s="6" t="s">
        <v>4371</v>
      </c>
      <c r="B9" s="7">
        <f t="shared" si="0"/>
        <v>46121</v>
      </c>
      <c r="C9" s="7">
        <f t="shared" si="1"/>
        <v>46127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22514861</v>
      </c>
      <c r="K9" s="6" t="s">
        <v>5478</v>
      </c>
      <c r="L9" s="38" t="s">
        <v>5479</v>
      </c>
      <c r="M9" s="8">
        <v>109900</v>
      </c>
      <c r="N9" s="9">
        <v>0.95</v>
      </c>
      <c r="O9" s="8">
        <f t="shared" si="2"/>
        <v>5495</v>
      </c>
      <c r="P9" s="6" t="s">
        <v>16</v>
      </c>
    </row>
    <row r="10" spans="1:16" x14ac:dyDescent="0.35">
      <c r="A10" s="6" t="s">
        <v>4371</v>
      </c>
      <c r="B10" s="7">
        <f t="shared" si="0"/>
        <v>46121</v>
      </c>
      <c r="C10" s="7">
        <f t="shared" si="1"/>
        <v>46127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22514870</v>
      </c>
      <c r="K10" s="6" t="s">
        <v>5478</v>
      </c>
      <c r="L10" s="38" t="s">
        <v>5480</v>
      </c>
      <c r="M10" s="8">
        <v>109900</v>
      </c>
      <c r="N10" s="9">
        <v>0.95</v>
      </c>
      <c r="O10" s="8">
        <f t="shared" si="2"/>
        <v>5495</v>
      </c>
      <c r="P10" s="6" t="s">
        <v>16</v>
      </c>
    </row>
    <row r="11" spans="1:16" x14ac:dyDescent="0.35">
      <c r="A11" s="6" t="s">
        <v>4371</v>
      </c>
      <c r="B11" s="7">
        <f t="shared" si="0"/>
        <v>46121</v>
      </c>
      <c r="C11" s="7">
        <f t="shared" si="1"/>
        <v>46127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22515075</v>
      </c>
      <c r="K11" s="6" t="s">
        <v>5481</v>
      </c>
      <c r="L11" s="38" t="s">
        <v>5482</v>
      </c>
      <c r="M11" s="8">
        <v>109900</v>
      </c>
      <c r="N11" s="9">
        <v>0.95</v>
      </c>
      <c r="O11" s="8">
        <f t="shared" si="2"/>
        <v>5495</v>
      </c>
      <c r="P11" s="6" t="s">
        <v>16</v>
      </c>
    </row>
    <row r="12" spans="1:16" x14ac:dyDescent="0.35">
      <c r="A12" s="6" t="s">
        <v>4371</v>
      </c>
      <c r="B12" s="7">
        <f t="shared" si="0"/>
        <v>46121</v>
      </c>
      <c r="C12" s="7">
        <f t="shared" si="1"/>
        <v>46127</v>
      </c>
      <c r="D12" s="6">
        <v>3284</v>
      </c>
      <c r="E12" s="6">
        <v>338</v>
      </c>
      <c r="F12" s="6">
        <v>4</v>
      </c>
      <c r="G12" s="6">
        <v>2</v>
      </c>
      <c r="H12" s="6">
        <v>81421</v>
      </c>
      <c r="I12" s="6" t="s">
        <v>17</v>
      </c>
      <c r="J12" s="6">
        <v>23311177</v>
      </c>
      <c r="K12" s="6" t="s">
        <v>1697</v>
      </c>
      <c r="L12" s="38" t="s">
        <v>1698</v>
      </c>
      <c r="M12" s="8">
        <v>99900</v>
      </c>
      <c r="N12" s="9">
        <v>0.95</v>
      </c>
      <c r="O12" s="8">
        <f t="shared" si="2"/>
        <v>4995</v>
      </c>
      <c r="P12" s="6" t="s">
        <v>16</v>
      </c>
    </row>
    <row r="13" spans="1:16" x14ac:dyDescent="0.35">
      <c r="A13" s="6" t="s">
        <v>4371</v>
      </c>
      <c r="B13" s="7">
        <f t="shared" si="0"/>
        <v>46121</v>
      </c>
      <c r="C13" s="7">
        <f t="shared" si="1"/>
        <v>46127</v>
      </c>
      <c r="D13" s="6">
        <v>3284</v>
      </c>
      <c r="E13" s="6">
        <v>338</v>
      </c>
      <c r="F13" s="6">
        <v>4</v>
      </c>
      <c r="G13" s="6">
        <v>3</v>
      </c>
      <c r="H13" s="6">
        <v>81421</v>
      </c>
      <c r="I13" s="6" t="s">
        <v>17</v>
      </c>
      <c r="J13" s="6">
        <v>23949033</v>
      </c>
      <c r="K13" s="6" t="s">
        <v>1699</v>
      </c>
      <c r="L13" s="38" t="s">
        <v>1700</v>
      </c>
      <c r="M13" s="8">
        <v>189900</v>
      </c>
      <c r="N13" s="9">
        <v>0.95</v>
      </c>
      <c r="O13" s="8">
        <f t="shared" si="2"/>
        <v>9495</v>
      </c>
      <c r="P13" s="6" t="s">
        <v>16</v>
      </c>
    </row>
    <row r="14" spans="1:16" x14ac:dyDescent="0.35">
      <c r="A14" s="6" t="s">
        <v>4371</v>
      </c>
      <c r="B14" s="7">
        <f t="shared" si="0"/>
        <v>46121</v>
      </c>
      <c r="C14" s="7">
        <f t="shared" si="1"/>
        <v>46127</v>
      </c>
      <c r="D14" s="6">
        <v>3284</v>
      </c>
      <c r="E14" s="6">
        <v>338</v>
      </c>
      <c r="F14" s="6">
        <v>4</v>
      </c>
      <c r="G14" s="6">
        <v>3</v>
      </c>
      <c r="H14" s="6">
        <v>81421</v>
      </c>
      <c r="I14" s="6" t="s">
        <v>17</v>
      </c>
      <c r="J14" s="6">
        <v>23949051</v>
      </c>
      <c r="K14" s="6" t="s">
        <v>1699</v>
      </c>
      <c r="L14" s="38" t="s">
        <v>1701</v>
      </c>
      <c r="M14" s="8">
        <v>189900</v>
      </c>
      <c r="N14" s="9">
        <v>0.95</v>
      </c>
      <c r="O14" s="8">
        <f t="shared" si="2"/>
        <v>9495</v>
      </c>
      <c r="P14" s="6" t="s">
        <v>16</v>
      </c>
    </row>
    <row r="15" spans="1:16" x14ac:dyDescent="0.35">
      <c r="A15" s="6" t="s">
        <v>4371</v>
      </c>
      <c r="B15" s="7">
        <f t="shared" si="0"/>
        <v>46121</v>
      </c>
      <c r="C15" s="7">
        <f t="shared" si="1"/>
        <v>46127</v>
      </c>
      <c r="D15" s="6">
        <v>3284</v>
      </c>
      <c r="E15" s="6">
        <v>338</v>
      </c>
      <c r="F15" s="6">
        <v>4</v>
      </c>
      <c r="G15" s="6">
        <v>3</v>
      </c>
      <c r="H15" s="6">
        <v>81421</v>
      </c>
      <c r="I15" s="6" t="s">
        <v>17</v>
      </c>
      <c r="J15" s="6">
        <v>23949060</v>
      </c>
      <c r="K15" s="6" t="s">
        <v>1699</v>
      </c>
      <c r="L15" s="38" t="s">
        <v>1702</v>
      </c>
      <c r="M15" s="8">
        <v>189900</v>
      </c>
      <c r="N15" s="9">
        <v>0.95</v>
      </c>
      <c r="O15" s="8">
        <f t="shared" si="2"/>
        <v>9495</v>
      </c>
      <c r="P15" s="6" t="s">
        <v>16</v>
      </c>
    </row>
    <row r="16" spans="1:16" x14ac:dyDescent="0.35">
      <c r="A16" s="6" t="s">
        <v>4371</v>
      </c>
      <c r="B16" s="7">
        <f t="shared" si="0"/>
        <v>46121</v>
      </c>
      <c r="C16" s="7">
        <f t="shared" si="1"/>
        <v>46127</v>
      </c>
      <c r="D16" s="6">
        <v>3284</v>
      </c>
      <c r="E16" s="6">
        <v>338</v>
      </c>
      <c r="F16" s="6">
        <v>4</v>
      </c>
      <c r="G16" s="6">
        <v>3</v>
      </c>
      <c r="H16" s="6">
        <v>81421</v>
      </c>
      <c r="I16" s="6" t="s">
        <v>17</v>
      </c>
      <c r="J16" s="6">
        <v>24376669</v>
      </c>
      <c r="K16" s="6" t="s">
        <v>1703</v>
      </c>
      <c r="L16" s="38" t="s">
        <v>1704</v>
      </c>
      <c r="M16" s="8">
        <v>129900</v>
      </c>
      <c r="N16" s="9">
        <v>0.95</v>
      </c>
      <c r="O16" s="8">
        <f t="shared" si="2"/>
        <v>6495</v>
      </c>
      <c r="P16" s="6" t="s">
        <v>16</v>
      </c>
    </row>
    <row r="17" spans="1:16" x14ac:dyDescent="0.35">
      <c r="A17" s="6" t="s">
        <v>4371</v>
      </c>
      <c r="B17" s="7">
        <f t="shared" si="0"/>
        <v>46121</v>
      </c>
      <c r="C17" s="7">
        <f t="shared" si="1"/>
        <v>46127</v>
      </c>
      <c r="D17" s="6">
        <v>3284</v>
      </c>
      <c r="E17" s="6">
        <v>338</v>
      </c>
      <c r="F17" s="6">
        <v>4</v>
      </c>
      <c r="G17" s="6">
        <v>3</v>
      </c>
      <c r="H17" s="6">
        <v>81421</v>
      </c>
      <c r="I17" s="6" t="s">
        <v>17</v>
      </c>
      <c r="J17" s="6">
        <v>24980550</v>
      </c>
      <c r="K17" s="6" t="s">
        <v>1705</v>
      </c>
      <c r="L17" s="38" t="s">
        <v>1706</v>
      </c>
      <c r="M17" s="8">
        <v>129900</v>
      </c>
      <c r="N17" s="9">
        <v>0.95</v>
      </c>
      <c r="O17" s="8">
        <f t="shared" si="2"/>
        <v>6495</v>
      </c>
      <c r="P17" s="6" t="s">
        <v>16</v>
      </c>
    </row>
    <row r="18" spans="1:16" x14ac:dyDescent="0.35">
      <c r="A18" s="6" t="s">
        <v>4371</v>
      </c>
      <c r="B18" s="7">
        <f t="shared" si="0"/>
        <v>46121</v>
      </c>
      <c r="C18" s="7">
        <f t="shared" si="1"/>
        <v>46127</v>
      </c>
      <c r="D18" s="6">
        <v>3284</v>
      </c>
      <c r="E18" s="6">
        <v>338</v>
      </c>
      <c r="F18" s="6">
        <v>4</v>
      </c>
      <c r="G18" s="6">
        <v>5</v>
      </c>
      <c r="H18" s="6">
        <v>81421</v>
      </c>
      <c r="I18" s="6" t="s">
        <v>17</v>
      </c>
      <c r="J18" s="6">
        <v>23310730</v>
      </c>
      <c r="K18" s="6" t="s">
        <v>1707</v>
      </c>
      <c r="L18" s="38" t="s">
        <v>1708</v>
      </c>
      <c r="M18" s="8">
        <v>159900</v>
      </c>
      <c r="N18" s="9">
        <v>0.95</v>
      </c>
      <c r="O18" s="8">
        <f t="shared" si="2"/>
        <v>7995</v>
      </c>
      <c r="P18" s="6" t="s">
        <v>16</v>
      </c>
    </row>
    <row r="19" spans="1:16" x14ac:dyDescent="0.35">
      <c r="A19" s="6" t="s">
        <v>4371</v>
      </c>
      <c r="B19" s="7">
        <f t="shared" si="0"/>
        <v>46121</v>
      </c>
      <c r="C19" s="7">
        <f t="shared" si="1"/>
        <v>46127</v>
      </c>
      <c r="D19" s="6">
        <v>3284</v>
      </c>
      <c r="E19" s="6">
        <v>338</v>
      </c>
      <c r="F19" s="6">
        <v>4</v>
      </c>
      <c r="G19" s="6">
        <v>5</v>
      </c>
      <c r="H19" s="6">
        <v>81421</v>
      </c>
      <c r="I19" s="6" t="s">
        <v>17</v>
      </c>
      <c r="J19" s="6">
        <v>23310749</v>
      </c>
      <c r="K19" s="6" t="s">
        <v>1707</v>
      </c>
      <c r="L19" s="38" t="s">
        <v>1709</v>
      </c>
      <c r="M19" s="8">
        <v>159900</v>
      </c>
      <c r="N19" s="9">
        <v>0.95</v>
      </c>
      <c r="O19" s="8">
        <f t="shared" si="2"/>
        <v>7995</v>
      </c>
      <c r="P19" s="6" t="s">
        <v>16</v>
      </c>
    </row>
    <row r="20" spans="1:16" x14ac:dyDescent="0.35">
      <c r="A20" s="6" t="s">
        <v>4371</v>
      </c>
      <c r="B20" s="7">
        <f t="shared" si="0"/>
        <v>46121</v>
      </c>
      <c r="C20" s="7">
        <f t="shared" si="1"/>
        <v>46127</v>
      </c>
      <c r="D20" s="6">
        <v>3284</v>
      </c>
      <c r="E20" s="6">
        <v>338</v>
      </c>
      <c r="F20" s="6">
        <v>4</v>
      </c>
      <c r="G20" s="6">
        <v>5</v>
      </c>
      <c r="H20" s="6">
        <v>81421</v>
      </c>
      <c r="I20" s="6" t="s">
        <v>17</v>
      </c>
      <c r="J20" s="6">
        <v>23310758</v>
      </c>
      <c r="K20" s="6" t="s">
        <v>1707</v>
      </c>
      <c r="L20" s="38" t="s">
        <v>1710</v>
      </c>
      <c r="M20" s="8">
        <v>159900</v>
      </c>
      <c r="N20" s="9">
        <v>0.95</v>
      </c>
      <c r="O20" s="8">
        <f t="shared" si="2"/>
        <v>7995</v>
      </c>
      <c r="P20" s="6" t="s">
        <v>16</v>
      </c>
    </row>
    <row r="21" spans="1:16" x14ac:dyDescent="0.35">
      <c r="A21" s="6" t="s">
        <v>4371</v>
      </c>
      <c r="B21" s="7">
        <f t="shared" si="0"/>
        <v>46121</v>
      </c>
      <c r="C21" s="7">
        <f t="shared" si="1"/>
        <v>46127</v>
      </c>
      <c r="D21" s="6">
        <v>3284</v>
      </c>
      <c r="E21" s="6">
        <v>338</v>
      </c>
      <c r="F21" s="6">
        <v>4</v>
      </c>
      <c r="G21" s="6">
        <v>5</v>
      </c>
      <c r="H21" s="6">
        <v>81421</v>
      </c>
      <c r="I21" s="6" t="s">
        <v>17</v>
      </c>
      <c r="J21" s="6">
        <v>23310767</v>
      </c>
      <c r="K21" s="6" t="s">
        <v>1707</v>
      </c>
      <c r="L21" s="38" t="s">
        <v>1711</v>
      </c>
      <c r="M21" s="8">
        <v>159900</v>
      </c>
      <c r="N21" s="9">
        <v>0.95</v>
      </c>
      <c r="O21" s="8">
        <f t="shared" si="2"/>
        <v>7995</v>
      </c>
      <c r="P21" s="6" t="s">
        <v>16</v>
      </c>
    </row>
    <row r="22" spans="1:16" x14ac:dyDescent="0.35">
      <c r="A22" s="6" t="s">
        <v>4371</v>
      </c>
      <c r="B22" s="7">
        <f t="shared" si="0"/>
        <v>46121</v>
      </c>
      <c r="C22" s="7">
        <f t="shared" si="1"/>
        <v>46127</v>
      </c>
      <c r="D22" s="6">
        <v>3284</v>
      </c>
      <c r="E22" s="6">
        <v>338</v>
      </c>
      <c r="F22" s="6">
        <v>4</v>
      </c>
      <c r="G22" s="6">
        <v>5</v>
      </c>
      <c r="H22" s="6">
        <v>81421</v>
      </c>
      <c r="I22" s="6" t="s">
        <v>17</v>
      </c>
      <c r="J22" s="6">
        <v>24872168</v>
      </c>
      <c r="K22" s="6" t="s">
        <v>1715</v>
      </c>
      <c r="L22" s="38" t="s">
        <v>1716</v>
      </c>
      <c r="M22" s="8">
        <v>189900</v>
      </c>
      <c r="N22" s="9">
        <v>0.95</v>
      </c>
      <c r="O22" s="8">
        <f t="shared" si="2"/>
        <v>9495</v>
      </c>
      <c r="P22" s="6" t="s">
        <v>16</v>
      </c>
    </row>
    <row r="23" spans="1:16" x14ac:dyDescent="0.35">
      <c r="A23" s="6" t="s">
        <v>4371</v>
      </c>
      <c r="B23" s="7">
        <f t="shared" si="0"/>
        <v>46121</v>
      </c>
      <c r="C23" s="7">
        <f t="shared" si="1"/>
        <v>46127</v>
      </c>
      <c r="D23" s="6">
        <v>3284</v>
      </c>
      <c r="E23" s="6">
        <v>338</v>
      </c>
      <c r="F23" s="6">
        <v>4</v>
      </c>
      <c r="G23" s="6">
        <v>5</v>
      </c>
      <c r="H23" s="6">
        <v>81421</v>
      </c>
      <c r="I23" s="6" t="s">
        <v>17</v>
      </c>
      <c r="J23" s="6">
        <v>25050357</v>
      </c>
      <c r="K23" s="6" t="s">
        <v>1712</v>
      </c>
      <c r="L23" s="38" t="s">
        <v>1713</v>
      </c>
      <c r="M23" s="8">
        <v>189900</v>
      </c>
      <c r="N23" s="9">
        <v>0.95</v>
      </c>
      <c r="O23" s="8">
        <f t="shared" si="2"/>
        <v>9495</v>
      </c>
      <c r="P23" s="6" t="s">
        <v>16</v>
      </c>
    </row>
    <row r="24" spans="1:16" x14ac:dyDescent="0.35">
      <c r="A24" s="6" t="s">
        <v>4371</v>
      </c>
      <c r="B24" s="7">
        <f t="shared" si="0"/>
        <v>46121</v>
      </c>
      <c r="C24" s="7">
        <f t="shared" si="1"/>
        <v>46127</v>
      </c>
      <c r="D24" s="6">
        <v>3284</v>
      </c>
      <c r="E24" s="6">
        <v>338</v>
      </c>
      <c r="F24" s="6">
        <v>4</v>
      </c>
      <c r="G24" s="6">
        <v>5</v>
      </c>
      <c r="H24" s="6">
        <v>81421</v>
      </c>
      <c r="I24" s="6" t="s">
        <v>17</v>
      </c>
      <c r="J24" s="6">
        <v>25050366</v>
      </c>
      <c r="K24" s="6" t="s">
        <v>1712</v>
      </c>
      <c r="L24" s="38" t="s">
        <v>1714</v>
      </c>
      <c r="M24" s="8">
        <v>189900</v>
      </c>
      <c r="N24" s="9">
        <v>0.95</v>
      </c>
      <c r="O24" s="8">
        <f t="shared" si="2"/>
        <v>9495</v>
      </c>
      <c r="P24" s="6" t="s">
        <v>16</v>
      </c>
    </row>
  </sheetData>
  <autoFilter ref="A1:P1" xr:uid="{00000000-0009-0000-0000-000016000000}"/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39BD-F479-486A-9987-498BABE06DAC}">
  <sheetPr>
    <tabColor rgb="FF92D050"/>
  </sheetPr>
  <dimension ref="A1:P239"/>
  <sheetViews>
    <sheetView topLeftCell="I1" zoomScale="80" zoomScaleNormal="80" workbookViewId="0">
      <pane ySplit="1" topLeftCell="A2" activePane="bottomLeft" state="frozen"/>
      <selection activeCell="E25" sqref="E25"/>
      <selection pane="bottomLeft" activeCell="AA258" sqref="AA258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7168</v>
      </c>
      <c r="B2" s="33">
        <f>'2025 HILITE D80 - 3321'!B6</f>
        <v>46121</v>
      </c>
      <c r="C2" s="33">
        <f>'2025 HILITE D80 - 3321'!C6</f>
        <v>46127</v>
      </c>
      <c r="D2" s="32">
        <v>3284</v>
      </c>
      <c r="E2" s="32">
        <v>338</v>
      </c>
      <c r="F2" s="32">
        <v>4</v>
      </c>
      <c r="G2" s="23">
        <v>4</v>
      </c>
      <c r="H2" s="23">
        <v>81379</v>
      </c>
      <c r="I2" s="32" t="s">
        <v>2689</v>
      </c>
      <c r="J2" s="59">
        <v>69118952</v>
      </c>
      <c r="K2" s="22" t="s">
        <v>7342</v>
      </c>
      <c r="L2" s="53" t="s">
        <v>7343</v>
      </c>
      <c r="M2" s="40">
        <v>149900</v>
      </c>
      <c r="N2" s="88">
        <v>0</v>
      </c>
      <c r="O2" s="34" t="s">
        <v>7169</v>
      </c>
      <c r="P2" s="32" t="s">
        <v>7341</v>
      </c>
    </row>
    <row r="3" spans="1:16" x14ac:dyDescent="0.35">
      <c r="A3" s="32" t="str">
        <f t="shared" ref="A3:C3" si="0">A2</f>
        <v>2026 JAN-APR SHARP PRICE</v>
      </c>
      <c r="B3" s="33">
        <f t="shared" si="0"/>
        <v>46121</v>
      </c>
      <c r="C3" s="33">
        <f t="shared" si="0"/>
        <v>46127</v>
      </c>
      <c r="D3" s="32">
        <v>3284</v>
      </c>
      <c r="E3" s="32">
        <v>338</v>
      </c>
      <c r="F3" s="32">
        <v>4</v>
      </c>
      <c r="G3" s="23">
        <v>4</v>
      </c>
      <c r="H3" s="23">
        <v>81379</v>
      </c>
      <c r="I3" s="32" t="s">
        <v>2689</v>
      </c>
      <c r="J3" s="59">
        <v>69118961</v>
      </c>
      <c r="K3" s="22" t="s">
        <v>7342</v>
      </c>
      <c r="L3" s="53" t="s">
        <v>7344</v>
      </c>
      <c r="M3" s="40">
        <v>149900</v>
      </c>
      <c r="N3" s="88">
        <v>0</v>
      </c>
      <c r="O3" s="34" t="s">
        <v>7169</v>
      </c>
      <c r="P3" s="32" t="s">
        <v>7341</v>
      </c>
    </row>
    <row r="4" spans="1:16" x14ac:dyDescent="0.35">
      <c r="A4" s="32" t="str">
        <f t="shared" ref="A4:C4" si="1">A3</f>
        <v>2026 JAN-APR SHARP PRICE</v>
      </c>
      <c r="B4" s="33">
        <f t="shared" si="1"/>
        <v>46121</v>
      </c>
      <c r="C4" s="33">
        <f t="shared" si="1"/>
        <v>46127</v>
      </c>
      <c r="D4" s="32">
        <v>3284</v>
      </c>
      <c r="E4" s="32">
        <v>338</v>
      </c>
      <c r="F4" s="32">
        <v>4</v>
      </c>
      <c r="G4" s="23">
        <v>4</v>
      </c>
      <c r="H4" s="23">
        <v>81379</v>
      </c>
      <c r="I4" s="32" t="s">
        <v>2689</v>
      </c>
      <c r="J4" s="59">
        <v>69118970</v>
      </c>
      <c r="K4" s="22" t="s">
        <v>7342</v>
      </c>
      <c r="L4" s="53" t="s">
        <v>7345</v>
      </c>
      <c r="M4" s="40">
        <v>149900</v>
      </c>
      <c r="N4" s="88">
        <v>0</v>
      </c>
      <c r="O4" s="34" t="s">
        <v>7169</v>
      </c>
      <c r="P4" s="32" t="s">
        <v>7341</v>
      </c>
    </row>
    <row r="5" spans="1:16" x14ac:dyDescent="0.35">
      <c r="A5" s="32" t="str">
        <f t="shared" ref="A5:C5" si="2">A4</f>
        <v>2026 JAN-APR SHARP PRICE</v>
      </c>
      <c r="B5" s="33">
        <f t="shared" si="2"/>
        <v>46121</v>
      </c>
      <c r="C5" s="33">
        <f t="shared" si="2"/>
        <v>46127</v>
      </c>
      <c r="D5" s="32">
        <v>3284</v>
      </c>
      <c r="E5" s="32">
        <v>338</v>
      </c>
      <c r="F5" s="32">
        <v>4</v>
      </c>
      <c r="G5" s="23">
        <v>4</v>
      </c>
      <c r="H5" s="23">
        <v>81379</v>
      </c>
      <c r="I5" s="32" t="s">
        <v>2689</v>
      </c>
      <c r="J5" s="59">
        <v>69118989</v>
      </c>
      <c r="K5" s="22" t="s">
        <v>7342</v>
      </c>
      <c r="L5" s="53" t="s">
        <v>7346</v>
      </c>
      <c r="M5" s="40">
        <v>149900</v>
      </c>
      <c r="N5" s="88">
        <v>0</v>
      </c>
      <c r="O5" s="34" t="s">
        <v>7169</v>
      </c>
      <c r="P5" s="32" t="s">
        <v>7341</v>
      </c>
    </row>
    <row r="6" spans="1:16" x14ac:dyDescent="0.35">
      <c r="A6" s="32" t="str">
        <f t="shared" ref="A6:C6" si="3">A5</f>
        <v>2026 JAN-APR SHARP PRICE</v>
      </c>
      <c r="B6" s="33">
        <f t="shared" si="3"/>
        <v>46121</v>
      </c>
      <c r="C6" s="33">
        <f t="shared" si="3"/>
        <v>46127</v>
      </c>
      <c r="D6" s="32">
        <v>3284</v>
      </c>
      <c r="E6" s="32">
        <v>338</v>
      </c>
      <c r="F6" s="32">
        <v>4</v>
      </c>
      <c r="G6" s="23">
        <v>4</v>
      </c>
      <c r="H6" s="23">
        <v>81379</v>
      </c>
      <c r="I6" s="32" t="s">
        <v>2689</v>
      </c>
      <c r="J6" s="59">
        <v>69118998</v>
      </c>
      <c r="K6" s="22" t="s">
        <v>7342</v>
      </c>
      <c r="L6" s="53" t="s">
        <v>7347</v>
      </c>
      <c r="M6" s="40">
        <v>149900</v>
      </c>
      <c r="N6" s="88">
        <v>0</v>
      </c>
      <c r="O6" s="34" t="s">
        <v>7169</v>
      </c>
      <c r="P6" s="32" t="s">
        <v>7341</v>
      </c>
    </row>
    <row r="7" spans="1:16" x14ac:dyDescent="0.35">
      <c r="A7" s="32" t="str">
        <f t="shared" ref="A7:C7" si="4">A6</f>
        <v>2026 JAN-APR SHARP PRICE</v>
      </c>
      <c r="B7" s="33">
        <f t="shared" si="4"/>
        <v>46121</v>
      </c>
      <c r="C7" s="33">
        <f t="shared" si="4"/>
        <v>46127</v>
      </c>
      <c r="D7" s="32">
        <v>3284</v>
      </c>
      <c r="E7" s="32">
        <v>338</v>
      </c>
      <c r="F7" s="32">
        <v>4</v>
      </c>
      <c r="G7" s="23">
        <v>4</v>
      </c>
      <c r="H7" s="23">
        <v>81379</v>
      </c>
      <c r="I7" s="32" t="s">
        <v>2689</v>
      </c>
      <c r="J7" s="59">
        <v>69119004</v>
      </c>
      <c r="K7" s="22" t="s">
        <v>7342</v>
      </c>
      <c r="L7" s="53" t="s">
        <v>7348</v>
      </c>
      <c r="M7" s="40">
        <v>149900</v>
      </c>
      <c r="N7" s="88">
        <v>0</v>
      </c>
      <c r="O7" s="34" t="s">
        <v>7169</v>
      </c>
      <c r="P7" s="32" t="s">
        <v>7341</v>
      </c>
    </row>
    <row r="8" spans="1:16" x14ac:dyDescent="0.35">
      <c r="A8" s="32" t="str">
        <f t="shared" ref="A8:C8" si="5">A7</f>
        <v>2026 JAN-APR SHARP PRICE</v>
      </c>
      <c r="B8" s="33">
        <f t="shared" si="5"/>
        <v>46121</v>
      </c>
      <c r="C8" s="33">
        <f t="shared" si="5"/>
        <v>46127</v>
      </c>
      <c r="D8" s="32">
        <v>3284</v>
      </c>
      <c r="E8" s="32">
        <v>338</v>
      </c>
      <c r="F8" s="32">
        <v>4</v>
      </c>
      <c r="G8" s="23">
        <v>4</v>
      </c>
      <c r="H8" s="23">
        <v>81379</v>
      </c>
      <c r="I8" s="32" t="s">
        <v>2689</v>
      </c>
      <c r="J8" s="59">
        <v>69119013</v>
      </c>
      <c r="K8" s="22" t="s">
        <v>7342</v>
      </c>
      <c r="L8" s="53" t="s">
        <v>7349</v>
      </c>
      <c r="M8" s="40">
        <v>149900</v>
      </c>
      <c r="N8" s="88">
        <v>0</v>
      </c>
      <c r="O8" s="34" t="s">
        <v>7169</v>
      </c>
      <c r="P8" s="32" t="s">
        <v>7341</v>
      </c>
    </row>
    <row r="9" spans="1:16" x14ac:dyDescent="0.35">
      <c r="A9" s="32" t="str">
        <f t="shared" ref="A9:C9" si="6">A8</f>
        <v>2026 JAN-APR SHARP PRICE</v>
      </c>
      <c r="B9" s="33">
        <f t="shared" si="6"/>
        <v>46121</v>
      </c>
      <c r="C9" s="33">
        <f t="shared" si="6"/>
        <v>46127</v>
      </c>
      <c r="D9" s="32">
        <v>3284</v>
      </c>
      <c r="E9" s="32">
        <v>338</v>
      </c>
      <c r="F9" s="32">
        <v>4</v>
      </c>
      <c r="G9" s="23">
        <v>4</v>
      </c>
      <c r="H9" s="23">
        <v>81379</v>
      </c>
      <c r="I9" s="32" t="s">
        <v>2689</v>
      </c>
      <c r="J9" s="59">
        <v>69119022</v>
      </c>
      <c r="K9" s="22" t="s">
        <v>7342</v>
      </c>
      <c r="L9" s="53" t="s">
        <v>7350</v>
      </c>
      <c r="M9" s="40">
        <v>149900</v>
      </c>
      <c r="N9" s="88">
        <v>0</v>
      </c>
      <c r="O9" s="34" t="s">
        <v>7169</v>
      </c>
      <c r="P9" s="32" t="s">
        <v>7341</v>
      </c>
    </row>
    <row r="10" spans="1:16" x14ac:dyDescent="0.35">
      <c r="A10" s="32" t="str">
        <f t="shared" ref="A10:C10" si="7">A9</f>
        <v>2026 JAN-APR SHARP PRICE</v>
      </c>
      <c r="B10" s="33">
        <f t="shared" si="7"/>
        <v>46121</v>
      </c>
      <c r="C10" s="33">
        <f t="shared" si="7"/>
        <v>46127</v>
      </c>
      <c r="D10" s="32">
        <v>3284</v>
      </c>
      <c r="E10" s="32">
        <v>338</v>
      </c>
      <c r="F10" s="32">
        <v>4</v>
      </c>
      <c r="G10" s="23">
        <v>10</v>
      </c>
      <c r="H10" s="23">
        <v>81533</v>
      </c>
      <c r="I10" s="32" t="s">
        <v>2689</v>
      </c>
      <c r="J10" s="59">
        <v>68995784</v>
      </c>
      <c r="K10" s="22" t="s">
        <v>7351</v>
      </c>
      <c r="L10" s="53" t="s">
        <v>7352</v>
      </c>
      <c r="M10" s="40">
        <v>29900</v>
      </c>
      <c r="N10" s="88">
        <v>0</v>
      </c>
      <c r="O10" s="34" t="s">
        <v>7169</v>
      </c>
      <c r="P10" s="32" t="s">
        <v>7341</v>
      </c>
    </row>
    <row r="11" spans="1:16" x14ac:dyDescent="0.35">
      <c r="A11" s="32" t="str">
        <f t="shared" ref="A11:C11" si="8">A10</f>
        <v>2026 JAN-APR SHARP PRICE</v>
      </c>
      <c r="B11" s="33">
        <f t="shared" si="8"/>
        <v>46121</v>
      </c>
      <c r="C11" s="33">
        <f t="shared" si="8"/>
        <v>46127</v>
      </c>
      <c r="D11" s="32">
        <v>3284</v>
      </c>
      <c r="E11" s="32">
        <v>338</v>
      </c>
      <c r="F11" s="32">
        <v>4</v>
      </c>
      <c r="G11" s="23">
        <v>10</v>
      </c>
      <c r="H11" s="23">
        <v>81533</v>
      </c>
      <c r="I11" s="32" t="s">
        <v>2689</v>
      </c>
      <c r="J11" s="59">
        <v>68995793</v>
      </c>
      <c r="K11" s="22" t="s">
        <v>7351</v>
      </c>
      <c r="L11" s="53" t="s">
        <v>7353</v>
      </c>
      <c r="M11" s="40">
        <v>29900</v>
      </c>
      <c r="N11" s="88">
        <v>0</v>
      </c>
      <c r="O11" s="34" t="s">
        <v>7169</v>
      </c>
      <c r="P11" s="32" t="s">
        <v>7341</v>
      </c>
    </row>
    <row r="12" spans="1:16" x14ac:dyDescent="0.35">
      <c r="A12" s="32" t="str">
        <f t="shared" ref="A12:C12" si="9">A11</f>
        <v>2026 JAN-APR SHARP PRICE</v>
      </c>
      <c r="B12" s="33">
        <f t="shared" si="9"/>
        <v>46121</v>
      </c>
      <c r="C12" s="33">
        <f t="shared" si="9"/>
        <v>46127</v>
      </c>
      <c r="D12" s="32">
        <v>3284</v>
      </c>
      <c r="E12" s="32">
        <v>338</v>
      </c>
      <c r="F12" s="32">
        <v>4</v>
      </c>
      <c r="G12" s="23">
        <v>10</v>
      </c>
      <c r="H12" s="23">
        <v>81533</v>
      </c>
      <c r="I12" s="32" t="s">
        <v>2689</v>
      </c>
      <c r="J12" s="59">
        <v>68995800</v>
      </c>
      <c r="K12" s="22" t="s">
        <v>7351</v>
      </c>
      <c r="L12" s="53" t="s">
        <v>7354</v>
      </c>
      <c r="M12" s="40">
        <v>29900</v>
      </c>
      <c r="N12" s="88">
        <v>0</v>
      </c>
      <c r="O12" s="34" t="s">
        <v>7169</v>
      </c>
      <c r="P12" s="32" t="s">
        <v>7341</v>
      </c>
    </row>
    <row r="13" spans="1:16" x14ac:dyDescent="0.35">
      <c r="A13" s="32" t="str">
        <f t="shared" ref="A13:C13" si="10">A12</f>
        <v>2026 JAN-APR SHARP PRICE</v>
      </c>
      <c r="B13" s="33">
        <f t="shared" si="10"/>
        <v>46121</v>
      </c>
      <c r="C13" s="33">
        <f t="shared" si="10"/>
        <v>46127</v>
      </c>
      <c r="D13" s="32">
        <v>3284</v>
      </c>
      <c r="E13" s="32">
        <v>338</v>
      </c>
      <c r="F13" s="32">
        <v>4</v>
      </c>
      <c r="G13" s="23">
        <v>7</v>
      </c>
      <c r="H13" s="23">
        <v>81827</v>
      </c>
      <c r="I13" s="32" t="s">
        <v>2689</v>
      </c>
      <c r="J13" s="59">
        <v>68995284</v>
      </c>
      <c r="K13" s="22" t="s">
        <v>7355</v>
      </c>
      <c r="L13" s="53" t="s">
        <v>7356</v>
      </c>
      <c r="M13" s="40">
        <v>29900</v>
      </c>
      <c r="N13" s="88">
        <v>0</v>
      </c>
      <c r="O13" s="34" t="s">
        <v>7169</v>
      </c>
      <c r="P13" s="32" t="s">
        <v>7341</v>
      </c>
    </row>
    <row r="14" spans="1:16" x14ac:dyDescent="0.35">
      <c r="A14" s="32" t="str">
        <f t="shared" ref="A14:C14" si="11">A13</f>
        <v>2026 JAN-APR SHARP PRICE</v>
      </c>
      <c r="B14" s="33">
        <f t="shared" si="11"/>
        <v>46121</v>
      </c>
      <c r="C14" s="33">
        <f t="shared" si="11"/>
        <v>46127</v>
      </c>
      <c r="D14" s="32">
        <v>3284</v>
      </c>
      <c r="E14" s="32">
        <v>338</v>
      </c>
      <c r="F14" s="32">
        <v>4</v>
      </c>
      <c r="G14" s="23">
        <v>7</v>
      </c>
      <c r="H14" s="23">
        <v>81827</v>
      </c>
      <c r="I14" s="32" t="s">
        <v>2689</v>
      </c>
      <c r="J14" s="59">
        <v>68995293</v>
      </c>
      <c r="K14" s="22" t="s">
        <v>7355</v>
      </c>
      <c r="L14" s="53" t="s">
        <v>7357</v>
      </c>
      <c r="M14" s="40">
        <v>29900</v>
      </c>
      <c r="N14" s="88">
        <v>0</v>
      </c>
      <c r="O14" s="34" t="s">
        <v>7169</v>
      </c>
      <c r="P14" s="32" t="s">
        <v>7341</v>
      </c>
    </row>
    <row r="15" spans="1:16" x14ac:dyDescent="0.35">
      <c r="A15" s="32" t="str">
        <f t="shared" ref="A15:C15" si="12">A14</f>
        <v>2026 JAN-APR SHARP PRICE</v>
      </c>
      <c r="B15" s="33">
        <f t="shared" si="12"/>
        <v>46121</v>
      </c>
      <c r="C15" s="33">
        <f t="shared" si="12"/>
        <v>46127</v>
      </c>
      <c r="D15" s="32">
        <v>3284</v>
      </c>
      <c r="E15" s="32">
        <v>338</v>
      </c>
      <c r="F15" s="32">
        <v>4</v>
      </c>
      <c r="G15" s="23">
        <v>7</v>
      </c>
      <c r="H15" s="23">
        <v>81827</v>
      </c>
      <c r="I15" s="32" t="s">
        <v>2689</v>
      </c>
      <c r="J15" s="59">
        <v>68995300</v>
      </c>
      <c r="K15" s="22" t="s">
        <v>7355</v>
      </c>
      <c r="L15" s="53" t="s">
        <v>7358</v>
      </c>
      <c r="M15" s="40">
        <v>29900</v>
      </c>
      <c r="N15" s="88">
        <v>0</v>
      </c>
      <c r="O15" s="34" t="s">
        <v>7169</v>
      </c>
      <c r="P15" s="32" t="s">
        <v>7341</v>
      </c>
    </row>
    <row r="16" spans="1:16" x14ac:dyDescent="0.35">
      <c r="A16" s="32" t="str">
        <f t="shared" ref="A16:C16" si="13">A15</f>
        <v>2026 JAN-APR SHARP PRICE</v>
      </c>
      <c r="B16" s="33">
        <f t="shared" si="13"/>
        <v>46121</v>
      </c>
      <c r="C16" s="33">
        <f t="shared" si="13"/>
        <v>46127</v>
      </c>
      <c r="D16" s="32">
        <v>3284</v>
      </c>
      <c r="E16" s="32">
        <v>338</v>
      </c>
      <c r="F16" s="32">
        <v>4</v>
      </c>
      <c r="G16" s="23">
        <v>9</v>
      </c>
      <c r="H16" s="23">
        <v>81679</v>
      </c>
      <c r="I16" s="32" t="s">
        <v>2689</v>
      </c>
      <c r="J16" s="59">
        <v>69653810</v>
      </c>
      <c r="K16" s="22" t="s">
        <v>7359</v>
      </c>
      <c r="L16" s="53" t="s">
        <v>7360</v>
      </c>
      <c r="M16" s="40">
        <v>179900</v>
      </c>
      <c r="N16" s="88">
        <v>0</v>
      </c>
      <c r="O16" s="34" t="s">
        <v>7169</v>
      </c>
      <c r="P16" s="32" t="s">
        <v>7341</v>
      </c>
    </row>
    <row r="17" spans="1:16" x14ac:dyDescent="0.35">
      <c r="A17" s="32" t="str">
        <f t="shared" ref="A17:C17" si="14">A16</f>
        <v>2026 JAN-APR SHARP PRICE</v>
      </c>
      <c r="B17" s="33">
        <f t="shared" si="14"/>
        <v>46121</v>
      </c>
      <c r="C17" s="33">
        <f t="shared" si="14"/>
        <v>46127</v>
      </c>
      <c r="D17" s="32">
        <v>3284</v>
      </c>
      <c r="E17" s="32">
        <v>338</v>
      </c>
      <c r="F17" s="32">
        <v>4</v>
      </c>
      <c r="G17" s="23">
        <v>9</v>
      </c>
      <c r="H17" s="23">
        <v>81679</v>
      </c>
      <c r="I17" s="32" t="s">
        <v>2689</v>
      </c>
      <c r="J17" s="59">
        <v>69653829</v>
      </c>
      <c r="K17" s="22" t="s">
        <v>7359</v>
      </c>
      <c r="L17" s="53" t="s">
        <v>7361</v>
      </c>
      <c r="M17" s="40">
        <v>179900</v>
      </c>
      <c r="N17" s="88">
        <v>0</v>
      </c>
      <c r="O17" s="34" t="s">
        <v>7169</v>
      </c>
      <c r="P17" s="32" t="s">
        <v>7341</v>
      </c>
    </row>
    <row r="18" spans="1:16" x14ac:dyDescent="0.35">
      <c r="A18" s="32" t="str">
        <f t="shared" ref="A18:C18" si="15">A17</f>
        <v>2026 JAN-APR SHARP PRICE</v>
      </c>
      <c r="B18" s="33">
        <f t="shared" si="15"/>
        <v>46121</v>
      </c>
      <c r="C18" s="33">
        <f t="shared" si="15"/>
        <v>46127</v>
      </c>
      <c r="D18" s="32">
        <v>3284</v>
      </c>
      <c r="E18" s="32">
        <v>338</v>
      </c>
      <c r="F18" s="32">
        <v>4</v>
      </c>
      <c r="G18" s="23">
        <v>9</v>
      </c>
      <c r="H18" s="23">
        <v>81679</v>
      </c>
      <c r="I18" s="32" t="s">
        <v>2689</v>
      </c>
      <c r="J18" s="59">
        <v>69653838</v>
      </c>
      <c r="K18" s="22" t="s">
        <v>7359</v>
      </c>
      <c r="L18" s="53" t="s">
        <v>7362</v>
      </c>
      <c r="M18" s="40">
        <v>179900</v>
      </c>
      <c r="N18" s="88">
        <v>0</v>
      </c>
      <c r="O18" s="34" t="s">
        <v>7169</v>
      </c>
      <c r="P18" s="32" t="s">
        <v>7341</v>
      </c>
    </row>
    <row r="19" spans="1:16" x14ac:dyDescent="0.35">
      <c r="A19" s="32" t="str">
        <f t="shared" ref="A19:C19" si="16">A18</f>
        <v>2026 JAN-APR SHARP PRICE</v>
      </c>
      <c r="B19" s="33">
        <f t="shared" si="16"/>
        <v>46121</v>
      </c>
      <c r="C19" s="33">
        <f t="shared" si="16"/>
        <v>46127</v>
      </c>
      <c r="D19" s="32">
        <v>3284</v>
      </c>
      <c r="E19" s="32">
        <v>338</v>
      </c>
      <c r="F19" s="32">
        <v>4</v>
      </c>
      <c r="G19" s="23">
        <v>9</v>
      </c>
      <c r="H19" s="23">
        <v>81679</v>
      </c>
      <c r="I19" s="32" t="s">
        <v>2689</v>
      </c>
      <c r="J19" s="59">
        <v>69653847</v>
      </c>
      <c r="K19" s="22" t="s">
        <v>7359</v>
      </c>
      <c r="L19" s="53" t="s">
        <v>7363</v>
      </c>
      <c r="M19" s="40">
        <v>179900</v>
      </c>
      <c r="N19" s="88">
        <v>0</v>
      </c>
      <c r="O19" s="34" t="s">
        <v>7169</v>
      </c>
      <c r="P19" s="32" t="s">
        <v>7341</v>
      </c>
    </row>
    <row r="20" spans="1:16" x14ac:dyDescent="0.35">
      <c r="A20" s="32" t="str">
        <f t="shared" ref="A20:C20" si="17">A19</f>
        <v>2026 JAN-APR SHARP PRICE</v>
      </c>
      <c r="B20" s="33">
        <f t="shared" si="17"/>
        <v>46121</v>
      </c>
      <c r="C20" s="33">
        <f t="shared" si="17"/>
        <v>46127</v>
      </c>
      <c r="D20" s="32">
        <v>3284</v>
      </c>
      <c r="E20" s="32">
        <v>338</v>
      </c>
      <c r="F20" s="32">
        <v>4</v>
      </c>
      <c r="G20" s="23">
        <v>9</v>
      </c>
      <c r="H20" s="23">
        <v>81679</v>
      </c>
      <c r="I20" s="32" t="s">
        <v>2689</v>
      </c>
      <c r="J20" s="59">
        <v>69653856</v>
      </c>
      <c r="K20" s="22" t="s">
        <v>7359</v>
      </c>
      <c r="L20" s="53" t="s">
        <v>7364</v>
      </c>
      <c r="M20" s="40">
        <v>179900</v>
      </c>
      <c r="N20" s="88">
        <v>0</v>
      </c>
      <c r="O20" s="34" t="s">
        <v>7169</v>
      </c>
      <c r="P20" s="32" t="s">
        <v>7341</v>
      </c>
    </row>
    <row r="21" spans="1:16" x14ac:dyDescent="0.35">
      <c r="A21" s="32" t="str">
        <f t="shared" ref="A21:C21" si="18">A20</f>
        <v>2026 JAN-APR SHARP PRICE</v>
      </c>
      <c r="B21" s="33">
        <f t="shared" si="18"/>
        <v>46121</v>
      </c>
      <c r="C21" s="33">
        <f t="shared" si="18"/>
        <v>46127</v>
      </c>
      <c r="D21" s="32">
        <v>3284</v>
      </c>
      <c r="E21" s="32">
        <v>338</v>
      </c>
      <c r="F21" s="32">
        <v>4</v>
      </c>
      <c r="G21" s="23">
        <v>9</v>
      </c>
      <c r="H21" s="23">
        <v>81679</v>
      </c>
      <c r="I21" s="32" t="s">
        <v>2689</v>
      </c>
      <c r="J21" s="59">
        <v>69653865</v>
      </c>
      <c r="K21" s="22" t="s">
        <v>7359</v>
      </c>
      <c r="L21" s="53" t="s">
        <v>7365</v>
      </c>
      <c r="M21" s="40">
        <v>179900</v>
      </c>
      <c r="N21" s="88">
        <v>0</v>
      </c>
      <c r="O21" s="34" t="s">
        <v>7169</v>
      </c>
      <c r="P21" s="32" t="s">
        <v>7341</v>
      </c>
    </row>
    <row r="22" spans="1:16" x14ac:dyDescent="0.35">
      <c r="A22" s="32" t="str">
        <f t="shared" ref="A22:C22" si="19">A21</f>
        <v>2026 JAN-APR SHARP PRICE</v>
      </c>
      <c r="B22" s="33">
        <f t="shared" si="19"/>
        <v>46121</v>
      </c>
      <c r="C22" s="33">
        <f t="shared" si="19"/>
        <v>46127</v>
      </c>
      <c r="D22" s="32">
        <v>3284</v>
      </c>
      <c r="E22" s="32">
        <v>338</v>
      </c>
      <c r="F22" s="32">
        <v>4</v>
      </c>
      <c r="G22" s="23">
        <v>9</v>
      </c>
      <c r="H22" s="23">
        <v>81679</v>
      </c>
      <c r="I22" s="32" t="s">
        <v>2689</v>
      </c>
      <c r="J22" s="59">
        <v>69653874</v>
      </c>
      <c r="K22" s="22" t="s">
        <v>7359</v>
      </c>
      <c r="L22" s="53" t="s">
        <v>7366</v>
      </c>
      <c r="M22" s="40">
        <v>179900</v>
      </c>
      <c r="N22" s="88">
        <v>0</v>
      </c>
      <c r="O22" s="34" t="s">
        <v>7169</v>
      </c>
      <c r="P22" s="32" t="s">
        <v>7341</v>
      </c>
    </row>
    <row r="23" spans="1:16" x14ac:dyDescent="0.35">
      <c r="A23" s="32" t="str">
        <f t="shared" ref="A23:C23" si="20">A22</f>
        <v>2026 JAN-APR SHARP PRICE</v>
      </c>
      <c r="B23" s="33">
        <f t="shared" si="20"/>
        <v>46121</v>
      </c>
      <c r="C23" s="33">
        <f t="shared" si="20"/>
        <v>46127</v>
      </c>
      <c r="D23" s="32">
        <v>3284</v>
      </c>
      <c r="E23" s="32">
        <v>338</v>
      </c>
      <c r="F23" s="32">
        <v>4</v>
      </c>
      <c r="G23" s="23">
        <v>9</v>
      </c>
      <c r="H23" s="23">
        <v>81679</v>
      </c>
      <c r="I23" s="32" t="s">
        <v>2689</v>
      </c>
      <c r="J23" s="59">
        <v>69653883</v>
      </c>
      <c r="K23" s="22" t="s">
        <v>7359</v>
      </c>
      <c r="L23" s="53" t="s">
        <v>7367</v>
      </c>
      <c r="M23" s="40">
        <v>179900</v>
      </c>
      <c r="N23" s="88">
        <v>0</v>
      </c>
      <c r="O23" s="34" t="s">
        <v>7169</v>
      </c>
      <c r="P23" s="32" t="s">
        <v>7341</v>
      </c>
    </row>
    <row r="24" spans="1:16" x14ac:dyDescent="0.35">
      <c r="A24" s="32" t="str">
        <f t="shared" ref="A24:C24" si="21">A23</f>
        <v>2026 JAN-APR SHARP PRICE</v>
      </c>
      <c r="B24" s="33">
        <f t="shared" si="21"/>
        <v>46121</v>
      </c>
      <c r="C24" s="33">
        <f t="shared" si="21"/>
        <v>46127</v>
      </c>
      <c r="D24" s="32">
        <v>3284</v>
      </c>
      <c r="E24" s="32">
        <v>338</v>
      </c>
      <c r="F24" s="32">
        <v>4</v>
      </c>
      <c r="G24" s="23">
        <v>9</v>
      </c>
      <c r="H24" s="23">
        <v>81679</v>
      </c>
      <c r="I24" s="32" t="s">
        <v>2689</v>
      </c>
      <c r="J24" s="59">
        <v>69654266</v>
      </c>
      <c r="K24" s="22" t="s">
        <v>7368</v>
      </c>
      <c r="L24" s="53" t="s">
        <v>7369</v>
      </c>
      <c r="M24" s="40">
        <v>149900</v>
      </c>
      <c r="N24" s="88">
        <v>0</v>
      </c>
      <c r="O24" s="34" t="s">
        <v>7169</v>
      </c>
      <c r="P24" s="32" t="s">
        <v>7341</v>
      </c>
    </row>
    <row r="25" spans="1:16" x14ac:dyDescent="0.35">
      <c r="A25" s="32" t="str">
        <f t="shared" ref="A25:C25" si="22">A24</f>
        <v>2026 JAN-APR SHARP PRICE</v>
      </c>
      <c r="B25" s="33">
        <f t="shared" si="22"/>
        <v>46121</v>
      </c>
      <c r="C25" s="33">
        <f t="shared" si="22"/>
        <v>46127</v>
      </c>
      <c r="D25" s="32">
        <v>3284</v>
      </c>
      <c r="E25" s="32">
        <v>338</v>
      </c>
      <c r="F25" s="32">
        <v>4</v>
      </c>
      <c r="G25" s="23">
        <v>9</v>
      </c>
      <c r="H25" s="23">
        <v>81679</v>
      </c>
      <c r="I25" s="32" t="s">
        <v>2689</v>
      </c>
      <c r="J25" s="59">
        <v>69654275</v>
      </c>
      <c r="K25" s="22" t="s">
        <v>7368</v>
      </c>
      <c r="L25" s="53" t="s">
        <v>7370</v>
      </c>
      <c r="M25" s="40">
        <v>149900</v>
      </c>
      <c r="N25" s="88">
        <v>0</v>
      </c>
      <c r="O25" s="34" t="s">
        <v>7169</v>
      </c>
      <c r="P25" s="32" t="s">
        <v>7341</v>
      </c>
    </row>
    <row r="26" spans="1:16" x14ac:dyDescent="0.35">
      <c r="A26" s="32" t="str">
        <f t="shared" ref="A26:C26" si="23">A25</f>
        <v>2026 JAN-APR SHARP PRICE</v>
      </c>
      <c r="B26" s="33">
        <f t="shared" si="23"/>
        <v>46121</v>
      </c>
      <c r="C26" s="33">
        <f t="shared" si="23"/>
        <v>46127</v>
      </c>
      <c r="D26" s="32">
        <v>3284</v>
      </c>
      <c r="E26" s="32">
        <v>338</v>
      </c>
      <c r="F26" s="32">
        <v>4</v>
      </c>
      <c r="G26" s="23">
        <v>9</v>
      </c>
      <c r="H26" s="23">
        <v>81679</v>
      </c>
      <c r="I26" s="32" t="s">
        <v>2689</v>
      </c>
      <c r="J26" s="59">
        <v>69654284</v>
      </c>
      <c r="K26" s="22" t="s">
        <v>7368</v>
      </c>
      <c r="L26" s="53" t="s">
        <v>7371</v>
      </c>
      <c r="M26" s="40">
        <v>149900</v>
      </c>
      <c r="N26" s="88">
        <v>0</v>
      </c>
      <c r="O26" s="34" t="s">
        <v>7169</v>
      </c>
      <c r="P26" s="32" t="s">
        <v>7341</v>
      </c>
    </row>
    <row r="27" spans="1:16" x14ac:dyDescent="0.35">
      <c r="A27" s="32" t="str">
        <f t="shared" ref="A27:C27" si="24">A26</f>
        <v>2026 JAN-APR SHARP PRICE</v>
      </c>
      <c r="B27" s="33">
        <f t="shared" si="24"/>
        <v>46121</v>
      </c>
      <c r="C27" s="33">
        <f t="shared" si="24"/>
        <v>46127</v>
      </c>
      <c r="D27" s="32">
        <v>3284</v>
      </c>
      <c r="E27" s="32">
        <v>338</v>
      </c>
      <c r="F27" s="32">
        <v>4</v>
      </c>
      <c r="G27" s="23">
        <v>9</v>
      </c>
      <c r="H27" s="23">
        <v>81679</v>
      </c>
      <c r="I27" s="32" t="s">
        <v>2689</v>
      </c>
      <c r="J27" s="59">
        <v>69654293</v>
      </c>
      <c r="K27" s="22" t="s">
        <v>7368</v>
      </c>
      <c r="L27" s="53" t="s">
        <v>7372</v>
      </c>
      <c r="M27" s="40">
        <v>149900</v>
      </c>
      <c r="N27" s="88">
        <v>0</v>
      </c>
      <c r="O27" s="34" t="s">
        <v>7169</v>
      </c>
      <c r="P27" s="32" t="s">
        <v>7341</v>
      </c>
    </row>
    <row r="28" spans="1:16" x14ac:dyDescent="0.35">
      <c r="A28" s="32" t="str">
        <f t="shared" ref="A28:C28" si="25">A27</f>
        <v>2026 JAN-APR SHARP PRICE</v>
      </c>
      <c r="B28" s="33">
        <f t="shared" si="25"/>
        <v>46121</v>
      </c>
      <c r="C28" s="33">
        <f t="shared" si="25"/>
        <v>46127</v>
      </c>
      <c r="D28" s="32">
        <v>3284</v>
      </c>
      <c r="E28" s="32">
        <v>338</v>
      </c>
      <c r="F28" s="32">
        <v>4</v>
      </c>
      <c r="G28" s="23">
        <v>9</v>
      </c>
      <c r="H28" s="23">
        <v>81679</v>
      </c>
      <c r="I28" s="32" t="s">
        <v>2689</v>
      </c>
      <c r="J28" s="59">
        <v>69654300</v>
      </c>
      <c r="K28" s="22" t="s">
        <v>7368</v>
      </c>
      <c r="L28" s="53" t="s">
        <v>7373</v>
      </c>
      <c r="M28" s="40">
        <v>149900</v>
      </c>
      <c r="N28" s="88">
        <v>0</v>
      </c>
      <c r="O28" s="34" t="s">
        <v>7169</v>
      </c>
      <c r="P28" s="32" t="s">
        <v>7341</v>
      </c>
    </row>
    <row r="29" spans="1:16" x14ac:dyDescent="0.35">
      <c r="A29" s="32" t="str">
        <f t="shared" ref="A29:C29" si="26">A28</f>
        <v>2026 JAN-APR SHARP PRICE</v>
      </c>
      <c r="B29" s="33">
        <f t="shared" si="26"/>
        <v>46121</v>
      </c>
      <c r="C29" s="33">
        <f t="shared" si="26"/>
        <v>46127</v>
      </c>
      <c r="D29" s="32">
        <v>3284</v>
      </c>
      <c r="E29" s="32">
        <v>338</v>
      </c>
      <c r="F29" s="32">
        <v>4</v>
      </c>
      <c r="G29" s="23">
        <v>9</v>
      </c>
      <c r="H29" s="23">
        <v>81679</v>
      </c>
      <c r="I29" s="32" t="s">
        <v>2689</v>
      </c>
      <c r="J29" s="59">
        <v>69654319</v>
      </c>
      <c r="K29" s="22" t="s">
        <v>7368</v>
      </c>
      <c r="L29" s="53" t="s">
        <v>7374</v>
      </c>
      <c r="M29" s="40">
        <v>149900</v>
      </c>
      <c r="N29" s="88">
        <v>0</v>
      </c>
      <c r="O29" s="34" t="s">
        <v>7169</v>
      </c>
      <c r="P29" s="32" t="s">
        <v>7341</v>
      </c>
    </row>
    <row r="30" spans="1:16" x14ac:dyDescent="0.35">
      <c r="A30" s="32" t="str">
        <f t="shared" ref="A30:C30" si="27">A29</f>
        <v>2026 JAN-APR SHARP PRICE</v>
      </c>
      <c r="B30" s="33">
        <f t="shared" si="27"/>
        <v>46121</v>
      </c>
      <c r="C30" s="33">
        <f t="shared" si="27"/>
        <v>46127</v>
      </c>
      <c r="D30" s="32">
        <v>3284</v>
      </c>
      <c r="E30" s="32">
        <v>338</v>
      </c>
      <c r="F30" s="32">
        <v>4</v>
      </c>
      <c r="G30" s="23">
        <v>9</v>
      </c>
      <c r="H30" s="23">
        <v>81679</v>
      </c>
      <c r="I30" s="32" t="s">
        <v>2689</v>
      </c>
      <c r="J30" s="59">
        <v>69654328</v>
      </c>
      <c r="K30" s="22" t="s">
        <v>7368</v>
      </c>
      <c r="L30" s="53" t="s">
        <v>7375</v>
      </c>
      <c r="M30" s="40">
        <v>149900</v>
      </c>
      <c r="N30" s="88">
        <v>0</v>
      </c>
      <c r="O30" s="34" t="s">
        <v>7169</v>
      </c>
      <c r="P30" s="32" t="s">
        <v>7341</v>
      </c>
    </row>
    <row r="31" spans="1:16" x14ac:dyDescent="0.35">
      <c r="A31" s="32" t="str">
        <f t="shared" ref="A31:C31" si="28">A30</f>
        <v>2026 JAN-APR SHARP PRICE</v>
      </c>
      <c r="B31" s="33">
        <f t="shared" si="28"/>
        <v>46121</v>
      </c>
      <c r="C31" s="33">
        <f t="shared" si="28"/>
        <v>46127</v>
      </c>
      <c r="D31" s="32">
        <v>3284</v>
      </c>
      <c r="E31" s="32">
        <v>338</v>
      </c>
      <c r="F31" s="32">
        <v>4</v>
      </c>
      <c r="G31" s="23">
        <v>9</v>
      </c>
      <c r="H31" s="23">
        <v>81679</v>
      </c>
      <c r="I31" s="32" t="s">
        <v>2689</v>
      </c>
      <c r="J31" s="59">
        <v>69654337</v>
      </c>
      <c r="K31" s="22" t="s">
        <v>7368</v>
      </c>
      <c r="L31" s="53" t="s">
        <v>7376</v>
      </c>
      <c r="M31" s="40">
        <v>149900</v>
      </c>
      <c r="N31" s="88">
        <v>0</v>
      </c>
      <c r="O31" s="34" t="s">
        <v>7169</v>
      </c>
      <c r="P31" s="32" t="s">
        <v>7341</v>
      </c>
    </row>
    <row r="32" spans="1:16" x14ac:dyDescent="0.35">
      <c r="A32" s="32" t="str">
        <f t="shared" ref="A32:C32" si="29">A31</f>
        <v>2026 JAN-APR SHARP PRICE</v>
      </c>
      <c r="B32" s="33">
        <f t="shared" si="29"/>
        <v>46121</v>
      </c>
      <c r="C32" s="33">
        <f t="shared" si="29"/>
        <v>46127</v>
      </c>
      <c r="D32" s="32">
        <v>3284</v>
      </c>
      <c r="E32" s="32">
        <v>338</v>
      </c>
      <c r="F32" s="32">
        <v>4</v>
      </c>
      <c r="G32" s="23">
        <v>4</v>
      </c>
      <c r="H32" s="23">
        <v>81679</v>
      </c>
      <c r="I32" s="32" t="s">
        <v>2689</v>
      </c>
      <c r="J32" s="59">
        <v>69688944</v>
      </c>
      <c r="K32" s="22" t="s">
        <v>6865</v>
      </c>
      <c r="L32" s="53" t="s">
        <v>7377</v>
      </c>
      <c r="M32" s="40">
        <v>149900</v>
      </c>
      <c r="N32" s="88">
        <v>0</v>
      </c>
      <c r="O32" s="34" t="s">
        <v>7169</v>
      </c>
      <c r="P32" s="32" t="s">
        <v>7341</v>
      </c>
    </row>
    <row r="33" spans="1:16" x14ac:dyDescent="0.35">
      <c r="A33" s="32" t="str">
        <f t="shared" ref="A33:C33" si="30">A32</f>
        <v>2026 JAN-APR SHARP PRICE</v>
      </c>
      <c r="B33" s="33">
        <f t="shared" si="30"/>
        <v>46121</v>
      </c>
      <c r="C33" s="33">
        <f t="shared" si="30"/>
        <v>46127</v>
      </c>
      <c r="D33" s="32">
        <v>3284</v>
      </c>
      <c r="E33" s="32">
        <v>338</v>
      </c>
      <c r="F33" s="32">
        <v>4</v>
      </c>
      <c r="G33" s="23">
        <v>4</v>
      </c>
      <c r="H33" s="23">
        <v>81679</v>
      </c>
      <c r="I33" s="32" t="s">
        <v>2689</v>
      </c>
      <c r="J33" s="59">
        <v>69688953</v>
      </c>
      <c r="K33" s="22" t="s">
        <v>6865</v>
      </c>
      <c r="L33" s="53" t="s">
        <v>7378</v>
      </c>
      <c r="M33" s="40">
        <v>149900</v>
      </c>
      <c r="N33" s="88">
        <v>0</v>
      </c>
      <c r="O33" s="34" t="s">
        <v>7169</v>
      </c>
      <c r="P33" s="32" t="s">
        <v>7341</v>
      </c>
    </row>
    <row r="34" spans="1:16" x14ac:dyDescent="0.35">
      <c r="A34" s="32" t="str">
        <f t="shared" ref="A34:C34" si="31">A33</f>
        <v>2026 JAN-APR SHARP PRICE</v>
      </c>
      <c r="B34" s="33">
        <f t="shared" si="31"/>
        <v>46121</v>
      </c>
      <c r="C34" s="33">
        <f t="shared" si="31"/>
        <v>46127</v>
      </c>
      <c r="D34" s="32">
        <v>3284</v>
      </c>
      <c r="E34" s="32">
        <v>338</v>
      </c>
      <c r="F34" s="32">
        <v>4</v>
      </c>
      <c r="G34" s="23">
        <v>4</v>
      </c>
      <c r="H34" s="23">
        <v>81679</v>
      </c>
      <c r="I34" s="32" t="s">
        <v>2689</v>
      </c>
      <c r="J34" s="59">
        <v>69688962</v>
      </c>
      <c r="K34" s="22" t="s">
        <v>6865</v>
      </c>
      <c r="L34" s="53" t="s">
        <v>7379</v>
      </c>
      <c r="M34" s="40">
        <v>149900</v>
      </c>
      <c r="N34" s="88">
        <v>0</v>
      </c>
      <c r="O34" s="34" t="s">
        <v>7169</v>
      </c>
      <c r="P34" s="32" t="s">
        <v>7341</v>
      </c>
    </row>
    <row r="35" spans="1:16" x14ac:dyDescent="0.35">
      <c r="A35" s="32" t="str">
        <f t="shared" ref="A35:C35" si="32">A34</f>
        <v>2026 JAN-APR SHARP PRICE</v>
      </c>
      <c r="B35" s="33">
        <f t="shared" si="32"/>
        <v>46121</v>
      </c>
      <c r="C35" s="33">
        <f t="shared" si="32"/>
        <v>46127</v>
      </c>
      <c r="D35" s="32">
        <v>3284</v>
      </c>
      <c r="E35" s="32">
        <v>338</v>
      </c>
      <c r="F35" s="32">
        <v>4</v>
      </c>
      <c r="G35" s="23">
        <v>4</v>
      </c>
      <c r="H35" s="23">
        <v>81679</v>
      </c>
      <c r="I35" s="32" t="s">
        <v>2689</v>
      </c>
      <c r="J35" s="59">
        <v>69688971</v>
      </c>
      <c r="K35" s="22" t="s">
        <v>6865</v>
      </c>
      <c r="L35" s="53" t="s">
        <v>7380</v>
      </c>
      <c r="M35" s="40">
        <v>149900</v>
      </c>
      <c r="N35" s="88">
        <v>0</v>
      </c>
      <c r="O35" s="34" t="s">
        <v>7169</v>
      </c>
      <c r="P35" s="32" t="s">
        <v>7341</v>
      </c>
    </row>
    <row r="36" spans="1:16" x14ac:dyDescent="0.35">
      <c r="A36" s="32" t="str">
        <f t="shared" ref="A36:C36" si="33">A35</f>
        <v>2026 JAN-APR SHARP PRICE</v>
      </c>
      <c r="B36" s="33">
        <f t="shared" si="33"/>
        <v>46121</v>
      </c>
      <c r="C36" s="33">
        <f t="shared" si="33"/>
        <v>46127</v>
      </c>
      <c r="D36" s="32">
        <v>3284</v>
      </c>
      <c r="E36" s="32">
        <v>338</v>
      </c>
      <c r="F36" s="32">
        <v>4</v>
      </c>
      <c r="G36" s="23">
        <v>4</v>
      </c>
      <c r="H36" s="23">
        <v>81679</v>
      </c>
      <c r="I36" s="32" t="s">
        <v>2689</v>
      </c>
      <c r="J36" s="59">
        <v>69688980</v>
      </c>
      <c r="K36" s="22" t="s">
        <v>6865</v>
      </c>
      <c r="L36" s="53" t="s">
        <v>7381</v>
      </c>
      <c r="M36" s="40">
        <v>149900</v>
      </c>
      <c r="N36" s="88">
        <v>0</v>
      </c>
      <c r="O36" s="34" t="s">
        <v>7169</v>
      </c>
      <c r="P36" s="32" t="s">
        <v>7341</v>
      </c>
    </row>
    <row r="37" spans="1:16" x14ac:dyDescent="0.35">
      <c r="A37" s="32" t="str">
        <f t="shared" ref="A37:C37" si="34">A36</f>
        <v>2026 JAN-APR SHARP PRICE</v>
      </c>
      <c r="B37" s="33">
        <f t="shared" si="34"/>
        <v>46121</v>
      </c>
      <c r="C37" s="33">
        <f t="shared" si="34"/>
        <v>46127</v>
      </c>
      <c r="D37" s="32">
        <v>3284</v>
      </c>
      <c r="E37" s="32">
        <v>338</v>
      </c>
      <c r="F37" s="32">
        <v>4</v>
      </c>
      <c r="G37" s="23">
        <v>4</v>
      </c>
      <c r="H37" s="23">
        <v>81679</v>
      </c>
      <c r="I37" s="32" t="s">
        <v>2689</v>
      </c>
      <c r="J37" s="59">
        <v>69688999</v>
      </c>
      <c r="K37" s="22" t="s">
        <v>6865</v>
      </c>
      <c r="L37" s="53" t="s">
        <v>7382</v>
      </c>
      <c r="M37" s="40">
        <v>149900</v>
      </c>
      <c r="N37" s="88">
        <v>0</v>
      </c>
      <c r="O37" s="34" t="s">
        <v>7169</v>
      </c>
      <c r="P37" s="32" t="s">
        <v>7341</v>
      </c>
    </row>
    <row r="38" spans="1:16" x14ac:dyDescent="0.35">
      <c r="A38" s="32" t="str">
        <f t="shared" ref="A38:C38" si="35">A37</f>
        <v>2026 JAN-APR SHARP PRICE</v>
      </c>
      <c r="B38" s="33">
        <f t="shared" si="35"/>
        <v>46121</v>
      </c>
      <c r="C38" s="33">
        <f t="shared" si="35"/>
        <v>46127</v>
      </c>
      <c r="D38" s="32">
        <v>3284</v>
      </c>
      <c r="E38" s="32">
        <v>338</v>
      </c>
      <c r="F38" s="32">
        <v>4</v>
      </c>
      <c r="G38" s="23">
        <v>4</v>
      </c>
      <c r="H38" s="23">
        <v>81679</v>
      </c>
      <c r="I38" s="32" t="s">
        <v>2689</v>
      </c>
      <c r="J38" s="59">
        <v>69689005</v>
      </c>
      <c r="K38" s="22" t="s">
        <v>6865</v>
      </c>
      <c r="L38" s="53" t="s">
        <v>7383</v>
      </c>
      <c r="M38" s="40">
        <v>149900</v>
      </c>
      <c r="N38" s="88">
        <v>0</v>
      </c>
      <c r="O38" s="34" t="s">
        <v>7169</v>
      </c>
      <c r="P38" s="32" t="s">
        <v>7341</v>
      </c>
    </row>
    <row r="39" spans="1:16" x14ac:dyDescent="0.35">
      <c r="A39" s="32" t="str">
        <f t="shared" ref="A39:C39" si="36">A38</f>
        <v>2026 JAN-APR SHARP PRICE</v>
      </c>
      <c r="B39" s="33">
        <f t="shared" si="36"/>
        <v>46121</v>
      </c>
      <c r="C39" s="33">
        <f t="shared" si="36"/>
        <v>46127</v>
      </c>
      <c r="D39" s="32">
        <v>3284</v>
      </c>
      <c r="E39" s="32">
        <v>338</v>
      </c>
      <c r="F39" s="32">
        <v>4</v>
      </c>
      <c r="G39" s="23">
        <v>4</v>
      </c>
      <c r="H39" s="23">
        <v>81679</v>
      </c>
      <c r="I39" s="32" t="s">
        <v>2689</v>
      </c>
      <c r="J39" s="59">
        <v>69689014</v>
      </c>
      <c r="K39" s="22" t="s">
        <v>6865</v>
      </c>
      <c r="L39" s="53" t="s">
        <v>6864</v>
      </c>
      <c r="M39" s="40">
        <v>149900</v>
      </c>
      <c r="N39" s="88">
        <v>0</v>
      </c>
      <c r="O39" s="34" t="s">
        <v>7169</v>
      </c>
      <c r="P39" s="32" t="s">
        <v>7341</v>
      </c>
    </row>
    <row r="40" spans="1:16" x14ac:dyDescent="0.35">
      <c r="A40" s="32" t="str">
        <f t="shared" ref="A40:C40" si="37">A39</f>
        <v>2026 JAN-APR SHARP PRICE</v>
      </c>
      <c r="B40" s="33">
        <f t="shared" si="37"/>
        <v>46121</v>
      </c>
      <c r="C40" s="33">
        <f t="shared" si="37"/>
        <v>46127</v>
      </c>
      <c r="D40" s="32">
        <v>3284</v>
      </c>
      <c r="E40" s="32">
        <v>338</v>
      </c>
      <c r="F40" s="32">
        <v>4</v>
      </c>
      <c r="G40" s="23">
        <v>10</v>
      </c>
      <c r="H40" s="23">
        <v>81533</v>
      </c>
      <c r="I40" s="32" t="s">
        <v>2689</v>
      </c>
      <c r="J40" s="59">
        <v>69654088</v>
      </c>
      <c r="K40" s="22" t="s">
        <v>6861</v>
      </c>
      <c r="L40" s="53" t="s">
        <v>6863</v>
      </c>
      <c r="M40" s="40">
        <v>29900</v>
      </c>
      <c r="N40" s="88">
        <v>0</v>
      </c>
      <c r="O40" s="34" t="s">
        <v>7169</v>
      </c>
      <c r="P40" s="32" t="s">
        <v>7341</v>
      </c>
    </row>
    <row r="41" spans="1:16" x14ac:dyDescent="0.35">
      <c r="A41" s="32" t="str">
        <f t="shared" ref="A41:C41" si="38">A40</f>
        <v>2026 JAN-APR SHARP PRICE</v>
      </c>
      <c r="B41" s="33">
        <f t="shared" si="38"/>
        <v>46121</v>
      </c>
      <c r="C41" s="33">
        <f t="shared" si="38"/>
        <v>46127</v>
      </c>
      <c r="D41" s="32">
        <v>3284</v>
      </c>
      <c r="E41" s="32">
        <v>338</v>
      </c>
      <c r="F41" s="32">
        <v>4</v>
      </c>
      <c r="G41" s="23">
        <v>10</v>
      </c>
      <c r="H41" s="23">
        <v>81533</v>
      </c>
      <c r="I41" s="32" t="s">
        <v>2689</v>
      </c>
      <c r="J41" s="59">
        <v>69654097</v>
      </c>
      <c r="K41" s="22" t="s">
        <v>6861</v>
      </c>
      <c r="L41" s="53" t="s">
        <v>6862</v>
      </c>
      <c r="M41" s="40">
        <v>29900</v>
      </c>
      <c r="N41" s="88">
        <v>0</v>
      </c>
      <c r="O41" s="34" t="s">
        <v>7169</v>
      </c>
      <c r="P41" s="32" t="s">
        <v>7341</v>
      </c>
    </row>
    <row r="42" spans="1:16" x14ac:dyDescent="0.35">
      <c r="A42" s="32" t="str">
        <f t="shared" ref="A42:C42" si="39">A41</f>
        <v>2026 JAN-APR SHARP PRICE</v>
      </c>
      <c r="B42" s="33">
        <f t="shared" si="39"/>
        <v>46121</v>
      </c>
      <c r="C42" s="33">
        <f t="shared" si="39"/>
        <v>46127</v>
      </c>
      <c r="D42" s="32">
        <v>3284</v>
      </c>
      <c r="E42" s="32">
        <v>338</v>
      </c>
      <c r="F42" s="32">
        <v>4</v>
      </c>
      <c r="G42" s="23">
        <v>10</v>
      </c>
      <c r="H42" s="23">
        <v>81533</v>
      </c>
      <c r="I42" s="32" t="s">
        <v>2689</v>
      </c>
      <c r="J42" s="59">
        <v>69654104</v>
      </c>
      <c r="K42" s="22" t="s">
        <v>6861</v>
      </c>
      <c r="L42" s="53" t="s">
        <v>6860</v>
      </c>
      <c r="M42" s="40">
        <v>29900</v>
      </c>
      <c r="N42" s="88">
        <v>0</v>
      </c>
      <c r="O42" s="34" t="s">
        <v>7169</v>
      </c>
      <c r="P42" s="32" t="s">
        <v>7341</v>
      </c>
    </row>
    <row r="43" spans="1:16" x14ac:dyDescent="0.35">
      <c r="A43" s="32" t="str">
        <f t="shared" ref="A43:C43" si="40">A42</f>
        <v>2026 JAN-APR SHARP PRICE</v>
      </c>
      <c r="B43" s="33">
        <f t="shared" si="40"/>
        <v>46121</v>
      </c>
      <c r="C43" s="33">
        <f t="shared" si="40"/>
        <v>46127</v>
      </c>
      <c r="D43" s="32">
        <v>3284</v>
      </c>
      <c r="E43" s="32">
        <v>338</v>
      </c>
      <c r="F43" s="32">
        <v>4</v>
      </c>
      <c r="G43" s="23">
        <v>10</v>
      </c>
      <c r="H43" s="23">
        <v>81533</v>
      </c>
      <c r="I43" s="32" t="s">
        <v>2689</v>
      </c>
      <c r="J43" s="59">
        <v>69654051</v>
      </c>
      <c r="K43" s="22" t="s">
        <v>6857</v>
      </c>
      <c r="L43" s="53" t="s">
        <v>6859</v>
      </c>
      <c r="M43" s="40">
        <v>29900</v>
      </c>
      <c r="N43" s="88">
        <v>0</v>
      </c>
      <c r="O43" s="34" t="s">
        <v>7169</v>
      </c>
      <c r="P43" s="32" t="s">
        <v>7341</v>
      </c>
    </row>
    <row r="44" spans="1:16" x14ac:dyDescent="0.35">
      <c r="A44" s="32" t="str">
        <f t="shared" ref="A44:C44" si="41">A43</f>
        <v>2026 JAN-APR SHARP PRICE</v>
      </c>
      <c r="B44" s="33">
        <f t="shared" si="41"/>
        <v>46121</v>
      </c>
      <c r="C44" s="33">
        <f t="shared" si="41"/>
        <v>46127</v>
      </c>
      <c r="D44" s="32">
        <v>3284</v>
      </c>
      <c r="E44" s="32">
        <v>338</v>
      </c>
      <c r="F44" s="32">
        <v>4</v>
      </c>
      <c r="G44" s="23">
        <v>10</v>
      </c>
      <c r="H44" s="23">
        <v>81533</v>
      </c>
      <c r="I44" s="32" t="s">
        <v>2689</v>
      </c>
      <c r="J44" s="59">
        <v>69654060</v>
      </c>
      <c r="K44" s="22" t="s">
        <v>6857</v>
      </c>
      <c r="L44" s="53" t="s">
        <v>6858</v>
      </c>
      <c r="M44" s="40">
        <v>29900</v>
      </c>
      <c r="N44" s="88">
        <v>0</v>
      </c>
      <c r="O44" s="34" t="s">
        <v>7169</v>
      </c>
      <c r="P44" s="32" t="s">
        <v>7341</v>
      </c>
    </row>
    <row r="45" spans="1:16" x14ac:dyDescent="0.35">
      <c r="A45" s="32" t="str">
        <f t="shared" ref="A45:C45" si="42">A44</f>
        <v>2026 JAN-APR SHARP PRICE</v>
      </c>
      <c r="B45" s="33">
        <f t="shared" si="42"/>
        <v>46121</v>
      </c>
      <c r="C45" s="33">
        <f t="shared" si="42"/>
        <v>46127</v>
      </c>
      <c r="D45" s="32">
        <v>3284</v>
      </c>
      <c r="E45" s="32">
        <v>338</v>
      </c>
      <c r="F45" s="32">
        <v>4</v>
      </c>
      <c r="G45" s="23">
        <v>10</v>
      </c>
      <c r="H45" s="23">
        <v>81533</v>
      </c>
      <c r="I45" s="32" t="s">
        <v>2689</v>
      </c>
      <c r="J45" s="59">
        <v>69654079</v>
      </c>
      <c r="K45" s="22" t="s">
        <v>6857</v>
      </c>
      <c r="L45" s="53" t="s">
        <v>6856</v>
      </c>
      <c r="M45" s="40">
        <v>29900</v>
      </c>
      <c r="N45" s="88">
        <v>0</v>
      </c>
      <c r="O45" s="34" t="s">
        <v>7169</v>
      </c>
      <c r="P45" s="32" t="s">
        <v>7341</v>
      </c>
    </row>
    <row r="46" spans="1:16" x14ac:dyDescent="0.35">
      <c r="A46" s="32" t="str">
        <f t="shared" ref="A46:C46" si="43">A45</f>
        <v>2026 JAN-APR SHARP PRICE</v>
      </c>
      <c r="B46" s="33">
        <f t="shared" si="43"/>
        <v>46121</v>
      </c>
      <c r="C46" s="33">
        <f t="shared" si="43"/>
        <v>46127</v>
      </c>
      <c r="D46" s="32">
        <v>3284</v>
      </c>
      <c r="E46" s="32">
        <v>338</v>
      </c>
      <c r="F46" s="32">
        <v>4</v>
      </c>
      <c r="G46" s="23">
        <v>10</v>
      </c>
      <c r="H46" s="23">
        <v>81533</v>
      </c>
      <c r="I46" s="32" t="s">
        <v>2689</v>
      </c>
      <c r="J46" s="59">
        <v>69654113</v>
      </c>
      <c r="K46" s="22" t="s">
        <v>6853</v>
      </c>
      <c r="L46" s="53" t="s">
        <v>6855</v>
      </c>
      <c r="M46" s="40">
        <v>29900</v>
      </c>
      <c r="N46" s="88">
        <v>0</v>
      </c>
      <c r="O46" s="34" t="s">
        <v>7169</v>
      </c>
      <c r="P46" s="32" t="s">
        <v>7341</v>
      </c>
    </row>
    <row r="47" spans="1:16" x14ac:dyDescent="0.35">
      <c r="A47" s="32" t="str">
        <f t="shared" ref="A47:C47" si="44">A46</f>
        <v>2026 JAN-APR SHARP PRICE</v>
      </c>
      <c r="B47" s="33">
        <f t="shared" si="44"/>
        <v>46121</v>
      </c>
      <c r="C47" s="33">
        <f t="shared" si="44"/>
        <v>46127</v>
      </c>
      <c r="D47" s="32">
        <v>3284</v>
      </c>
      <c r="E47" s="32">
        <v>338</v>
      </c>
      <c r="F47" s="32">
        <v>4</v>
      </c>
      <c r="G47" s="23">
        <v>10</v>
      </c>
      <c r="H47" s="23">
        <v>81533</v>
      </c>
      <c r="I47" s="32" t="s">
        <v>2689</v>
      </c>
      <c r="J47" s="59">
        <v>69654122</v>
      </c>
      <c r="K47" s="22" t="s">
        <v>6853</v>
      </c>
      <c r="L47" s="53" t="s">
        <v>6854</v>
      </c>
      <c r="M47" s="40">
        <v>29900</v>
      </c>
      <c r="N47" s="88">
        <v>0</v>
      </c>
      <c r="O47" s="34" t="s">
        <v>7169</v>
      </c>
      <c r="P47" s="32" t="s">
        <v>7341</v>
      </c>
    </row>
    <row r="48" spans="1:16" x14ac:dyDescent="0.35">
      <c r="A48" s="32" t="str">
        <f t="shared" ref="A48:C48" si="45">A47</f>
        <v>2026 JAN-APR SHARP PRICE</v>
      </c>
      <c r="B48" s="33">
        <f t="shared" si="45"/>
        <v>46121</v>
      </c>
      <c r="C48" s="33">
        <f t="shared" si="45"/>
        <v>46127</v>
      </c>
      <c r="D48" s="32">
        <v>3284</v>
      </c>
      <c r="E48" s="32">
        <v>338</v>
      </c>
      <c r="F48" s="32">
        <v>4</v>
      </c>
      <c r="G48" s="23">
        <v>10</v>
      </c>
      <c r="H48" s="23">
        <v>81533</v>
      </c>
      <c r="I48" s="32" t="s">
        <v>2689</v>
      </c>
      <c r="J48" s="59">
        <v>69654131</v>
      </c>
      <c r="K48" s="22" t="s">
        <v>6853</v>
      </c>
      <c r="L48" s="53" t="s">
        <v>6852</v>
      </c>
      <c r="M48" s="40">
        <v>29900</v>
      </c>
      <c r="N48" s="88">
        <v>0</v>
      </c>
      <c r="O48" s="34" t="s">
        <v>7169</v>
      </c>
      <c r="P48" s="32" t="s">
        <v>7341</v>
      </c>
    </row>
    <row r="49" spans="1:16" x14ac:dyDescent="0.35">
      <c r="A49" s="32" t="str">
        <f t="shared" ref="A49:C49" si="46">A48</f>
        <v>2026 JAN-APR SHARP PRICE</v>
      </c>
      <c r="B49" s="33">
        <f t="shared" si="46"/>
        <v>46121</v>
      </c>
      <c r="C49" s="33">
        <f t="shared" si="46"/>
        <v>46127</v>
      </c>
      <c r="D49" s="32">
        <v>3284</v>
      </c>
      <c r="E49" s="32">
        <v>338</v>
      </c>
      <c r="F49" s="32">
        <v>4</v>
      </c>
      <c r="G49" s="23">
        <v>8</v>
      </c>
      <c r="H49" s="23">
        <v>81679</v>
      </c>
      <c r="I49" s="32" t="s">
        <v>2689</v>
      </c>
      <c r="J49" s="59">
        <v>69654588</v>
      </c>
      <c r="K49" s="22" t="s">
        <v>6848</v>
      </c>
      <c r="L49" s="53" t="s">
        <v>6851</v>
      </c>
      <c r="M49" s="40">
        <v>89900</v>
      </c>
      <c r="N49" s="88">
        <v>0</v>
      </c>
      <c r="O49" s="34" t="s">
        <v>7169</v>
      </c>
      <c r="P49" s="32" t="s">
        <v>7341</v>
      </c>
    </row>
    <row r="50" spans="1:16" x14ac:dyDescent="0.35">
      <c r="A50" s="32" t="str">
        <f t="shared" ref="A50:C50" si="47">A49</f>
        <v>2026 JAN-APR SHARP PRICE</v>
      </c>
      <c r="B50" s="33">
        <f t="shared" si="47"/>
        <v>46121</v>
      </c>
      <c r="C50" s="33">
        <f t="shared" si="47"/>
        <v>46127</v>
      </c>
      <c r="D50" s="32">
        <v>3284</v>
      </c>
      <c r="E50" s="32">
        <v>338</v>
      </c>
      <c r="F50" s="32">
        <v>4</v>
      </c>
      <c r="G50" s="23">
        <v>8</v>
      </c>
      <c r="H50" s="23">
        <v>81679</v>
      </c>
      <c r="I50" s="32" t="s">
        <v>2689</v>
      </c>
      <c r="J50" s="59">
        <v>69654597</v>
      </c>
      <c r="K50" s="22" t="s">
        <v>6848</v>
      </c>
      <c r="L50" s="53" t="s">
        <v>6850</v>
      </c>
      <c r="M50" s="40">
        <v>89900</v>
      </c>
      <c r="N50" s="88">
        <v>0</v>
      </c>
      <c r="O50" s="34" t="s">
        <v>7169</v>
      </c>
      <c r="P50" s="32" t="s">
        <v>7341</v>
      </c>
    </row>
    <row r="51" spans="1:16" x14ac:dyDescent="0.35">
      <c r="A51" s="32" t="str">
        <f t="shared" ref="A51:C51" si="48">A50</f>
        <v>2026 JAN-APR SHARP PRICE</v>
      </c>
      <c r="B51" s="33">
        <f t="shared" si="48"/>
        <v>46121</v>
      </c>
      <c r="C51" s="33">
        <f t="shared" si="48"/>
        <v>46127</v>
      </c>
      <c r="D51" s="32">
        <v>3284</v>
      </c>
      <c r="E51" s="32">
        <v>338</v>
      </c>
      <c r="F51" s="32">
        <v>4</v>
      </c>
      <c r="G51" s="23">
        <v>8</v>
      </c>
      <c r="H51" s="23">
        <v>81679</v>
      </c>
      <c r="I51" s="32" t="s">
        <v>2689</v>
      </c>
      <c r="J51" s="59">
        <v>69654604</v>
      </c>
      <c r="K51" s="22" t="s">
        <v>6848</v>
      </c>
      <c r="L51" s="53" t="s">
        <v>6849</v>
      </c>
      <c r="M51" s="40">
        <v>89900</v>
      </c>
      <c r="N51" s="88">
        <v>0</v>
      </c>
      <c r="O51" s="34" t="s">
        <v>7169</v>
      </c>
      <c r="P51" s="32" t="s">
        <v>7341</v>
      </c>
    </row>
    <row r="52" spans="1:16" x14ac:dyDescent="0.35">
      <c r="A52" s="32" t="str">
        <f t="shared" ref="A52:C52" si="49">A51</f>
        <v>2026 JAN-APR SHARP PRICE</v>
      </c>
      <c r="B52" s="33">
        <f t="shared" si="49"/>
        <v>46121</v>
      </c>
      <c r="C52" s="33">
        <f t="shared" si="49"/>
        <v>46127</v>
      </c>
      <c r="D52" s="32">
        <v>3284</v>
      </c>
      <c r="E52" s="32">
        <v>338</v>
      </c>
      <c r="F52" s="32">
        <v>4</v>
      </c>
      <c r="G52" s="23">
        <v>8</v>
      </c>
      <c r="H52" s="23">
        <v>81679</v>
      </c>
      <c r="I52" s="32" t="s">
        <v>2689</v>
      </c>
      <c r="J52" s="59">
        <v>69654613</v>
      </c>
      <c r="K52" s="22" t="s">
        <v>6848</v>
      </c>
      <c r="L52" s="53" t="s">
        <v>6847</v>
      </c>
      <c r="M52" s="40">
        <v>89900</v>
      </c>
      <c r="N52" s="88">
        <v>0</v>
      </c>
      <c r="O52" s="34" t="s">
        <v>7169</v>
      </c>
      <c r="P52" s="32" t="s">
        <v>7341</v>
      </c>
    </row>
    <row r="53" spans="1:16" x14ac:dyDescent="0.35">
      <c r="A53" s="32" t="str">
        <f t="shared" ref="A53:C53" si="50">A52</f>
        <v>2026 JAN-APR SHARP PRICE</v>
      </c>
      <c r="B53" s="33">
        <f t="shared" si="50"/>
        <v>46121</v>
      </c>
      <c r="C53" s="33">
        <f t="shared" si="50"/>
        <v>46127</v>
      </c>
      <c r="D53" s="32">
        <v>3284</v>
      </c>
      <c r="E53" s="32">
        <v>338</v>
      </c>
      <c r="F53" s="32">
        <v>4</v>
      </c>
      <c r="G53" s="23">
        <v>8</v>
      </c>
      <c r="H53" s="23">
        <v>81679</v>
      </c>
      <c r="I53" s="32" t="s">
        <v>2689</v>
      </c>
      <c r="J53" s="59">
        <v>69688828</v>
      </c>
      <c r="K53" s="22" t="s">
        <v>6843</v>
      </c>
      <c r="L53" s="53" t="s">
        <v>6846</v>
      </c>
      <c r="M53" s="40">
        <v>89900</v>
      </c>
      <c r="N53" s="88">
        <v>0</v>
      </c>
      <c r="O53" s="34" t="s">
        <v>7169</v>
      </c>
      <c r="P53" s="32" t="s">
        <v>7341</v>
      </c>
    </row>
    <row r="54" spans="1:16" x14ac:dyDescent="0.35">
      <c r="A54" s="32" t="str">
        <f t="shared" ref="A54:C54" si="51">A53</f>
        <v>2026 JAN-APR SHARP PRICE</v>
      </c>
      <c r="B54" s="33">
        <f t="shared" si="51"/>
        <v>46121</v>
      </c>
      <c r="C54" s="33">
        <f t="shared" si="51"/>
        <v>46127</v>
      </c>
      <c r="D54" s="32">
        <v>3284</v>
      </c>
      <c r="E54" s="32">
        <v>338</v>
      </c>
      <c r="F54" s="32">
        <v>4</v>
      </c>
      <c r="G54" s="23">
        <v>8</v>
      </c>
      <c r="H54" s="23">
        <v>81679</v>
      </c>
      <c r="I54" s="32" t="s">
        <v>2689</v>
      </c>
      <c r="J54" s="59">
        <v>69688837</v>
      </c>
      <c r="K54" s="22" t="s">
        <v>6843</v>
      </c>
      <c r="L54" s="53" t="s">
        <v>6845</v>
      </c>
      <c r="M54" s="40">
        <v>89900</v>
      </c>
      <c r="N54" s="88">
        <v>0</v>
      </c>
      <c r="O54" s="34" t="s">
        <v>7169</v>
      </c>
      <c r="P54" s="32" t="s">
        <v>7341</v>
      </c>
    </row>
    <row r="55" spans="1:16" x14ac:dyDescent="0.35">
      <c r="A55" s="32" t="str">
        <f t="shared" ref="A55:C55" si="52">A54</f>
        <v>2026 JAN-APR SHARP PRICE</v>
      </c>
      <c r="B55" s="33">
        <f t="shared" si="52"/>
        <v>46121</v>
      </c>
      <c r="C55" s="33">
        <f t="shared" si="52"/>
        <v>46127</v>
      </c>
      <c r="D55" s="32">
        <v>3284</v>
      </c>
      <c r="E55" s="32">
        <v>338</v>
      </c>
      <c r="F55" s="32">
        <v>4</v>
      </c>
      <c r="G55" s="23">
        <v>8</v>
      </c>
      <c r="H55" s="23">
        <v>81679</v>
      </c>
      <c r="I55" s="32" t="s">
        <v>2689</v>
      </c>
      <c r="J55" s="59">
        <v>69688846</v>
      </c>
      <c r="K55" s="22" t="s">
        <v>6843</v>
      </c>
      <c r="L55" s="53" t="s">
        <v>6844</v>
      </c>
      <c r="M55" s="40">
        <v>89900</v>
      </c>
      <c r="N55" s="88">
        <v>0</v>
      </c>
      <c r="O55" s="34" t="s">
        <v>7169</v>
      </c>
      <c r="P55" s="32" t="s">
        <v>7341</v>
      </c>
    </row>
    <row r="56" spans="1:16" x14ac:dyDescent="0.35">
      <c r="A56" s="32" t="str">
        <f t="shared" ref="A56:C56" si="53">A55</f>
        <v>2026 JAN-APR SHARP PRICE</v>
      </c>
      <c r="B56" s="33">
        <f t="shared" si="53"/>
        <v>46121</v>
      </c>
      <c r="C56" s="33">
        <f t="shared" si="53"/>
        <v>46127</v>
      </c>
      <c r="D56" s="32">
        <v>3284</v>
      </c>
      <c r="E56" s="32">
        <v>338</v>
      </c>
      <c r="F56" s="32">
        <v>4</v>
      </c>
      <c r="G56" s="23">
        <v>8</v>
      </c>
      <c r="H56" s="23">
        <v>81679</v>
      </c>
      <c r="I56" s="32" t="s">
        <v>2689</v>
      </c>
      <c r="J56" s="59">
        <v>69688855</v>
      </c>
      <c r="K56" s="22" t="s">
        <v>6843</v>
      </c>
      <c r="L56" s="53" t="s">
        <v>6842</v>
      </c>
      <c r="M56" s="40">
        <v>89900</v>
      </c>
      <c r="N56" s="88">
        <v>0</v>
      </c>
      <c r="O56" s="34" t="s">
        <v>7169</v>
      </c>
      <c r="P56" s="32" t="s">
        <v>7341</v>
      </c>
    </row>
    <row r="57" spans="1:16" x14ac:dyDescent="0.35">
      <c r="A57" s="32" t="str">
        <f t="shared" ref="A57:C57" si="54">A56</f>
        <v>2026 JAN-APR SHARP PRICE</v>
      </c>
      <c r="B57" s="33">
        <f t="shared" si="54"/>
        <v>46121</v>
      </c>
      <c r="C57" s="33">
        <f t="shared" si="54"/>
        <v>46127</v>
      </c>
      <c r="D57" s="32">
        <v>3284</v>
      </c>
      <c r="E57" s="32">
        <v>338</v>
      </c>
      <c r="F57" s="32">
        <v>4</v>
      </c>
      <c r="G57" s="23">
        <v>1</v>
      </c>
      <c r="H57" s="23">
        <v>81679</v>
      </c>
      <c r="I57" s="32" t="s">
        <v>2689</v>
      </c>
      <c r="J57" s="59">
        <v>69688864</v>
      </c>
      <c r="K57" s="22" t="s">
        <v>6838</v>
      </c>
      <c r="L57" s="53" t="s">
        <v>6841</v>
      </c>
      <c r="M57" s="40">
        <v>89900</v>
      </c>
      <c r="N57" s="88">
        <v>0</v>
      </c>
      <c r="O57" s="34" t="s">
        <v>7169</v>
      </c>
      <c r="P57" s="32" t="s">
        <v>7341</v>
      </c>
    </row>
    <row r="58" spans="1:16" x14ac:dyDescent="0.35">
      <c r="A58" s="32" t="str">
        <f t="shared" ref="A58:C58" si="55">A57</f>
        <v>2026 JAN-APR SHARP PRICE</v>
      </c>
      <c r="B58" s="33">
        <f t="shared" si="55"/>
        <v>46121</v>
      </c>
      <c r="C58" s="33">
        <f t="shared" si="55"/>
        <v>46127</v>
      </c>
      <c r="D58" s="32">
        <v>3284</v>
      </c>
      <c r="E58" s="32">
        <v>338</v>
      </c>
      <c r="F58" s="32">
        <v>4</v>
      </c>
      <c r="G58" s="23">
        <v>1</v>
      </c>
      <c r="H58" s="23">
        <v>81679</v>
      </c>
      <c r="I58" s="32" t="s">
        <v>2689</v>
      </c>
      <c r="J58" s="59">
        <v>69688873</v>
      </c>
      <c r="K58" s="22" t="s">
        <v>6838</v>
      </c>
      <c r="L58" s="53" t="s">
        <v>6840</v>
      </c>
      <c r="M58" s="40">
        <v>89900</v>
      </c>
      <c r="N58" s="88">
        <v>0</v>
      </c>
      <c r="O58" s="34" t="s">
        <v>7169</v>
      </c>
      <c r="P58" s="32" t="s">
        <v>7341</v>
      </c>
    </row>
    <row r="59" spans="1:16" x14ac:dyDescent="0.35">
      <c r="A59" s="32" t="str">
        <f t="shared" ref="A59:C59" si="56">A58</f>
        <v>2026 JAN-APR SHARP PRICE</v>
      </c>
      <c r="B59" s="33">
        <f t="shared" si="56"/>
        <v>46121</v>
      </c>
      <c r="C59" s="33">
        <f t="shared" si="56"/>
        <v>46127</v>
      </c>
      <c r="D59" s="32">
        <v>3284</v>
      </c>
      <c r="E59" s="32">
        <v>338</v>
      </c>
      <c r="F59" s="32">
        <v>4</v>
      </c>
      <c r="G59" s="23">
        <v>1</v>
      </c>
      <c r="H59" s="23">
        <v>81679</v>
      </c>
      <c r="I59" s="32" t="s">
        <v>2689</v>
      </c>
      <c r="J59" s="59">
        <v>69688882</v>
      </c>
      <c r="K59" s="22" t="s">
        <v>6838</v>
      </c>
      <c r="L59" s="53" t="s">
        <v>6839</v>
      </c>
      <c r="M59" s="40">
        <v>89900</v>
      </c>
      <c r="N59" s="88">
        <v>0</v>
      </c>
      <c r="O59" s="34" t="s">
        <v>7169</v>
      </c>
      <c r="P59" s="32" t="s">
        <v>7341</v>
      </c>
    </row>
    <row r="60" spans="1:16" x14ac:dyDescent="0.35">
      <c r="A60" s="32" t="str">
        <f t="shared" ref="A60:C60" si="57">A59</f>
        <v>2026 JAN-APR SHARP PRICE</v>
      </c>
      <c r="B60" s="33">
        <f t="shared" si="57"/>
        <v>46121</v>
      </c>
      <c r="C60" s="33">
        <f t="shared" si="57"/>
        <v>46127</v>
      </c>
      <c r="D60" s="32">
        <v>3284</v>
      </c>
      <c r="E60" s="32">
        <v>338</v>
      </c>
      <c r="F60" s="32">
        <v>4</v>
      </c>
      <c r="G60" s="23">
        <v>1</v>
      </c>
      <c r="H60" s="23">
        <v>81679</v>
      </c>
      <c r="I60" s="32" t="s">
        <v>2689</v>
      </c>
      <c r="J60" s="59">
        <v>69688891</v>
      </c>
      <c r="K60" s="22" t="s">
        <v>6838</v>
      </c>
      <c r="L60" s="53" t="s">
        <v>6837</v>
      </c>
      <c r="M60" s="40">
        <v>89900</v>
      </c>
      <c r="N60" s="88">
        <v>0</v>
      </c>
      <c r="O60" s="34" t="s">
        <v>7169</v>
      </c>
      <c r="P60" s="32" t="s">
        <v>7341</v>
      </c>
    </row>
    <row r="61" spans="1:16" x14ac:dyDescent="0.35">
      <c r="A61" s="32" t="str">
        <f t="shared" ref="A61:C61" si="58">A60</f>
        <v>2026 JAN-APR SHARP PRICE</v>
      </c>
      <c r="B61" s="33">
        <f t="shared" si="58"/>
        <v>46121</v>
      </c>
      <c r="C61" s="33">
        <f t="shared" si="58"/>
        <v>46127</v>
      </c>
      <c r="D61" s="32">
        <v>3284</v>
      </c>
      <c r="E61" s="32">
        <v>338</v>
      </c>
      <c r="F61" s="32">
        <v>4</v>
      </c>
      <c r="G61" s="23">
        <v>8</v>
      </c>
      <c r="H61" s="23">
        <v>81679</v>
      </c>
      <c r="I61" s="32" t="s">
        <v>2689</v>
      </c>
      <c r="J61" s="59">
        <v>69716412</v>
      </c>
      <c r="K61" s="22" t="s">
        <v>6833</v>
      </c>
      <c r="L61" s="53" t="s">
        <v>6836</v>
      </c>
      <c r="M61" s="40">
        <v>89900</v>
      </c>
      <c r="N61" s="88">
        <v>0</v>
      </c>
      <c r="O61" s="34" t="s">
        <v>7169</v>
      </c>
      <c r="P61" s="32" t="s">
        <v>7341</v>
      </c>
    </row>
    <row r="62" spans="1:16" x14ac:dyDescent="0.35">
      <c r="A62" s="32" t="str">
        <f t="shared" ref="A62:C62" si="59">A61</f>
        <v>2026 JAN-APR SHARP PRICE</v>
      </c>
      <c r="B62" s="33">
        <f t="shared" si="59"/>
        <v>46121</v>
      </c>
      <c r="C62" s="33">
        <f t="shared" si="59"/>
        <v>46127</v>
      </c>
      <c r="D62" s="32">
        <v>3284</v>
      </c>
      <c r="E62" s="32">
        <v>338</v>
      </c>
      <c r="F62" s="32">
        <v>4</v>
      </c>
      <c r="G62" s="23">
        <v>8</v>
      </c>
      <c r="H62" s="23">
        <v>81679</v>
      </c>
      <c r="I62" s="32" t="s">
        <v>2689</v>
      </c>
      <c r="J62" s="59">
        <v>69716421</v>
      </c>
      <c r="K62" s="22" t="s">
        <v>6833</v>
      </c>
      <c r="L62" s="53" t="s">
        <v>6835</v>
      </c>
      <c r="M62" s="40">
        <v>89900</v>
      </c>
      <c r="N62" s="88">
        <v>0</v>
      </c>
      <c r="O62" s="34" t="s">
        <v>7169</v>
      </c>
      <c r="P62" s="32" t="s">
        <v>7341</v>
      </c>
    </row>
    <row r="63" spans="1:16" x14ac:dyDescent="0.35">
      <c r="A63" s="32" t="str">
        <f t="shared" ref="A63:C63" si="60">A62</f>
        <v>2026 JAN-APR SHARP PRICE</v>
      </c>
      <c r="B63" s="33">
        <f t="shared" si="60"/>
        <v>46121</v>
      </c>
      <c r="C63" s="33">
        <f t="shared" si="60"/>
        <v>46127</v>
      </c>
      <c r="D63" s="32">
        <v>3284</v>
      </c>
      <c r="E63" s="32">
        <v>338</v>
      </c>
      <c r="F63" s="32">
        <v>4</v>
      </c>
      <c r="G63" s="23">
        <v>8</v>
      </c>
      <c r="H63" s="23">
        <v>81679</v>
      </c>
      <c r="I63" s="32" t="s">
        <v>2689</v>
      </c>
      <c r="J63" s="59">
        <v>69716430</v>
      </c>
      <c r="K63" s="22" t="s">
        <v>6833</v>
      </c>
      <c r="L63" s="53" t="s">
        <v>6834</v>
      </c>
      <c r="M63" s="40">
        <v>89900</v>
      </c>
      <c r="N63" s="88">
        <v>0</v>
      </c>
      <c r="O63" s="34" t="s">
        <v>7169</v>
      </c>
      <c r="P63" s="32" t="s">
        <v>7341</v>
      </c>
    </row>
    <row r="64" spans="1:16" x14ac:dyDescent="0.35">
      <c r="A64" s="32" t="str">
        <f t="shared" ref="A64:C64" si="61">A63</f>
        <v>2026 JAN-APR SHARP PRICE</v>
      </c>
      <c r="B64" s="33">
        <f t="shared" si="61"/>
        <v>46121</v>
      </c>
      <c r="C64" s="33">
        <f t="shared" si="61"/>
        <v>46127</v>
      </c>
      <c r="D64" s="32">
        <v>3284</v>
      </c>
      <c r="E64" s="32">
        <v>338</v>
      </c>
      <c r="F64" s="32">
        <v>4</v>
      </c>
      <c r="G64" s="23">
        <v>8</v>
      </c>
      <c r="H64" s="23">
        <v>81679</v>
      </c>
      <c r="I64" s="32" t="s">
        <v>2689</v>
      </c>
      <c r="J64" s="59">
        <v>69716449</v>
      </c>
      <c r="K64" s="22" t="s">
        <v>6833</v>
      </c>
      <c r="L64" s="53" t="s">
        <v>6832</v>
      </c>
      <c r="M64" s="40">
        <v>89900</v>
      </c>
      <c r="N64" s="88">
        <v>0</v>
      </c>
      <c r="O64" s="34" t="s">
        <v>7169</v>
      </c>
      <c r="P64" s="32" t="s">
        <v>7341</v>
      </c>
    </row>
    <row r="65" spans="1:16" x14ac:dyDescent="0.35">
      <c r="A65" s="32" t="str">
        <f t="shared" ref="A65:C65" si="62">A64</f>
        <v>2026 JAN-APR SHARP PRICE</v>
      </c>
      <c r="B65" s="33">
        <f t="shared" si="62"/>
        <v>46121</v>
      </c>
      <c r="C65" s="33">
        <f t="shared" si="62"/>
        <v>46127</v>
      </c>
      <c r="D65" s="32">
        <v>3284</v>
      </c>
      <c r="E65" s="32">
        <v>338</v>
      </c>
      <c r="F65" s="32">
        <v>4</v>
      </c>
      <c r="G65" s="23">
        <v>8</v>
      </c>
      <c r="H65" s="23">
        <v>81679</v>
      </c>
      <c r="I65" s="32" t="s">
        <v>2689</v>
      </c>
      <c r="J65" s="59">
        <v>69716458</v>
      </c>
      <c r="K65" s="22" t="s">
        <v>6828</v>
      </c>
      <c r="L65" s="53" t="s">
        <v>6831</v>
      </c>
      <c r="M65" s="40">
        <v>89900</v>
      </c>
      <c r="N65" s="88">
        <v>0</v>
      </c>
      <c r="O65" s="34" t="s">
        <v>7169</v>
      </c>
      <c r="P65" s="32" t="s">
        <v>7341</v>
      </c>
    </row>
    <row r="66" spans="1:16" x14ac:dyDescent="0.35">
      <c r="A66" s="32" t="str">
        <f t="shared" ref="A66:C66" si="63">A65</f>
        <v>2026 JAN-APR SHARP PRICE</v>
      </c>
      <c r="B66" s="33">
        <f t="shared" si="63"/>
        <v>46121</v>
      </c>
      <c r="C66" s="33">
        <f t="shared" si="63"/>
        <v>46127</v>
      </c>
      <c r="D66" s="32">
        <v>3284</v>
      </c>
      <c r="E66" s="32">
        <v>338</v>
      </c>
      <c r="F66" s="32">
        <v>4</v>
      </c>
      <c r="G66" s="23">
        <v>8</v>
      </c>
      <c r="H66" s="23">
        <v>81679</v>
      </c>
      <c r="I66" s="32" t="s">
        <v>2689</v>
      </c>
      <c r="J66" s="59">
        <v>69716467</v>
      </c>
      <c r="K66" s="22" t="s">
        <v>6828</v>
      </c>
      <c r="L66" s="53" t="s">
        <v>6830</v>
      </c>
      <c r="M66" s="40">
        <v>89900</v>
      </c>
      <c r="N66" s="88">
        <v>0</v>
      </c>
      <c r="O66" s="34" t="s">
        <v>7169</v>
      </c>
      <c r="P66" s="32" t="s">
        <v>7341</v>
      </c>
    </row>
    <row r="67" spans="1:16" x14ac:dyDescent="0.35">
      <c r="A67" s="32" t="str">
        <f t="shared" ref="A67:C67" si="64">A66</f>
        <v>2026 JAN-APR SHARP PRICE</v>
      </c>
      <c r="B67" s="33">
        <f t="shared" si="64"/>
        <v>46121</v>
      </c>
      <c r="C67" s="33">
        <f t="shared" si="64"/>
        <v>46127</v>
      </c>
      <c r="D67" s="32">
        <v>3284</v>
      </c>
      <c r="E67" s="32">
        <v>338</v>
      </c>
      <c r="F67" s="32">
        <v>4</v>
      </c>
      <c r="G67" s="23">
        <v>8</v>
      </c>
      <c r="H67" s="23">
        <v>81679</v>
      </c>
      <c r="I67" s="32" t="s">
        <v>2689</v>
      </c>
      <c r="J67" s="59">
        <v>69716476</v>
      </c>
      <c r="K67" s="22" t="s">
        <v>6828</v>
      </c>
      <c r="L67" s="53" t="s">
        <v>6829</v>
      </c>
      <c r="M67" s="40">
        <v>89900</v>
      </c>
      <c r="N67" s="88">
        <v>0</v>
      </c>
      <c r="O67" s="34" t="s">
        <v>7169</v>
      </c>
      <c r="P67" s="32" t="s">
        <v>7341</v>
      </c>
    </row>
    <row r="68" spans="1:16" x14ac:dyDescent="0.35">
      <c r="A68" s="32" t="str">
        <f t="shared" ref="A68:C68" si="65">A67</f>
        <v>2026 JAN-APR SHARP PRICE</v>
      </c>
      <c r="B68" s="33">
        <f t="shared" si="65"/>
        <v>46121</v>
      </c>
      <c r="C68" s="33">
        <f t="shared" si="65"/>
        <v>46127</v>
      </c>
      <c r="D68" s="32">
        <v>3284</v>
      </c>
      <c r="E68" s="32">
        <v>338</v>
      </c>
      <c r="F68" s="32">
        <v>4</v>
      </c>
      <c r="G68" s="23">
        <v>8</v>
      </c>
      <c r="H68" s="23">
        <v>81679</v>
      </c>
      <c r="I68" s="32" t="s">
        <v>2689</v>
      </c>
      <c r="J68" s="59">
        <v>69716485</v>
      </c>
      <c r="K68" s="22" t="s">
        <v>6828</v>
      </c>
      <c r="L68" s="53" t="s">
        <v>6827</v>
      </c>
      <c r="M68" s="40">
        <v>89900</v>
      </c>
      <c r="N68" s="88">
        <v>0</v>
      </c>
      <c r="O68" s="34" t="s">
        <v>7169</v>
      </c>
      <c r="P68" s="32" t="s">
        <v>7341</v>
      </c>
    </row>
    <row r="69" spans="1:16" x14ac:dyDescent="0.35">
      <c r="A69" s="32" t="str">
        <f t="shared" ref="A69:C69" si="66">A68</f>
        <v>2026 JAN-APR SHARP PRICE</v>
      </c>
      <c r="B69" s="33">
        <f t="shared" si="66"/>
        <v>46121</v>
      </c>
      <c r="C69" s="33">
        <f t="shared" si="66"/>
        <v>46127</v>
      </c>
      <c r="D69" s="32">
        <v>3284</v>
      </c>
      <c r="E69" s="32">
        <v>338</v>
      </c>
      <c r="F69" s="32">
        <v>4</v>
      </c>
      <c r="G69" s="23">
        <v>8</v>
      </c>
      <c r="H69" s="23">
        <v>81679</v>
      </c>
      <c r="I69" s="32" t="s">
        <v>2689</v>
      </c>
      <c r="J69" s="59">
        <v>69654622</v>
      </c>
      <c r="K69" s="22" t="s">
        <v>6823</v>
      </c>
      <c r="L69" s="53" t="s">
        <v>6826</v>
      </c>
      <c r="M69" s="40">
        <v>89900</v>
      </c>
      <c r="N69" s="88">
        <v>0</v>
      </c>
      <c r="O69" s="34" t="s">
        <v>7169</v>
      </c>
      <c r="P69" s="32" t="s">
        <v>7341</v>
      </c>
    </row>
    <row r="70" spans="1:16" x14ac:dyDescent="0.35">
      <c r="A70" s="32" t="str">
        <f t="shared" ref="A70:C70" si="67">A69</f>
        <v>2026 JAN-APR SHARP PRICE</v>
      </c>
      <c r="B70" s="33">
        <f t="shared" si="67"/>
        <v>46121</v>
      </c>
      <c r="C70" s="33">
        <f t="shared" si="67"/>
        <v>46127</v>
      </c>
      <c r="D70" s="32">
        <v>3284</v>
      </c>
      <c r="E70" s="32">
        <v>338</v>
      </c>
      <c r="F70" s="32">
        <v>4</v>
      </c>
      <c r="G70" s="23">
        <v>8</v>
      </c>
      <c r="H70" s="23">
        <v>81679</v>
      </c>
      <c r="I70" s="32" t="s">
        <v>2689</v>
      </c>
      <c r="J70" s="59">
        <v>69654631</v>
      </c>
      <c r="K70" s="22" t="s">
        <v>6823</v>
      </c>
      <c r="L70" s="53" t="s">
        <v>6825</v>
      </c>
      <c r="M70" s="40">
        <v>89900</v>
      </c>
      <c r="N70" s="88">
        <v>0</v>
      </c>
      <c r="O70" s="34" t="s">
        <v>7169</v>
      </c>
      <c r="P70" s="32" t="s">
        <v>7341</v>
      </c>
    </row>
    <row r="71" spans="1:16" x14ac:dyDescent="0.35">
      <c r="A71" s="32" t="str">
        <f t="shared" ref="A71:C71" si="68">A70</f>
        <v>2026 JAN-APR SHARP PRICE</v>
      </c>
      <c r="B71" s="33">
        <f t="shared" si="68"/>
        <v>46121</v>
      </c>
      <c r="C71" s="33">
        <f t="shared" si="68"/>
        <v>46127</v>
      </c>
      <c r="D71" s="32">
        <v>3284</v>
      </c>
      <c r="E71" s="32">
        <v>338</v>
      </c>
      <c r="F71" s="32">
        <v>4</v>
      </c>
      <c r="G71" s="23">
        <v>8</v>
      </c>
      <c r="H71" s="23">
        <v>81679</v>
      </c>
      <c r="I71" s="32" t="s">
        <v>2689</v>
      </c>
      <c r="J71" s="59">
        <v>69654640</v>
      </c>
      <c r="K71" s="22" t="s">
        <v>6823</v>
      </c>
      <c r="L71" s="53" t="s">
        <v>6824</v>
      </c>
      <c r="M71" s="40">
        <v>89900</v>
      </c>
      <c r="N71" s="88">
        <v>0</v>
      </c>
      <c r="O71" s="34" t="s">
        <v>7169</v>
      </c>
      <c r="P71" s="32" t="s">
        <v>7341</v>
      </c>
    </row>
    <row r="72" spans="1:16" x14ac:dyDescent="0.35">
      <c r="A72" s="32" t="str">
        <f t="shared" ref="A72:C72" si="69">A71</f>
        <v>2026 JAN-APR SHARP PRICE</v>
      </c>
      <c r="B72" s="33">
        <f t="shared" si="69"/>
        <v>46121</v>
      </c>
      <c r="C72" s="33">
        <f t="shared" si="69"/>
        <v>46127</v>
      </c>
      <c r="D72" s="32">
        <v>3284</v>
      </c>
      <c r="E72" s="32">
        <v>338</v>
      </c>
      <c r="F72" s="32">
        <v>4</v>
      </c>
      <c r="G72" s="23">
        <v>8</v>
      </c>
      <c r="H72" s="23">
        <v>81679</v>
      </c>
      <c r="I72" s="32" t="s">
        <v>2689</v>
      </c>
      <c r="J72" s="59">
        <v>69654659</v>
      </c>
      <c r="K72" s="22" t="s">
        <v>6823</v>
      </c>
      <c r="L72" s="53" t="s">
        <v>6822</v>
      </c>
      <c r="M72" s="40">
        <v>89900</v>
      </c>
      <c r="N72" s="88">
        <v>0</v>
      </c>
      <c r="O72" s="34" t="s">
        <v>7169</v>
      </c>
      <c r="P72" s="32" t="s">
        <v>7341</v>
      </c>
    </row>
    <row r="73" spans="1:16" x14ac:dyDescent="0.35">
      <c r="A73" s="32" t="str">
        <f t="shared" ref="A73:C73" si="70">A72</f>
        <v>2026 JAN-APR SHARP PRICE</v>
      </c>
      <c r="B73" s="33">
        <f t="shared" si="70"/>
        <v>46121</v>
      </c>
      <c r="C73" s="33">
        <f t="shared" si="70"/>
        <v>46127</v>
      </c>
      <c r="D73" s="32">
        <v>3284</v>
      </c>
      <c r="E73" s="32">
        <v>338</v>
      </c>
      <c r="F73" s="32">
        <v>4</v>
      </c>
      <c r="G73" s="23">
        <v>10</v>
      </c>
      <c r="H73" s="23">
        <v>81827</v>
      </c>
      <c r="I73" s="32" t="s">
        <v>2689</v>
      </c>
      <c r="J73" s="59">
        <v>68208311</v>
      </c>
      <c r="K73" s="22" t="s">
        <v>6820</v>
      </c>
      <c r="L73" s="53" t="s">
        <v>6821</v>
      </c>
      <c r="M73" s="40">
        <v>29900</v>
      </c>
      <c r="N73" s="88">
        <v>0</v>
      </c>
      <c r="O73" s="34" t="s">
        <v>7169</v>
      </c>
      <c r="P73" s="32" t="s">
        <v>7341</v>
      </c>
    </row>
    <row r="74" spans="1:16" x14ac:dyDescent="0.35">
      <c r="A74" s="32" t="str">
        <f t="shared" ref="A74:C74" si="71">A73</f>
        <v>2026 JAN-APR SHARP PRICE</v>
      </c>
      <c r="B74" s="33">
        <f t="shared" si="71"/>
        <v>46121</v>
      </c>
      <c r="C74" s="33">
        <f t="shared" si="71"/>
        <v>46127</v>
      </c>
      <c r="D74" s="32">
        <v>3284</v>
      </c>
      <c r="E74" s="32">
        <v>338</v>
      </c>
      <c r="F74" s="32">
        <v>4</v>
      </c>
      <c r="G74" s="23">
        <v>10</v>
      </c>
      <c r="H74" s="23">
        <v>81827</v>
      </c>
      <c r="I74" s="32" t="s">
        <v>2689</v>
      </c>
      <c r="J74" s="59">
        <v>68208320</v>
      </c>
      <c r="K74" s="22" t="s">
        <v>6820</v>
      </c>
      <c r="L74" s="53" t="s">
        <v>6819</v>
      </c>
      <c r="M74" s="40">
        <v>29900</v>
      </c>
      <c r="N74" s="88">
        <v>0</v>
      </c>
      <c r="O74" s="34" t="s">
        <v>7169</v>
      </c>
      <c r="P74" s="32" t="s">
        <v>7341</v>
      </c>
    </row>
    <row r="75" spans="1:16" x14ac:dyDescent="0.35">
      <c r="A75" s="32" t="str">
        <f t="shared" ref="A75:C75" si="72">A74</f>
        <v>2026 JAN-APR SHARP PRICE</v>
      </c>
      <c r="B75" s="33">
        <f t="shared" si="72"/>
        <v>46121</v>
      </c>
      <c r="C75" s="33">
        <f t="shared" si="72"/>
        <v>46127</v>
      </c>
      <c r="D75" s="32">
        <v>3284</v>
      </c>
      <c r="E75" s="32">
        <v>338</v>
      </c>
      <c r="F75" s="32">
        <v>4</v>
      </c>
      <c r="G75" s="23">
        <v>7</v>
      </c>
      <c r="H75" s="23">
        <v>81827</v>
      </c>
      <c r="I75" s="32" t="s">
        <v>2689</v>
      </c>
      <c r="J75" s="59">
        <v>69654177</v>
      </c>
      <c r="K75" s="22" t="s">
        <v>6816</v>
      </c>
      <c r="L75" s="53" t="s">
        <v>6818</v>
      </c>
      <c r="M75" s="40">
        <v>29900</v>
      </c>
      <c r="N75" s="88">
        <v>0</v>
      </c>
      <c r="O75" s="34" t="s">
        <v>7169</v>
      </c>
      <c r="P75" s="32" t="s">
        <v>7341</v>
      </c>
    </row>
    <row r="76" spans="1:16" x14ac:dyDescent="0.35">
      <c r="A76" s="32" t="str">
        <f t="shared" ref="A76:C76" si="73">A75</f>
        <v>2026 JAN-APR SHARP PRICE</v>
      </c>
      <c r="B76" s="33">
        <f t="shared" si="73"/>
        <v>46121</v>
      </c>
      <c r="C76" s="33">
        <f t="shared" si="73"/>
        <v>46127</v>
      </c>
      <c r="D76" s="32">
        <v>3284</v>
      </c>
      <c r="E76" s="32">
        <v>338</v>
      </c>
      <c r="F76" s="32">
        <v>4</v>
      </c>
      <c r="G76" s="23">
        <v>7</v>
      </c>
      <c r="H76" s="23">
        <v>81827</v>
      </c>
      <c r="I76" s="32" t="s">
        <v>2689</v>
      </c>
      <c r="J76" s="59">
        <v>69654186</v>
      </c>
      <c r="K76" s="22" t="s">
        <v>6816</v>
      </c>
      <c r="L76" s="53" t="s">
        <v>6817</v>
      </c>
      <c r="M76" s="40">
        <v>29900</v>
      </c>
      <c r="N76" s="88">
        <v>0</v>
      </c>
      <c r="O76" s="34" t="s">
        <v>7169</v>
      </c>
      <c r="P76" s="32" t="s">
        <v>7341</v>
      </c>
    </row>
    <row r="77" spans="1:16" x14ac:dyDescent="0.35">
      <c r="A77" s="32" t="str">
        <f t="shared" ref="A77:C77" si="74">A76</f>
        <v>2026 JAN-APR SHARP PRICE</v>
      </c>
      <c r="B77" s="33">
        <f t="shared" si="74"/>
        <v>46121</v>
      </c>
      <c r="C77" s="56">
        <f t="shared" si="74"/>
        <v>46127</v>
      </c>
      <c r="D77" s="18">
        <v>3284</v>
      </c>
      <c r="E77" s="18">
        <v>338</v>
      </c>
      <c r="F77" s="18">
        <v>4</v>
      </c>
      <c r="G77" s="47">
        <v>7</v>
      </c>
      <c r="H77" s="47">
        <v>81827</v>
      </c>
      <c r="I77" s="18" t="s">
        <v>2689</v>
      </c>
      <c r="J77" s="59">
        <v>69654195</v>
      </c>
      <c r="K77" s="22" t="s">
        <v>6816</v>
      </c>
      <c r="L77" s="53" t="s">
        <v>6815</v>
      </c>
      <c r="M77" s="104">
        <v>29900</v>
      </c>
      <c r="N77" s="90">
        <v>0</v>
      </c>
      <c r="O77" s="19" t="s">
        <v>7169</v>
      </c>
      <c r="P77" s="32" t="s">
        <v>7341</v>
      </c>
    </row>
    <row r="78" spans="1:16" x14ac:dyDescent="0.35">
      <c r="A78" s="32" t="str">
        <f t="shared" ref="A78:C78" si="75">A77</f>
        <v>2026 JAN-APR SHARP PRICE</v>
      </c>
      <c r="B78" s="33">
        <f t="shared" si="75"/>
        <v>46121</v>
      </c>
      <c r="C78" s="33">
        <f t="shared" si="75"/>
        <v>46127</v>
      </c>
      <c r="D78" s="32">
        <v>3284</v>
      </c>
      <c r="E78" s="32">
        <v>338</v>
      </c>
      <c r="F78" s="32">
        <v>4</v>
      </c>
      <c r="G78" s="23">
        <v>7</v>
      </c>
      <c r="H78" s="23">
        <v>81827</v>
      </c>
      <c r="I78" s="32" t="s">
        <v>2689</v>
      </c>
      <c r="J78" s="22">
        <v>69654140</v>
      </c>
      <c r="K78" s="22" t="s">
        <v>6812</v>
      </c>
      <c r="L78" s="22" t="s">
        <v>6814</v>
      </c>
      <c r="M78" s="40">
        <v>29900</v>
      </c>
      <c r="N78" s="88">
        <v>0</v>
      </c>
      <c r="O78" s="34" t="s">
        <v>7169</v>
      </c>
      <c r="P78" s="32" t="s">
        <v>7341</v>
      </c>
    </row>
    <row r="79" spans="1:16" x14ac:dyDescent="0.35">
      <c r="A79" s="32" t="str">
        <f t="shared" ref="A79:C79" si="76">A78</f>
        <v>2026 JAN-APR SHARP PRICE</v>
      </c>
      <c r="B79" s="33">
        <f t="shared" si="76"/>
        <v>46121</v>
      </c>
      <c r="C79" s="33">
        <f t="shared" si="76"/>
        <v>46127</v>
      </c>
      <c r="D79" s="32">
        <v>3284</v>
      </c>
      <c r="E79" s="32">
        <v>338</v>
      </c>
      <c r="F79" s="32">
        <v>4</v>
      </c>
      <c r="G79" s="23">
        <v>7</v>
      </c>
      <c r="H79" s="23">
        <v>81827</v>
      </c>
      <c r="I79" s="32" t="s">
        <v>2689</v>
      </c>
      <c r="J79" s="22">
        <v>69654159</v>
      </c>
      <c r="K79" s="22" t="s">
        <v>6812</v>
      </c>
      <c r="L79" s="22" t="s">
        <v>6813</v>
      </c>
      <c r="M79" s="40">
        <v>29900</v>
      </c>
      <c r="N79" s="88">
        <v>0</v>
      </c>
      <c r="O79" s="34" t="s">
        <v>7169</v>
      </c>
      <c r="P79" s="32" t="s">
        <v>7341</v>
      </c>
    </row>
    <row r="80" spans="1:16" x14ac:dyDescent="0.35">
      <c r="A80" s="32" t="str">
        <f t="shared" ref="A80:C80" si="77">A79</f>
        <v>2026 JAN-APR SHARP PRICE</v>
      </c>
      <c r="B80" s="33">
        <f t="shared" si="77"/>
        <v>46121</v>
      </c>
      <c r="C80" s="33">
        <f t="shared" si="77"/>
        <v>46127</v>
      </c>
      <c r="D80" s="32">
        <v>3284</v>
      </c>
      <c r="E80" s="32">
        <v>338</v>
      </c>
      <c r="F80" s="32">
        <v>4</v>
      </c>
      <c r="G80" s="23">
        <v>7</v>
      </c>
      <c r="H80" s="23">
        <v>81827</v>
      </c>
      <c r="I80" s="32" t="s">
        <v>2689</v>
      </c>
      <c r="J80" s="22">
        <v>69654168</v>
      </c>
      <c r="K80" s="22" t="s">
        <v>6812</v>
      </c>
      <c r="L80" s="22" t="s">
        <v>6811</v>
      </c>
      <c r="M80" s="40">
        <v>29900</v>
      </c>
      <c r="N80" s="88">
        <v>0</v>
      </c>
      <c r="O80" s="34" t="s">
        <v>7169</v>
      </c>
      <c r="P80" s="32" t="s">
        <v>7341</v>
      </c>
    </row>
    <row r="81" spans="1:16" x14ac:dyDescent="0.35">
      <c r="A81" s="32" t="str">
        <f t="shared" ref="A81:C81" si="78">A80</f>
        <v>2026 JAN-APR SHARP PRICE</v>
      </c>
      <c r="B81" s="33">
        <f t="shared" si="78"/>
        <v>46121</v>
      </c>
      <c r="C81" s="33">
        <f t="shared" si="78"/>
        <v>46127</v>
      </c>
      <c r="D81" s="32">
        <v>3284</v>
      </c>
      <c r="E81" s="32">
        <v>338</v>
      </c>
      <c r="F81" s="32">
        <v>4</v>
      </c>
      <c r="G81" s="23">
        <v>7</v>
      </c>
      <c r="H81" s="23">
        <v>81827</v>
      </c>
      <c r="I81" s="32" t="s">
        <v>2689</v>
      </c>
      <c r="J81" s="22">
        <v>69857403</v>
      </c>
      <c r="K81" s="22" t="s">
        <v>6808</v>
      </c>
      <c r="L81" s="22" t="s">
        <v>6810</v>
      </c>
      <c r="M81" s="40">
        <v>29900</v>
      </c>
      <c r="N81" s="88">
        <v>0</v>
      </c>
      <c r="O81" s="34" t="s">
        <v>7169</v>
      </c>
      <c r="P81" s="32" t="s">
        <v>7341</v>
      </c>
    </row>
    <row r="82" spans="1:16" x14ac:dyDescent="0.35">
      <c r="A82" s="32" t="str">
        <f t="shared" ref="A82:C82" si="79">A81</f>
        <v>2026 JAN-APR SHARP PRICE</v>
      </c>
      <c r="B82" s="33">
        <f t="shared" si="79"/>
        <v>46121</v>
      </c>
      <c r="C82" s="33">
        <f t="shared" si="79"/>
        <v>46127</v>
      </c>
      <c r="D82" s="32">
        <v>3284</v>
      </c>
      <c r="E82" s="32">
        <v>338</v>
      </c>
      <c r="F82" s="32">
        <v>4</v>
      </c>
      <c r="G82" s="23">
        <v>7</v>
      </c>
      <c r="H82" s="23">
        <v>81827</v>
      </c>
      <c r="I82" s="32" t="s">
        <v>2689</v>
      </c>
      <c r="J82" s="22">
        <v>69857412</v>
      </c>
      <c r="K82" s="22" t="s">
        <v>6808</v>
      </c>
      <c r="L82" s="22" t="s">
        <v>6809</v>
      </c>
      <c r="M82" s="40">
        <v>29900</v>
      </c>
      <c r="N82" s="88">
        <v>0</v>
      </c>
      <c r="O82" s="34" t="s">
        <v>7169</v>
      </c>
      <c r="P82" s="32" t="s">
        <v>7341</v>
      </c>
    </row>
    <row r="83" spans="1:16" x14ac:dyDescent="0.35">
      <c r="A83" s="32" t="str">
        <f t="shared" ref="A83:C83" si="80">A82</f>
        <v>2026 JAN-APR SHARP PRICE</v>
      </c>
      <c r="B83" s="33">
        <f t="shared" si="80"/>
        <v>46121</v>
      </c>
      <c r="C83" s="33">
        <f t="shared" si="80"/>
        <v>46127</v>
      </c>
      <c r="D83" s="32">
        <v>3284</v>
      </c>
      <c r="E83" s="32">
        <v>338</v>
      </c>
      <c r="F83" s="32">
        <v>4</v>
      </c>
      <c r="G83" s="23">
        <v>7</v>
      </c>
      <c r="H83" s="23">
        <v>81827</v>
      </c>
      <c r="I83" s="32" t="s">
        <v>2689</v>
      </c>
      <c r="J83" s="22">
        <v>69857421</v>
      </c>
      <c r="K83" s="22" t="s">
        <v>6808</v>
      </c>
      <c r="L83" s="22" t="s">
        <v>6807</v>
      </c>
      <c r="M83" s="40">
        <v>29900</v>
      </c>
      <c r="N83" s="88">
        <v>0</v>
      </c>
      <c r="O83" s="34" t="s">
        <v>7169</v>
      </c>
      <c r="P83" s="32" t="s">
        <v>7341</v>
      </c>
    </row>
    <row r="84" spans="1:16" x14ac:dyDescent="0.35">
      <c r="A84" s="32" t="str">
        <f t="shared" ref="A84:C84" si="81">A83</f>
        <v>2026 JAN-APR SHARP PRICE</v>
      </c>
      <c r="B84" s="33">
        <f t="shared" si="81"/>
        <v>46121</v>
      </c>
      <c r="C84" s="33">
        <f t="shared" si="81"/>
        <v>46127</v>
      </c>
      <c r="D84" s="32">
        <v>3284</v>
      </c>
      <c r="E84" s="32">
        <v>338</v>
      </c>
      <c r="F84" s="32">
        <v>4</v>
      </c>
      <c r="G84" s="23">
        <v>7</v>
      </c>
      <c r="H84" s="23">
        <v>81827</v>
      </c>
      <c r="I84" s="32" t="s">
        <v>2689</v>
      </c>
      <c r="J84" s="22">
        <v>69857430</v>
      </c>
      <c r="K84" s="22" t="s">
        <v>6804</v>
      </c>
      <c r="L84" s="22" t="s">
        <v>6806</v>
      </c>
      <c r="M84" s="40">
        <v>29900</v>
      </c>
      <c r="N84" s="88">
        <v>0</v>
      </c>
      <c r="O84" s="34" t="s">
        <v>7169</v>
      </c>
      <c r="P84" s="32" t="s">
        <v>7341</v>
      </c>
    </row>
    <row r="85" spans="1:16" x14ac:dyDescent="0.35">
      <c r="A85" s="32" t="str">
        <f t="shared" ref="A85:C85" si="82">A84</f>
        <v>2026 JAN-APR SHARP PRICE</v>
      </c>
      <c r="B85" s="33">
        <f t="shared" si="82"/>
        <v>46121</v>
      </c>
      <c r="C85" s="33">
        <f t="shared" si="82"/>
        <v>46127</v>
      </c>
      <c r="D85" s="32">
        <v>3284</v>
      </c>
      <c r="E85" s="32">
        <v>338</v>
      </c>
      <c r="F85" s="32">
        <v>4</v>
      </c>
      <c r="G85" s="23">
        <v>7</v>
      </c>
      <c r="H85" s="23">
        <v>81827</v>
      </c>
      <c r="I85" s="32" t="s">
        <v>2689</v>
      </c>
      <c r="J85" s="22">
        <v>69857449</v>
      </c>
      <c r="K85" s="22" t="s">
        <v>6804</v>
      </c>
      <c r="L85" s="22" t="s">
        <v>6805</v>
      </c>
      <c r="M85" s="40">
        <v>29900</v>
      </c>
      <c r="N85" s="88">
        <v>0</v>
      </c>
      <c r="O85" s="34" t="s">
        <v>7169</v>
      </c>
      <c r="P85" s="32" t="s">
        <v>7341</v>
      </c>
    </row>
    <row r="86" spans="1:16" x14ac:dyDescent="0.35">
      <c r="A86" s="32" t="str">
        <f t="shared" ref="A86:C86" si="83">A85</f>
        <v>2026 JAN-APR SHARP PRICE</v>
      </c>
      <c r="B86" s="33">
        <f t="shared" si="83"/>
        <v>46121</v>
      </c>
      <c r="C86" s="33">
        <f t="shared" si="83"/>
        <v>46127</v>
      </c>
      <c r="D86" s="32">
        <v>3284</v>
      </c>
      <c r="E86" s="32">
        <v>338</v>
      </c>
      <c r="F86" s="32">
        <v>4</v>
      </c>
      <c r="G86" s="23">
        <v>7</v>
      </c>
      <c r="H86" s="23">
        <v>81827</v>
      </c>
      <c r="I86" s="32" t="s">
        <v>2689</v>
      </c>
      <c r="J86" s="22">
        <v>69857458</v>
      </c>
      <c r="K86" s="22" t="s">
        <v>6804</v>
      </c>
      <c r="L86" s="22" t="s">
        <v>6803</v>
      </c>
      <c r="M86" s="40">
        <v>29900</v>
      </c>
      <c r="N86" s="88">
        <v>0</v>
      </c>
      <c r="O86" s="34" t="s">
        <v>7169</v>
      </c>
      <c r="P86" s="32" t="s">
        <v>7341</v>
      </c>
    </row>
    <row r="87" spans="1:16" x14ac:dyDescent="0.35">
      <c r="A87" s="32" t="str">
        <f t="shared" ref="A87:C87" si="84">A86</f>
        <v>2026 JAN-APR SHARP PRICE</v>
      </c>
      <c r="B87" s="33">
        <f t="shared" si="84"/>
        <v>46121</v>
      </c>
      <c r="C87" s="33">
        <f t="shared" si="84"/>
        <v>46127</v>
      </c>
      <c r="D87" s="32">
        <v>3284</v>
      </c>
      <c r="E87" s="32">
        <v>338</v>
      </c>
      <c r="F87" s="32">
        <v>4</v>
      </c>
      <c r="G87" s="23">
        <v>9</v>
      </c>
      <c r="H87" s="23">
        <v>4953</v>
      </c>
      <c r="I87" s="32" t="s">
        <v>2689</v>
      </c>
      <c r="J87" s="22">
        <v>68995480</v>
      </c>
      <c r="K87" s="22" t="s">
        <v>7384</v>
      </c>
      <c r="L87" s="22" t="s">
        <v>7385</v>
      </c>
      <c r="M87" s="40">
        <v>149900</v>
      </c>
      <c r="N87" s="88">
        <v>0</v>
      </c>
      <c r="O87" s="34" t="s">
        <v>7169</v>
      </c>
      <c r="P87" s="32" t="s">
        <v>7341</v>
      </c>
    </row>
    <row r="88" spans="1:16" x14ac:dyDescent="0.35">
      <c r="A88" s="32" t="str">
        <f t="shared" ref="A88:C88" si="85">A87</f>
        <v>2026 JAN-APR SHARP PRICE</v>
      </c>
      <c r="B88" s="33">
        <f t="shared" si="85"/>
        <v>46121</v>
      </c>
      <c r="C88" s="33">
        <f t="shared" si="85"/>
        <v>46127</v>
      </c>
      <c r="D88" s="32">
        <v>3284</v>
      </c>
      <c r="E88" s="32">
        <v>338</v>
      </c>
      <c r="F88" s="32">
        <v>4</v>
      </c>
      <c r="G88" s="23">
        <v>9</v>
      </c>
      <c r="H88" s="23">
        <v>4953</v>
      </c>
      <c r="I88" s="32" t="s">
        <v>2689</v>
      </c>
      <c r="J88" s="22">
        <v>68995499</v>
      </c>
      <c r="K88" s="22" t="s">
        <v>7384</v>
      </c>
      <c r="L88" s="22" t="s">
        <v>7386</v>
      </c>
      <c r="M88" s="40">
        <v>149900</v>
      </c>
      <c r="N88" s="88">
        <v>0</v>
      </c>
      <c r="O88" s="34" t="s">
        <v>7169</v>
      </c>
      <c r="P88" s="32" t="s">
        <v>7341</v>
      </c>
    </row>
    <row r="89" spans="1:16" x14ac:dyDescent="0.35">
      <c r="A89" s="32" t="str">
        <f t="shared" ref="A89:C89" si="86">A88</f>
        <v>2026 JAN-APR SHARP PRICE</v>
      </c>
      <c r="B89" s="33">
        <f t="shared" si="86"/>
        <v>46121</v>
      </c>
      <c r="C89" s="33">
        <f t="shared" si="86"/>
        <v>46127</v>
      </c>
      <c r="D89" s="32">
        <v>3284</v>
      </c>
      <c r="E89" s="32">
        <v>338</v>
      </c>
      <c r="F89" s="32">
        <v>4</v>
      </c>
      <c r="G89" s="23">
        <v>9</v>
      </c>
      <c r="H89" s="23">
        <v>4953</v>
      </c>
      <c r="I89" s="32" t="s">
        <v>2689</v>
      </c>
      <c r="J89" s="22">
        <v>68995506</v>
      </c>
      <c r="K89" s="22" t="s">
        <v>7384</v>
      </c>
      <c r="L89" s="22" t="s">
        <v>7387</v>
      </c>
      <c r="M89" s="40">
        <v>149900</v>
      </c>
      <c r="N89" s="88">
        <v>0</v>
      </c>
      <c r="O89" s="34" t="s">
        <v>7169</v>
      </c>
      <c r="P89" s="32" t="s">
        <v>7341</v>
      </c>
    </row>
    <row r="90" spans="1:16" x14ac:dyDescent="0.35">
      <c r="A90" s="32" t="str">
        <f t="shared" ref="A90:C90" si="87">A89</f>
        <v>2026 JAN-APR SHARP PRICE</v>
      </c>
      <c r="B90" s="33">
        <f t="shared" si="87"/>
        <v>46121</v>
      </c>
      <c r="C90" s="33">
        <f t="shared" si="87"/>
        <v>46127</v>
      </c>
      <c r="D90" s="32">
        <v>3284</v>
      </c>
      <c r="E90" s="32">
        <v>338</v>
      </c>
      <c r="F90" s="32">
        <v>4</v>
      </c>
      <c r="G90" s="23">
        <v>9</v>
      </c>
      <c r="H90" s="23">
        <v>4953</v>
      </c>
      <c r="I90" s="32" t="s">
        <v>2689</v>
      </c>
      <c r="J90" s="22">
        <v>68995515</v>
      </c>
      <c r="K90" s="22" t="s">
        <v>7384</v>
      </c>
      <c r="L90" s="22" t="s">
        <v>7388</v>
      </c>
      <c r="M90" s="40">
        <v>149900</v>
      </c>
      <c r="N90" s="88">
        <v>0</v>
      </c>
      <c r="O90" s="34" t="s">
        <v>7169</v>
      </c>
      <c r="P90" s="32" t="s">
        <v>7341</v>
      </c>
    </row>
    <row r="91" spans="1:16" x14ac:dyDescent="0.35">
      <c r="A91" s="32" t="str">
        <f t="shared" ref="A91:C91" si="88">A90</f>
        <v>2026 JAN-APR SHARP PRICE</v>
      </c>
      <c r="B91" s="33">
        <f t="shared" si="88"/>
        <v>46121</v>
      </c>
      <c r="C91" s="33">
        <f t="shared" si="88"/>
        <v>46127</v>
      </c>
      <c r="D91" s="32">
        <v>3284</v>
      </c>
      <c r="E91" s="32">
        <v>338</v>
      </c>
      <c r="F91" s="32">
        <v>4</v>
      </c>
      <c r="G91" s="23">
        <v>9</v>
      </c>
      <c r="H91" s="23">
        <v>4953</v>
      </c>
      <c r="I91" s="32" t="s">
        <v>2689</v>
      </c>
      <c r="J91" s="22">
        <v>68995524</v>
      </c>
      <c r="K91" s="22" t="s">
        <v>7384</v>
      </c>
      <c r="L91" s="22" t="s">
        <v>7389</v>
      </c>
      <c r="M91" s="40">
        <v>149900</v>
      </c>
      <c r="N91" s="88">
        <v>0</v>
      </c>
      <c r="O91" s="34" t="s">
        <v>7169</v>
      </c>
      <c r="P91" s="32" t="s">
        <v>7341</v>
      </c>
    </row>
    <row r="92" spans="1:16" x14ac:dyDescent="0.35">
      <c r="A92" s="32" t="str">
        <f t="shared" ref="A92:C92" si="89">A91</f>
        <v>2026 JAN-APR SHARP PRICE</v>
      </c>
      <c r="B92" s="33">
        <f t="shared" si="89"/>
        <v>46121</v>
      </c>
      <c r="C92" s="33">
        <f t="shared" si="89"/>
        <v>46127</v>
      </c>
      <c r="D92" s="32">
        <v>3284</v>
      </c>
      <c r="E92" s="32">
        <v>338</v>
      </c>
      <c r="F92" s="32">
        <v>4</v>
      </c>
      <c r="G92" s="23">
        <v>9</v>
      </c>
      <c r="H92" s="23">
        <v>4953</v>
      </c>
      <c r="I92" s="32" t="s">
        <v>2689</v>
      </c>
      <c r="J92" s="22">
        <v>68995533</v>
      </c>
      <c r="K92" s="22" t="s">
        <v>7384</v>
      </c>
      <c r="L92" s="22" t="s">
        <v>7390</v>
      </c>
      <c r="M92" s="40">
        <v>149900</v>
      </c>
      <c r="N92" s="88">
        <v>0</v>
      </c>
      <c r="O92" s="34" t="s">
        <v>7169</v>
      </c>
      <c r="P92" s="32" t="s">
        <v>7341</v>
      </c>
    </row>
    <row r="93" spans="1:16" x14ac:dyDescent="0.35">
      <c r="A93" s="32" t="str">
        <f t="shared" ref="A93:C93" si="90">A92</f>
        <v>2026 JAN-APR SHARP PRICE</v>
      </c>
      <c r="B93" s="33">
        <f t="shared" si="90"/>
        <v>46121</v>
      </c>
      <c r="C93" s="33">
        <f t="shared" si="90"/>
        <v>46127</v>
      </c>
      <c r="D93" s="32">
        <v>3284</v>
      </c>
      <c r="E93" s="32">
        <v>338</v>
      </c>
      <c r="F93" s="32">
        <v>4</v>
      </c>
      <c r="G93" s="23">
        <v>9</v>
      </c>
      <c r="H93" s="23">
        <v>4953</v>
      </c>
      <c r="I93" s="32" t="s">
        <v>2689</v>
      </c>
      <c r="J93" s="22">
        <v>68995542</v>
      </c>
      <c r="K93" s="22" t="s">
        <v>7384</v>
      </c>
      <c r="L93" s="22" t="s">
        <v>7391</v>
      </c>
      <c r="M93" s="40">
        <v>149900</v>
      </c>
      <c r="N93" s="88">
        <v>0</v>
      </c>
      <c r="O93" s="34" t="s">
        <v>7169</v>
      </c>
      <c r="P93" s="32" t="s">
        <v>7341</v>
      </c>
    </row>
    <row r="94" spans="1:16" x14ac:dyDescent="0.35">
      <c r="A94" s="32" t="str">
        <f t="shared" ref="A94:C94" si="91">A93</f>
        <v>2026 JAN-APR SHARP PRICE</v>
      </c>
      <c r="B94" s="33">
        <f t="shared" si="91"/>
        <v>46121</v>
      </c>
      <c r="C94" s="33">
        <f t="shared" si="91"/>
        <v>46127</v>
      </c>
      <c r="D94" s="32">
        <v>3284</v>
      </c>
      <c r="E94" s="32">
        <v>338</v>
      </c>
      <c r="F94" s="32">
        <v>4</v>
      </c>
      <c r="G94" s="23">
        <v>9</v>
      </c>
      <c r="H94" s="23">
        <v>4953</v>
      </c>
      <c r="I94" s="32" t="s">
        <v>2689</v>
      </c>
      <c r="J94" s="22">
        <v>68995551</v>
      </c>
      <c r="K94" s="22" t="s">
        <v>7384</v>
      </c>
      <c r="L94" s="22" t="s">
        <v>7392</v>
      </c>
      <c r="M94" s="40">
        <v>149900</v>
      </c>
      <c r="N94" s="88">
        <v>0</v>
      </c>
      <c r="O94" s="34" t="s">
        <v>7169</v>
      </c>
      <c r="P94" s="32" t="s">
        <v>7341</v>
      </c>
    </row>
    <row r="95" spans="1:16" x14ac:dyDescent="0.35">
      <c r="A95" s="32" t="str">
        <f t="shared" ref="A95:C95" si="92">A94</f>
        <v>2026 JAN-APR SHARP PRICE</v>
      </c>
      <c r="B95" s="33">
        <f t="shared" si="92"/>
        <v>46121</v>
      </c>
      <c r="C95" s="33">
        <f t="shared" si="92"/>
        <v>46127</v>
      </c>
      <c r="D95" s="32">
        <v>3284</v>
      </c>
      <c r="E95" s="32">
        <v>338</v>
      </c>
      <c r="F95" s="32">
        <v>4</v>
      </c>
      <c r="G95" s="23">
        <v>9</v>
      </c>
      <c r="H95" s="23">
        <v>4953</v>
      </c>
      <c r="I95" s="32" t="s">
        <v>2689</v>
      </c>
      <c r="J95" s="22">
        <v>68995560</v>
      </c>
      <c r="K95" s="22" t="s">
        <v>7393</v>
      </c>
      <c r="L95" s="22" t="s">
        <v>7394</v>
      </c>
      <c r="M95" s="40">
        <v>149900</v>
      </c>
      <c r="N95" s="88">
        <v>0</v>
      </c>
      <c r="O95" s="34" t="s">
        <v>7169</v>
      </c>
      <c r="P95" s="32" t="s">
        <v>7341</v>
      </c>
    </row>
    <row r="96" spans="1:16" x14ac:dyDescent="0.35">
      <c r="A96" s="32" t="str">
        <f t="shared" ref="A96:C96" si="93">A95</f>
        <v>2026 JAN-APR SHARP PRICE</v>
      </c>
      <c r="B96" s="33">
        <f t="shared" si="93"/>
        <v>46121</v>
      </c>
      <c r="C96" s="33">
        <f t="shared" si="93"/>
        <v>46127</v>
      </c>
      <c r="D96" s="32">
        <v>3284</v>
      </c>
      <c r="E96" s="32">
        <v>338</v>
      </c>
      <c r="F96" s="32">
        <v>4</v>
      </c>
      <c r="G96" s="23">
        <v>9</v>
      </c>
      <c r="H96" s="23">
        <v>4953</v>
      </c>
      <c r="I96" s="32" t="s">
        <v>2689</v>
      </c>
      <c r="J96" s="22">
        <v>68995579</v>
      </c>
      <c r="K96" s="22" t="s">
        <v>7393</v>
      </c>
      <c r="L96" s="22" t="s">
        <v>7395</v>
      </c>
      <c r="M96" s="40">
        <v>149900</v>
      </c>
      <c r="N96" s="88">
        <v>0</v>
      </c>
      <c r="O96" s="34" t="s">
        <v>7169</v>
      </c>
      <c r="P96" s="32" t="s">
        <v>7341</v>
      </c>
    </row>
    <row r="97" spans="1:16" x14ac:dyDescent="0.35">
      <c r="A97" s="32" t="str">
        <f t="shared" ref="A97:C97" si="94">A96</f>
        <v>2026 JAN-APR SHARP PRICE</v>
      </c>
      <c r="B97" s="33">
        <f t="shared" si="94"/>
        <v>46121</v>
      </c>
      <c r="C97" s="33">
        <f t="shared" si="94"/>
        <v>46127</v>
      </c>
      <c r="D97" s="32">
        <v>3284</v>
      </c>
      <c r="E97" s="32">
        <v>338</v>
      </c>
      <c r="F97" s="32">
        <v>4</v>
      </c>
      <c r="G97" s="23">
        <v>9</v>
      </c>
      <c r="H97" s="23">
        <v>4953</v>
      </c>
      <c r="I97" s="32" t="s">
        <v>2689</v>
      </c>
      <c r="J97" s="22">
        <v>68995588</v>
      </c>
      <c r="K97" s="22" t="s">
        <v>7393</v>
      </c>
      <c r="L97" s="22" t="s">
        <v>7396</v>
      </c>
      <c r="M97" s="40">
        <v>149900</v>
      </c>
      <c r="N97" s="88">
        <v>0</v>
      </c>
      <c r="O97" s="34" t="s">
        <v>7169</v>
      </c>
      <c r="P97" s="32" t="s">
        <v>7341</v>
      </c>
    </row>
    <row r="98" spans="1:16" x14ac:dyDescent="0.35">
      <c r="A98" s="32" t="str">
        <f t="shared" ref="A98:C98" si="95">A97</f>
        <v>2026 JAN-APR SHARP PRICE</v>
      </c>
      <c r="B98" s="33">
        <f t="shared" si="95"/>
        <v>46121</v>
      </c>
      <c r="C98" s="33">
        <f t="shared" si="95"/>
        <v>46127</v>
      </c>
      <c r="D98" s="32">
        <v>3284</v>
      </c>
      <c r="E98" s="32">
        <v>338</v>
      </c>
      <c r="F98" s="32">
        <v>4</v>
      </c>
      <c r="G98" s="23">
        <v>9</v>
      </c>
      <c r="H98" s="23">
        <v>4953</v>
      </c>
      <c r="I98" s="32" t="s">
        <v>2689</v>
      </c>
      <c r="J98" s="22">
        <v>68995597</v>
      </c>
      <c r="K98" s="22" t="s">
        <v>7393</v>
      </c>
      <c r="L98" s="22" t="s">
        <v>7397</v>
      </c>
      <c r="M98" s="40">
        <v>149900</v>
      </c>
      <c r="N98" s="88">
        <v>0</v>
      </c>
      <c r="O98" s="34" t="s">
        <v>7169</v>
      </c>
      <c r="P98" s="32" t="s">
        <v>7341</v>
      </c>
    </row>
    <row r="99" spans="1:16" x14ac:dyDescent="0.35">
      <c r="A99" s="32" t="str">
        <f t="shared" ref="A99:C99" si="96">A98</f>
        <v>2026 JAN-APR SHARP PRICE</v>
      </c>
      <c r="B99" s="33">
        <f t="shared" si="96"/>
        <v>46121</v>
      </c>
      <c r="C99" s="33">
        <f t="shared" si="96"/>
        <v>46127</v>
      </c>
      <c r="D99" s="32">
        <v>3284</v>
      </c>
      <c r="E99" s="32">
        <v>338</v>
      </c>
      <c r="F99" s="32">
        <v>4</v>
      </c>
      <c r="G99" s="23">
        <v>9</v>
      </c>
      <c r="H99" s="23">
        <v>4953</v>
      </c>
      <c r="I99" s="32" t="s">
        <v>2689</v>
      </c>
      <c r="J99" s="22">
        <v>68995604</v>
      </c>
      <c r="K99" s="22" t="s">
        <v>7393</v>
      </c>
      <c r="L99" s="22" t="s">
        <v>7398</v>
      </c>
      <c r="M99" s="40">
        <v>149900</v>
      </c>
      <c r="N99" s="88">
        <v>0</v>
      </c>
      <c r="O99" s="34" t="s">
        <v>7169</v>
      </c>
      <c r="P99" s="32" t="s">
        <v>7341</v>
      </c>
    </row>
    <row r="100" spans="1:16" x14ac:dyDescent="0.35">
      <c r="A100" s="32" t="str">
        <f t="shared" ref="A100:C100" si="97">A99</f>
        <v>2026 JAN-APR SHARP PRICE</v>
      </c>
      <c r="B100" s="33">
        <f t="shared" si="97"/>
        <v>46121</v>
      </c>
      <c r="C100" s="33">
        <f t="shared" si="97"/>
        <v>46127</v>
      </c>
      <c r="D100" s="32">
        <v>3284</v>
      </c>
      <c r="E100" s="32">
        <v>338</v>
      </c>
      <c r="F100" s="32">
        <v>4</v>
      </c>
      <c r="G100" s="23">
        <v>9</v>
      </c>
      <c r="H100" s="23">
        <v>4953</v>
      </c>
      <c r="I100" s="32" t="s">
        <v>2689</v>
      </c>
      <c r="J100" s="22">
        <v>68995613</v>
      </c>
      <c r="K100" s="22" t="s">
        <v>7393</v>
      </c>
      <c r="L100" s="22" t="s">
        <v>7399</v>
      </c>
      <c r="M100" s="40">
        <v>149900</v>
      </c>
      <c r="N100" s="88">
        <v>0</v>
      </c>
      <c r="O100" s="34" t="s">
        <v>7169</v>
      </c>
      <c r="P100" s="32" t="s">
        <v>7341</v>
      </c>
    </row>
    <row r="101" spans="1:16" x14ac:dyDescent="0.35">
      <c r="A101" s="32" t="str">
        <f t="shared" ref="A101:C101" si="98">A100</f>
        <v>2026 JAN-APR SHARP PRICE</v>
      </c>
      <c r="B101" s="33">
        <f t="shared" si="98"/>
        <v>46121</v>
      </c>
      <c r="C101" s="33">
        <f t="shared" si="98"/>
        <v>46127</v>
      </c>
      <c r="D101" s="32">
        <v>3284</v>
      </c>
      <c r="E101" s="32">
        <v>338</v>
      </c>
      <c r="F101" s="32">
        <v>4</v>
      </c>
      <c r="G101" s="23">
        <v>9</v>
      </c>
      <c r="H101" s="23">
        <v>4953</v>
      </c>
      <c r="I101" s="32" t="s">
        <v>2689</v>
      </c>
      <c r="J101" s="22">
        <v>68995622</v>
      </c>
      <c r="K101" s="22" t="s">
        <v>7393</v>
      </c>
      <c r="L101" s="22" t="s">
        <v>7400</v>
      </c>
      <c r="M101" s="40">
        <v>149900</v>
      </c>
      <c r="N101" s="88">
        <v>0</v>
      </c>
      <c r="O101" s="34" t="s">
        <v>7169</v>
      </c>
      <c r="P101" s="32" t="s">
        <v>7341</v>
      </c>
    </row>
    <row r="102" spans="1:16" x14ac:dyDescent="0.35">
      <c r="A102" s="32" t="str">
        <f t="shared" ref="A102:C102" si="99">A101</f>
        <v>2026 JAN-APR SHARP PRICE</v>
      </c>
      <c r="B102" s="33">
        <f t="shared" si="99"/>
        <v>46121</v>
      </c>
      <c r="C102" s="33">
        <f t="shared" si="99"/>
        <v>46127</v>
      </c>
      <c r="D102" s="32">
        <v>3284</v>
      </c>
      <c r="E102" s="32">
        <v>338</v>
      </c>
      <c r="F102" s="32">
        <v>4</v>
      </c>
      <c r="G102" s="23">
        <v>9</v>
      </c>
      <c r="H102" s="23">
        <v>4953</v>
      </c>
      <c r="I102" s="32" t="s">
        <v>2689</v>
      </c>
      <c r="J102" s="22">
        <v>68995631</v>
      </c>
      <c r="K102" s="22" t="s">
        <v>7393</v>
      </c>
      <c r="L102" s="22" t="s">
        <v>7401</v>
      </c>
      <c r="M102" s="40">
        <v>149900</v>
      </c>
      <c r="N102" s="88">
        <v>0</v>
      </c>
      <c r="O102" s="34" t="s">
        <v>7169</v>
      </c>
      <c r="P102" s="32" t="s">
        <v>7341</v>
      </c>
    </row>
    <row r="103" spans="1:16" x14ac:dyDescent="0.35">
      <c r="A103" s="32" t="str">
        <f t="shared" ref="A103:C103" si="100">A102</f>
        <v>2026 JAN-APR SHARP PRICE</v>
      </c>
      <c r="B103" s="33">
        <f t="shared" si="100"/>
        <v>46121</v>
      </c>
      <c r="C103" s="33">
        <f t="shared" si="100"/>
        <v>46127</v>
      </c>
      <c r="D103" s="32">
        <v>3284</v>
      </c>
      <c r="E103" s="32">
        <v>338</v>
      </c>
      <c r="F103" s="32">
        <v>4</v>
      </c>
      <c r="G103" s="23">
        <v>9</v>
      </c>
      <c r="H103" s="23">
        <v>4953</v>
      </c>
      <c r="I103" s="32" t="s">
        <v>2689</v>
      </c>
      <c r="J103" s="22">
        <v>68995640</v>
      </c>
      <c r="K103" s="22" t="s">
        <v>7402</v>
      </c>
      <c r="L103" s="22" t="s">
        <v>7403</v>
      </c>
      <c r="M103" s="40">
        <v>149900</v>
      </c>
      <c r="N103" s="88">
        <v>0</v>
      </c>
      <c r="O103" s="34" t="s">
        <v>7169</v>
      </c>
      <c r="P103" s="32" t="s">
        <v>7341</v>
      </c>
    </row>
    <row r="104" spans="1:16" x14ac:dyDescent="0.35">
      <c r="A104" s="32" t="str">
        <f t="shared" ref="A104:C104" si="101">A103</f>
        <v>2026 JAN-APR SHARP PRICE</v>
      </c>
      <c r="B104" s="33">
        <f t="shared" si="101"/>
        <v>46121</v>
      </c>
      <c r="C104" s="33">
        <f t="shared" si="101"/>
        <v>46127</v>
      </c>
      <c r="D104" s="32">
        <v>3284</v>
      </c>
      <c r="E104" s="32">
        <v>338</v>
      </c>
      <c r="F104" s="32">
        <v>4</v>
      </c>
      <c r="G104" s="23">
        <v>9</v>
      </c>
      <c r="H104" s="23">
        <v>4953</v>
      </c>
      <c r="I104" s="32" t="s">
        <v>2689</v>
      </c>
      <c r="J104" s="22">
        <v>68995659</v>
      </c>
      <c r="K104" s="22" t="s">
        <v>7402</v>
      </c>
      <c r="L104" s="22" t="s">
        <v>7404</v>
      </c>
      <c r="M104" s="40">
        <v>149900</v>
      </c>
      <c r="N104" s="88">
        <v>0</v>
      </c>
      <c r="O104" s="34" t="s">
        <v>7169</v>
      </c>
      <c r="P104" s="32" t="s">
        <v>7341</v>
      </c>
    </row>
    <row r="105" spans="1:16" x14ac:dyDescent="0.35">
      <c r="A105" s="32" t="str">
        <f t="shared" ref="A105:C105" si="102">A104</f>
        <v>2026 JAN-APR SHARP PRICE</v>
      </c>
      <c r="B105" s="33">
        <f t="shared" si="102"/>
        <v>46121</v>
      </c>
      <c r="C105" s="33">
        <f t="shared" si="102"/>
        <v>46127</v>
      </c>
      <c r="D105" s="32">
        <v>3284</v>
      </c>
      <c r="E105" s="32">
        <v>338</v>
      </c>
      <c r="F105" s="32">
        <v>4</v>
      </c>
      <c r="G105" s="23">
        <v>9</v>
      </c>
      <c r="H105" s="23">
        <v>4953</v>
      </c>
      <c r="I105" s="32" t="s">
        <v>2689</v>
      </c>
      <c r="J105" s="22">
        <v>68995668</v>
      </c>
      <c r="K105" s="22" t="s">
        <v>7402</v>
      </c>
      <c r="L105" s="22" t="s">
        <v>7405</v>
      </c>
      <c r="M105" s="40">
        <v>149900</v>
      </c>
      <c r="N105" s="88">
        <v>0</v>
      </c>
      <c r="O105" s="34" t="s">
        <v>7169</v>
      </c>
      <c r="P105" s="32" t="s">
        <v>7341</v>
      </c>
    </row>
    <row r="106" spans="1:16" x14ac:dyDescent="0.35">
      <c r="A106" s="32" t="str">
        <f t="shared" ref="A106:C106" si="103">A105</f>
        <v>2026 JAN-APR SHARP PRICE</v>
      </c>
      <c r="B106" s="33">
        <f t="shared" si="103"/>
        <v>46121</v>
      </c>
      <c r="C106" s="33">
        <f t="shared" si="103"/>
        <v>46127</v>
      </c>
      <c r="D106" s="32">
        <v>3284</v>
      </c>
      <c r="E106" s="32">
        <v>338</v>
      </c>
      <c r="F106" s="32">
        <v>4</v>
      </c>
      <c r="G106" s="23">
        <v>9</v>
      </c>
      <c r="H106" s="23">
        <v>4953</v>
      </c>
      <c r="I106" s="32" t="s">
        <v>2689</v>
      </c>
      <c r="J106" s="22">
        <v>68995677</v>
      </c>
      <c r="K106" s="22" t="s">
        <v>7402</v>
      </c>
      <c r="L106" s="22" t="s">
        <v>7406</v>
      </c>
      <c r="M106" s="40">
        <v>149900</v>
      </c>
      <c r="N106" s="88">
        <v>0</v>
      </c>
      <c r="O106" s="34" t="s">
        <v>7169</v>
      </c>
      <c r="P106" s="32" t="s">
        <v>7341</v>
      </c>
    </row>
    <row r="107" spans="1:16" x14ac:dyDescent="0.35">
      <c r="A107" s="32" t="str">
        <f t="shared" ref="A107:C107" si="104">A106</f>
        <v>2026 JAN-APR SHARP PRICE</v>
      </c>
      <c r="B107" s="33">
        <f t="shared" si="104"/>
        <v>46121</v>
      </c>
      <c r="C107" s="33">
        <f t="shared" si="104"/>
        <v>46127</v>
      </c>
      <c r="D107" s="32">
        <v>3284</v>
      </c>
      <c r="E107" s="32">
        <v>338</v>
      </c>
      <c r="F107" s="32">
        <v>4</v>
      </c>
      <c r="G107" s="23">
        <v>9</v>
      </c>
      <c r="H107" s="23">
        <v>4953</v>
      </c>
      <c r="I107" s="32" t="s">
        <v>2689</v>
      </c>
      <c r="J107" s="22">
        <v>68995686</v>
      </c>
      <c r="K107" s="22" t="s">
        <v>7402</v>
      </c>
      <c r="L107" s="22" t="s">
        <v>7407</v>
      </c>
      <c r="M107" s="40">
        <v>149900</v>
      </c>
      <c r="N107" s="88">
        <v>0</v>
      </c>
      <c r="O107" s="34" t="s">
        <v>7169</v>
      </c>
      <c r="P107" s="32" t="s">
        <v>7341</v>
      </c>
    </row>
    <row r="108" spans="1:16" x14ac:dyDescent="0.35">
      <c r="A108" s="32" t="str">
        <f t="shared" ref="A108:C108" si="105">A107</f>
        <v>2026 JAN-APR SHARP PRICE</v>
      </c>
      <c r="B108" s="33">
        <f t="shared" si="105"/>
        <v>46121</v>
      </c>
      <c r="C108" s="33">
        <f t="shared" si="105"/>
        <v>46127</v>
      </c>
      <c r="D108" s="32">
        <v>3284</v>
      </c>
      <c r="E108" s="32">
        <v>338</v>
      </c>
      <c r="F108" s="32">
        <v>4</v>
      </c>
      <c r="G108" s="23">
        <v>9</v>
      </c>
      <c r="H108" s="23">
        <v>4953</v>
      </c>
      <c r="I108" s="32" t="s">
        <v>2689</v>
      </c>
      <c r="J108" s="22">
        <v>68995695</v>
      </c>
      <c r="K108" s="22" t="s">
        <v>7402</v>
      </c>
      <c r="L108" s="22" t="s">
        <v>7408</v>
      </c>
      <c r="M108" s="40">
        <v>149900</v>
      </c>
      <c r="N108" s="88">
        <v>0</v>
      </c>
      <c r="O108" s="34" t="s">
        <v>7169</v>
      </c>
      <c r="P108" s="32" t="s">
        <v>7341</v>
      </c>
    </row>
    <row r="109" spans="1:16" x14ac:dyDescent="0.35">
      <c r="A109" s="32" t="str">
        <f t="shared" ref="A109:C109" si="106">A108</f>
        <v>2026 JAN-APR SHARP PRICE</v>
      </c>
      <c r="B109" s="33">
        <f t="shared" si="106"/>
        <v>46121</v>
      </c>
      <c r="C109" s="33">
        <f t="shared" si="106"/>
        <v>46127</v>
      </c>
      <c r="D109" s="32">
        <v>3284</v>
      </c>
      <c r="E109" s="32">
        <v>338</v>
      </c>
      <c r="F109" s="32">
        <v>4</v>
      </c>
      <c r="G109" s="23">
        <v>9</v>
      </c>
      <c r="H109" s="23">
        <v>4953</v>
      </c>
      <c r="I109" s="32" t="s">
        <v>2689</v>
      </c>
      <c r="J109" s="22">
        <v>68995702</v>
      </c>
      <c r="K109" s="22" t="s">
        <v>7402</v>
      </c>
      <c r="L109" s="22" t="s">
        <v>7409</v>
      </c>
      <c r="M109" s="40">
        <v>149900</v>
      </c>
      <c r="N109" s="88">
        <v>0</v>
      </c>
      <c r="O109" s="34" t="s">
        <v>7169</v>
      </c>
      <c r="P109" s="32" t="s">
        <v>7341</v>
      </c>
    </row>
    <row r="110" spans="1:16" x14ac:dyDescent="0.35">
      <c r="A110" s="32" t="str">
        <f t="shared" ref="A110:C110" si="107">A109</f>
        <v>2026 JAN-APR SHARP PRICE</v>
      </c>
      <c r="B110" s="33">
        <f t="shared" si="107"/>
        <v>46121</v>
      </c>
      <c r="C110" s="33">
        <f t="shared" si="107"/>
        <v>46127</v>
      </c>
      <c r="D110" s="32">
        <v>3284</v>
      </c>
      <c r="E110" s="32">
        <v>338</v>
      </c>
      <c r="F110" s="32">
        <v>4</v>
      </c>
      <c r="G110" s="23">
        <v>9</v>
      </c>
      <c r="H110" s="23">
        <v>4953</v>
      </c>
      <c r="I110" s="32" t="s">
        <v>2689</v>
      </c>
      <c r="J110" s="22">
        <v>68995711</v>
      </c>
      <c r="K110" s="22" t="s">
        <v>7402</v>
      </c>
      <c r="L110" s="22" t="s">
        <v>7410</v>
      </c>
      <c r="M110" s="40">
        <v>149900</v>
      </c>
      <c r="N110" s="88">
        <v>0</v>
      </c>
      <c r="O110" s="34" t="s">
        <v>7169</v>
      </c>
      <c r="P110" s="32" t="s">
        <v>7341</v>
      </c>
    </row>
    <row r="111" spans="1:16" x14ac:dyDescent="0.35">
      <c r="A111" s="32" t="str">
        <f t="shared" ref="A111:C111" si="108">A110</f>
        <v>2026 JAN-APR SHARP PRICE</v>
      </c>
      <c r="B111" s="33">
        <f t="shared" si="108"/>
        <v>46121</v>
      </c>
      <c r="C111" s="33">
        <f t="shared" si="108"/>
        <v>46127</v>
      </c>
      <c r="D111" s="32">
        <v>3284</v>
      </c>
      <c r="E111" s="32">
        <v>338</v>
      </c>
      <c r="F111" s="32">
        <v>4</v>
      </c>
      <c r="G111" s="23">
        <v>4</v>
      </c>
      <c r="H111" s="23">
        <v>81679</v>
      </c>
      <c r="I111" s="32" t="s">
        <v>2689</v>
      </c>
      <c r="J111" s="22">
        <v>69653570</v>
      </c>
      <c r="K111" s="22" t="s">
        <v>7411</v>
      </c>
      <c r="L111" s="22" t="s">
        <v>7412</v>
      </c>
      <c r="M111" s="40">
        <v>149900</v>
      </c>
      <c r="N111" s="88">
        <v>0</v>
      </c>
      <c r="O111" s="34" t="s">
        <v>7169</v>
      </c>
      <c r="P111" s="32" t="s">
        <v>7341</v>
      </c>
    </row>
    <row r="112" spans="1:16" x14ac:dyDescent="0.35">
      <c r="A112" s="32" t="str">
        <f t="shared" ref="A112:C112" si="109">A111</f>
        <v>2026 JAN-APR SHARP PRICE</v>
      </c>
      <c r="B112" s="33">
        <f t="shared" si="109"/>
        <v>46121</v>
      </c>
      <c r="C112" s="33">
        <f t="shared" si="109"/>
        <v>46127</v>
      </c>
      <c r="D112" s="32">
        <v>3284</v>
      </c>
      <c r="E112" s="32">
        <v>338</v>
      </c>
      <c r="F112" s="32">
        <v>4</v>
      </c>
      <c r="G112" s="23">
        <v>4</v>
      </c>
      <c r="H112" s="23">
        <v>81679</v>
      </c>
      <c r="I112" s="32" t="s">
        <v>2689</v>
      </c>
      <c r="J112" s="22">
        <v>69653589</v>
      </c>
      <c r="K112" s="22" t="s">
        <v>7411</v>
      </c>
      <c r="L112" s="22" t="s">
        <v>7413</v>
      </c>
      <c r="M112" s="40">
        <v>149900</v>
      </c>
      <c r="N112" s="88">
        <v>0</v>
      </c>
      <c r="O112" s="34" t="s">
        <v>7169</v>
      </c>
      <c r="P112" s="32" t="s">
        <v>7341</v>
      </c>
    </row>
    <row r="113" spans="1:16" x14ac:dyDescent="0.35">
      <c r="A113" s="32" t="str">
        <f t="shared" ref="A113:C113" si="110">A112</f>
        <v>2026 JAN-APR SHARP PRICE</v>
      </c>
      <c r="B113" s="33">
        <f t="shared" si="110"/>
        <v>46121</v>
      </c>
      <c r="C113" s="33">
        <f t="shared" si="110"/>
        <v>46127</v>
      </c>
      <c r="D113" s="32">
        <v>3284</v>
      </c>
      <c r="E113" s="32">
        <v>338</v>
      </c>
      <c r="F113" s="32">
        <v>4</v>
      </c>
      <c r="G113" s="23">
        <v>4</v>
      </c>
      <c r="H113" s="23">
        <v>81679</v>
      </c>
      <c r="I113" s="32" t="s">
        <v>2689</v>
      </c>
      <c r="J113" s="22">
        <v>69653598</v>
      </c>
      <c r="K113" s="22" t="s">
        <v>7411</v>
      </c>
      <c r="L113" s="22" t="s">
        <v>7414</v>
      </c>
      <c r="M113" s="40">
        <v>149900</v>
      </c>
      <c r="N113" s="88">
        <v>0</v>
      </c>
      <c r="O113" s="34" t="s">
        <v>7169</v>
      </c>
      <c r="P113" s="32" t="s">
        <v>7341</v>
      </c>
    </row>
    <row r="114" spans="1:16" x14ac:dyDescent="0.35">
      <c r="A114" s="32" t="str">
        <f t="shared" ref="A114:C114" si="111">A113</f>
        <v>2026 JAN-APR SHARP PRICE</v>
      </c>
      <c r="B114" s="33">
        <f t="shared" si="111"/>
        <v>46121</v>
      </c>
      <c r="C114" s="33">
        <f t="shared" si="111"/>
        <v>46127</v>
      </c>
      <c r="D114" s="32">
        <v>3284</v>
      </c>
      <c r="E114" s="32">
        <v>338</v>
      </c>
      <c r="F114" s="32">
        <v>4</v>
      </c>
      <c r="G114" s="23">
        <v>4</v>
      </c>
      <c r="H114" s="23">
        <v>81679</v>
      </c>
      <c r="I114" s="32" t="s">
        <v>2689</v>
      </c>
      <c r="J114" s="22">
        <v>69653605</v>
      </c>
      <c r="K114" s="22" t="s">
        <v>7411</v>
      </c>
      <c r="L114" s="22" t="s">
        <v>7415</v>
      </c>
      <c r="M114" s="40">
        <v>149900</v>
      </c>
      <c r="N114" s="88">
        <v>0</v>
      </c>
      <c r="O114" s="34" t="s">
        <v>7169</v>
      </c>
      <c r="P114" s="32" t="s">
        <v>7341</v>
      </c>
    </row>
    <row r="115" spans="1:16" x14ac:dyDescent="0.35">
      <c r="A115" s="32" t="str">
        <f t="shared" ref="A115:C115" si="112">A114</f>
        <v>2026 JAN-APR SHARP PRICE</v>
      </c>
      <c r="B115" s="33">
        <f t="shared" si="112"/>
        <v>46121</v>
      </c>
      <c r="C115" s="33">
        <f t="shared" si="112"/>
        <v>46127</v>
      </c>
      <c r="D115" s="32">
        <v>3284</v>
      </c>
      <c r="E115" s="32">
        <v>338</v>
      </c>
      <c r="F115" s="32">
        <v>4</v>
      </c>
      <c r="G115" s="23">
        <v>4</v>
      </c>
      <c r="H115" s="23">
        <v>81679</v>
      </c>
      <c r="I115" s="32" t="s">
        <v>2689</v>
      </c>
      <c r="J115" s="22">
        <v>69653614</v>
      </c>
      <c r="K115" s="22" t="s">
        <v>7411</v>
      </c>
      <c r="L115" s="22" t="s">
        <v>7416</v>
      </c>
      <c r="M115" s="40">
        <v>149900</v>
      </c>
      <c r="N115" s="88">
        <v>0</v>
      </c>
      <c r="O115" s="34" t="s">
        <v>7169</v>
      </c>
      <c r="P115" s="32" t="s">
        <v>7341</v>
      </c>
    </row>
    <row r="116" spans="1:16" x14ac:dyDescent="0.35">
      <c r="A116" s="32" t="str">
        <f t="shared" ref="A116:C116" si="113">A115</f>
        <v>2026 JAN-APR SHARP PRICE</v>
      </c>
      <c r="B116" s="33">
        <f t="shared" si="113"/>
        <v>46121</v>
      </c>
      <c r="C116" s="33">
        <f t="shared" si="113"/>
        <v>46127</v>
      </c>
      <c r="D116" s="32">
        <v>3284</v>
      </c>
      <c r="E116" s="32">
        <v>338</v>
      </c>
      <c r="F116" s="32">
        <v>4</v>
      </c>
      <c r="G116" s="23">
        <v>4</v>
      </c>
      <c r="H116" s="23">
        <v>81679</v>
      </c>
      <c r="I116" s="32" t="s">
        <v>2689</v>
      </c>
      <c r="J116" s="22">
        <v>69653623</v>
      </c>
      <c r="K116" s="22" t="s">
        <v>7411</v>
      </c>
      <c r="L116" s="22" t="s">
        <v>7417</v>
      </c>
      <c r="M116" s="40">
        <v>149900</v>
      </c>
      <c r="N116" s="88">
        <v>0</v>
      </c>
      <c r="O116" s="34" t="s">
        <v>7169</v>
      </c>
      <c r="P116" s="32" t="s">
        <v>7341</v>
      </c>
    </row>
    <row r="117" spans="1:16" x14ac:dyDescent="0.35">
      <c r="A117" s="32" t="str">
        <f t="shared" ref="A117:C117" si="114">A116</f>
        <v>2026 JAN-APR SHARP PRICE</v>
      </c>
      <c r="B117" s="33">
        <f t="shared" si="114"/>
        <v>46121</v>
      </c>
      <c r="C117" s="33">
        <f t="shared" si="114"/>
        <v>46127</v>
      </c>
      <c r="D117" s="32">
        <v>3284</v>
      </c>
      <c r="E117" s="32">
        <v>338</v>
      </c>
      <c r="F117" s="32">
        <v>4</v>
      </c>
      <c r="G117" s="23">
        <v>4</v>
      </c>
      <c r="H117" s="23">
        <v>81679</v>
      </c>
      <c r="I117" s="32" t="s">
        <v>2689</v>
      </c>
      <c r="J117" s="22">
        <v>69653632</v>
      </c>
      <c r="K117" s="22" t="s">
        <v>7411</v>
      </c>
      <c r="L117" s="22" t="s">
        <v>7418</v>
      </c>
      <c r="M117" s="40">
        <v>149900</v>
      </c>
      <c r="N117" s="88">
        <v>0</v>
      </c>
      <c r="O117" s="34" t="s">
        <v>7169</v>
      </c>
      <c r="P117" s="32" t="s">
        <v>7341</v>
      </c>
    </row>
    <row r="118" spans="1:16" x14ac:dyDescent="0.35">
      <c r="A118" s="32" t="str">
        <f t="shared" ref="A118:C118" si="115">A117</f>
        <v>2026 JAN-APR SHARP PRICE</v>
      </c>
      <c r="B118" s="33">
        <f t="shared" si="115"/>
        <v>46121</v>
      </c>
      <c r="C118" s="33">
        <f t="shared" si="115"/>
        <v>46127</v>
      </c>
      <c r="D118" s="32">
        <v>3284</v>
      </c>
      <c r="E118" s="32">
        <v>338</v>
      </c>
      <c r="F118" s="32">
        <v>4</v>
      </c>
      <c r="G118" s="23">
        <v>4</v>
      </c>
      <c r="H118" s="23">
        <v>81679</v>
      </c>
      <c r="I118" s="32" t="s">
        <v>2689</v>
      </c>
      <c r="J118" s="22">
        <v>69653641</v>
      </c>
      <c r="K118" s="22" t="s">
        <v>7411</v>
      </c>
      <c r="L118" s="22" t="s">
        <v>7419</v>
      </c>
      <c r="M118" s="40">
        <v>149900</v>
      </c>
      <c r="N118" s="88">
        <v>0</v>
      </c>
      <c r="O118" s="34" t="s">
        <v>7169</v>
      </c>
      <c r="P118" s="32" t="s">
        <v>7341</v>
      </c>
    </row>
    <row r="119" spans="1:16" x14ac:dyDescent="0.35">
      <c r="A119" s="32" t="str">
        <f t="shared" ref="A119:C119" si="116">A118</f>
        <v>2026 JAN-APR SHARP PRICE</v>
      </c>
      <c r="B119" s="33">
        <f t="shared" si="116"/>
        <v>46121</v>
      </c>
      <c r="C119" s="33">
        <f t="shared" si="116"/>
        <v>46127</v>
      </c>
      <c r="D119" s="32">
        <v>3284</v>
      </c>
      <c r="E119" s="32">
        <v>338</v>
      </c>
      <c r="F119" s="32">
        <v>4</v>
      </c>
      <c r="G119" s="23">
        <v>2</v>
      </c>
      <c r="H119" s="23">
        <v>81679</v>
      </c>
      <c r="I119" s="32" t="s">
        <v>2689</v>
      </c>
      <c r="J119" s="22">
        <v>69653650</v>
      </c>
      <c r="K119" s="22" t="s">
        <v>7420</v>
      </c>
      <c r="L119" s="22" t="s">
        <v>7421</v>
      </c>
      <c r="M119" s="40">
        <v>149900</v>
      </c>
      <c r="N119" s="88">
        <v>0</v>
      </c>
      <c r="O119" s="34" t="s">
        <v>7169</v>
      </c>
      <c r="P119" s="32" t="s">
        <v>7341</v>
      </c>
    </row>
    <row r="120" spans="1:16" x14ac:dyDescent="0.35">
      <c r="A120" s="32" t="str">
        <f t="shared" ref="A120:C120" si="117">A119</f>
        <v>2026 JAN-APR SHARP PRICE</v>
      </c>
      <c r="B120" s="33">
        <f t="shared" si="117"/>
        <v>46121</v>
      </c>
      <c r="C120" s="33">
        <f t="shared" si="117"/>
        <v>46127</v>
      </c>
      <c r="D120" s="32">
        <v>3284</v>
      </c>
      <c r="E120" s="32">
        <v>338</v>
      </c>
      <c r="F120" s="32">
        <v>4</v>
      </c>
      <c r="G120" s="23">
        <v>2</v>
      </c>
      <c r="H120" s="23">
        <v>81679</v>
      </c>
      <c r="I120" s="32" t="s">
        <v>2689</v>
      </c>
      <c r="J120" s="22">
        <v>69653669</v>
      </c>
      <c r="K120" s="22" t="s">
        <v>7420</v>
      </c>
      <c r="L120" s="22" t="s">
        <v>7422</v>
      </c>
      <c r="M120" s="40">
        <v>149900</v>
      </c>
      <c r="N120" s="88">
        <v>0</v>
      </c>
      <c r="O120" s="34" t="s">
        <v>7169</v>
      </c>
      <c r="P120" s="32" t="s">
        <v>7341</v>
      </c>
    </row>
    <row r="121" spans="1:16" x14ac:dyDescent="0.35">
      <c r="A121" s="32" t="str">
        <f t="shared" ref="A121:C121" si="118">A120</f>
        <v>2026 JAN-APR SHARP PRICE</v>
      </c>
      <c r="B121" s="33">
        <f t="shared" si="118"/>
        <v>46121</v>
      </c>
      <c r="C121" s="33">
        <f t="shared" si="118"/>
        <v>46127</v>
      </c>
      <c r="D121" s="32">
        <v>3284</v>
      </c>
      <c r="E121" s="32">
        <v>338</v>
      </c>
      <c r="F121" s="32">
        <v>4</v>
      </c>
      <c r="G121" s="23">
        <v>2</v>
      </c>
      <c r="H121" s="23">
        <v>81679</v>
      </c>
      <c r="I121" s="32" t="s">
        <v>2689</v>
      </c>
      <c r="J121" s="22">
        <v>69653678</v>
      </c>
      <c r="K121" s="22" t="s">
        <v>7420</v>
      </c>
      <c r="L121" s="22" t="s">
        <v>7423</v>
      </c>
      <c r="M121" s="40">
        <v>149900</v>
      </c>
      <c r="N121" s="88">
        <v>0</v>
      </c>
      <c r="O121" s="34" t="s">
        <v>7169</v>
      </c>
      <c r="P121" s="32" t="s">
        <v>7341</v>
      </c>
    </row>
    <row r="122" spans="1:16" x14ac:dyDescent="0.35">
      <c r="A122" s="32" t="str">
        <f t="shared" ref="A122:C122" si="119">A121</f>
        <v>2026 JAN-APR SHARP PRICE</v>
      </c>
      <c r="B122" s="33">
        <f t="shared" si="119"/>
        <v>46121</v>
      </c>
      <c r="C122" s="33">
        <f t="shared" si="119"/>
        <v>46127</v>
      </c>
      <c r="D122" s="32">
        <v>3284</v>
      </c>
      <c r="E122" s="32">
        <v>338</v>
      </c>
      <c r="F122" s="32">
        <v>4</v>
      </c>
      <c r="G122" s="23">
        <v>2</v>
      </c>
      <c r="H122" s="23">
        <v>81679</v>
      </c>
      <c r="I122" s="32" t="s">
        <v>2689</v>
      </c>
      <c r="J122" s="22">
        <v>69653687</v>
      </c>
      <c r="K122" s="22" t="s">
        <v>7420</v>
      </c>
      <c r="L122" s="22" t="s">
        <v>7424</v>
      </c>
      <c r="M122" s="40">
        <v>149900</v>
      </c>
      <c r="N122" s="88">
        <v>0</v>
      </c>
      <c r="O122" s="34" t="s">
        <v>7169</v>
      </c>
      <c r="P122" s="32" t="s">
        <v>7341</v>
      </c>
    </row>
    <row r="123" spans="1:16" x14ac:dyDescent="0.35">
      <c r="A123" s="32" t="str">
        <f t="shared" ref="A123:C123" si="120">A122</f>
        <v>2026 JAN-APR SHARP PRICE</v>
      </c>
      <c r="B123" s="33">
        <f t="shared" si="120"/>
        <v>46121</v>
      </c>
      <c r="C123" s="33">
        <f t="shared" si="120"/>
        <v>46127</v>
      </c>
      <c r="D123" s="32">
        <v>3284</v>
      </c>
      <c r="E123" s="32">
        <v>338</v>
      </c>
      <c r="F123" s="32">
        <v>4</v>
      </c>
      <c r="G123" s="23">
        <v>2</v>
      </c>
      <c r="H123" s="23">
        <v>81679</v>
      </c>
      <c r="I123" s="32" t="s">
        <v>2689</v>
      </c>
      <c r="J123" s="22">
        <v>69653696</v>
      </c>
      <c r="K123" s="22" t="s">
        <v>7420</v>
      </c>
      <c r="L123" s="22" t="s">
        <v>7425</v>
      </c>
      <c r="M123" s="40">
        <v>149900</v>
      </c>
      <c r="N123" s="88">
        <v>0</v>
      </c>
      <c r="O123" s="34" t="s">
        <v>7169</v>
      </c>
      <c r="P123" s="32" t="s">
        <v>7341</v>
      </c>
    </row>
    <row r="124" spans="1:16" x14ac:dyDescent="0.35">
      <c r="A124" s="32" t="str">
        <f t="shared" ref="A124:C124" si="121">A123</f>
        <v>2026 JAN-APR SHARP PRICE</v>
      </c>
      <c r="B124" s="33">
        <f t="shared" si="121"/>
        <v>46121</v>
      </c>
      <c r="C124" s="33">
        <f t="shared" si="121"/>
        <v>46127</v>
      </c>
      <c r="D124" s="32">
        <v>3284</v>
      </c>
      <c r="E124" s="32">
        <v>338</v>
      </c>
      <c r="F124" s="32">
        <v>4</v>
      </c>
      <c r="G124" s="23">
        <v>2</v>
      </c>
      <c r="H124" s="23">
        <v>81679</v>
      </c>
      <c r="I124" s="32" t="s">
        <v>2689</v>
      </c>
      <c r="J124" s="22">
        <v>69653703</v>
      </c>
      <c r="K124" s="22" t="s">
        <v>7420</v>
      </c>
      <c r="L124" s="22" t="s">
        <v>7426</v>
      </c>
      <c r="M124" s="40">
        <v>149900</v>
      </c>
      <c r="N124" s="88">
        <v>0</v>
      </c>
      <c r="O124" s="34" t="s">
        <v>7169</v>
      </c>
      <c r="P124" s="32" t="s">
        <v>7341</v>
      </c>
    </row>
    <row r="125" spans="1:16" x14ac:dyDescent="0.35">
      <c r="A125" s="32" t="str">
        <f t="shared" ref="A125:C125" si="122">A124</f>
        <v>2026 JAN-APR SHARP PRICE</v>
      </c>
      <c r="B125" s="33">
        <f t="shared" si="122"/>
        <v>46121</v>
      </c>
      <c r="C125" s="33">
        <f t="shared" si="122"/>
        <v>46127</v>
      </c>
      <c r="D125" s="32">
        <v>3284</v>
      </c>
      <c r="E125" s="32">
        <v>338</v>
      </c>
      <c r="F125" s="32">
        <v>4</v>
      </c>
      <c r="G125" s="23">
        <v>2</v>
      </c>
      <c r="H125" s="23">
        <v>81679</v>
      </c>
      <c r="I125" s="32" t="s">
        <v>2689</v>
      </c>
      <c r="J125" s="22">
        <v>69653712</v>
      </c>
      <c r="K125" s="22" t="s">
        <v>7420</v>
      </c>
      <c r="L125" s="22" t="s">
        <v>7427</v>
      </c>
      <c r="M125" s="40">
        <v>149900</v>
      </c>
      <c r="N125" s="88">
        <v>0</v>
      </c>
      <c r="O125" s="34" t="s">
        <v>7169</v>
      </c>
      <c r="P125" s="32" t="s">
        <v>7341</v>
      </c>
    </row>
    <row r="126" spans="1:16" x14ac:dyDescent="0.35">
      <c r="A126" s="32" t="str">
        <f t="shared" ref="A126:C126" si="123">A125</f>
        <v>2026 JAN-APR SHARP PRICE</v>
      </c>
      <c r="B126" s="33">
        <f t="shared" si="123"/>
        <v>46121</v>
      </c>
      <c r="C126" s="33">
        <f t="shared" si="123"/>
        <v>46127</v>
      </c>
      <c r="D126" s="32">
        <v>3284</v>
      </c>
      <c r="E126" s="32">
        <v>338</v>
      </c>
      <c r="F126" s="32">
        <v>4</v>
      </c>
      <c r="G126" s="23">
        <v>2</v>
      </c>
      <c r="H126" s="23">
        <v>81679</v>
      </c>
      <c r="I126" s="32" t="s">
        <v>2689</v>
      </c>
      <c r="J126" s="22">
        <v>69653721</v>
      </c>
      <c r="K126" s="22" t="s">
        <v>7420</v>
      </c>
      <c r="L126" s="22" t="s">
        <v>7428</v>
      </c>
      <c r="M126" s="40">
        <v>149900</v>
      </c>
      <c r="N126" s="88">
        <v>0</v>
      </c>
      <c r="O126" s="34" t="s">
        <v>7169</v>
      </c>
      <c r="P126" s="32" t="s">
        <v>7341</v>
      </c>
    </row>
    <row r="127" spans="1:16" x14ac:dyDescent="0.35">
      <c r="A127" s="32" t="str">
        <f t="shared" ref="A127:C127" si="124">A126</f>
        <v>2026 JAN-APR SHARP PRICE</v>
      </c>
      <c r="B127" s="33">
        <f t="shared" si="124"/>
        <v>46121</v>
      </c>
      <c r="C127" s="33">
        <f t="shared" si="124"/>
        <v>46127</v>
      </c>
      <c r="D127" s="32">
        <v>3284</v>
      </c>
      <c r="E127" s="32">
        <v>338</v>
      </c>
      <c r="F127" s="32">
        <v>4</v>
      </c>
      <c r="G127" s="23">
        <v>9</v>
      </c>
      <c r="H127" s="23">
        <v>81679</v>
      </c>
      <c r="I127" s="32" t="s">
        <v>2689</v>
      </c>
      <c r="J127" s="22">
        <v>69653730</v>
      </c>
      <c r="K127" s="22" t="s">
        <v>7429</v>
      </c>
      <c r="L127" s="22" t="s">
        <v>7430</v>
      </c>
      <c r="M127" s="40">
        <v>149900</v>
      </c>
      <c r="N127" s="88">
        <v>0</v>
      </c>
      <c r="O127" s="34" t="s">
        <v>7169</v>
      </c>
      <c r="P127" s="32" t="s">
        <v>7341</v>
      </c>
    </row>
    <row r="128" spans="1:16" x14ac:dyDescent="0.35">
      <c r="A128" s="32" t="str">
        <f t="shared" ref="A128:C128" si="125">A127</f>
        <v>2026 JAN-APR SHARP PRICE</v>
      </c>
      <c r="B128" s="33">
        <f t="shared" si="125"/>
        <v>46121</v>
      </c>
      <c r="C128" s="33">
        <f t="shared" si="125"/>
        <v>46127</v>
      </c>
      <c r="D128" s="32">
        <v>3284</v>
      </c>
      <c r="E128" s="32">
        <v>338</v>
      </c>
      <c r="F128" s="32">
        <v>4</v>
      </c>
      <c r="G128" s="23">
        <v>9</v>
      </c>
      <c r="H128" s="23">
        <v>81679</v>
      </c>
      <c r="I128" s="32" t="s">
        <v>2689</v>
      </c>
      <c r="J128" s="22">
        <v>69653749</v>
      </c>
      <c r="K128" s="22" t="s">
        <v>7429</v>
      </c>
      <c r="L128" s="22" t="s">
        <v>7431</v>
      </c>
      <c r="M128" s="40">
        <v>149900</v>
      </c>
      <c r="N128" s="88">
        <v>0</v>
      </c>
      <c r="O128" s="34" t="s">
        <v>7169</v>
      </c>
      <c r="P128" s="32" t="s">
        <v>7341</v>
      </c>
    </row>
    <row r="129" spans="1:16" x14ac:dyDescent="0.35">
      <c r="A129" s="32" t="str">
        <f t="shared" ref="A129:C129" si="126">A128</f>
        <v>2026 JAN-APR SHARP PRICE</v>
      </c>
      <c r="B129" s="33">
        <f t="shared" si="126"/>
        <v>46121</v>
      </c>
      <c r="C129" s="33">
        <f t="shared" si="126"/>
        <v>46127</v>
      </c>
      <c r="D129" s="32">
        <v>3284</v>
      </c>
      <c r="E129" s="32">
        <v>338</v>
      </c>
      <c r="F129" s="32">
        <v>4</v>
      </c>
      <c r="G129" s="23">
        <v>9</v>
      </c>
      <c r="H129" s="23">
        <v>81679</v>
      </c>
      <c r="I129" s="32" t="s">
        <v>2689</v>
      </c>
      <c r="J129" s="22">
        <v>69653758</v>
      </c>
      <c r="K129" s="22" t="s">
        <v>7429</v>
      </c>
      <c r="L129" s="22" t="s">
        <v>7432</v>
      </c>
      <c r="M129" s="40">
        <v>149900</v>
      </c>
      <c r="N129" s="88">
        <v>0</v>
      </c>
      <c r="O129" s="34" t="s">
        <v>7169</v>
      </c>
      <c r="P129" s="32" t="s">
        <v>7341</v>
      </c>
    </row>
    <row r="130" spans="1:16" x14ac:dyDescent="0.35">
      <c r="A130" s="32" t="str">
        <f t="shared" ref="A130:C130" si="127">A129</f>
        <v>2026 JAN-APR SHARP PRICE</v>
      </c>
      <c r="B130" s="33">
        <f t="shared" si="127"/>
        <v>46121</v>
      </c>
      <c r="C130" s="33">
        <f t="shared" si="127"/>
        <v>46127</v>
      </c>
      <c r="D130" s="32">
        <v>3284</v>
      </c>
      <c r="E130" s="32">
        <v>338</v>
      </c>
      <c r="F130" s="32">
        <v>4</v>
      </c>
      <c r="G130" s="23">
        <v>9</v>
      </c>
      <c r="H130" s="23">
        <v>81679</v>
      </c>
      <c r="I130" s="32" t="s">
        <v>2689</v>
      </c>
      <c r="J130" s="22">
        <v>69653767</v>
      </c>
      <c r="K130" s="22" t="s">
        <v>7429</v>
      </c>
      <c r="L130" s="22" t="s">
        <v>7433</v>
      </c>
      <c r="M130" s="40">
        <v>149900</v>
      </c>
      <c r="N130" s="88">
        <v>0</v>
      </c>
      <c r="O130" s="34" t="s">
        <v>7169</v>
      </c>
      <c r="P130" s="32" t="s">
        <v>7341</v>
      </c>
    </row>
    <row r="131" spans="1:16" x14ac:dyDescent="0.35">
      <c r="A131" s="32" t="str">
        <f t="shared" ref="A131:C131" si="128">A130</f>
        <v>2026 JAN-APR SHARP PRICE</v>
      </c>
      <c r="B131" s="33">
        <f t="shared" si="128"/>
        <v>46121</v>
      </c>
      <c r="C131" s="33">
        <f t="shared" si="128"/>
        <v>46127</v>
      </c>
      <c r="D131" s="32">
        <v>3284</v>
      </c>
      <c r="E131" s="32">
        <v>338</v>
      </c>
      <c r="F131" s="32">
        <v>4</v>
      </c>
      <c r="G131" s="23">
        <v>9</v>
      </c>
      <c r="H131" s="23">
        <v>81679</v>
      </c>
      <c r="I131" s="32" t="s">
        <v>2689</v>
      </c>
      <c r="J131" s="22">
        <v>69653776</v>
      </c>
      <c r="K131" s="22" t="s">
        <v>7429</v>
      </c>
      <c r="L131" s="22" t="s">
        <v>7434</v>
      </c>
      <c r="M131" s="40">
        <v>149900</v>
      </c>
      <c r="N131" s="88">
        <v>0</v>
      </c>
      <c r="O131" s="34" t="s">
        <v>7169</v>
      </c>
      <c r="P131" s="32" t="s">
        <v>7341</v>
      </c>
    </row>
    <row r="132" spans="1:16" x14ac:dyDescent="0.35">
      <c r="A132" s="32" t="str">
        <f t="shared" ref="A132:C132" si="129">A131</f>
        <v>2026 JAN-APR SHARP PRICE</v>
      </c>
      <c r="B132" s="33">
        <f t="shared" si="129"/>
        <v>46121</v>
      </c>
      <c r="C132" s="33">
        <f t="shared" si="129"/>
        <v>46127</v>
      </c>
      <c r="D132" s="32">
        <v>3284</v>
      </c>
      <c r="E132" s="32">
        <v>338</v>
      </c>
      <c r="F132" s="32">
        <v>4</v>
      </c>
      <c r="G132" s="23">
        <v>9</v>
      </c>
      <c r="H132" s="23">
        <v>81679</v>
      </c>
      <c r="I132" s="32" t="s">
        <v>2689</v>
      </c>
      <c r="J132" s="22">
        <v>69653785</v>
      </c>
      <c r="K132" s="22" t="s">
        <v>7429</v>
      </c>
      <c r="L132" s="22" t="s">
        <v>7435</v>
      </c>
      <c r="M132" s="40">
        <v>149900</v>
      </c>
      <c r="N132" s="88">
        <v>0</v>
      </c>
      <c r="O132" s="34" t="s">
        <v>7169</v>
      </c>
      <c r="P132" s="32" t="s">
        <v>7341</v>
      </c>
    </row>
    <row r="133" spans="1:16" x14ac:dyDescent="0.35">
      <c r="A133" s="32" t="str">
        <f t="shared" ref="A133:C133" si="130">A132</f>
        <v>2026 JAN-APR SHARP PRICE</v>
      </c>
      <c r="B133" s="33">
        <f t="shared" si="130"/>
        <v>46121</v>
      </c>
      <c r="C133" s="33">
        <f t="shared" si="130"/>
        <v>46127</v>
      </c>
      <c r="D133" s="32">
        <v>3284</v>
      </c>
      <c r="E133" s="32">
        <v>338</v>
      </c>
      <c r="F133" s="32">
        <v>4</v>
      </c>
      <c r="G133" s="23">
        <v>9</v>
      </c>
      <c r="H133" s="23">
        <v>81679</v>
      </c>
      <c r="I133" s="32" t="s">
        <v>2689</v>
      </c>
      <c r="J133" s="22">
        <v>69653794</v>
      </c>
      <c r="K133" s="22" t="s">
        <v>7429</v>
      </c>
      <c r="L133" s="22" t="s">
        <v>7436</v>
      </c>
      <c r="M133" s="40">
        <v>149900</v>
      </c>
      <c r="N133" s="88">
        <v>0</v>
      </c>
      <c r="O133" s="34" t="s">
        <v>7169</v>
      </c>
      <c r="P133" s="32" t="s">
        <v>7341</v>
      </c>
    </row>
    <row r="134" spans="1:16" x14ac:dyDescent="0.35">
      <c r="A134" s="32" t="str">
        <f t="shared" ref="A134:C134" si="131">A133</f>
        <v>2026 JAN-APR SHARP PRICE</v>
      </c>
      <c r="B134" s="33">
        <f t="shared" si="131"/>
        <v>46121</v>
      </c>
      <c r="C134" s="33">
        <f t="shared" si="131"/>
        <v>46127</v>
      </c>
      <c r="D134" s="32">
        <v>3284</v>
      </c>
      <c r="E134" s="32">
        <v>338</v>
      </c>
      <c r="F134" s="32">
        <v>4</v>
      </c>
      <c r="G134" s="23">
        <v>9</v>
      </c>
      <c r="H134" s="23">
        <v>81679</v>
      </c>
      <c r="I134" s="32" t="s">
        <v>2689</v>
      </c>
      <c r="J134" s="22">
        <v>69653801</v>
      </c>
      <c r="K134" s="22" t="s">
        <v>7429</v>
      </c>
      <c r="L134" s="22" t="s">
        <v>7437</v>
      </c>
      <c r="M134" s="40">
        <v>149900</v>
      </c>
      <c r="N134" s="88">
        <v>0</v>
      </c>
      <c r="O134" s="34" t="s">
        <v>7169</v>
      </c>
      <c r="P134" s="32" t="s">
        <v>7341</v>
      </c>
    </row>
    <row r="135" spans="1:16" x14ac:dyDescent="0.35">
      <c r="A135" s="32" t="str">
        <f t="shared" ref="A135:C135" si="132">A134</f>
        <v>2026 JAN-APR SHARP PRICE</v>
      </c>
      <c r="B135" s="33">
        <f t="shared" si="132"/>
        <v>46121</v>
      </c>
      <c r="C135" s="33">
        <f t="shared" si="132"/>
        <v>46127</v>
      </c>
      <c r="D135" s="32">
        <v>3284</v>
      </c>
      <c r="E135" s="32">
        <v>338</v>
      </c>
      <c r="F135" s="32">
        <v>4</v>
      </c>
      <c r="G135" s="23">
        <v>9</v>
      </c>
      <c r="H135" s="23">
        <v>81679</v>
      </c>
      <c r="I135" s="32" t="s">
        <v>2689</v>
      </c>
      <c r="J135" s="22">
        <v>69653892</v>
      </c>
      <c r="K135" s="22" t="s">
        <v>7438</v>
      </c>
      <c r="L135" s="22" t="s">
        <v>7439</v>
      </c>
      <c r="M135" s="40">
        <v>149900</v>
      </c>
      <c r="N135" s="88">
        <v>0</v>
      </c>
      <c r="O135" s="34" t="s">
        <v>7169</v>
      </c>
      <c r="P135" s="32" t="s">
        <v>7341</v>
      </c>
    </row>
    <row r="136" spans="1:16" x14ac:dyDescent="0.35">
      <c r="A136" s="32" t="str">
        <f t="shared" ref="A136:C136" si="133">A135</f>
        <v>2026 JAN-APR SHARP PRICE</v>
      </c>
      <c r="B136" s="33">
        <f t="shared" si="133"/>
        <v>46121</v>
      </c>
      <c r="C136" s="33">
        <f t="shared" si="133"/>
        <v>46127</v>
      </c>
      <c r="D136" s="32">
        <v>3284</v>
      </c>
      <c r="E136" s="32">
        <v>338</v>
      </c>
      <c r="F136" s="32">
        <v>4</v>
      </c>
      <c r="G136" s="23">
        <v>9</v>
      </c>
      <c r="H136" s="23">
        <v>81679</v>
      </c>
      <c r="I136" s="32" t="s">
        <v>2689</v>
      </c>
      <c r="J136" s="22">
        <v>69653909</v>
      </c>
      <c r="K136" s="22" t="s">
        <v>7438</v>
      </c>
      <c r="L136" s="22" t="s">
        <v>7440</v>
      </c>
      <c r="M136" s="40">
        <v>149900</v>
      </c>
      <c r="N136" s="88">
        <v>0</v>
      </c>
      <c r="O136" s="34" t="s">
        <v>7169</v>
      </c>
      <c r="P136" s="32" t="s">
        <v>7341</v>
      </c>
    </row>
    <row r="137" spans="1:16" x14ac:dyDescent="0.35">
      <c r="A137" s="32" t="str">
        <f t="shared" ref="A137:C137" si="134">A136</f>
        <v>2026 JAN-APR SHARP PRICE</v>
      </c>
      <c r="B137" s="33">
        <f t="shared" si="134"/>
        <v>46121</v>
      </c>
      <c r="C137" s="33">
        <f t="shared" si="134"/>
        <v>46127</v>
      </c>
      <c r="D137" s="32">
        <v>3284</v>
      </c>
      <c r="E137" s="32">
        <v>338</v>
      </c>
      <c r="F137" s="32">
        <v>4</v>
      </c>
      <c r="G137" s="23">
        <v>9</v>
      </c>
      <c r="H137" s="23">
        <v>81679</v>
      </c>
      <c r="I137" s="32" t="s">
        <v>2689</v>
      </c>
      <c r="J137" s="22">
        <v>69653918</v>
      </c>
      <c r="K137" s="22" t="s">
        <v>7438</v>
      </c>
      <c r="L137" s="22" t="s">
        <v>7441</v>
      </c>
      <c r="M137" s="40">
        <v>149900</v>
      </c>
      <c r="N137" s="88">
        <v>0</v>
      </c>
      <c r="O137" s="34" t="s">
        <v>7169</v>
      </c>
      <c r="P137" s="32" t="s">
        <v>7341</v>
      </c>
    </row>
    <row r="138" spans="1:16" x14ac:dyDescent="0.35">
      <c r="A138" s="32" t="str">
        <f t="shared" ref="A138:C138" si="135">A137</f>
        <v>2026 JAN-APR SHARP PRICE</v>
      </c>
      <c r="B138" s="33">
        <f t="shared" si="135"/>
        <v>46121</v>
      </c>
      <c r="C138" s="33">
        <f t="shared" si="135"/>
        <v>46127</v>
      </c>
      <c r="D138" s="32">
        <v>3284</v>
      </c>
      <c r="E138" s="32">
        <v>338</v>
      </c>
      <c r="F138" s="32">
        <v>4</v>
      </c>
      <c r="G138" s="23">
        <v>9</v>
      </c>
      <c r="H138" s="23">
        <v>81679</v>
      </c>
      <c r="I138" s="32" t="s">
        <v>2689</v>
      </c>
      <c r="J138" s="22">
        <v>69653927</v>
      </c>
      <c r="K138" s="22" t="s">
        <v>7438</v>
      </c>
      <c r="L138" s="22" t="s">
        <v>7442</v>
      </c>
      <c r="M138" s="40">
        <v>149900</v>
      </c>
      <c r="N138" s="88">
        <v>0</v>
      </c>
      <c r="O138" s="34" t="s">
        <v>7169</v>
      </c>
      <c r="P138" s="32" t="s">
        <v>7341</v>
      </c>
    </row>
    <row r="139" spans="1:16" x14ac:dyDescent="0.35">
      <c r="A139" s="32" t="str">
        <f t="shared" ref="A139:C139" si="136">A138</f>
        <v>2026 JAN-APR SHARP PRICE</v>
      </c>
      <c r="B139" s="33">
        <f t="shared" si="136"/>
        <v>46121</v>
      </c>
      <c r="C139" s="33">
        <f t="shared" si="136"/>
        <v>46127</v>
      </c>
      <c r="D139" s="32">
        <v>3284</v>
      </c>
      <c r="E139" s="32">
        <v>338</v>
      </c>
      <c r="F139" s="32">
        <v>4</v>
      </c>
      <c r="G139" s="23">
        <v>9</v>
      </c>
      <c r="H139" s="23">
        <v>81679</v>
      </c>
      <c r="I139" s="32" t="s">
        <v>2689</v>
      </c>
      <c r="J139" s="22">
        <v>69653936</v>
      </c>
      <c r="K139" s="22" t="s">
        <v>7438</v>
      </c>
      <c r="L139" s="22" t="s">
        <v>7443</v>
      </c>
      <c r="M139" s="40">
        <v>149900</v>
      </c>
      <c r="N139" s="88">
        <v>0</v>
      </c>
      <c r="O139" s="34" t="s">
        <v>7169</v>
      </c>
      <c r="P139" s="32" t="s">
        <v>7341</v>
      </c>
    </row>
    <row r="140" spans="1:16" x14ac:dyDescent="0.35">
      <c r="A140" s="32" t="str">
        <f t="shared" ref="A140:C140" si="137">A139</f>
        <v>2026 JAN-APR SHARP PRICE</v>
      </c>
      <c r="B140" s="33">
        <f t="shared" si="137"/>
        <v>46121</v>
      </c>
      <c r="C140" s="33">
        <f t="shared" si="137"/>
        <v>46127</v>
      </c>
      <c r="D140" s="32">
        <v>3284</v>
      </c>
      <c r="E140" s="32">
        <v>338</v>
      </c>
      <c r="F140" s="32">
        <v>4</v>
      </c>
      <c r="G140" s="23">
        <v>9</v>
      </c>
      <c r="H140" s="23">
        <v>81679</v>
      </c>
      <c r="I140" s="32" t="s">
        <v>2689</v>
      </c>
      <c r="J140" s="22">
        <v>69653945</v>
      </c>
      <c r="K140" s="22" t="s">
        <v>7438</v>
      </c>
      <c r="L140" s="22" t="s">
        <v>7444</v>
      </c>
      <c r="M140" s="40">
        <v>149900</v>
      </c>
      <c r="N140" s="88">
        <v>0</v>
      </c>
      <c r="O140" s="34" t="s">
        <v>7169</v>
      </c>
      <c r="P140" s="32" t="s">
        <v>7341</v>
      </c>
    </row>
    <row r="141" spans="1:16" x14ac:dyDescent="0.35">
      <c r="A141" s="32" t="str">
        <f t="shared" ref="A141:C141" si="138">A140</f>
        <v>2026 JAN-APR SHARP PRICE</v>
      </c>
      <c r="B141" s="33">
        <f t="shared" si="138"/>
        <v>46121</v>
      </c>
      <c r="C141" s="33">
        <f t="shared" si="138"/>
        <v>46127</v>
      </c>
      <c r="D141" s="32">
        <v>3284</v>
      </c>
      <c r="E141" s="32">
        <v>338</v>
      </c>
      <c r="F141" s="32">
        <v>4</v>
      </c>
      <c r="G141" s="23">
        <v>9</v>
      </c>
      <c r="H141" s="23">
        <v>81679</v>
      </c>
      <c r="I141" s="32" t="s">
        <v>2689</v>
      </c>
      <c r="J141" s="22">
        <v>69653954</v>
      </c>
      <c r="K141" s="22" t="s">
        <v>7438</v>
      </c>
      <c r="L141" s="22" t="s">
        <v>7445</v>
      </c>
      <c r="M141" s="40">
        <v>149900</v>
      </c>
      <c r="N141" s="88">
        <v>0</v>
      </c>
      <c r="O141" s="34" t="s">
        <v>7169</v>
      </c>
      <c r="P141" s="32" t="s">
        <v>7341</v>
      </c>
    </row>
    <row r="142" spans="1:16" x14ac:dyDescent="0.35">
      <c r="A142" s="32" t="str">
        <f t="shared" ref="A142:C142" si="139">A141</f>
        <v>2026 JAN-APR SHARP PRICE</v>
      </c>
      <c r="B142" s="33">
        <f t="shared" si="139"/>
        <v>46121</v>
      </c>
      <c r="C142" s="33">
        <f t="shared" si="139"/>
        <v>46127</v>
      </c>
      <c r="D142" s="32">
        <v>3284</v>
      </c>
      <c r="E142" s="32">
        <v>338</v>
      </c>
      <c r="F142" s="32">
        <v>4</v>
      </c>
      <c r="G142" s="23">
        <v>9</v>
      </c>
      <c r="H142" s="23">
        <v>81679</v>
      </c>
      <c r="I142" s="32" t="s">
        <v>2689</v>
      </c>
      <c r="J142" s="22">
        <v>69653963</v>
      </c>
      <c r="K142" s="22" t="s">
        <v>7438</v>
      </c>
      <c r="L142" s="22" t="s">
        <v>7446</v>
      </c>
      <c r="M142" s="40">
        <v>149900</v>
      </c>
      <c r="N142" s="88">
        <v>0</v>
      </c>
      <c r="O142" s="34" t="s">
        <v>7169</v>
      </c>
      <c r="P142" s="32" t="s">
        <v>7341</v>
      </c>
    </row>
    <row r="143" spans="1:16" x14ac:dyDescent="0.35">
      <c r="A143" s="32" t="str">
        <f t="shared" ref="A143:C143" si="140">A142</f>
        <v>2026 JAN-APR SHARP PRICE</v>
      </c>
      <c r="B143" s="33">
        <f t="shared" si="140"/>
        <v>46121</v>
      </c>
      <c r="C143" s="33">
        <f t="shared" si="140"/>
        <v>46127</v>
      </c>
      <c r="D143" s="32">
        <v>3284</v>
      </c>
      <c r="E143" s="32">
        <v>338</v>
      </c>
      <c r="F143" s="32">
        <v>4</v>
      </c>
      <c r="G143" s="23">
        <v>9</v>
      </c>
      <c r="H143" s="23">
        <v>81679</v>
      </c>
      <c r="I143" s="32" t="s">
        <v>2689</v>
      </c>
      <c r="J143" s="22">
        <v>69653972</v>
      </c>
      <c r="K143" s="22" t="s">
        <v>7447</v>
      </c>
      <c r="L143" s="22" t="s">
        <v>7448</v>
      </c>
      <c r="M143" s="40">
        <v>129900</v>
      </c>
      <c r="N143" s="88">
        <v>0</v>
      </c>
      <c r="O143" s="34" t="s">
        <v>7169</v>
      </c>
      <c r="P143" s="32" t="s">
        <v>7341</v>
      </c>
    </row>
    <row r="144" spans="1:16" x14ac:dyDescent="0.35">
      <c r="A144" s="32" t="str">
        <f t="shared" ref="A144:C144" si="141">A143</f>
        <v>2026 JAN-APR SHARP PRICE</v>
      </c>
      <c r="B144" s="33">
        <f t="shared" si="141"/>
        <v>46121</v>
      </c>
      <c r="C144" s="33">
        <f t="shared" si="141"/>
        <v>46127</v>
      </c>
      <c r="D144" s="32">
        <v>3284</v>
      </c>
      <c r="E144" s="32">
        <v>338</v>
      </c>
      <c r="F144" s="32">
        <v>4</v>
      </c>
      <c r="G144" s="23">
        <v>9</v>
      </c>
      <c r="H144" s="23">
        <v>81679</v>
      </c>
      <c r="I144" s="32" t="s">
        <v>2689</v>
      </c>
      <c r="J144" s="22">
        <v>69653981</v>
      </c>
      <c r="K144" s="22" t="s">
        <v>7447</v>
      </c>
      <c r="L144" s="22" t="s">
        <v>7449</v>
      </c>
      <c r="M144" s="40">
        <v>129900</v>
      </c>
      <c r="N144" s="88">
        <v>0</v>
      </c>
      <c r="O144" s="34" t="s">
        <v>7169</v>
      </c>
      <c r="P144" s="32" t="s">
        <v>7341</v>
      </c>
    </row>
    <row r="145" spans="1:16" x14ac:dyDescent="0.35">
      <c r="A145" s="32" t="str">
        <f t="shared" ref="A145:C145" si="142">A144</f>
        <v>2026 JAN-APR SHARP PRICE</v>
      </c>
      <c r="B145" s="33">
        <f t="shared" si="142"/>
        <v>46121</v>
      </c>
      <c r="C145" s="33">
        <f t="shared" si="142"/>
        <v>46127</v>
      </c>
      <c r="D145" s="32">
        <v>3284</v>
      </c>
      <c r="E145" s="32">
        <v>338</v>
      </c>
      <c r="F145" s="32">
        <v>4</v>
      </c>
      <c r="G145" s="23">
        <v>9</v>
      </c>
      <c r="H145" s="23">
        <v>81679</v>
      </c>
      <c r="I145" s="32" t="s">
        <v>2689</v>
      </c>
      <c r="J145" s="22">
        <v>69653990</v>
      </c>
      <c r="K145" s="22" t="s">
        <v>7447</v>
      </c>
      <c r="L145" s="22" t="s">
        <v>7450</v>
      </c>
      <c r="M145" s="40">
        <v>129900</v>
      </c>
      <c r="N145" s="88">
        <v>0</v>
      </c>
      <c r="O145" s="34" t="s">
        <v>7169</v>
      </c>
      <c r="P145" s="32" t="s">
        <v>7341</v>
      </c>
    </row>
    <row r="146" spans="1:16" x14ac:dyDescent="0.35">
      <c r="A146" s="32" t="str">
        <f t="shared" ref="A146:C146" si="143">A145</f>
        <v>2026 JAN-APR SHARP PRICE</v>
      </c>
      <c r="B146" s="33">
        <f t="shared" si="143"/>
        <v>46121</v>
      </c>
      <c r="C146" s="33">
        <f t="shared" si="143"/>
        <v>46127</v>
      </c>
      <c r="D146" s="32">
        <v>3284</v>
      </c>
      <c r="E146" s="32">
        <v>338</v>
      </c>
      <c r="F146" s="32">
        <v>4</v>
      </c>
      <c r="G146" s="23">
        <v>9</v>
      </c>
      <c r="H146" s="23">
        <v>81679</v>
      </c>
      <c r="I146" s="32" t="s">
        <v>2689</v>
      </c>
      <c r="J146" s="22">
        <v>69654006</v>
      </c>
      <c r="K146" s="22" t="s">
        <v>7447</v>
      </c>
      <c r="L146" s="22" t="s">
        <v>7451</v>
      </c>
      <c r="M146" s="40">
        <v>129900</v>
      </c>
      <c r="N146" s="88">
        <v>0</v>
      </c>
      <c r="O146" s="34" t="s">
        <v>7169</v>
      </c>
      <c r="P146" s="32" t="s">
        <v>7341</v>
      </c>
    </row>
    <row r="147" spans="1:16" x14ac:dyDescent="0.35">
      <c r="A147" s="32" t="str">
        <f t="shared" ref="A147:C147" si="144">A146</f>
        <v>2026 JAN-APR SHARP PRICE</v>
      </c>
      <c r="B147" s="33">
        <f t="shared" si="144"/>
        <v>46121</v>
      </c>
      <c r="C147" s="33">
        <f t="shared" si="144"/>
        <v>46127</v>
      </c>
      <c r="D147" s="32">
        <v>3284</v>
      </c>
      <c r="E147" s="32">
        <v>338</v>
      </c>
      <c r="F147" s="32">
        <v>4</v>
      </c>
      <c r="G147" s="23">
        <v>9</v>
      </c>
      <c r="H147" s="23">
        <v>81679</v>
      </c>
      <c r="I147" s="32" t="s">
        <v>2689</v>
      </c>
      <c r="J147" s="22">
        <v>69654015</v>
      </c>
      <c r="K147" s="22" t="s">
        <v>7447</v>
      </c>
      <c r="L147" s="22" t="s">
        <v>7452</v>
      </c>
      <c r="M147" s="40">
        <v>129900</v>
      </c>
      <c r="N147" s="88">
        <v>0</v>
      </c>
      <c r="O147" s="34" t="s">
        <v>7169</v>
      </c>
      <c r="P147" s="32" t="s">
        <v>7341</v>
      </c>
    </row>
    <row r="148" spans="1:16" x14ac:dyDescent="0.35">
      <c r="A148" s="32" t="str">
        <f t="shared" ref="A148:C148" si="145">A147</f>
        <v>2026 JAN-APR SHARP PRICE</v>
      </c>
      <c r="B148" s="33">
        <f t="shared" si="145"/>
        <v>46121</v>
      </c>
      <c r="C148" s="33">
        <f t="shared" si="145"/>
        <v>46127</v>
      </c>
      <c r="D148" s="32">
        <v>3284</v>
      </c>
      <c r="E148" s="32">
        <v>338</v>
      </c>
      <c r="F148" s="32">
        <v>4</v>
      </c>
      <c r="G148" s="23">
        <v>9</v>
      </c>
      <c r="H148" s="23">
        <v>81679</v>
      </c>
      <c r="I148" s="32" t="s">
        <v>2689</v>
      </c>
      <c r="J148" s="22">
        <v>69654024</v>
      </c>
      <c r="K148" s="22" t="s">
        <v>7447</v>
      </c>
      <c r="L148" s="22" t="s">
        <v>7453</v>
      </c>
      <c r="M148" s="40">
        <v>129900</v>
      </c>
      <c r="N148" s="88">
        <v>0</v>
      </c>
      <c r="O148" s="34" t="s">
        <v>7169</v>
      </c>
      <c r="P148" s="32" t="s">
        <v>7341</v>
      </c>
    </row>
    <row r="149" spans="1:16" x14ac:dyDescent="0.35">
      <c r="A149" s="32" t="str">
        <f t="shared" ref="A149:C149" si="146">A148</f>
        <v>2026 JAN-APR SHARP PRICE</v>
      </c>
      <c r="B149" s="33">
        <f t="shared" si="146"/>
        <v>46121</v>
      </c>
      <c r="C149" s="33">
        <f t="shared" si="146"/>
        <v>46127</v>
      </c>
      <c r="D149" s="32">
        <v>3284</v>
      </c>
      <c r="E149" s="32">
        <v>338</v>
      </c>
      <c r="F149" s="32">
        <v>4</v>
      </c>
      <c r="G149" s="23">
        <v>9</v>
      </c>
      <c r="H149" s="23">
        <v>81679</v>
      </c>
      <c r="I149" s="32" t="s">
        <v>2689</v>
      </c>
      <c r="J149" s="22">
        <v>69654033</v>
      </c>
      <c r="K149" s="22" t="s">
        <v>7447</v>
      </c>
      <c r="L149" s="22" t="s">
        <v>7454</v>
      </c>
      <c r="M149" s="40">
        <v>129900</v>
      </c>
      <c r="N149" s="88">
        <v>0</v>
      </c>
      <c r="O149" s="34" t="s">
        <v>7169</v>
      </c>
      <c r="P149" s="32" t="s">
        <v>7341</v>
      </c>
    </row>
    <row r="150" spans="1:16" x14ac:dyDescent="0.35">
      <c r="A150" s="32" t="str">
        <f t="shared" ref="A150:C150" si="147">A149</f>
        <v>2026 JAN-APR SHARP PRICE</v>
      </c>
      <c r="B150" s="33">
        <f t="shared" si="147"/>
        <v>46121</v>
      </c>
      <c r="C150" s="33">
        <f t="shared" si="147"/>
        <v>46127</v>
      </c>
      <c r="D150" s="32">
        <v>3284</v>
      </c>
      <c r="E150" s="32">
        <v>338</v>
      </c>
      <c r="F150" s="32">
        <v>4</v>
      </c>
      <c r="G150" s="23">
        <v>9</v>
      </c>
      <c r="H150" s="23">
        <v>81679</v>
      </c>
      <c r="I150" s="32" t="s">
        <v>2689</v>
      </c>
      <c r="J150" s="22">
        <v>69654042</v>
      </c>
      <c r="K150" s="22" t="s">
        <v>7447</v>
      </c>
      <c r="L150" s="22" t="s">
        <v>7455</v>
      </c>
      <c r="M150" s="40">
        <v>129900</v>
      </c>
      <c r="N150" s="88">
        <v>0</v>
      </c>
      <c r="O150" s="34" t="s">
        <v>7169</v>
      </c>
      <c r="P150" s="32" t="s">
        <v>7341</v>
      </c>
    </row>
    <row r="151" spans="1:16" x14ac:dyDescent="0.35">
      <c r="A151" s="32" t="str">
        <f t="shared" ref="A151:C151" si="148">A150</f>
        <v>2026 JAN-APR SHARP PRICE</v>
      </c>
      <c r="B151" s="33">
        <f t="shared" si="148"/>
        <v>46121</v>
      </c>
      <c r="C151" s="33">
        <f t="shared" si="148"/>
        <v>46127</v>
      </c>
      <c r="D151" s="32">
        <v>3284</v>
      </c>
      <c r="E151" s="32">
        <v>338</v>
      </c>
      <c r="F151" s="32">
        <v>4</v>
      </c>
      <c r="G151" s="23">
        <v>2</v>
      </c>
      <c r="H151" s="23">
        <v>81679</v>
      </c>
      <c r="I151" s="32" t="s">
        <v>2689</v>
      </c>
      <c r="J151" s="22">
        <v>69654426</v>
      </c>
      <c r="K151" s="22" t="s">
        <v>7456</v>
      </c>
      <c r="L151" s="22" t="s">
        <v>7457</v>
      </c>
      <c r="M151" s="40">
        <v>129900</v>
      </c>
      <c r="N151" s="88">
        <v>0</v>
      </c>
      <c r="O151" s="34" t="s">
        <v>7169</v>
      </c>
      <c r="P151" s="32" t="s">
        <v>7341</v>
      </c>
    </row>
    <row r="152" spans="1:16" x14ac:dyDescent="0.35">
      <c r="A152" s="32" t="str">
        <f t="shared" ref="A152:C152" si="149">A151</f>
        <v>2026 JAN-APR SHARP PRICE</v>
      </c>
      <c r="B152" s="33">
        <f t="shared" si="149"/>
        <v>46121</v>
      </c>
      <c r="C152" s="33">
        <f t="shared" si="149"/>
        <v>46127</v>
      </c>
      <c r="D152" s="32">
        <v>3284</v>
      </c>
      <c r="E152" s="32">
        <v>338</v>
      </c>
      <c r="F152" s="32">
        <v>4</v>
      </c>
      <c r="G152" s="23">
        <v>2</v>
      </c>
      <c r="H152" s="23">
        <v>81679</v>
      </c>
      <c r="I152" s="32" t="s">
        <v>2689</v>
      </c>
      <c r="J152" s="22">
        <v>69654435</v>
      </c>
      <c r="K152" s="22" t="s">
        <v>7456</v>
      </c>
      <c r="L152" s="22" t="s">
        <v>7458</v>
      </c>
      <c r="M152" s="40">
        <v>129900</v>
      </c>
      <c r="N152" s="88">
        <v>0</v>
      </c>
      <c r="O152" s="34" t="s">
        <v>7169</v>
      </c>
      <c r="P152" s="32" t="s">
        <v>7341</v>
      </c>
    </row>
    <row r="153" spans="1:16" x14ac:dyDescent="0.35">
      <c r="A153" s="32" t="str">
        <f t="shared" ref="A153:C153" si="150">A152</f>
        <v>2026 JAN-APR SHARP PRICE</v>
      </c>
      <c r="B153" s="33">
        <f t="shared" si="150"/>
        <v>46121</v>
      </c>
      <c r="C153" s="33">
        <f t="shared" si="150"/>
        <v>46127</v>
      </c>
      <c r="D153" s="32">
        <v>3284</v>
      </c>
      <c r="E153" s="32">
        <v>338</v>
      </c>
      <c r="F153" s="32">
        <v>4</v>
      </c>
      <c r="G153" s="23">
        <v>2</v>
      </c>
      <c r="H153" s="23">
        <v>81679</v>
      </c>
      <c r="I153" s="32" t="s">
        <v>2689</v>
      </c>
      <c r="J153" s="22">
        <v>69654444</v>
      </c>
      <c r="K153" s="22" t="s">
        <v>7456</v>
      </c>
      <c r="L153" s="22" t="s">
        <v>7459</v>
      </c>
      <c r="M153" s="40">
        <v>129900</v>
      </c>
      <c r="N153" s="88">
        <v>0</v>
      </c>
      <c r="O153" s="34" t="s">
        <v>7169</v>
      </c>
      <c r="P153" s="32" t="s">
        <v>7341</v>
      </c>
    </row>
    <row r="154" spans="1:16" x14ac:dyDescent="0.35">
      <c r="A154" s="32" t="str">
        <f t="shared" ref="A154:C154" si="151">A153</f>
        <v>2026 JAN-APR SHARP PRICE</v>
      </c>
      <c r="B154" s="33">
        <f t="shared" si="151"/>
        <v>46121</v>
      </c>
      <c r="C154" s="33">
        <f t="shared" si="151"/>
        <v>46127</v>
      </c>
      <c r="D154" s="32">
        <v>3284</v>
      </c>
      <c r="E154" s="32">
        <v>338</v>
      </c>
      <c r="F154" s="32">
        <v>4</v>
      </c>
      <c r="G154" s="23">
        <v>2</v>
      </c>
      <c r="H154" s="23">
        <v>81679</v>
      </c>
      <c r="I154" s="32" t="s">
        <v>2689</v>
      </c>
      <c r="J154" s="22">
        <v>69654453</v>
      </c>
      <c r="K154" s="22" t="s">
        <v>7456</v>
      </c>
      <c r="L154" s="22" t="s">
        <v>7460</v>
      </c>
      <c r="M154" s="40">
        <v>129900</v>
      </c>
      <c r="N154" s="88">
        <v>0</v>
      </c>
      <c r="O154" s="34" t="s">
        <v>7169</v>
      </c>
      <c r="P154" s="32" t="s">
        <v>7341</v>
      </c>
    </row>
    <row r="155" spans="1:16" x14ac:dyDescent="0.35">
      <c r="A155" s="32" t="str">
        <f t="shared" ref="A155:C155" si="152">A154</f>
        <v>2026 JAN-APR SHARP PRICE</v>
      </c>
      <c r="B155" s="33">
        <f t="shared" si="152"/>
        <v>46121</v>
      </c>
      <c r="C155" s="33">
        <f t="shared" si="152"/>
        <v>46127</v>
      </c>
      <c r="D155" s="32">
        <v>3284</v>
      </c>
      <c r="E155" s="32">
        <v>338</v>
      </c>
      <c r="F155" s="32">
        <v>4</v>
      </c>
      <c r="G155" s="23">
        <v>2</v>
      </c>
      <c r="H155" s="23">
        <v>81679</v>
      </c>
      <c r="I155" s="32" t="s">
        <v>2689</v>
      </c>
      <c r="J155" s="22">
        <v>69654462</v>
      </c>
      <c r="K155" s="22" t="s">
        <v>7456</v>
      </c>
      <c r="L155" s="22" t="s">
        <v>7461</v>
      </c>
      <c r="M155" s="40">
        <v>129900</v>
      </c>
      <c r="N155" s="88">
        <v>0</v>
      </c>
      <c r="O155" s="34" t="s">
        <v>7169</v>
      </c>
      <c r="P155" s="32" t="s">
        <v>7341</v>
      </c>
    </row>
    <row r="156" spans="1:16" x14ac:dyDescent="0.35">
      <c r="A156" s="32" t="str">
        <f t="shared" ref="A156:C156" si="153">A155</f>
        <v>2026 JAN-APR SHARP PRICE</v>
      </c>
      <c r="B156" s="33">
        <f t="shared" si="153"/>
        <v>46121</v>
      </c>
      <c r="C156" s="33">
        <f t="shared" si="153"/>
        <v>46127</v>
      </c>
      <c r="D156" s="32">
        <v>3284</v>
      </c>
      <c r="E156" s="32">
        <v>338</v>
      </c>
      <c r="F156" s="32">
        <v>4</v>
      </c>
      <c r="G156" s="23">
        <v>2</v>
      </c>
      <c r="H156" s="23">
        <v>81679</v>
      </c>
      <c r="I156" s="32" t="s">
        <v>2689</v>
      </c>
      <c r="J156" s="22">
        <v>69654471</v>
      </c>
      <c r="K156" s="22" t="s">
        <v>7456</v>
      </c>
      <c r="L156" s="22" t="s">
        <v>7462</v>
      </c>
      <c r="M156" s="40">
        <v>129900</v>
      </c>
      <c r="N156" s="88">
        <v>0</v>
      </c>
      <c r="O156" s="34" t="s">
        <v>7169</v>
      </c>
      <c r="P156" s="32" t="s">
        <v>7341</v>
      </c>
    </row>
    <row r="157" spans="1:16" x14ac:dyDescent="0.35">
      <c r="A157" s="32" t="str">
        <f t="shared" ref="A157:C157" si="154">A156</f>
        <v>2026 JAN-APR SHARP PRICE</v>
      </c>
      <c r="B157" s="33">
        <f t="shared" si="154"/>
        <v>46121</v>
      </c>
      <c r="C157" s="33">
        <f t="shared" si="154"/>
        <v>46127</v>
      </c>
      <c r="D157" s="32">
        <v>3284</v>
      </c>
      <c r="E157" s="32">
        <v>338</v>
      </c>
      <c r="F157" s="32">
        <v>4</v>
      </c>
      <c r="G157" s="23">
        <v>2</v>
      </c>
      <c r="H157" s="23">
        <v>81679</v>
      </c>
      <c r="I157" s="32" t="s">
        <v>2689</v>
      </c>
      <c r="J157" s="22">
        <v>69654480</v>
      </c>
      <c r="K157" s="22" t="s">
        <v>7456</v>
      </c>
      <c r="L157" s="22" t="s">
        <v>7463</v>
      </c>
      <c r="M157" s="40">
        <v>129900</v>
      </c>
      <c r="N157" s="88">
        <v>0</v>
      </c>
      <c r="O157" s="34" t="s">
        <v>7169</v>
      </c>
      <c r="P157" s="32" t="s">
        <v>7341</v>
      </c>
    </row>
    <row r="158" spans="1:16" x14ac:dyDescent="0.35">
      <c r="A158" s="32" t="str">
        <f t="shared" ref="A158:C158" si="155">A157</f>
        <v>2026 JAN-APR SHARP PRICE</v>
      </c>
      <c r="B158" s="33">
        <f t="shared" si="155"/>
        <v>46121</v>
      </c>
      <c r="C158" s="33">
        <f t="shared" si="155"/>
        <v>46127</v>
      </c>
      <c r="D158" s="32">
        <v>3284</v>
      </c>
      <c r="E158" s="32">
        <v>338</v>
      </c>
      <c r="F158" s="32">
        <v>4</v>
      </c>
      <c r="G158" s="23">
        <v>2</v>
      </c>
      <c r="H158" s="23">
        <v>81679</v>
      </c>
      <c r="I158" s="32" t="s">
        <v>2689</v>
      </c>
      <c r="J158" s="22">
        <v>69654499</v>
      </c>
      <c r="K158" s="22" t="s">
        <v>7456</v>
      </c>
      <c r="L158" s="22" t="s">
        <v>7464</v>
      </c>
      <c r="M158" s="40">
        <v>129900</v>
      </c>
      <c r="N158" s="88">
        <v>0</v>
      </c>
      <c r="O158" s="34" t="s">
        <v>7169</v>
      </c>
      <c r="P158" s="32" t="s">
        <v>7341</v>
      </c>
    </row>
    <row r="159" spans="1:16" x14ac:dyDescent="0.35">
      <c r="A159" s="32" t="str">
        <f t="shared" ref="A159:C159" si="156">A158</f>
        <v>2026 JAN-APR SHARP PRICE</v>
      </c>
      <c r="B159" s="33">
        <f t="shared" si="156"/>
        <v>46121</v>
      </c>
      <c r="C159" s="33">
        <f t="shared" si="156"/>
        <v>46127</v>
      </c>
      <c r="D159" s="32">
        <v>3284</v>
      </c>
      <c r="E159" s="32">
        <v>338</v>
      </c>
      <c r="F159" s="32">
        <v>4</v>
      </c>
      <c r="G159" s="23">
        <v>9</v>
      </c>
      <c r="H159" s="23">
        <v>81679</v>
      </c>
      <c r="I159" s="32" t="s">
        <v>2689</v>
      </c>
      <c r="J159" s="22">
        <v>69654506</v>
      </c>
      <c r="K159" s="22" t="s">
        <v>7465</v>
      </c>
      <c r="L159" s="22" t="s">
        <v>7466</v>
      </c>
      <c r="M159" s="40">
        <v>129900</v>
      </c>
      <c r="N159" s="88">
        <v>0</v>
      </c>
      <c r="O159" s="34" t="s">
        <v>7169</v>
      </c>
      <c r="P159" s="32" t="s">
        <v>7341</v>
      </c>
    </row>
    <row r="160" spans="1:16" x14ac:dyDescent="0.35">
      <c r="A160" s="32" t="str">
        <f t="shared" ref="A160:C160" si="157">A159</f>
        <v>2026 JAN-APR SHARP PRICE</v>
      </c>
      <c r="B160" s="33">
        <f t="shared" si="157"/>
        <v>46121</v>
      </c>
      <c r="C160" s="33">
        <f t="shared" si="157"/>
        <v>46127</v>
      </c>
      <c r="D160" s="32">
        <v>3284</v>
      </c>
      <c r="E160" s="32">
        <v>338</v>
      </c>
      <c r="F160" s="32">
        <v>4</v>
      </c>
      <c r="G160" s="23">
        <v>9</v>
      </c>
      <c r="H160" s="23">
        <v>81679</v>
      </c>
      <c r="I160" s="32" t="s">
        <v>2689</v>
      </c>
      <c r="J160" s="22">
        <v>69654515</v>
      </c>
      <c r="K160" s="22" t="s">
        <v>7465</v>
      </c>
      <c r="L160" s="22" t="s">
        <v>7467</v>
      </c>
      <c r="M160" s="40">
        <v>129900</v>
      </c>
      <c r="N160" s="88">
        <v>0</v>
      </c>
      <c r="O160" s="34" t="s">
        <v>7169</v>
      </c>
      <c r="P160" s="32" t="s">
        <v>7341</v>
      </c>
    </row>
    <row r="161" spans="1:16" x14ac:dyDescent="0.35">
      <c r="A161" s="32" t="str">
        <f t="shared" ref="A161:C161" si="158">A160</f>
        <v>2026 JAN-APR SHARP PRICE</v>
      </c>
      <c r="B161" s="33">
        <f t="shared" si="158"/>
        <v>46121</v>
      </c>
      <c r="C161" s="33">
        <f t="shared" si="158"/>
        <v>46127</v>
      </c>
      <c r="D161" s="32">
        <v>3284</v>
      </c>
      <c r="E161" s="32">
        <v>338</v>
      </c>
      <c r="F161" s="32">
        <v>4</v>
      </c>
      <c r="G161" s="23">
        <v>9</v>
      </c>
      <c r="H161" s="23">
        <v>81679</v>
      </c>
      <c r="I161" s="32" t="s">
        <v>2689</v>
      </c>
      <c r="J161" s="22">
        <v>69654524</v>
      </c>
      <c r="K161" s="22" t="s">
        <v>7465</v>
      </c>
      <c r="L161" s="22" t="s">
        <v>7468</v>
      </c>
      <c r="M161" s="40">
        <v>129900</v>
      </c>
      <c r="N161" s="88">
        <v>0</v>
      </c>
      <c r="O161" s="34" t="s">
        <v>7169</v>
      </c>
      <c r="P161" s="32" t="s">
        <v>7341</v>
      </c>
    </row>
    <row r="162" spans="1:16" x14ac:dyDescent="0.35">
      <c r="A162" s="32" t="str">
        <f t="shared" ref="A162:C162" si="159">A161</f>
        <v>2026 JAN-APR SHARP PRICE</v>
      </c>
      <c r="B162" s="33">
        <f t="shared" si="159"/>
        <v>46121</v>
      </c>
      <c r="C162" s="33">
        <f t="shared" si="159"/>
        <v>46127</v>
      </c>
      <c r="D162" s="32">
        <v>3284</v>
      </c>
      <c r="E162" s="32">
        <v>338</v>
      </c>
      <c r="F162" s="32">
        <v>4</v>
      </c>
      <c r="G162" s="23">
        <v>9</v>
      </c>
      <c r="H162" s="23">
        <v>81679</v>
      </c>
      <c r="I162" s="32" t="s">
        <v>2689</v>
      </c>
      <c r="J162" s="22">
        <v>69654533</v>
      </c>
      <c r="K162" s="22" t="s">
        <v>7465</v>
      </c>
      <c r="L162" s="22" t="s">
        <v>7469</v>
      </c>
      <c r="M162" s="40">
        <v>129900</v>
      </c>
      <c r="N162" s="88">
        <v>0</v>
      </c>
      <c r="O162" s="34" t="s">
        <v>7169</v>
      </c>
      <c r="P162" s="32" t="s">
        <v>7341</v>
      </c>
    </row>
    <row r="163" spans="1:16" x14ac:dyDescent="0.35">
      <c r="A163" s="32" t="str">
        <f t="shared" ref="A163:C163" si="160">A162</f>
        <v>2026 JAN-APR SHARP PRICE</v>
      </c>
      <c r="B163" s="33">
        <f t="shared" si="160"/>
        <v>46121</v>
      </c>
      <c r="C163" s="33">
        <f t="shared" si="160"/>
        <v>46127</v>
      </c>
      <c r="D163" s="32">
        <v>3284</v>
      </c>
      <c r="E163" s="32">
        <v>338</v>
      </c>
      <c r="F163" s="32">
        <v>4</v>
      </c>
      <c r="G163" s="23">
        <v>9</v>
      </c>
      <c r="H163" s="23">
        <v>81679</v>
      </c>
      <c r="I163" s="32" t="s">
        <v>2689</v>
      </c>
      <c r="J163" s="22">
        <v>69654542</v>
      </c>
      <c r="K163" s="22" t="s">
        <v>7465</v>
      </c>
      <c r="L163" s="22" t="s">
        <v>7470</v>
      </c>
      <c r="M163" s="40">
        <v>129900</v>
      </c>
      <c r="N163" s="88">
        <v>0</v>
      </c>
      <c r="O163" s="34" t="s">
        <v>7169</v>
      </c>
      <c r="P163" s="32" t="s">
        <v>7341</v>
      </c>
    </row>
    <row r="164" spans="1:16" x14ac:dyDescent="0.35">
      <c r="A164" s="32" t="str">
        <f t="shared" ref="A164:C164" si="161">A163</f>
        <v>2026 JAN-APR SHARP PRICE</v>
      </c>
      <c r="B164" s="33">
        <f t="shared" si="161"/>
        <v>46121</v>
      </c>
      <c r="C164" s="33">
        <f t="shared" si="161"/>
        <v>46127</v>
      </c>
      <c r="D164" s="32">
        <v>3284</v>
      </c>
      <c r="E164" s="32">
        <v>338</v>
      </c>
      <c r="F164" s="32">
        <v>4</v>
      </c>
      <c r="G164" s="23">
        <v>9</v>
      </c>
      <c r="H164" s="23">
        <v>81679</v>
      </c>
      <c r="I164" s="32" t="s">
        <v>2689</v>
      </c>
      <c r="J164" s="22">
        <v>69654551</v>
      </c>
      <c r="K164" s="22" t="s">
        <v>7465</v>
      </c>
      <c r="L164" s="22" t="s">
        <v>7471</v>
      </c>
      <c r="M164" s="40">
        <v>129900</v>
      </c>
      <c r="N164" s="88">
        <v>0</v>
      </c>
      <c r="O164" s="34" t="s">
        <v>7169</v>
      </c>
      <c r="P164" s="32" t="s">
        <v>7341</v>
      </c>
    </row>
    <row r="165" spans="1:16" x14ac:dyDescent="0.35">
      <c r="A165" s="32" t="str">
        <f t="shared" ref="A165:C165" si="162">A164</f>
        <v>2026 JAN-APR SHARP PRICE</v>
      </c>
      <c r="B165" s="33">
        <f t="shared" si="162"/>
        <v>46121</v>
      </c>
      <c r="C165" s="33">
        <f t="shared" si="162"/>
        <v>46127</v>
      </c>
      <c r="D165" s="32">
        <v>3284</v>
      </c>
      <c r="E165" s="32">
        <v>338</v>
      </c>
      <c r="F165" s="32">
        <v>4</v>
      </c>
      <c r="G165" s="23">
        <v>9</v>
      </c>
      <c r="H165" s="23">
        <v>81679</v>
      </c>
      <c r="I165" s="32" t="s">
        <v>2689</v>
      </c>
      <c r="J165" s="22">
        <v>69654560</v>
      </c>
      <c r="K165" s="22" t="s">
        <v>7465</v>
      </c>
      <c r="L165" s="22" t="s">
        <v>7472</v>
      </c>
      <c r="M165" s="40">
        <v>129900</v>
      </c>
      <c r="N165" s="88">
        <v>0</v>
      </c>
      <c r="O165" s="34" t="s">
        <v>7169</v>
      </c>
      <c r="P165" s="32" t="s">
        <v>7341</v>
      </c>
    </row>
    <row r="166" spans="1:16" x14ac:dyDescent="0.35">
      <c r="A166" s="32" t="str">
        <f t="shared" ref="A166:C166" si="163">A165</f>
        <v>2026 JAN-APR SHARP PRICE</v>
      </c>
      <c r="B166" s="33">
        <f t="shared" si="163"/>
        <v>46121</v>
      </c>
      <c r="C166" s="33">
        <f t="shared" si="163"/>
        <v>46127</v>
      </c>
      <c r="D166" s="32">
        <v>3284</v>
      </c>
      <c r="E166" s="32">
        <v>338</v>
      </c>
      <c r="F166" s="32">
        <v>4</v>
      </c>
      <c r="G166" s="23">
        <v>9</v>
      </c>
      <c r="H166" s="23">
        <v>81679</v>
      </c>
      <c r="I166" s="32" t="s">
        <v>2689</v>
      </c>
      <c r="J166" s="22">
        <v>69654579</v>
      </c>
      <c r="K166" s="22" t="s">
        <v>7465</v>
      </c>
      <c r="L166" s="22" t="s">
        <v>7473</v>
      </c>
      <c r="M166" s="40">
        <v>129900</v>
      </c>
      <c r="N166" s="88">
        <v>0</v>
      </c>
      <c r="O166" s="34" t="s">
        <v>7169</v>
      </c>
      <c r="P166" s="32" t="s">
        <v>7341</v>
      </c>
    </row>
    <row r="167" spans="1:16" x14ac:dyDescent="0.35">
      <c r="A167" s="32" t="str">
        <f t="shared" ref="A167:C167" si="164">A166</f>
        <v>2026 JAN-APR SHARP PRICE</v>
      </c>
      <c r="B167" s="33">
        <f t="shared" si="164"/>
        <v>46121</v>
      </c>
      <c r="C167" s="33">
        <f t="shared" si="164"/>
        <v>46127</v>
      </c>
      <c r="D167" s="32">
        <v>3284</v>
      </c>
      <c r="E167" s="32">
        <v>338</v>
      </c>
      <c r="F167" s="32">
        <v>4</v>
      </c>
      <c r="G167" s="23">
        <v>3</v>
      </c>
      <c r="H167" s="23">
        <v>81679</v>
      </c>
      <c r="I167" s="32" t="s">
        <v>2689</v>
      </c>
      <c r="J167" s="22">
        <v>69653534</v>
      </c>
      <c r="K167" s="22" t="s">
        <v>7474</v>
      </c>
      <c r="L167" s="22" t="s">
        <v>7475</v>
      </c>
      <c r="M167" s="40">
        <v>89900</v>
      </c>
      <c r="N167" s="88">
        <v>0</v>
      </c>
      <c r="O167" s="34" t="s">
        <v>7169</v>
      </c>
      <c r="P167" s="32" t="s">
        <v>7341</v>
      </c>
    </row>
    <row r="168" spans="1:16" x14ac:dyDescent="0.35">
      <c r="A168" s="32" t="str">
        <f t="shared" ref="A168:C168" si="165">A167</f>
        <v>2026 JAN-APR SHARP PRICE</v>
      </c>
      <c r="B168" s="33">
        <f t="shared" si="165"/>
        <v>46121</v>
      </c>
      <c r="C168" s="33">
        <f t="shared" si="165"/>
        <v>46127</v>
      </c>
      <c r="D168" s="32">
        <v>3284</v>
      </c>
      <c r="E168" s="32">
        <v>338</v>
      </c>
      <c r="F168" s="32">
        <v>4</v>
      </c>
      <c r="G168" s="23">
        <v>3</v>
      </c>
      <c r="H168" s="23">
        <v>81679</v>
      </c>
      <c r="I168" s="32" t="s">
        <v>2689</v>
      </c>
      <c r="J168" s="22">
        <v>69653543</v>
      </c>
      <c r="K168" s="22" t="s">
        <v>7474</v>
      </c>
      <c r="L168" s="22" t="s">
        <v>7476</v>
      </c>
      <c r="M168" s="40">
        <v>89900</v>
      </c>
      <c r="N168" s="88">
        <v>0</v>
      </c>
      <c r="O168" s="34" t="s">
        <v>7169</v>
      </c>
      <c r="P168" s="32" t="s">
        <v>7341</v>
      </c>
    </row>
    <row r="169" spans="1:16" x14ac:dyDescent="0.35">
      <c r="A169" s="32" t="str">
        <f t="shared" ref="A169:C169" si="166">A168</f>
        <v>2026 JAN-APR SHARP PRICE</v>
      </c>
      <c r="B169" s="33">
        <f t="shared" si="166"/>
        <v>46121</v>
      </c>
      <c r="C169" s="33">
        <f t="shared" si="166"/>
        <v>46127</v>
      </c>
      <c r="D169" s="32">
        <v>3284</v>
      </c>
      <c r="E169" s="32">
        <v>338</v>
      </c>
      <c r="F169" s="32">
        <v>4</v>
      </c>
      <c r="G169" s="23">
        <v>3</v>
      </c>
      <c r="H169" s="23">
        <v>81679</v>
      </c>
      <c r="I169" s="32" t="s">
        <v>2689</v>
      </c>
      <c r="J169" s="22">
        <v>69653552</v>
      </c>
      <c r="K169" s="22" t="s">
        <v>7474</v>
      </c>
      <c r="L169" s="22" t="s">
        <v>7477</v>
      </c>
      <c r="M169" s="40">
        <v>89900</v>
      </c>
      <c r="N169" s="88">
        <v>0</v>
      </c>
      <c r="O169" s="34" t="s">
        <v>7169</v>
      </c>
      <c r="P169" s="32" t="s">
        <v>7341</v>
      </c>
    </row>
    <row r="170" spans="1:16" x14ac:dyDescent="0.35">
      <c r="A170" s="32" t="str">
        <f t="shared" ref="A170:C170" si="167">A169</f>
        <v>2026 JAN-APR SHARP PRICE</v>
      </c>
      <c r="B170" s="33">
        <f t="shared" si="167"/>
        <v>46121</v>
      </c>
      <c r="C170" s="33">
        <f t="shared" si="167"/>
        <v>46127</v>
      </c>
      <c r="D170" s="32">
        <v>3284</v>
      </c>
      <c r="E170" s="32">
        <v>338</v>
      </c>
      <c r="F170" s="32">
        <v>4</v>
      </c>
      <c r="G170" s="23">
        <v>3</v>
      </c>
      <c r="H170" s="23">
        <v>81679</v>
      </c>
      <c r="I170" s="32" t="s">
        <v>2689</v>
      </c>
      <c r="J170" s="22">
        <v>69653561</v>
      </c>
      <c r="K170" s="22" t="s">
        <v>7474</v>
      </c>
      <c r="L170" s="22" t="s">
        <v>7478</v>
      </c>
      <c r="M170" s="40">
        <v>89900</v>
      </c>
      <c r="N170" s="88">
        <v>0</v>
      </c>
      <c r="O170" s="34" t="s">
        <v>7169</v>
      </c>
      <c r="P170" s="32" t="s">
        <v>7341</v>
      </c>
    </row>
    <row r="171" spans="1:16" x14ac:dyDescent="0.35">
      <c r="A171" s="32" t="str">
        <f t="shared" ref="A171:C171" si="168">A170</f>
        <v>2026 JAN-APR SHARP PRICE</v>
      </c>
      <c r="B171" s="33">
        <f t="shared" si="168"/>
        <v>46121</v>
      </c>
      <c r="C171" s="33">
        <f t="shared" si="168"/>
        <v>46127</v>
      </c>
      <c r="D171" s="32">
        <v>3284</v>
      </c>
      <c r="E171" s="32">
        <v>338</v>
      </c>
      <c r="F171" s="32">
        <v>4</v>
      </c>
      <c r="G171" s="23">
        <v>3</v>
      </c>
      <c r="H171" s="23">
        <v>81679</v>
      </c>
      <c r="I171" s="32" t="s">
        <v>2689</v>
      </c>
      <c r="J171" s="22">
        <v>69716378</v>
      </c>
      <c r="K171" s="22" t="s">
        <v>7479</v>
      </c>
      <c r="L171" s="22" t="s">
        <v>7480</v>
      </c>
      <c r="M171" s="40">
        <v>89900</v>
      </c>
      <c r="N171" s="88">
        <v>0</v>
      </c>
      <c r="O171" s="34" t="s">
        <v>7169</v>
      </c>
      <c r="P171" s="32" t="s">
        <v>7341</v>
      </c>
    </row>
    <row r="172" spans="1:16" x14ac:dyDescent="0.35">
      <c r="A172" s="32" t="str">
        <f t="shared" ref="A172:C172" si="169">A171</f>
        <v>2026 JAN-APR SHARP PRICE</v>
      </c>
      <c r="B172" s="33">
        <f t="shared" si="169"/>
        <v>46121</v>
      </c>
      <c r="C172" s="33">
        <f t="shared" si="169"/>
        <v>46127</v>
      </c>
      <c r="D172" s="32">
        <v>3284</v>
      </c>
      <c r="E172" s="32">
        <v>338</v>
      </c>
      <c r="F172" s="32">
        <v>4</v>
      </c>
      <c r="G172" s="23">
        <v>3</v>
      </c>
      <c r="H172" s="23">
        <v>81679</v>
      </c>
      <c r="I172" s="32" t="s">
        <v>2689</v>
      </c>
      <c r="J172" s="22">
        <v>69716387</v>
      </c>
      <c r="K172" s="22" t="s">
        <v>7479</v>
      </c>
      <c r="L172" s="22" t="s">
        <v>7481</v>
      </c>
      <c r="M172" s="40">
        <v>89900</v>
      </c>
      <c r="N172" s="88">
        <v>0</v>
      </c>
      <c r="O172" s="34" t="s">
        <v>7169</v>
      </c>
      <c r="P172" s="32" t="s">
        <v>7341</v>
      </c>
    </row>
    <row r="173" spans="1:16" x14ac:dyDescent="0.35">
      <c r="A173" s="32" t="str">
        <f t="shared" ref="A173:C173" si="170">A172</f>
        <v>2026 JAN-APR SHARP PRICE</v>
      </c>
      <c r="B173" s="33">
        <f t="shared" si="170"/>
        <v>46121</v>
      </c>
      <c r="C173" s="33">
        <f t="shared" si="170"/>
        <v>46127</v>
      </c>
      <c r="D173" s="32">
        <v>3284</v>
      </c>
      <c r="E173" s="32">
        <v>338</v>
      </c>
      <c r="F173" s="32">
        <v>4</v>
      </c>
      <c r="G173" s="23">
        <v>3</v>
      </c>
      <c r="H173" s="23">
        <v>81679</v>
      </c>
      <c r="I173" s="32" t="s">
        <v>2689</v>
      </c>
      <c r="J173" s="22">
        <v>69716396</v>
      </c>
      <c r="K173" s="22" t="s">
        <v>7479</v>
      </c>
      <c r="L173" s="22" t="s">
        <v>7482</v>
      </c>
      <c r="M173" s="40">
        <v>89900</v>
      </c>
      <c r="N173" s="88">
        <v>0</v>
      </c>
      <c r="O173" s="34" t="s">
        <v>7169</v>
      </c>
      <c r="P173" s="32" t="s">
        <v>7341</v>
      </c>
    </row>
    <row r="174" spans="1:16" x14ac:dyDescent="0.35">
      <c r="A174" s="32" t="str">
        <f t="shared" ref="A174:C174" si="171">A173</f>
        <v>2026 JAN-APR SHARP PRICE</v>
      </c>
      <c r="B174" s="33">
        <f t="shared" si="171"/>
        <v>46121</v>
      </c>
      <c r="C174" s="33">
        <f t="shared" si="171"/>
        <v>46127</v>
      </c>
      <c r="D174" s="32">
        <v>3284</v>
      </c>
      <c r="E174" s="32">
        <v>338</v>
      </c>
      <c r="F174" s="32">
        <v>4</v>
      </c>
      <c r="G174" s="23">
        <v>3</v>
      </c>
      <c r="H174" s="23">
        <v>81679</v>
      </c>
      <c r="I174" s="32" t="s">
        <v>2689</v>
      </c>
      <c r="J174" s="22">
        <v>69716403</v>
      </c>
      <c r="K174" s="22" t="s">
        <v>7479</v>
      </c>
      <c r="L174" s="22" t="s">
        <v>7483</v>
      </c>
      <c r="M174" s="40">
        <v>89900</v>
      </c>
      <c r="N174" s="88">
        <v>0</v>
      </c>
      <c r="O174" s="34" t="s">
        <v>7169</v>
      </c>
      <c r="P174" s="32" t="s">
        <v>7341</v>
      </c>
    </row>
    <row r="175" spans="1:16" x14ac:dyDescent="0.35">
      <c r="A175" s="32" t="str">
        <f t="shared" ref="A175:C175" si="172">A174</f>
        <v>2026 JAN-APR SHARP PRICE</v>
      </c>
      <c r="B175" s="33">
        <f t="shared" si="172"/>
        <v>46121</v>
      </c>
      <c r="C175" s="33">
        <f t="shared" si="172"/>
        <v>46127</v>
      </c>
      <c r="D175" s="32">
        <v>3284</v>
      </c>
      <c r="E175" s="32">
        <v>338</v>
      </c>
      <c r="F175" s="32">
        <v>4</v>
      </c>
      <c r="G175" s="23">
        <v>10</v>
      </c>
      <c r="H175" s="23">
        <v>81827</v>
      </c>
      <c r="I175" s="32" t="s">
        <v>2689</v>
      </c>
      <c r="J175" s="22">
        <v>61972418</v>
      </c>
      <c r="K175" s="22" t="s">
        <v>7484</v>
      </c>
      <c r="L175" s="22" t="s">
        <v>7485</v>
      </c>
      <c r="M175" s="40">
        <v>29900</v>
      </c>
      <c r="N175" s="88">
        <v>0</v>
      </c>
      <c r="O175" s="34" t="s">
        <v>7169</v>
      </c>
      <c r="P175" s="32" t="s">
        <v>7341</v>
      </c>
    </row>
    <row r="176" spans="1:16" x14ac:dyDescent="0.35">
      <c r="A176" s="32" t="str">
        <f t="shared" ref="A176:C176" si="173">A175</f>
        <v>2026 JAN-APR SHARP PRICE</v>
      </c>
      <c r="B176" s="33">
        <f t="shared" si="173"/>
        <v>46121</v>
      </c>
      <c r="C176" s="33">
        <f t="shared" si="173"/>
        <v>46127</v>
      </c>
      <c r="D176" s="32">
        <v>3284</v>
      </c>
      <c r="E176" s="32">
        <v>338</v>
      </c>
      <c r="F176" s="32">
        <v>4</v>
      </c>
      <c r="G176" s="23">
        <v>10</v>
      </c>
      <c r="H176" s="23">
        <v>81827</v>
      </c>
      <c r="I176" s="32" t="s">
        <v>2689</v>
      </c>
      <c r="J176" s="22">
        <v>61972427</v>
      </c>
      <c r="K176" s="22" t="s">
        <v>7484</v>
      </c>
      <c r="L176" s="22" t="s">
        <v>7486</v>
      </c>
      <c r="M176" s="40">
        <v>29900</v>
      </c>
      <c r="N176" s="88">
        <v>0</v>
      </c>
      <c r="O176" s="34" t="s">
        <v>7169</v>
      </c>
      <c r="P176" s="32" t="s">
        <v>7341</v>
      </c>
    </row>
    <row r="177" spans="1:16" x14ac:dyDescent="0.35">
      <c r="A177" s="32" t="str">
        <f t="shared" ref="A177:C177" si="174">A176</f>
        <v>2026 JAN-APR SHARP PRICE</v>
      </c>
      <c r="B177" s="33">
        <f t="shared" si="174"/>
        <v>46121</v>
      </c>
      <c r="C177" s="33">
        <f t="shared" si="174"/>
        <v>46127</v>
      </c>
      <c r="D177" s="32">
        <v>3284</v>
      </c>
      <c r="E177" s="32">
        <v>338</v>
      </c>
      <c r="F177" s="32">
        <v>4</v>
      </c>
      <c r="G177" s="23">
        <v>10</v>
      </c>
      <c r="H177" s="23">
        <v>81827</v>
      </c>
      <c r="I177" s="32" t="s">
        <v>2689</v>
      </c>
      <c r="J177" s="22">
        <v>61972436</v>
      </c>
      <c r="K177" s="22" t="s">
        <v>7484</v>
      </c>
      <c r="L177" s="22" t="s">
        <v>7487</v>
      </c>
      <c r="M177" s="40">
        <v>29900</v>
      </c>
      <c r="N177" s="88">
        <v>0</v>
      </c>
      <c r="O177" s="34" t="s">
        <v>7169</v>
      </c>
      <c r="P177" s="32" t="s">
        <v>7341</v>
      </c>
    </row>
    <row r="178" spans="1:16" x14ac:dyDescent="0.35">
      <c r="A178" s="32" t="str">
        <f t="shared" ref="A178:C178" si="175">A177</f>
        <v>2026 JAN-APR SHARP PRICE</v>
      </c>
      <c r="B178" s="33">
        <f t="shared" si="175"/>
        <v>46121</v>
      </c>
      <c r="C178" s="33">
        <f t="shared" si="175"/>
        <v>46127</v>
      </c>
      <c r="D178" s="32">
        <v>3284</v>
      </c>
      <c r="E178" s="32">
        <v>338</v>
      </c>
      <c r="F178" s="32">
        <v>4</v>
      </c>
      <c r="G178" s="23">
        <v>10</v>
      </c>
      <c r="H178" s="23">
        <v>81827</v>
      </c>
      <c r="I178" s="32" t="s">
        <v>2689</v>
      </c>
      <c r="J178" s="22">
        <v>61972445</v>
      </c>
      <c r="K178" s="22" t="s">
        <v>7488</v>
      </c>
      <c r="L178" s="22" t="s">
        <v>7489</v>
      </c>
      <c r="M178" s="40">
        <v>29900</v>
      </c>
      <c r="N178" s="88">
        <v>0</v>
      </c>
      <c r="O178" s="34" t="s">
        <v>7169</v>
      </c>
      <c r="P178" s="32" t="s">
        <v>7341</v>
      </c>
    </row>
    <row r="179" spans="1:16" x14ac:dyDescent="0.35">
      <c r="A179" s="32" t="str">
        <f t="shared" ref="A179:C179" si="176">A178</f>
        <v>2026 JAN-APR SHARP PRICE</v>
      </c>
      <c r="B179" s="33">
        <f t="shared" si="176"/>
        <v>46121</v>
      </c>
      <c r="C179" s="33">
        <f t="shared" si="176"/>
        <v>46127</v>
      </c>
      <c r="D179" s="32">
        <v>3284</v>
      </c>
      <c r="E179" s="32">
        <v>338</v>
      </c>
      <c r="F179" s="32">
        <v>4</v>
      </c>
      <c r="G179" s="23">
        <v>10</v>
      </c>
      <c r="H179" s="23">
        <v>81827</v>
      </c>
      <c r="I179" s="32" t="s">
        <v>2689</v>
      </c>
      <c r="J179" s="22">
        <v>61972454</v>
      </c>
      <c r="K179" s="22" t="s">
        <v>7488</v>
      </c>
      <c r="L179" s="22" t="s">
        <v>7490</v>
      </c>
      <c r="M179" s="40">
        <v>29900</v>
      </c>
      <c r="N179" s="88">
        <v>0</v>
      </c>
      <c r="O179" s="34" t="s">
        <v>7169</v>
      </c>
      <c r="P179" s="32" t="s">
        <v>7341</v>
      </c>
    </row>
    <row r="180" spans="1:16" x14ac:dyDescent="0.35">
      <c r="A180" s="32" t="str">
        <f t="shared" ref="A180:C180" si="177">A179</f>
        <v>2026 JAN-APR SHARP PRICE</v>
      </c>
      <c r="B180" s="33">
        <f t="shared" si="177"/>
        <v>46121</v>
      </c>
      <c r="C180" s="33">
        <f t="shared" si="177"/>
        <v>46127</v>
      </c>
      <c r="D180" s="32">
        <v>3284</v>
      </c>
      <c r="E180" s="32">
        <v>338</v>
      </c>
      <c r="F180" s="32">
        <v>4</v>
      </c>
      <c r="G180" s="23">
        <v>10</v>
      </c>
      <c r="H180" s="23">
        <v>81827</v>
      </c>
      <c r="I180" s="32" t="s">
        <v>2689</v>
      </c>
      <c r="J180" s="22">
        <v>61972463</v>
      </c>
      <c r="K180" s="22" t="s">
        <v>7488</v>
      </c>
      <c r="L180" s="22" t="s">
        <v>7491</v>
      </c>
      <c r="M180" s="40">
        <v>29900</v>
      </c>
      <c r="N180" s="88">
        <v>0</v>
      </c>
      <c r="O180" s="34" t="s">
        <v>7169</v>
      </c>
      <c r="P180" s="32" t="s">
        <v>7341</v>
      </c>
    </row>
    <row r="181" spans="1:16" x14ac:dyDescent="0.35">
      <c r="A181" s="32" t="str">
        <f t="shared" ref="A181:C181" si="178">A180</f>
        <v>2026 JAN-APR SHARP PRICE</v>
      </c>
      <c r="B181" s="33">
        <f t="shared" si="178"/>
        <v>46121</v>
      </c>
      <c r="C181" s="33">
        <f t="shared" si="178"/>
        <v>46127</v>
      </c>
      <c r="D181" s="32">
        <v>3284</v>
      </c>
      <c r="E181" s="32">
        <v>338</v>
      </c>
      <c r="F181" s="32">
        <v>4</v>
      </c>
      <c r="G181" s="23">
        <v>10</v>
      </c>
      <c r="H181" s="23">
        <v>81827</v>
      </c>
      <c r="I181" s="32" t="s">
        <v>2689</v>
      </c>
      <c r="J181" s="22">
        <v>61972507</v>
      </c>
      <c r="K181" s="22" t="s">
        <v>7492</v>
      </c>
      <c r="L181" s="22" t="s">
        <v>7493</v>
      </c>
      <c r="M181" s="40">
        <v>29900</v>
      </c>
      <c r="N181" s="88">
        <v>0</v>
      </c>
      <c r="O181" s="34" t="s">
        <v>7169</v>
      </c>
      <c r="P181" s="32" t="s">
        <v>7341</v>
      </c>
    </row>
    <row r="182" spans="1:16" x14ac:dyDescent="0.35">
      <c r="A182" s="32" t="str">
        <f t="shared" ref="A182:C182" si="179">A181</f>
        <v>2026 JAN-APR SHARP PRICE</v>
      </c>
      <c r="B182" s="33">
        <f t="shared" si="179"/>
        <v>46121</v>
      </c>
      <c r="C182" s="33">
        <f t="shared" si="179"/>
        <v>46127</v>
      </c>
      <c r="D182" s="32">
        <v>3284</v>
      </c>
      <c r="E182" s="32">
        <v>338</v>
      </c>
      <c r="F182" s="32">
        <v>4</v>
      </c>
      <c r="G182" s="23">
        <v>10</v>
      </c>
      <c r="H182" s="23">
        <v>81827</v>
      </c>
      <c r="I182" s="32" t="s">
        <v>2689</v>
      </c>
      <c r="J182" s="22">
        <v>61972516</v>
      </c>
      <c r="K182" s="22" t="s">
        <v>7492</v>
      </c>
      <c r="L182" s="22" t="s">
        <v>7494</v>
      </c>
      <c r="M182" s="40">
        <v>29900</v>
      </c>
      <c r="N182" s="88">
        <v>0</v>
      </c>
      <c r="O182" s="34" t="s">
        <v>7169</v>
      </c>
      <c r="P182" s="32" t="s">
        <v>7341</v>
      </c>
    </row>
    <row r="183" spans="1:16" x14ac:dyDescent="0.35">
      <c r="A183" s="32" t="str">
        <f t="shared" ref="A183:C183" si="180">A182</f>
        <v>2026 JAN-APR SHARP PRICE</v>
      </c>
      <c r="B183" s="33">
        <f t="shared" si="180"/>
        <v>46121</v>
      </c>
      <c r="C183" s="33">
        <f t="shared" si="180"/>
        <v>46127</v>
      </c>
      <c r="D183" s="32">
        <v>3284</v>
      </c>
      <c r="E183" s="32">
        <v>338</v>
      </c>
      <c r="F183" s="32">
        <v>4</v>
      </c>
      <c r="G183" s="23">
        <v>10</v>
      </c>
      <c r="H183" s="23">
        <v>81827</v>
      </c>
      <c r="I183" s="32" t="s">
        <v>2689</v>
      </c>
      <c r="J183" s="22">
        <v>61972525</v>
      </c>
      <c r="K183" s="22" t="s">
        <v>7492</v>
      </c>
      <c r="L183" s="22" t="s">
        <v>7495</v>
      </c>
      <c r="M183" s="40">
        <v>29900</v>
      </c>
      <c r="N183" s="88">
        <v>0</v>
      </c>
      <c r="O183" s="34" t="s">
        <v>7169</v>
      </c>
      <c r="P183" s="32" t="s">
        <v>7341</v>
      </c>
    </row>
    <row r="184" spans="1:16" x14ac:dyDescent="0.35">
      <c r="A184" s="32" t="str">
        <f t="shared" ref="A184:C184" si="181">A183</f>
        <v>2026 JAN-APR SHARP PRICE</v>
      </c>
      <c r="B184" s="33">
        <f t="shared" si="181"/>
        <v>46121</v>
      </c>
      <c r="C184" s="33">
        <f t="shared" si="181"/>
        <v>46127</v>
      </c>
      <c r="D184" s="32">
        <v>3284</v>
      </c>
      <c r="E184" s="32">
        <v>338</v>
      </c>
      <c r="F184" s="32">
        <v>4</v>
      </c>
      <c r="G184" s="23">
        <v>3</v>
      </c>
      <c r="H184" s="23">
        <v>81679</v>
      </c>
      <c r="I184" s="32" t="s">
        <v>2689</v>
      </c>
      <c r="J184" s="22">
        <v>69688908</v>
      </c>
      <c r="K184" s="22" t="s">
        <v>7496</v>
      </c>
      <c r="L184" s="22" t="s">
        <v>7497</v>
      </c>
      <c r="M184" s="40">
        <v>89900</v>
      </c>
      <c r="N184" s="88">
        <v>0</v>
      </c>
      <c r="O184" s="34" t="s">
        <v>7169</v>
      </c>
      <c r="P184" s="32" t="s">
        <v>7341</v>
      </c>
    </row>
    <row r="185" spans="1:16" x14ac:dyDescent="0.35">
      <c r="A185" s="32" t="str">
        <f t="shared" ref="A185:C185" si="182">A184</f>
        <v>2026 JAN-APR SHARP PRICE</v>
      </c>
      <c r="B185" s="33">
        <f t="shared" si="182"/>
        <v>46121</v>
      </c>
      <c r="C185" s="33">
        <f t="shared" si="182"/>
        <v>46127</v>
      </c>
      <c r="D185" s="32">
        <v>3284</v>
      </c>
      <c r="E185" s="32">
        <v>338</v>
      </c>
      <c r="F185" s="32">
        <v>4</v>
      </c>
      <c r="G185" s="23">
        <v>3</v>
      </c>
      <c r="H185" s="23">
        <v>81679</v>
      </c>
      <c r="I185" s="32" t="s">
        <v>2689</v>
      </c>
      <c r="J185" s="22">
        <v>69688917</v>
      </c>
      <c r="K185" s="22" t="s">
        <v>7496</v>
      </c>
      <c r="L185" s="22" t="s">
        <v>7498</v>
      </c>
      <c r="M185" s="40">
        <v>89900</v>
      </c>
      <c r="N185" s="88">
        <v>0</v>
      </c>
      <c r="O185" s="34" t="s">
        <v>7169</v>
      </c>
      <c r="P185" s="32" t="s">
        <v>7341</v>
      </c>
    </row>
    <row r="186" spans="1:16" x14ac:dyDescent="0.35">
      <c r="A186" s="32" t="str">
        <f t="shared" ref="A186:C186" si="183">A185</f>
        <v>2026 JAN-APR SHARP PRICE</v>
      </c>
      <c r="B186" s="33">
        <f t="shared" si="183"/>
        <v>46121</v>
      </c>
      <c r="C186" s="33">
        <f t="shared" si="183"/>
        <v>46127</v>
      </c>
      <c r="D186" s="32">
        <v>3284</v>
      </c>
      <c r="E186" s="32">
        <v>338</v>
      </c>
      <c r="F186" s="32">
        <v>4</v>
      </c>
      <c r="G186" s="23">
        <v>3</v>
      </c>
      <c r="H186" s="23">
        <v>81679</v>
      </c>
      <c r="I186" s="32" t="s">
        <v>2689</v>
      </c>
      <c r="J186" s="22">
        <v>69688926</v>
      </c>
      <c r="K186" s="22" t="s">
        <v>7496</v>
      </c>
      <c r="L186" s="22" t="s">
        <v>7499</v>
      </c>
      <c r="M186" s="40">
        <v>89900</v>
      </c>
      <c r="N186" s="88">
        <v>0</v>
      </c>
      <c r="O186" s="34" t="s">
        <v>7169</v>
      </c>
      <c r="P186" s="32" t="s">
        <v>7341</v>
      </c>
    </row>
    <row r="187" spans="1:16" x14ac:dyDescent="0.35">
      <c r="A187" s="32" t="str">
        <f t="shared" ref="A187:C187" si="184">A186</f>
        <v>2026 JAN-APR SHARP PRICE</v>
      </c>
      <c r="B187" s="33">
        <f t="shared" si="184"/>
        <v>46121</v>
      </c>
      <c r="C187" s="33">
        <f t="shared" si="184"/>
        <v>46127</v>
      </c>
      <c r="D187" s="32">
        <v>3284</v>
      </c>
      <c r="E187" s="32">
        <v>338</v>
      </c>
      <c r="F187" s="32">
        <v>4</v>
      </c>
      <c r="G187" s="23">
        <v>3</v>
      </c>
      <c r="H187" s="23">
        <v>81679</v>
      </c>
      <c r="I187" s="32" t="s">
        <v>2689</v>
      </c>
      <c r="J187" s="22">
        <v>69688935</v>
      </c>
      <c r="K187" s="22" t="s">
        <v>7496</v>
      </c>
      <c r="L187" s="22" t="s">
        <v>7500</v>
      </c>
      <c r="M187" s="40">
        <v>89900</v>
      </c>
      <c r="N187" s="88">
        <v>0</v>
      </c>
      <c r="O187" s="34" t="s">
        <v>7169</v>
      </c>
      <c r="P187" s="32" t="s">
        <v>7341</v>
      </c>
    </row>
    <row r="188" spans="1:16" x14ac:dyDescent="0.35">
      <c r="A188" s="32" t="str">
        <f t="shared" ref="A188:C188" si="185">A187</f>
        <v>2026 JAN-APR SHARP PRICE</v>
      </c>
      <c r="B188" s="33">
        <f t="shared" si="185"/>
        <v>46121</v>
      </c>
      <c r="C188" s="33">
        <f t="shared" si="185"/>
        <v>46127</v>
      </c>
      <c r="D188" s="32">
        <v>3284</v>
      </c>
      <c r="E188" s="32">
        <v>338</v>
      </c>
      <c r="F188" s="32">
        <v>4</v>
      </c>
      <c r="G188" s="23">
        <v>7</v>
      </c>
      <c r="H188" s="23">
        <v>81827</v>
      </c>
      <c r="I188" s="32" t="s">
        <v>2689</v>
      </c>
      <c r="J188" s="22">
        <v>69857467</v>
      </c>
      <c r="K188" s="22" t="s">
        <v>7501</v>
      </c>
      <c r="L188" s="22" t="s">
        <v>7502</v>
      </c>
      <c r="M188" s="40">
        <v>29900</v>
      </c>
      <c r="N188" s="88">
        <v>0</v>
      </c>
      <c r="O188" s="34" t="s">
        <v>7169</v>
      </c>
      <c r="P188" s="32" t="s">
        <v>7341</v>
      </c>
    </row>
    <row r="189" spans="1:16" x14ac:dyDescent="0.35">
      <c r="A189" s="32" t="str">
        <f t="shared" ref="A189:C189" si="186">A188</f>
        <v>2026 JAN-APR SHARP PRICE</v>
      </c>
      <c r="B189" s="33">
        <f t="shared" si="186"/>
        <v>46121</v>
      </c>
      <c r="C189" s="33">
        <f t="shared" si="186"/>
        <v>46127</v>
      </c>
      <c r="D189" s="32">
        <v>3284</v>
      </c>
      <c r="E189" s="32">
        <v>338</v>
      </c>
      <c r="F189" s="32">
        <v>4</v>
      </c>
      <c r="G189" s="23">
        <v>7</v>
      </c>
      <c r="H189" s="23">
        <v>81827</v>
      </c>
      <c r="I189" s="32" t="s">
        <v>2689</v>
      </c>
      <c r="J189" s="22">
        <v>69857476</v>
      </c>
      <c r="K189" s="22" t="s">
        <v>7501</v>
      </c>
      <c r="L189" s="22" t="s">
        <v>7503</v>
      </c>
      <c r="M189" s="40">
        <v>29900</v>
      </c>
      <c r="N189" s="88">
        <v>0</v>
      </c>
      <c r="O189" s="34" t="s">
        <v>7169</v>
      </c>
      <c r="P189" s="32" t="s">
        <v>7341</v>
      </c>
    </row>
    <row r="190" spans="1:16" x14ac:dyDescent="0.35">
      <c r="A190" s="32" t="str">
        <f t="shared" ref="A190:C190" si="187">A189</f>
        <v>2026 JAN-APR SHARP PRICE</v>
      </c>
      <c r="B190" s="33">
        <f t="shared" si="187"/>
        <v>46121</v>
      </c>
      <c r="C190" s="33">
        <f t="shared" si="187"/>
        <v>46127</v>
      </c>
      <c r="D190" s="32">
        <v>3284</v>
      </c>
      <c r="E190" s="32">
        <v>338</v>
      </c>
      <c r="F190" s="32">
        <v>4</v>
      </c>
      <c r="G190" s="23">
        <v>7</v>
      </c>
      <c r="H190" s="23">
        <v>81827</v>
      </c>
      <c r="I190" s="32" t="s">
        <v>2689</v>
      </c>
      <c r="J190" s="22">
        <v>69857485</v>
      </c>
      <c r="K190" s="22" t="s">
        <v>7501</v>
      </c>
      <c r="L190" s="22" t="s">
        <v>7504</v>
      </c>
      <c r="M190" s="40">
        <v>29900</v>
      </c>
      <c r="N190" s="88">
        <v>0</v>
      </c>
      <c r="O190" s="34" t="s">
        <v>7169</v>
      </c>
      <c r="P190" s="32" t="s">
        <v>7341</v>
      </c>
    </row>
    <row r="191" spans="1:16" x14ac:dyDescent="0.35">
      <c r="A191" s="32" t="str">
        <f t="shared" ref="A191:C191" si="188">A190</f>
        <v>2026 JAN-APR SHARP PRICE</v>
      </c>
      <c r="B191" s="33">
        <f t="shared" si="188"/>
        <v>46121</v>
      </c>
      <c r="C191" s="33">
        <f t="shared" si="188"/>
        <v>46127</v>
      </c>
      <c r="D191" s="32">
        <v>3284</v>
      </c>
      <c r="E191" s="32">
        <v>338</v>
      </c>
      <c r="F191" s="32">
        <v>4</v>
      </c>
      <c r="G191" s="23">
        <v>7</v>
      </c>
      <c r="H191" s="23">
        <v>81827</v>
      </c>
      <c r="I191" s="32" t="s">
        <v>2689</v>
      </c>
      <c r="J191" s="22">
        <v>69857494</v>
      </c>
      <c r="K191" s="22" t="s">
        <v>7505</v>
      </c>
      <c r="L191" s="22" t="s">
        <v>7506</v>
      </c>
      <c r="M191" s="40">
        <v>29900</v>
      </c>
      <c r="N191" s="88">
        <v>0</v>
      </c>
      <c r="O191" s="34" t="s">
        <v>7169</v>
      </c>
      <c r="P191" s="32" t="s">
        <v>7341</v>
      </c>
    </row>
    <row r="192" spans="1:16" x14ac:dyDescent="0.35">
      <c r="A192" s="32" t="str">
        <f t="shared" ref="A192:C192" si="189">A191</f>
        <v>2026 JAN-APR SHARP PRICE</v>
      </c>
      <c r="B192" s="33">
        <f t="shared" si="189"/>
        <v>46121</v>
      </c>
      <c r="C192" s="33">
        <f t="shared" si="189"/>
        <v>46127</v>
      </c>
      <c r="D192" s="32">
        <v>3284</v>
      </c>
      <c r="E192" s="32">
        <v>338</v>
      </c>
      <c r="F192" s="32">
        <v>4</v>
      </c>
      <c r="G192" s="23">
        <v>7</v>
      </c>
      <c r="H192" s="23">
        <v>81827</v>
      </c>
      <c r="I192" s="32" t="s">
        <v>2689</v>
      </c>
      <c r="J192" s="22">
        <v>69857501</v>
      </c>
      <c r="K192" s="22" t="s">
        <v>7505</v>
      </c>
      <c r="L192" s="22" t="s">
        <v>7507</v>
      </c>
      <c r="M192" s="40">
        <v>29900</v>
      </c>
      <c r="N192" s="88">
        <v>0</v>
      </c>
      <c r="O192" s="34" t="s">
        <v>7169</v>
      </c>
      <c r="P192" s="32" t="s">
        <v>7341</v>
      </c>
    </row>
    <row r="193" spans="1:16" x14ac:dyDescent="0.35">
      <c r="A193" s="32" t="str">
        <f t="shared" ref="A193:C193" si="190">A192</f>
        <v>2026 JAN-APR SHARP PRICE</v>
      </c>
      <c r="B193" s="33">
        <f t="shared" si="190"/>
        <v>46121</v>
      </c>
      <c r="C193" s="33">
        <f t="shared" si="190"/>
        <v>46127</v>
      </c>
      <c r="D193" s="32">
        <v>3284</v>
      </c>
      <c r="E193" s="32">
        <v>338</v>
      </c>
      <c r="F193" s="32">
        <v>4</v>
      </c>
      <c r="G193" s="23">
        <v>7</v>
      </c>
      <c r="H193" s="23">
        <v>81827</v>
      </c>
      <c r="I193" s="32" t="s">
        <v>2689</v>
      </c>
      <c r="J193" s="22">
        <v>69857510</v>
      </c>
      <c r="K193" s="22" t="s">
        <v>7505</v>
      </c>
      <c r="L193" s="22" t="s">
        <v>7508</v>
      </c>
      <c r="M193" s="40">
        <v>29900</v>
      </c>
      <c r="N193" s="88">
        <v>0</v>
      </c>
      <c r="O193" s="34" t="s">
        <v>7169</v>
      </c>
      <c r="P193" s="32" t="s">
        <v>7341</v>
      </c>
    </row>
    <row r="194" spans="1:16" x14ac:dyDescent="0.35">
      <c r="A194" s="32" t="str">
        <f t="shared" ref="A194:C194" si="191">A193</f>
        <v>2026 JAN-APR SHARP PRICE</v>
      </c>
      <c r="B194" s="33">
        <f t="shared" si="191"/>
        <v>46121</v>
      </c>
      <c r="C194" s="33">
        <f t="shared" si="191"/>
        <v>46127</v>
      </c>
      <c r="D194" s="32">
        <v>3284</v>
      </c>
      <c r="E194" s="32">
        <v>338</v>
      </c>
      <c r="F194" s="32">
        <v>4</v>
      </c>
      <c r="G194" s="23">
        <v>7</v>
      </c>
      <c r="H194" s="23">
        <v>81827</v>
      </c>
      <c r="I194" s="32" t="s">
        <v>2689</v>
      </c>
      <c r="J194" s="22">
        <v>70619444</v>
      </c>
      <c r="K194" s="22" t="s">
        <v>7509</v>
      </c>
      <c r="L194" s="22" t="s">
        <v>7510</v>
      </c>
      <c r="M194" s="40">
        <v>29900</v>
      </c>
      <c r="N194" s="88">
        <v>0</v>
      </c>
      <c r="O194" s="34" t="s">
        <v>7169</v>
      </c>
      <c r="P194" s="32" t="s">
        <v>7341</v>
      </c>
    </row>
    <row r="195" spans="1:16" x14ac:dyDescent="0.35">
      <c r="A195" s="32" t="str">
        <f t="shared" ref="A195:C195" si="192">A194</f>
        <v>2026 JAN-APR SHARP PRICE</v>
      </c>
      <c r="B195" s="33">
        <f t="shared" si="192"/>
        <v>46121</v>
      </c>
      <c r="C195" s="33">
        <f t="shared" si="192"/>
        <v>46127</v>
      </c>
      <c r="D195" s="32">
        <v>3284</v>
      </c>
      <c r="E195" s="32">
        <v>338</v>
      </c>
      <c r="F195" s="32">
        <v>4</v>
      </c>
      <c r="G195" s="23">
        <v>7</v>
      </c>
      <c r="H195" s="23">
        <v>81827</v>
      </c>
      <c r="I195" s="32" t="s">
        <v>2689</v>
      </c>
      <c r="J195" s="22">
        <v>70619453</v>
      </c>
      <c r="K195" s="22" t="s">
        <v>7509</v>
      </c>
      <c r="L195" s="22" t="s">
        <v>7511</v>
      </c>
      <c r="M195" s="40">
        <v>29900</v>
      </c>
      <c r="N195" s="88">
        <v>0</v>
      </c>
      <c r="O195" s="34" t="s">
        <v>7169</v>
      </c>
      <c r="P195" s="32" t="s">
        <v>7341</v>
      </c>
    </row>
    <row r="196" spans="1:16" x14ac:dyDescent="0.35">
      <c r="A196" s="32" t="str">
        <f t="shared" ref="A196:C196" si="193">A195</f>
        <v>2026 JAN-APR SHARP PRICE</v>
      </c>
      <c r="B196" s="33">
        <f t="shared" si="193"/>
        <v>46121</v>
      </c>
      <c r="C196" s="33">
        <f t="shared" si="193"/>
        <v>46127</v>
      </c>
      <c r="D196" s="32">
        <v>3284</v>
      </c>
      <c r="E196" s="32">
        <v>338</v>
      </c>
      <c r="F196" s="32">
        <v>4</v>
      </c>
      <c r="G196" s="23">
        <v>7</v>
      </c>
      <c r="H196" s="23">
        <v>81827</v>
      </c>
      <c r="I196" s="32" t="s">
        <v>2689</v>
      </c>
      <c r="J196" s="22">
        <v>70619462</v>
      </c>
      <c r="K196" s="22" t="s">
        <v>7509</v>
      </c>
      <c r="L196" s="22" t="s">
        <v>7512</v>
      </c>
      <c r="M196" s="40">
        <v>29900</v>
      </c>
      <c r="N196" s="88">
        <v>0</v>
      </c>
      <c r="O196" s="34" t="s">
        <v>7169</v>
      </c>
      <c r="P196" s="32" t="s">
        <v>7341</v>
      </c>
    </row>
    <row r="197" spans="1:16" x14ac:dyDescent="0.35">
      <c r="A197" s="32" t="str">
        <f t="shared" ref="A197:C197" si="194">A196</f>
        <v>2026 JAN-APR SHARP PRICE</v>
      </c>
      <c r="B197" s="33">
        <f t="shared" si="194"/>
        <v>46121</v>
      </c>
      <c r="C197" s="33">
        <f t="shared" si="194"/>
        <v>46127</v>
      </c>
      <c r="D197" s="32">
        <v>3284</v>
      </c>
      <c r="E197" s="32">
        <v>338</v>
      </c>
      <c r="F197" s="32">
        <v>4</v>
      </c>
      <c r="G197" s="23">
        <v>4</v>
      </c>
      <c r="H197" s="23">
        <v>81588</v>
      </c>
      <c r="I197" s="32" t="s">
        <v>2689</v>
      </c>
      <c r="J197" s="22">
        <v>68995408</v>
      </c>
      <c r="K197" s="22" t="s">
        <v>7513</v>
      </c>
      <c r="L197" s="22" t="s">
        <v>7514</v>
      </c>
      <c r="M197" s="40">
        <v>149900</v>
      </c>
      <c r="N197" s="88">
        <v>0</v>
      </c>
      <c r="O197" s="34" t="s">
        <v>7169</v>
      </c>
      <c r="P197" s="32" t="s">
        <v>7341</v>
      </c>
    </row>
    <row r="198" spans="1:16" x14ac:dyDescent="0.35">
      <c r="A198" s="32" t="str">
        <f t="shared" ref="A198:C198" si="195">A197</f>
        <v>2026 JAN-APR SHARP PRICE</v>
      </c>
      <c r="B198" s="33">
        <f t="shared" si="195"/>
        <v>46121</v>
      </c>
      <c r="C198" s="33">
        <f t="shared" si="195"/>
        <v>46127</v>
      </c>
      <c r="D198" s="32">
        <v>3284</v>
      </c>
      <c r="E198" s="32">
        <v>338</v>
      </c>
      <c r="F198" s="32">
        <v>4</v>
      </c>
      <c r="G198" s="23">
        <v>4</v>
      </c>
      <c r="H198" s="23">
        <v>81588</v>
      </c>
      <c r="I198" s="32" t="s">
        <v>2689</v>
      </c>
      <c r="J198" s="22">
        <v>68995417</v>
      </c>
      <c r="K198" s="22" t="s">
        <v>7513</v>
      </c>
      <c r="L198" s="22" t="s">
        <v>7515</v>
      </c>
      <c r="M198" s="40">
        <v>149900</v>
      </c>
      <c r="N198" s="88">
        <v>0</v>
      </c>
      <c r="O198" s="34" t="s">
        <v>7169</v>
      </c>
      <c r="P198" s="32" t="s">
        <v>7341</v>
      </c>
    </row>
    <row r="199" spans="1:16" x14ac:dyDescent="0.35">
      <c r="A199" s="32" t="str">
        <f t="shared" ref="A199:C199" si="196">A198</f>
        <v>2026 JAN-APR SHARP PRICE</v>
      </c>
      <c r="B199" s="33">
        <f t="shared" si="196"/>
        <v>46121</v>
      </c>
      <c r="C199" s="33">
        <f t="shared" si="196"/>
        <v>46127</v>
      </c>
      <c r="D199" s="32">
        <v>3284</v>
      </c>
      <c r="E199" s="32">
        <v>338</v>
      </c>
      <c r="F199" s="32">
        <v>4</v>
      </c>
      <c r="G199" s="23">
        <v>4</v>
      </c>
      <c r="H199" s="23">
        <v>81588</v>
      </c>
      <c r="I199" s="32" t="s">
        <v>2689</v>
      </c>
      <c r="J199" s="22">
        <v>68995426</v>
      </c>
      <c r="K199" s="22" t="s">
        <v>7513</v>
      </c>
      <c r="L199" s="22" t="s">
        <v>7516</v>
      </c>
      <c r="M199" s="40">
        <v>149900</v>
      </c>
      <c r="N199" s="88">
        <v>0</v>
      </c>
      <c r="O199" s="34" t="s">
        <v>7169</v>
      </c>
      <c r="P199" s="32" t="s">
        <v>7341</v>
      </c>
    </row>
    <row r="200" spans="1:16" x14ac:dyDescent="0.35">
      <c r="A200" s="32" t="str">
        <f t="shared" ref="A200:C200" si="197">A199</f>
        <v>2026 JAN-APR SHARP PRICE</v>
      </c>
      <c r="B200" s="33">
        <f t="shared" si="197"/>
        <v>46121</v>
      </c>
      <c r="C200" s="33">
        <f t="shared" si="197"/>
        <v>46127</v>
      </c>
      <c r="D200" s="32">
        <v>3284</v>
      </c>
      <c r="E200" s="32">
        <v>338</v>
      </c>
      <c r="F200" s="32">
        <v>4</v>
      </c>
      <c r="G200" s="23">
        <v>4</v>
      </c>
      <c r="H200" s="23">
        <v>81588</v>
      </c>
      <c r="I200" s="32" t="s">
        <v>2689</v>
      </c>
      <c r="J200" s="22">
        <v>68995435</v>
      </c>
      <c r="K200" s="22" t="s">
        <v>7513</v>
      </c>
      <c r="L200" s="22" t="s">
        <v>7517</v>
      </c>
      <c r="M200" s="40">
        <v>149900</v>
      </c>
      <c r="N200" s="88">
        <v>0</v>
      </c>
      <c r="O200" s="34" t="s">
        <v>7169</v>
      </c>
      <c r="P200" s="32" t="s">
        <v>7341</v>
      </c>
    </row>
    <row r="201" spans="1:16" x14ac:dyDescent="0.35">
      <c r="A201" s="32" t="str">
        <f t="shared" ref="A201:C201" si="198">A200</f>
        <v>2026 JAN-APR SHARP PRICE</v>
      </c>
      <c r="B201" s="33">
        <f t="shared" si="198"/>
        <v>46121</v>
      </c>
      <c r="C201" s="33">
        <f t="shared" si="198"/>
        <v>46127</v>
      </c>
      <c r="D201" s="32">
        <v>3284</v>
      </c>
      <c r="E201" s="32">
        <v>338</v>
      </c>
      <c r="F201" s="32">
        <v>4</v>
      </c>
      <c r="G201" s="23">
        <v>4</v>
      </c>
      <c r="H201" s="23">
        <v>81588</v>
      </c>
      <c r="I201" s="32" t="s">
        <v>2689</v>
      </c>
      <c r="J201" s="22">
        <v>68995444</v>
      </c>
      <c r="K201" s="22" t="s">
        <v>7513</v>
      </c>
      <c r="L201" s="22" t="s">
        <v>7518</v>
      </c>
      <c r="M201" s="40">
        <v>149900</v>
      </c>
      <c r="N201" s="88">
        <v>0</v>
      </c>
      <c r="O201" s="34" t="s">
        <v>7169</v>
      </c>
      <c r="P201" s="32" t="s">
        <v>7341</v>
      </c>
    </row>
    <row r="202" spans="1:16" x14ac:dyDescent="0.35">
      <c r="A202" s="32" t="str">
        <f t="shared" ref="A202:C202" si="199">A201</f>
        <v>2026 JAN-APR SHARP PRICE</v>
      </c>
      <c r="B202" s="33">
        <f t="shared" si="199"/>
        <v>46121</v>
      </c>
      <c r="C202" s="33">
        <f t="shared" si="199"/>
        <v>46127</v>
      </c>
      <c r="D202" s="32">
        <v>3284</v>
      </c>
      <c r="E202" s="32">
        <v>338</v>
      </c>
      <c r="F202" s="32">
        <v>4</v>
      </c>
      <c r="G202" s="23">
        <v>4</v>
      </c>
      <c r="H202" s="23">
        <v>81588</v>
      </c>
      <c r="I202" s="32" t="s">
        <v>2689</v>
      </c>
      <c r="J202" s="22">
        <v>68995453</v>
      </c>
      <c r="K202" s="22" t="s">
        <v>7513</v>
      </c>
      <c r="L202" s="22" t="s">
        <v>7519</v>
      </c>
      <c r="M202" s="40">
        <v>149900</v>
      </c>
      <c r="N202" s="88">
        <v>0</v>
      </c>
      <c r="O202" s="34" t="s">
        <v>7169</v>
      </c>
      <c r="P202" s="32" t="s">
        <v>7341</v>
      </c>
    </row>
    <row r="203" spans="1:16" x14ac:dyDescent="0.35">
      <c r="A203" s="32" t="str">
        <f t="shared" ref="A203:C203" si="200">A202</f>
        <v>2026 JAN-APR SHARP PRICE</v>
      </c>
      <c r="B203" s="33">
        <f t="shared" si="200"/>
        <v>46121</v>
      </c>
      <c r="C203" s="33">
        <f t="shared" si="200"/>
        <v>46127</v>
      </c>
      <c r="D203" s="32">
        <v>3284</v>
      </c>
      <c r="E203" s="32">
        <v>338</v>
      </c>
      <c r="F203" s="32">
        <v>4</v>
      </c>
      <c r="G203" s="23">
        <v>4</v>
      </c>
      <c r="H203" s="23">
        <v>81588</v>
      </c>
      <c r="I203" s="32" t="s">
        <v>2689</v>
      </c>
      <c r="J203" s="22">
        <v>68995462</v>
      </c>
      <c r="K203" s="22" t="s">
        <v>7513</v>
      </c>
      <c r="L203" s="22" t="s">
        <v>7520</v>
      </c>
      <c r="M203" s="40">
        <v>149900</v>
      </c>
      <c r="N203" s="88">
        <v>0</v>
      </c>
      <c r="O203" s="34" t="s">
        <v>7169</v>
      </c>
      <c r="P203" s="32" t="s">
        <v>7341</v>
      </c>
    </row>
    <row r="204" spans="1:16" x14ac:dyDescent="0.35">
      <c r="A204" s="32" t="str">
        <f t="shared" ref="A204:C204" si="201">A203</f>
        <v>2026 JAN-APR SHARP PRICE</v>
      </c>
      <c r="B204" s="33">
        <f t="shared" si="201"/>
        <v>46121</v>
      </c>
      <c r="C204" s="33">
        <f t="shared" si="201"/>
        <v>46127</v>
      </c>
      <c r="D204" s="32">
        <v>3284</v>
      </c>
      <c r="E204" s="32">
        <v>338</v>
      </c>
      <c r="F204" s="32">
        <v>4</v>
      </c>
      <c r="G204" s="23">
        <v>4</v>
      </c>
      <c r="H204" s="23">
        <v>81588</v>
      </c>
      <c r="I204" s="32" t="s">
        <v>2689</v>
      </c>
      <c r="J204" s="22">
        <v>68995471</v>
      </c>
      <c r="K204" s="22" t="s">
        <v>7513</v>
      </c>
      <c r="L204" s="22" t="s">
        <v>7521</v>
      </c>
      <c r="M204" s="40">
        <v>149900</v>
      </c>
      <c r="N204" s="88">
        <v>0</v>
      </c>
      <c r="O204" s="34" t="s">
        <v>7169</v>
      </c>
      <c r="P204" s="32" t="s">
        <v>7341</v>
      </c>
    </row>
    <row r="205" spans="1:16" x14ac:dyDescent="0.35">
      <c r="A205" s="32" t="str">
        <f t="shared" ref="A205:C205" si="202">A204</f>
        <v>2026 JAN-APR SHARP PRICE</v>
      </c>
      <c r="B205" s="33">
        <f t="shared" si="202"/>
        <v>46121</v>
      </c>
      <c r="C205" s="33">
        <f t="shared" si="202"/>
        <v>46127</v>
      </c>
      <c r="D205" s="32">
        <v>3284</v>
      </c>
      <c r="E205" s="32">
        <v>338</v>
      </c>
      <c r="F205" s="32">
        <v>4</v>
      </c>
      <c r="G205" s="23">
        <v>2</v>
      </c>
      <c r="H205" s="23">
        <v>81679</v>
      </c>
      <c r="I205" s="32" t="s">
        <v>2689</v>
      </c>
      <c r="J205" s="22">
        <v>70991934</v>
      </c>
      <c r="K205" s="22" t="s">
        <v>7522</v>
      </c>
      <c r="L205" s="22" t="s">
        <v>7523</v>
      </c>
      <c r="M205" s="40">
        <v>179900</v>
      </c>
      <c r="N205" s="88">
        <v>0</v>
      </c>
      <c r="O205" s="34" t="s">
        <v>7169</v>
      </c>
      <c r="P205" s="32" t="s">
        <v>7341</v>
      </c>
    </row>
    <row r="206" spans="1:16" x14ac:dyDescent="0.35">
      <c r="A206" s="32" t="str">
        <f t="shared" ref="A206:C206" si="203">A205</f>
        <v>2026 JAN-APR SHARP PRICE</v>
      </c>
      <c r="B206" s="33">
        <f t="shared" si="203"/>
        <v>46121</v>
      </c>
      <c r="C206" s="33">
        <f t="shared" si="203"/>
        <v>46127</v>
      </c>
      <c r="D206" s="32">
        <v>3284</v>
      </c>
      <c r="E206" s="32">
        <v>338</v>
      </c>
      <c r="F206" s="32">
        <v>4</v>
      </c>
      <c r="G206" s="23">
        <v>2</v>
      </c>
      <c r="H206" s="23">
        <v>81679</v>
      </c>
      <c r="I206" s="32" t="s">
        <v>2689</v>
      </c>
      <c r="J206" s="22">
        <v>70991943</v>
      </c>
      <c r="K206" s="22" t="s">
        <v>7522</v>
      </c>
      <c r="L206" s="22" t="s">
        <v>7524</v>
      </c>
      <c r="M206" s="40">
        <v>179900</v>
      </c>
      <c r="N206" s="88">
        <v>0</v>
      </c>
      <c r="O206" s="34" t="s">
        <v>7169</v>
      </c>
      <c r="P206" s="32" t="s">
        <v>7341</v>
      </c>
    </row>
    <row r="207" spans="1:16" x14ac:dyDescent="0.35">
      <c r="A207" s="32" t="str">
        <f t="shared" ref="A207:C207" si="204">A206</f>
        <v>2026 JAN-APR SHARP PRICE</v>
      </c>
      <c r="B207" s="33">
        <f t="shared" si="204"/>
        <v>46121</v>
      </c>
      <c r="C207" s="33">
        <f t="shared" si="204"/>
        <v>46127</v>
      </c>
      <c r="D207" s="32">
        <v>3284</v>
      </c>
      <c r="E207" s="32">
        <v>338</v>
      </c>
      <c r="F207" s="32">
        <v>4</v>
      </c>
      <c r="G207" s="23">
        <v>2</v>
      </c>
      <c r="H207" s="23">
        <v>81679</v>
      </c>
      <c r="I207" s="32" t="s">
        <v>2689</v>
      </c>
      <c r="J207" s="22">
        <v>70991952</v>
      </c>
      <c r="K207" s="22" t="s">
        <v>7522</v>
      </c>
      <c r="L207" s="22" t="s">
        <v>7525</v>
      </c>
      <c r="M207" s="40">
        <v>179900</v>
      </c>
      <c r="N207" s="88">
        <v>0</v>
      </c>
      <c r="O207" s="34" t="s">
        <v>7169</v>
      </c>
      <c r="P207" s="32" t="s">
        <v>7341</v>
      </c>
    </row>
    <row r="208" spans="1:16" x14ac:dyDescent="0.35">
      <c r="A208" s="32" t="str">
        <f t="shared" ref="A208:C208" si="205">A207</f>
        <v>2026 JAN-APR SHARP PRICE</v>
      </c>
      <c r="B208" s="33">
        <f t="shared" si="205"/>
        <v>46121</v>
      </c>
      <c r="C208" s="33">
        <f t="shared" si="205"/>
        <v>46127</v>
      </c>
      <c r="D208" s="32">
        <v>3284</v>
      </c>
      <c r="E208" s="32">
        <v>338</v>
      </c>
      <c r="F208" s="32">
        <v>4</v>
      </c>
      <c r="G208" s="23">
        <v>2</v>
      </c>
      <c r="H208" s="23">
        <v>81679</v>
      </c>
      <c r="I208" s="32" t="s">
        <v>2689</v>
      </c>
      <c r="J208" s="22">
        <v>70991961</v>
      </c>
      <c r="K208" s="22" t="s">
        <v>7522</v>
      </c>
      <c r="L208" s="22" t="s">
        <v>7526</v>
      </c>
      <c r="M208" s="40">
        <v>179900</v>
      </c>
      <c r="N208" s="88">
        <v>0</v>
      </c>
      <c r="O208" s="34" t="s">
        <v>7169</v>
      </c>
      <c r="P208" s="32" t="s">
        <v>7341</v>
      </c>
    </row>
    <row r="209" spans="1:16" x14ac:dyDescent="0.35">
      <c r="A209" s="32" t="str">
        <f t="shared" ref="A209:C209" si="206">A208</f>
        <v>2026 JAN-APR SHARP PRICE</v>
      </c>
      <c r="B209" s="33">
        <f t="shared" si="206"/>
        <v>46121</v>
      </c>
      <c r="C209" s="33">
        <f t="shared" si="206"/>
        <v>46127</v>
      </c>
      <c r="D209" s="32">
        <v>3284</v>
      </c>
      <c r="E209" s="32">
        <v>338</v>
      </c>
      <c r="F209" s="32">
        <v>4</v>
      </c>
      <c r="G209" s="23">
        <v>2</v>
      </c>
      <c r="H209" s="23">
        <v>81679</v>
      </c>
      <c r="I209" s="32" t="s">
        <v>2689</v>
      </c>
      <c r="J209" s="22">
        <v>70991970</v>
      </c>
      <c r="K209" s="22" t="s">
        <v>7522</v>
      </c>
      <c r="L209" s="22" t="s">
        <v>7527</v>
      </c>
      <c r="M209" s="40">
        <v>179900</v>
      </c>
      <c r="N209" s="88">
        <v>0</v>
      </c>
      <c r="O209" s="34" t="s">
        <v>7169</v>
      </c>
      <c r="P209" s="32" t="s">
        <v>7341</v>
      </c>
    </row>
    <row r="210" spans="1:16" x14ac:dyDescent="0.35">
      <c r="A210" s="32" t="str">
        <f t="shared" ref="A210:C210" si="207">A209</f>
        <v>2026 JAN-APR SHARP PRICE</v>
      </c>
      <c r="B210" s="33">
        <f t="shared" si="207"/>
        <v>46121</v>
      </c>
      <c r="C210" s="33">
        <f t="shared" si="207"/>
        <v>46127</v>
      </c>
      <c r="D210" s="32">
        <v>3284</v>
      </c>
      <c r="E210" s="32">
        <v>338</v>
      </c>
      <c r="F210" s="32">
        <v>4</v>
      </c>
      <c r="G210" s="23">
        <v>2</v>
      </c>
      <c r="H210" s="23">
        <v>81679</v>
      </c>
      <c r="I210" s="32" t="s">
        <v>2689</v>
      </c>
      <c r="J210" s="22">
        <v>70991989</v>
      </c>
      <c r="K210" s="22" t="s">
        <v>7522</v>
      </c>
      <c r="L210" s="22" t="s">
        <v>7528</v>
      </c>
      <c r="M210" s="40">
        <v>179900</v>
      </c>
      <c r="N210" s="88">
        <v>0</v>
      </c>
      <c r="O210" s="34" t="s">
        <v>7169</v>
      </c>
      <c r="P210" s="32" t="s">
        <v>7341</v>
      </c>
    </row>
    <row r="211" spans="1:16" x14ac:dyDescent="0.35">
      <c r="A211" s="32" t="str">
        <f t="shared" ref="A211:C211" si="208">A210</f>
        <v>2026 JAN-APR SHARP PRICE</v>
      </c>
      <c r="B211" s="33">
        <f t="shared" si="208"/>
        <v>46121</v>
      </c>
      <c r="C211" s="33">
        <f t="shared" si="208"/>
        <v>46127</v>
      </c>
      <c r="D211" s="32">
        <v>3284</v>
      </c>
      <c r="E211" s="32">
        <v>338</v>
      </c>
      <c r="F211" s="32">
        <v>4</v>
      </c>
      <c r="G211" s="23">
        <v>2</v>
      </c>
      <c r="H211" s="23">
        <v>81679</v>
      </c>
      <c r="I211" s="32" t="s">
        <v>2689</v>
      </c>
      <c r="J211" s="22">
        <v>70991998</v>
      </c>
      <c r="K211" s="22" t="s">
        <v>7522</v>
      </c>
      <c r="L211" s="22" t="s">
        <v>7529</v>
      </c>
      <c r="M211" s="40">
        <v>179900</v>
      </c>
      <c r="N211" s="88">
        <v>0</v>
      </c>
      <c r="O211" s="34" t="s">
        <v>7169</v>
      </c>
      <c r="P211" s="32" t="s">
        <v>7341</v>
      </c>
    </row>
    <row r="212" spans="1:16" x14ac:dyDescent="0.35">
      <c r="A212" s="32" t="str">
        <f t="shared" ref="A212:C212" si="209">A211</f>
        <v>2026 JAN-APR SHARP PRICE</v>
      </c>
      <c r="B212" s="33">
        <f t="shared" si="209"/>
        <v>46121</v>
      </c>
      <c r="C212" s="33">
        <f t="shared" si="209"/>
        <v>46127</v>
      </c>
      <c r="D212" s="32">
        <v>3284</v>
      </c>
      <c r="E212" s="32">
        <v>338</v>
      </c>
      <c r="F212" s="32">
        <v>4</v>
      </c>
      <c r="G212" s="23">
        <v>2</v>
      </c>
      <c r="H212" s="23">
        <v>81679</v>
      </c>
      <c r="I212" s="32" t="s">
        <v>2689</v>
      </c>
      <c r="J212" s="22">
        <v>70992004</v>
      </c>
      <c r="K212" s="22" t="s">
        <v>7522</v>
      </c>
      <c r="L212" s="22" t="s">
        <v>7530</v>
      </c>
      <c r="M212" s="40">
        <v>179900</v>
      </c>
      <c r="N212" s="88">
        <v>0</v>
      </c>
      <c r="O212" s="34" t="s">
        <v>7169</v>
      </c>
      <c r="P212" s="32" t="s">
        <v>7341</v>
      </c>
    </row>
    <row r="213" spans="1:16" x14ac:dyDescent="0.35">
      <c r="A213" s="32" t="str">
        <f t="shared" ref="A213:C213" si="210">A212</f>
        <v>2026 JAN-APR SHARP PRICE</v>
      </c>
      <c r="B213" s="33">
        <f t="shared" si="210"/>
        <v>46121</v>
      </c>
      <c r="C213" s="33">
        <f t="shared" si="210"/>
        <v>46127</v>
      </c>
      <c r="D213" s="32">
        <v>3284</v>
      </c>
      <c r="E213" s="32">
        <v>338</v>
      </c>
      <c r="F213" s="32">
        <v>4</v>
      </c>
      <c r="G213" s="23">
        <v>7</v>
      </c>
      <c r="H213" s="23">
        <v>81827</v>
      </c>
      <c r="I213" s="32" t="s">
        <v>2689</v>
      </c>
      <c r="J213" s="22">
        <v>69654202</v>
      </c>
      <c r="K213" s="22" t="s">
        <v>7531</v>
      </c>
      <c r="L213" s="22" t="s">
        <v>7532</v>
      </c>
      <c r="M213" s="40">
        <v>29900</v>
      </c>
      <c r="N213" s="88">
        <v>0</v>
      </c>
      <c r="O213" s="34" t="s">
        <v>7169</v>
      </c>
      <c r="P213" s="32" t="s">
        <v>7341</v>
      </c>
    </row>
    <row r="214" spans="1:16" x14ac:dyDescent="0.35">
      <c r="A214" s="32" t="str">
        <f t="shared" ref="A214:C214" si="211">A213</f>
        <v>2026 JAN-APR SHARP PRICE</v>
      </c>
      <c r="B214" s="33">
        <f t="shared" si="211"/>
        <v>46121</v>
      </c>
      <c r="C214" s="33">
        <f t="shared" si="211"/>
        <v>46127</v>
      </c>
      <c r="D214" s="32">
        <v>3284</v>
      </c>
      <c r="E214" s="32">
        <v>338</v>
      </c>
      <c r="F214" s="32">
        <v>4</v>
      </c>
      <c r="G214" s="23">
        <v>7</v>
      </c>
      <c r="H214" s="23">
        <v>81827</v>
      </c>
      <c r="I214" s="32" t="s">
        <v>2689</v>
      </c>
      <c r="J214" s="22">
        <v>69654211</v>
      </c>
      <c r="K214" s="22" t="s">
        <v>7531</v>
      </c>
      <c r="L214" s="22" t="s">
        <v>7533</v>
      </c>
      <c r="M214" s="40">
        <v>29900</v>
      </c>
      <c r="N214" s="88">
        <v>0</v>
      </c>
      <c r="O214" s="34" t="s">
        <v>7169</v>
      </c>
      <c r="P214" s="32" t="s">
        <v>7341</v>
      </c>
    </row>
    <row r="215" spans="1:16" x14ac:dyDescent="0.35">
      <c r="A215" s="32" t="str">
        <f t="shared" ref="A215:C215" si="212">A214</f>
        <v>2026 JAN-APR SHARP PRICE</v>
      </c>
      <c r="B215" s="33">
        <f t="shared" si="212"/>
        <v>46121</v>
      </c>
      <c r="C215" s="33">
        <f t="shared" si="212"/>
        <v>46127</v>
      </c>
      <c r="D215" s="32">
        <v>3284</v>
      </c>
      <c r="E215" s="32">
        <v>338</v>
      </c>
      <c r="F215" s="32">
        <v>4</v>
      </c>
      <c r="G215" s="23">
        <v>7</v>
      </c>
      <c r="H215" s="23">
        <v>81827</v>
      </c>
      <c r="I215" s="32" t="s">
        <v>2689</v>
      </c>
      <c r="J215" s="22">
        <v>69654220</v>
      </c>
      <c r="K215" s="22" t="s">
        <v>7531</v>
      </c>
      <c r="L215" s="22" t="s">
        <v>7534</v>
      </c>
      <c r="M215" s="40">
        <v>29900</v>
      </c>
      <c r="N215" s="88">
        <v>0</v>
      </c>
      <c r="O215" s="34" t="s">
        <v>7169</v>
      </c>
      <c r="P215" s="32" t="s">
        <v>7341</v>
      </c>
    </row>
    <row r="216" spans="1:16" x14ac:dyDescent="0.35">
      <c r="A216" s="32" t="str">
        <f t="shared" ref="A216:C216" si="213">A215</f>
        <v>2026 JAN-APR SHARP PRICE</v>
      </c>
      <c r="B216" s="33">
        <f t="shared" si="213"/>
        <v>46121</v>
      </c>
      <c r="C216" s="33">
        <f t="shared" si="213"/>
        <v>46127</v>
      </c>
      <c r="D216" s="32">
        <v>3284</v>
      </c>
      <c r="E216" s="32">
        <v>338</v>
      </c>
      <c r="F216" s="32">
        <v>4</v>
      </c>
      <c r="G216" s="23">
        <v>10</v>
      </c>
      <c r="H216" s="23">
        <v>81827</v>
      </c>
      <c r="I216" s="32" t="s">
        <v>2689</v>
      </c>
      <c r="J216" s="22">
        <v>69716494</v>
      </c>
      <c r="K216" s="22" t="s">
        <v>7535</v>
      </c>
      <c r="L216" s="22" t="s">
        <v>7536</v>
      </c>
      <c r="M216" s="40">
        <v>29900</v>
      </c>
      <c r="N216" s="88">
        <v>0</v>
      </c>
      <c r="O216" s="34" t="s">
        <v>7169</v>
      </c>
      <c r="P216" s="32" t="s">
        <v>7341</v>
      </c>
    </row>
    <row r="217" spans="1:16" x14ac:dyDescent="0.35">
      <c r="A217" s="32" t="str">
        <f t="shared" ref="A217:C217" si="214">A216</f>
        <v>2026 JAN-APR SHARP PRICE</v>
      </c>
      <c r="B217" s="33">
        <f t="shared" si="214"/>
        <v>46121</v>
      </c>
      <c r="C217" s="33">
        <f t="shared" si="214"/>
        <v>46127</v>
      </c>
      <c r="D217" s="32">
        <v>3284</v>
      </c>
      <c r="E217" s="32">
        <v>338</v>
      </c>
      <c r="F217" s="32">
        <v>4</v>
      </c>
      <c r="G217" s="23">
        <v>10</v>
      </c>
      <c r="H217" s="23">
        <v>81827</v>
      </c>
      <c r="I217" s="32" t="s">
        <v>2689</v>
      </c>
      <c r="J217" s="22">
        <v>69716501</v>
      </c>
      <c r="K217" s="22" t="s">
        <v>7535</v>
      </c>
      <c r="L217" s="22" t="s">
        <v>7537</v>
      </c>
      <c r="M217" s="40">
        <v>29900</v>
      </c>
      <c r="N217" s="88">
        <v>0</v>
      </c>
      <c r="O217" s="34" t="s">
        <v>7169</v>
      </c>
      <c r="P217" s="32" t="s">
        <v>7341</v>
      </c>
    </row>
    <row r="218" spans="1:16" x14ac:dyDescent="0.35">
      <c r="A218" s="32" t="str">
        <f t="shared" ref="A218:C218" si="215">A217</f>
        <v>2026 JAN-APR SHARP PRICE</v>
      </c>
      <c r="B218" s="33">
        <f t="shared" si="215"/>
        <v>46121</v>
      </c>
      <c r="C218" s="33">
        <f t="shared" si="215"/>
        <v>46127</v>
      </c>
      <c r="D218" s="32">
        <v>3284</v>
      </c>
      <c r="E218" s="32">
        <v>338</v>
      </c>
      <c r="F218" s="32">
        <v>4</v>
      </c>
      <c r="G218" s="23">
        <v>10</v>
      </c>
      <c r="H218" s="23">
        <v>81827</v>
      </c>
      <c r="I218" s="32" t="s">
        <v>2689</v>
      </c>
      <c r="J218" s="22">
        <v>69716510</v>
      </c>
      <c r="K218" s="22" t="s">
        <v>7535</v>
      </c>
      <c r="L218" s="22" t="s">
        <v>7538</v>
      </c>
      <c r="M218" s="40">
        <v>29900</v>
      </c>
      <c r="N218" s="88">
        <v>0</v>
      </c>
      <c r="O218" s="34" t="s">
        <v>7169</v>
      </c>
      <c r="P218" s="32" t="s">
        <v>7341</v>
      </c>
    </row>
    <row r="219" spans="1:16" x14ac:dyDescent="0.35">
      <c r="A219" s="32" t="str">
        <f t="shared" ref="A219:C219" si="216">A218</f>
        <v>2026 JAN-APR SHARP PRICE</v>
      </c>
      <c r="B219" s="33">
        <f t="shared" si="216"/>
        <v>46121</v>
      </c>
      <c r="C219" s="33">
        <f t="shared" si="216"/>
        <v>46127</v>
      </c>
      <c r="D219" s="32">
        <v>3284</v>
      </c>
      <c r="E219" s="32">
        <v>338</v>
      </c>
      <c r="F219" s="32">
        <v>4</v>
      </c>
      <c r="G219" s="23">
        <v>7</v>
      </c>
      <c r="H219" s="23">
        <v>81827</v>
      </c>
      <c r="I219" s="32" t="s">
        <v>2689</v>
      </c>
      <c r="J219" s="22">
        <v>69689041</v>
      </c>
      <c r="K219" s="22" t="s">
        <v>7539</v>
      </c>
      <c r="L219" s="22" t="s">
        <v>7540</v>
      </c>
      <c r="M219" s="40">
        <v>29900</v>
      </c>
      <c r="N219" s="88">
        <v>0</v>
      </c>
      <c r="O219" s="34" t="s">
        <v>7169</v>
      </c>
      <c r="P219" s="32" t="s">
        <v>7341</v>
      </c>
    </row>
    <row r="220" spans="1:16" x14ac:dyDescent="0.35">
      <c r="A220" s="32" t="str">
        <f t="shared" ref="A220:C220" si="217">A219</f>
        <v>2026 JAN-APR SHARP PRICE</v>
      </c>
      <c r="B220" s="33">
        <f t="shared" si="217"/>
        <v>46121</v>
      </c>
      <c r="C220" s="33">
        <f t="shared" si="217"/>
        <v>46127</v>
      </c>
      <c r="D220" s="32">
        <v>3284</v>
      </c>
      <c r="E220" s="32">
        <v>338</v>
      </c>
      <c r="F220" s="32">
        <v>4</v>
      </c>
      <c r="G220" s="23">
        <v>7</v>
      </c>
      <c r="H220" s="23">
        <v>81827</v>
      </c>
      <c r="I220" s="32" t="s">
        <v>2689</v>
      </c>
      <c r="J220" s="22">
        <v>69689050</v>
      </c>
      <c r="K220" s="22" t="s">
        <v>7539</v>
      </c>
      <c r="L220" s="22" t="s">
        <v>7541</v>
      </c>
      <c r="M220" s="40">
        <v>29900</v>
      </c>
      <c r="N220" s="88">
        <v>0</v>
      </c>
      <c r="O220" s="34" t="s">
        <v>7169</v>
      </c>
      <c r="P220" s="32" t="s">
        <v>7341</v>
      </c>
    </row>
    <row r="221" spans="1:16" x14ac:dyDescent="0.35">
      <c r="A221" s="32" t="str">
        <f t="shared" ref="A221:C221" si="218">A220</f>
        <v>2026 JAN-APR SHARP PRICE</v>
      </c>
      <c r="B221" s="33">
        <f t="shared" si="218"/>
        <v>46121</v>
      </c>
      <c r="C221" s="33">
        <f t="shared" si="218"/>
        <v>46127</v>
      </c>
      <c r="D221" s="32">
        <v>3284</v>
      </c>
      <c r="E221" s="32">
        <v>338</v>
      </c>
      <c r="F221" s="32">
        <v>4</v>
      </c>
      <c r="G221" s="23">
        <v>7</v>
      </c>
      <c r="H221" s="23">
        <v>81827</v>
      </c>
      <c r="I221" s="32" t="s">
        <v>2689</v>
      </c>
      <c r="J221" s="22">
        <v>69689069</v>
      </c>
      <c r="K221" s="22" t="s">
        <v>7539</v>
      </c>
      <c r="L221" s="22" t="s">
        <v>7542</v>
      </c>
      <c r="M221" s="40">
        <v>29900</v>
      </c>
      <c r="N221" s="88">
        <v>0</v>
      </c>
      <c r="O221" s="34" t="s">
        <v>7169</v>
      </c>
      <c r="P221" s="32" t="s">
        <v>7341</v>
      </c>
    </row>
    <row r="222" spans="1:16" x14ac:dyDescent="0.35">
      <c r="A222" s="32" t="str">
        <f t="shared" ref="A222:C222" si="219">A221</f>
        <v>2026 JAN-APR SHARP PRICE</v>
      </c>
      <c r="B222" s="33">
        <f t="shared" si="219"/>
        <v>46121</v>
      </c>
      <c r="C222" s="33">
        <f t="shared" si="219"/>
        <v>46127</v>
      </c>
      <c r="D222" s="32">
        <v>3284</v>
      </c>
      <c r="E222" s="32">
        <v>338</v>
      </c>
      <c r="F222" s="32">
        <v>4</v>
      </c>
      <c r="G222" s="23">
        <v>7</v>
      </c>
      <c r="H222" s="23">
        <v>81827</v>
      </c>
      <c r="I222" s="32" t="s">
        <v>2689</v>
      </c>
      <c r="J222" s="22">
        <v>69689023</v>
      </c>
      <c r="K222" s="22" t="s">
        <v>7543</v>
      </c>
      <c r="L222" s="22" t="s">
        <v>7544</v>
      </c>
      <c r="M222" s="40">
        <v>29900</v>
      </c>
      <c r="N222" s="88">
        <v>0</v>
      </c>
      <c r="O222" s="34" t="s">
        <v>7169</v>
      </c>
      <c r="P222" s="32" t="s">
        <v>7341</v>
      </c>
    </row>
    <row r="223" spans="1:16" x14ac:dyDescent="0.35">
      <c r="A223" s="32" t="str">
        <f t="shared" ref="A223:C223" si="220">A222</f>
        <v>2026 JAN-APR SHARP PRICE</v>
      </c>
      <c r="B223" s="33">
        <f t="shared" si="220"/>
        <v>46121</v>
      </c>
      <c r="C223" s="33">
        <f t="shared" si="220"/>
        <v>46127</v>
      </c>
      <c r="D223" s="32">
        <v>3284</v>
      </c>
      <c r="E223" s="32">
        <v>338</v>
      </c>
      <c r="F223" s="32">
        <v>4</v>
      </c>
      <c r="G223" s="23">
        <v>7</v>
      </c>
      <c r="H223" s="23">
        <v>81827</v>
      </c>
      <c r="I223" s="32" t="s">
        <v>2689</v>
      </c>
      <c r="J223" s="22">
        <v>69689032</v>
      </c>
      <c r="K223" s="22" t="s">
        <v>7543</v>
      </c>
      <c r="L223" s="22" t="s">
        <v>7545</v>
      </c>
      <c r="M223" s="40">
        <v>29900</v>
      </c>
      <c r="N223" s="88">
        <v>0</v>
      </c>
      <c r="O223" s="34" t="s">
        <v>7169</v>
      </c>
      <c r="P223" s="32" t="s">
        <v>7341</v>
      </c>
    </row>
    <row r="224" spans="1:16" x14ac:dyDescent="0.35">
      <c r="A224" s="32" t="str">
        <f t="shared" ref="A224:C224" si="221">A223</f>
        <v>2026 JAN-APR SHARP PRICE</v>
      </c>
      <c r="B224" s="33">
        <f t="shared" si="221"/>
        <v>46121</v>
      </c>
      <c r="C224" s="33">
        <f t="shared" si="221"/>
        <v>46127</v>
      </c>
      <c r="D224" s="32">
        <v>3284</v>
      </c>
      <c r="E224" s="32">
        <v>338</v>
      </c>
      <c r="F224" s="32">
        <v>4</v>
      </c>
      <c r="G224" s="23">
        <v>9</v>
      </c>
      <c r="H224" s="23">
        <v>4953</v>
      </c>
      <c r="I224" s="32" t="s">
        <v>2689</v>
      </c>
      <c r="J224" s="22">
        <v>71354844</v>
      </c>
      <c r="K224" s="22" t="s">
        <v>7546</v>
      </c>
      <c r="L224" s="22" t="s">
        <v>7547</v>
      </c>
      <c r="M224" s="40">
        <v>129900</v>
      </c>
      <c r="N224" s="88">
        <v>0</v>
      </c>
      <c r="O224" s="34" t="s">
        <v>7169</v>
      </c>
      <c r="P224" s="32" t="s">
        <v>7341</v>
      </c>
    </row>
    <row r="225" spans="1:16" x14ac:dyDescent="0.35">
      <c r="A225" s="32" t="str">
        <f t="shared" ref="A225:C225" si="222">A224</f>
        <v>2026 JAN-APR SHARP PRICE</v>
      </c>
      <c r="B225" s="33">
        <f t="shared" si="222"/>
        <v>46121</v>
      </c>
      <c r="C225" s="33">
        <f t="shared" si="222"/>
        <v>46127</v>
      </c>
      <c r="D225" s="32">
        <v>3284</v>
      </c>
      <c r="E225" s="32">
        <v>338</v>
      </c>
      <c r="F225" s="32">
        <v>4</v>
      </c>
      <c r="G225" s="23">
        <v>9</v>
      </c>
      <c r="H225" s="23">
        <v>4953</v>
      </c>
      <c r="I225" s="32" t="s">
        <v>2689</v>
      </c>
      <c r="J225" s="22">
        <v>71354853</v>
      </c>
      <c r="K225" s="22" t="s">
        <v>7546</v>
      </c>
      <c r="L225" s="22" t="s">
        <v>7548</v>
      </c>
      <c r="M225" s="40">
        <v>129900</v>
      </c>
      <c r="N225" s="88">
        <v>0</v>
      </c>
      <c r="O225" s="34" t="s">
        <v>7169</v>
      </c>
      <c r="P225" s="32" t="s">
        <v>7341</v>
      </c>
    </row>
    <row r="226" spans="1:16" x14ac:dyDescent="0.35">
      <c r="A226" s="32" t="str">
        <f t="shared" ref="A226:C226" si="223">A225</f>
        <v>2026 JAN-APR SHARP PRICE</v>
      </c>
      <c r="B226" s="33">
        <f t="shared" si="223"/>
        <v>46121</v>
      </c>
      <c r="C226" s="33">
        <f t="shared" si="223"/>
        <v>46127</v>
      </c>
      <c r="D226" s="32">
        <v>3284</v>
      </c>
      <c r="E226" s="32">
        <v>338</v>
      </c>
      <c r="F226" s="32">
        <v>4</v>
      </c>
      <c r="G226" s="23">
        <v>9</v>
      </c>
      <c r="H226" s="23">
        <v>4953</v>
      </c>
      <c r="I226" s="32" t="s">
        <v>2689</v>
      </c>
      <c r="J226" s="22">
        <v>71354862</v>
      </c>
      <c r="K226" s="22" t="s">
        <v>7546</v>
      </c>
      <c r="L226" s="22" t="s">
        <v>7549</v>
      </c>
      <c r="M226" s="40">
        <v>129900</v>
      </c>
      <c r="N226" s="88">
        <v>0</v>
      </c>
      <c r="O226" s="34" t="s">
        <v>7169</v>
      </c>
      <c r="P226" s="32" t="s">
        <v>7341</v>
      </c>
    </row>
    <row r="227" spans="1:16" x14ac:dyDescent="0.35">
      <c r="A227" s="32" t="str">
        <f t="shared" ref="A227:C227" si="224">A226</f>
        <v>2026 JAN-APR SHARP PRICE</v>
      </c>
      <c r="B227" s="33">
        <f t="shared" si="224"/>
        <v>46121</v>
      </c>
      <c r="C227" s="33">
        <f t="shared" si="224"/>
        <v>46127</v>
      </c>
      <c r="D227" s="32">
        <v>3284</v>
      </c>
      <c r="E227" s="32">
        <v>338</v>
      </c>
      <c r="F227" s="32">
        <v>4</v>
      </c>
      <c r="G227" s="23">
        <v>9</v>
      </c>
      <c r="H227" s="23">
        <v>4953</v>
      </c>
      <c r="I227" s="32" t="s">
        <v>2689</v>
      </c>
      <c r="J227" s="22">
        <v>71354871</v>
      </c>
      <c r="K227" s="22" t="s">
        <v>7546</v>
      </c>
      <c r="L227" s="22" t="s">
        <v>7550</v>
      </c>
      <c r="M227" s="40">
        <v>129900</v>
      </c>
      <c r="N227" s="88">
        <v>0</v>
      </c>
      <c r="O227" s="34" t="s">
        <v>7169</v>
      </c>
      <c r="P227" s="32" t="s">
        <v>7341</v>
      </c>
    </row>
    <row r="228" spans="1:16" x14ac:dyDescent="0.35">
      <c r="A228" s="32" t="str">
        <f t="shared" ref="A228:C228" si="225">A227</f>
        <v>2026 JAN-APR SHARP PRICE</v>
      </c>
      <c r="B228" s="33">
        <f t="shared" si="225"/>
        <v>46121</v>
      </c>
      <c r="C228" s="33">
        <f t="shared" si="225"/>
        <v>46127</v>
      </c>
      <c r="D228" s="32">
        <v>3284</v>
      </c>
      <c r="E228" s="32">
        <v>338</v>
      </c>
      <c r="F228" s="32">
        <v>4</v>
      </c>
      <c r="G228" s="23">
        <v>9</v>
      </c>
      <c r="H228" s="23">
        <v>4953</v>
      </c>
      <c r="I228" s="32" t="s">
        <v>2689</v>
      </c>
      <c r="J228" s="22">
        <v>71354880</v>
      </c>
      <c r="K228" s="22" t="s">
        <v>7546</v>
      </c>
      <c r="L228" s="22" t="s">
        <v>7551</v>
      </c>
      <c r="M228" s="40">
        <v>129900</v>
      </c>
      <c r="N228" s="88">
        <v>0</v>
      </c>
      <c r="O228" s="34" t="s">
        <v>7169</v>
      </c>
      <c r="P228" s="32" t="s">
        <v>7341</v>
      </c>
    </row>
    <row r="229" spans="1:16" x14ac:dyDescent="0.35">
      <c r="A229" s="32" t="str">
        <f t="shared" ref="A229:C229" si="226">A228</f>
        <v>2026 JAN-APR SHARP PRICE</v>
      </c>
      <c r="B229" s="33">
        <f t="shared" si="226"/>
        <v>46121</v>
      </c>
      <c r="C229" s="33">
        <f t="shared" si="226"/>
        <v>46127</v>
      </c>
      <c r="D229" s="32">
        <v>3284</v>
      </c>
      <c r="E229" s="32">
        <v>338</v>
      </c>
      <c r="F229" s="32">
        <v>4</v>
      </c>
      <c r="G229" s="23">
        <v>9</v>
      </c>
      <c r="H229" s="23">
        <v>4953</v>
      </c>
      <c r="I229" s="32" t="s">
        <v>2689</v>
      </c>
      <c r="J229" s="22">
        <v>71354899</v>
      </c>
      <c r="K229" s="22" t="s">
        <v>7546</v>
      </c>
      <c r="L229" s="22" t="s">
        <v>7552</v>
      </c>
      <c r="M229" s="40">
        <v>129900</v>
      </c>
      <c r="N229" s="88">
        <v>0</v>
      </c>
      <c r="O229" s="34" t="s">
        <v>7169</v>
      </c>
      <c r="P229" s="32" t="s">
        <v>7341</v>
      </c>
    </row>
    <row r="230" spans="1:16" x14ac:dyDescent="0.35">
      <c r="A230" s="32" t="str">
        <f t="shared" ref="A230:C230" si="227">A229</f>
        <v>2026 JAN-APR SHARP PRICE</v>
      </c>
      <c r="B230" s="33">
        <f t="shared" si="227"/>
        <v>46121</v>
      </c>
      <c r="C230" s="33">
        <f t="shared" si="227"/>
        <v>46127</v>
      </c>
      <c r="D230" s="32">
        <v>3284</v>
      </c>
      <c r="E230" s="32">
        <v>338</v>
      </c>
      <c r="F230" s="32">
        <v>4</v>
      </c>
      <c r="G230" s="23">
        <v>9</v>
      </c>
      <c r="H230" s="23">
        <v>4953</v>
      </c>
      <c r="I230" s="32" t="s">
        <v>2689</v>
      </c>
      <c r="J230" s="22">
        <v>71354906</v>
      </c>
      <c r="K230" s="22" t="s">
        <v>7546</v>
      </c>
      <c r="L230" s="22" t="s">
        <v>7553</v>
      </c>
      <c r="M230" s="40">
        <v>129900</v>
      </c>
      <c r="N230" s="88">
        <v>0</v>
      </c>
      <c r="O230" s="34" t="s">
        <v>7169</v>
      </c>
      <c r="P230" s="32" t="s">
        <v>7341</v>
      </c>
    </row>
    <row r="231" spans="1:16" x14ac:dyDescent="0.35">
      <c r="A231" s="32" t="str">
        <f t="shared" ref="A231:C231" si="228">A230</f>
        <v>2026 JAN-APR SHARP PRICE</v>
      </c>
      <c r="B231" s="33">
        <f t="shared" si="228"/>
        <v>46121</v>
      </c>
      <c r="C231" s="33">
        <f t="shared" si="228"/>
        <v>46127</v>
      </c>
      <c r="D231" s="32">
        <v>3284</v>
      </c>
      <c r="E231" s="32">
        <v>338</v>
      </c>
      <c r="F231" s="32">
        <v>4</v>
      </c>
      <c r="G231" s="23">
        <v>9</v>
      </c>
      <c r="H231" s="23">
        <v>4953</v>
      </c>
      <c r="I231" s="32" t="s">
        <v>2689</v>
      </c>
      <c r="J231" s="22">
        <v>71354915</v>
      </c>
      <c r="K231" s="22" t="s">
        <v>7546</v>
      </c>
      <c r="L231" s="22" t="s">
        <v>7554</v>
      </c>
      <c r="M231" s="40">
        <v>129900</v>
      </c>
      <c r="N231" s="88">
        <v>0</v>
      </c>
      <c r="O231" s="34" t="s">
        <v>7169</v>
      </c>
      <c r="P231" s="32" t="s">
        <v>7341</v>
      </c>
    </row>
    <row r="232" spans="1:16" x14ac:dyDescent="0.35">
      <c r="A232" s="32" t="str">
        <f t="shared" ref="A232:C232" si="229">A231</f>
        <v>2026 JAN-APR SHARP PRICE</v>
      </c>
      <c r="B232" s="33">
        <f t="shared" si="229"/>
        <v>46121</v>
      </c>
      <c r="C232" s="33">
        <f t="shared" si="229"/>
        <v>46127</v>
      </c>
      <c r="D232" s="32">
        <v>3284</v>
      </c>
      <c r="E232" s="32">
        <v>338</v>
      </c>
      <c r="F232" s="32">
        <v>4</v>
      </c>
      <c r="G232" s="23">
        <v>1</v>
      </c>
      <c r="H232" s="23">
        <v>81679</v>
      </c>
      <c r="I232" s="32" t="s">
        <v>2689</v>
      </c>
      <c r="J232" s="22">
        <v>71354960</v>
      </c>
      <c r="K232" s="22" t="s">
        <v>7555</v>
      </c>
      <c r="L232" s="22" t="s">
        <v>7556</v>
      </c>
      <c r="M232" s="40">
        <v>89900</v>
      </c>
      <c r="N232" s="88">
        <v>0</v>
      </c>
      <c r="O232" s="34" t="s">
        <v>7169</v>
      </c>
      <c r="P232" s="32" t="s">
        <v>7341</v>
      </c>
    </row>
    <row r="233" spans="1:16" x14ac:dyDescent="0.35">
      <c r="A233" s="32" t="str">
        <f t="shared" ref="A233:C233" si="230">A232</f>
        <v>2026 JAN-APR SHARP PRICE</v>
      </c>
      <c r="B233" s="33">
        <f t="shared" si="230"/>
        <v>46121</v>
      </c>
      <c r="C233" s="33">
        <f t="shared" si="230"/>
        <v>46127</v>
      </c>
      <c r="D233" s="32">
        <v>3284</v>
      </c>
      <c r="E233" s="32">
        <v>338</v>
      </c>
      <c r="F233" s="32">
        <v>4</v>
      </c>
      <c r="G233" s="23">
        <v>1</v>
      </c>
      <c r="H233" s="23">
        <v>81679</v>
      </c>
      <c r="I233" s="32" t="s">
        <v>2689</v>
      </c>
      <c r="J233" s="22">
        <v>71354979</v>
      </c>
      <c r="K233" s="22" t="s">
        <v>7555</v>
      </c>
      <c r="L233" s="22" t="s">
        <v>7557</v>
      </c>
      <c r="M233" s="40">
        <v>89900</v>
      </c>
      <c r="N233" s="88">
        <v>0</v>
      </c>
      <c r="O233" s="34" t="s">
        <v>7169</v>
      </c>
      <c r="P233" s="32" t="s">
        <v>7341</v>
      </c>
    </row>
    <row r="234" spans="1:16" x14ac:dyDescent="0.35">
      <c r="A234" s="32" t="str">
        <f t="shared" ref="A234:C234" si="231">A233</f>
        <v>2026 JAN-APR SHARP PRICE</v>
      </c>
      <c r="B234" s="33">
        <f t="shared" si="231"/>
        <v>46121</v>
      </c>
      <c r="C234" s="33">
        <f t="shared" si="231"/>
        <v>46127</v>
      </c>
      <c r="D234" s="32">
        <v>3284</v>
      </c>
      <c r="E234" s="32">
        <v>338</v>
      </c>
      <c r="F234" s="32">
        <v>4</v>
      </c>
      <c r="G234" s="23">
        <v>1</v>
      </c>
      <c r="H234" s="23">
        <v>81679</v>
      </c>
      <c r="I234" s="32" t="s">
        <v>2689</v>
      </c>
      <c r="J234" s="22">
        <v>71354988</v>
      </c>
      <c r="K234" s="22" t="s">
        <v>7555</v>
      </c>
      <c r="L234" s="22" t="s">
        <v>7558</v>
      </c>
      <c r="M234" s="40">
        <v>89900</v>
      </c>
      <c r="N234" s="88">
        <v>0</v>
      </c>
      <c r="O234" s="34" t="s">
        <v>7169</v>
      </c>
      <c r="P234" s="32" t="s">
        <v>7341</v>
      </c>
    </row>
    <row r="235" spans="1:16" x14ac:dyDescent="0.35">
      <c r="A235" s="32" t="str">
        <f t="shared" ref="A235:C235" si="232">A234</f>
        <v>2026 JAN-APR SHARP PRICE</v>
      </c>
      <c r="B235" s="33">
        <f t="shared" si="232"/>
        <v>46121</v>
      </c>
      <c r="C235" s="33">
        <f t="shared" si="232"/>
        <v>46127</v>
      </c>
      <c r="D235" s="32">
        <v>3284</v>
      </c>
      <c r="E235" s="32">
        <v>338</v>
      </c>
      <c r="F235" s="32">
        <v>4</v>
      </c>
      <c r="G235" s="23">
        <v>1</v>
      </c>
      <c r="H235" s="23">
        <v>81679</v>
      </c>
      <c r="I235" s="32" t="s">
        <v>2689</v>
      </c>
      <c r="J235" s="22">
        <v>71354997</v>
      </c>
      <c r="K235" s="22" t="s">
        <v>7555</v>
      </c>
      <c r="L235" s="22" t="s">
        <v>7559</v>
      </c>
      <c r="M235" s="40">
        <v>89900</v>
      </c>
      <c r="N235" s="88">
        <v>0</v>
      </c>
      <c r="O235" s="34" t="s">
        <v>7169</v>
      </c>
      <c r="P235" s="32" t="s">
        <v>7341</v>
      </c>
    </row>
    <row r="236" spans="1:16" x14ac:dyDescent="0.35">
      <c r="A236" s="32" t="str">
        <f t="shared" ref="A236:C236" si="233">A235</f>
        <v>2026 JAN-APR SHARP PRICE</v>
      </c>
      <c r="B236" s="33">
        <f t="shared" si="233"/>
        <v>46121</v>
      </c>
      <c r="C236" s="33">
        <f t="shared" si="233"/>
        <v>46127</v>
      </c>
      <c r="D236" s="32">
        <v>3284</v>
      </c>
      <c r="E236" s="32">
        <v>338</v>
      </c>
      <c r="F236" s="32">
        <v>4</v>
      </c>
      <c r="G236" s="23">
        <v>1</v>
      </c>
      <c r="H236" s="23">
        <v>81462</v>
      </c>
      <c r="I236" s="32" t="s">
        <v>2689</v>
      </c>
      <c r="J236" s="22">
        <v>71376722</v>
      </c>
      <c r="K236" s="22" t="s">
        <v>7560</v>
      </c>
      <c r="L236" s="22" t="s">
        <v>7561</v>
      </c>
      <c r="M236" s="40">
        <v>89900</v>
      </c>
      <c r="N236" s="88">
        <v>0</v>
      </c>
      <c r="O236" s="34" t="s">
        <v>7169</v>
      </c>
      <c r="P236" s="32" t="s">
        <v>7341</v>
      </c>
    </row>
    <row r="237" spans="1:16" x14ac:dyDescent="0.35">
      <c r="A237" s="32" t="str">
        <f t="shared" ref="A237:C237" si="234">A236</f>
        <v>2026 JAN-APR SHARP PRICE</v>
      </c>
      <c r="B237" s="33">
        <f t="shared" si="234"/>
        <v>46121</v>
      </c>
      <c r="C237" s="33">
        <f t="shared" si="234"/>
        <v>46127</v>
      </c>
      <c r="D237" s="32">
        <v>3284</v>
      </c>
      <c r="E237" s="32">
        <v>338</v>
      </c>
      <c r="F237" s="32">
        <v>4</v>
      </c>
      <c r="G237" s="23">
        <v>1</v>
      </c>
      <c r="H237" s="23">
        <v>81462</v>
      </c>
      <c r="I237" s="32" t="s">
        <v>2689</v>
      </c>
      <c r="J237" s="22">
        <v>71376731</v>
      </c>
      <c r="K237" s="22" t="s">
        <v>7560</v>
      </c>
      <c r="L237" s="22" t="s">
        <v>7562</v>
      </c>
      <c r="M237" s="40">
        <v>89900</v>
      </c>
      <c r="N237" s="88">
        <v>0</v>
      </c>
      <c r="O237" s="34" t="s">
        <v>7169</v>
      </c>
      <c r="P237" s="32" t="s">
        <v>7341</v>
      </c>
    </row>
    <row r="238" spans="1:16" x14ac:dyDescent="0.35">
      <c r="A238" s="32" t="str">
        <f t="shared" ref="A238:C238" si="235">A237</f>
        <v>2026 JAN-APR SHARP PRICE</v>
      </c>
      <c r="B238" s="33">
        <f t="shared" si="235"/>
        <v>46121</v>
      </c>
      <c r="C238" s="33">
        <f t="shared" si="235"/>
        <v>46127</v>
      </c>
      <c r="D238" s="32">
        <v>3284</v>
      </c>
      <c r="E238" s="32">
        <v>338</v>
      </c>
      <c r="F238" s="32">
        <v>4</v>
      </c>
      <c r="G238" s="23">
        <v>1</v>
      </c>
      <c r="H238" s="23">
        <v>81462</v>
      </c>
      <c r="I238" s="32" t="s">
        <v>2689</v>
      </c>
      <c r="J238" s="22">
        <v>71376740</v>
      </c>
      <c r="K238" s="22" t="s">
        <v>7560</v>
      </c>
      <c r="L238" s="22" t="s">
        <v>7563</v>
      </c>
      <c r="M238" s="40">
        <v>89900</v>
      </c>
      <c r="N238" s="88">
        <v>0</v>
      </c>
      <c r="O238" s="34" t="s">
        <v>7169</v>
      </c>
      <c r="P238" s="32" t="s">
        <v>7341</v>
      </c>
    </row>
    <row r="239" spans="1:16" x14ac:dyDescent="0.35">
      <c r="A239" s="32" t="str">
        <f t="shared" ref="A239:C239" si="236">A238</f>
        <v>2026 JAN-APR SHARP PRICE</v>
      </c>
      <c r="B239" s="33">
        <f t="shared" si="236"/>
        <v>46121</v>
      </c>
      <c r="C239" s="33">
        <f t="shared" si="236"/>
        <v>46127</v>
      </c>
      <c r="D239" s="32">
        <v>3284</v>
      </c>
      <c r="E239" s="32">
        <v>338</v>
      </c>
      <c r="F239" s="32">
        <v>4</v>
      </c>
      <c r="G239" s="23">
        <v>1</v>
      </c>
      <c r="H239" s="23">
        <v>81462</v>
      </c>
      <c r="I239" s="32" t="s">
        <v>2689</v>
      </c>
      <c r="J239" s="22">
        <v>71376759</v>
      </c>
      <c r="K239" s="22" t="s">
        <v>7560</v>
      </c>
      <c r="L239" s="22" t="s">
        <v>7564</v>
      </c>
      <c r="M239" s="40">
        <v>89900</v>
      </c>
      <c r="N239" s="88">
        <v>0</v>
      </c>
      <c r="O239" s="34" t="s">
        <v>7169</v>
      </c>
      <c r="P239" s="32" t="s">
        <v>7341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1EB9-B447-40E1-B4EF-451611FA321A}">
  <dimension ref="A1:P15"/>
  <sheetViews>
    <sheetView topLeftCell="M1" zoomScale="80" zoomScaleNormal="80" workbookViewId="0">
      <pane ySplit="1" topLeftCell="A2" activePane="bottomLeft" state="frozen"/>
      <selection activeCell="E25" sqref="E25"/>
      <selection pane="bottomLeft" activeCell="Y12" sqref="Y12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7160</v>
      </c>
      <c r="B2" s="33">
        <f>'2025 HILITE D80 - 3321'!B4</f>
        <v>46121</v>
      </c>
      <c r="C2" s="33">
        <f>'2025 HILITE D80 - 3321'!C4</f>
        <v>46127</v>
      </c>
      <c r="D2" s="32">
        <v>3284</v>
      </c>
      <c r="E2" s="32">
        <v>338</v>
      </c>
      <c r="F2" s="32">
        <v>4</v>
      </c>
      <c r="G2" s="23">
        <v>10</v>
      </c>
      <c r="H2" s="23">
        <v>81533</v>
      </c>
      <c r="I2" s="32" t="s">
        <v>2689</v>
      </c>
      <c r="J2" s="22">
        <v>68995757</v>
      </c>
      <c r="K2" s="22" t="s">
        <v>6454</v>
      </c>
      <c r="L2" s="22" t="s">
        <v>6483</v>
      </c>
      <c r="M2" s="24">
        <v>29900</v>
      </c>
      <c r="N2" s="67">
        <v>0.3</v>
      </c>
      <c r="O2" s="34">
        <f t="shared" ref="O2:O15" si="0">M2-((30*M2)/100)</f>
        <v>20930</v>
      </c>
      <c r="P2" s="32" t="s">
        <v>16</v>
      </c>
    </row>
    <row r="3" spans="1:16" x14ac:dyDescent="0.35">
      <c r="A3" s="32" t="str">
        <f t="shared" ref="A3:C3" si="1">A2</f>
        <v>2025 DEC DISC 30%</v>
      </c>
      <c r="B3" s="33">
        <f t="shared" si="1"/>
        <v>46121</v>
      </c>
      <c r="C3" s="33">
        <f t="shared" si="1"/>
        <v>46127</v>
      </c>
      <c r="D3" s="32">
        <v>3284</v>
      </c>
      <c r="E3" s="32">
        <v>338</v>
      </c>
      <c r="F3" s="32">
        <v>4</v>
      </c>
      <c r="G3" s="23">
        <v>10</v>
      </c>
      <c r="H3" s="23">
        <v>81533</v>
      </c>
      <c r="I3" s="32" t="s">
        <v>2689</v>
      </c>
      <c r="J3" s="22">
        <v>68995766</v>
      </c>
      <c r="K3" s="22" t="s">
        <v>6454</v>
      </c>
      <c r="L3" s="22" t="s">
        <v>6484</v>
      </c>
      <c r="M3" s="24">
        <v>29900</v>
      </c>
      <c r="N3" s="67">
        <f t="shared" ref="N3:N15" si="2">N2</f>
        <v>0.3</v>
      </c>
      <c r="O3" s="34">
        <f t="shared" si="0"/>
        <v>20930</v>
      </c>
      <c r="P3" s="32" t="str">
        <f t="shared" ref="P3:P15" si="3">P2</f>
        <v>PERCENTAGE</v>
      </c>
    </row>
    <row r="4" spans="1:16" x14ac:dyDescent="0.35">
      <c r="A4" s="32" t="str">
        <f t="shared" ref="A4:C14" si="4">A3</f>
        <v>2025 DEC DISC 30%</v>
      </c>
      <c r="B4" s="33">
        <f t="shared" si="4"/>
        <v>46121</v>
      </c>
      <c r="C4" s="33">
        <f t="shared" si="4"/>
        <v>46127</v>
      </c>
      <c r="D4" s="32">
        <v>3284</v>
      </c>
      <c r="E4" s="32">
        <v>338</v>
      </c>
      <c r="F4" s="32">
        <v>4</v>
      </c>
      <c r="G4" s="23">
        <v>10</v>
      </c>
      <c r="H4" s="23">
        <v>81533</v>
      </c>
      <c r="I4" s="32" t="s">
        <v>2689</v>
      </c>
      <c r="J4" s="22">
        <v>68995775</v>
      </c>
      <c r="K4" s="22" t="s">
        <v>6454</v>
      </c>
      <c r="L4" s="22" t="s">
        <v>6485</v>
      </c>
      <c r="M4" s="24">
        <v>29900</v>
      </c>
      <c r="N4" s="67">
        <f t="shared" si="2"/>
        <v>0.3</v>
      </c>
      <c r="O4" s="34">
        <f t="shared" si="0"/>
        <v>20930</v>
      </c>
      <c r="P4" s="32" t="str">
        <f t="shared" si="3"/>
        <v>PERCENTAGE</v>
      </c>
    </row>
    <row r="5" spans="1:16" x14ac:dyDescent="0.35">
      <c r="A5" s="32" t="str">
        <f t="shared" si="4"/>
        <v>2025 DEC DISC 30%</v>
      </c>
      <c r="B5" s="33">
        <f t="shared" si="4"/>
        <v>46121</v>
      </c>
      <c r="C5" s="33">
        <f t="shared" si="4"/>
        <v>46127</v>
      </c>
      <c r="D5" s="32">
        <v>3284</v>
      </c>
      <c r="E5" s="32">
        <v>338</v>
      </c>
      <c r="F5" s="32">
        <v>4</v>
      </c>
      <c r="G5" s="23">
        <v>10</v>
      </c>
      <c r="H5" s="23">
        <v>81533</v>
      </c>
      <c r="I5" s="32" t="s">
        <v>2689</v>
      </c>
      <c r="J5" s="22">
        <v>68995720</v>
      </c>
      <c r="K5" s="22" t="s">
        <v>6455</v>
      </c>
      <c r="L5" s="22" t="s">
        <v>6486</v>
      </c>
      <c r="M5" s="24">
        <v>29900</v>
      </c>
      <c r="N5" s="67">
        <f t="shared" si="2"/>
        <v>0.3</v>
      </c>
      <c r="O5" s="34">
        <f t="shared" si="0"/>
        <v>20930</v>
      </c>
      <c r="P5" s="32" t="str">
        <f t="shared" si="3"/>
        <v>PERCENTAGE</v>
      </c>
    </row>
    <row r="6" spans="1:16" x14ac:dyDescent="0.35">
      <c r="A6" s="32" t="str">
        <f t="shared" si="4"/>
        <v>2025 DEC DISC 30%</v>
      </c>
      <c r="B6" s="33">
        <f t="shared" si="4"/>
        <v>46121</v>
      </c>
      <c r="C6" s="33">
        <f t="shared" si="4"/>
        <v>46127</v>
      </c>
      <c r="D6" s="32">
        <v>3284</v>
      </c>
      <c r="E6" s="32">
        <v>338</v>
      </c>
      <c r="F6" s="32">
        <v>4</v>
      </c>
      <c r="G6" s="23">
        <v>10</v>
      </c>
      <c r="H6" s="23">
        <v>81533</v>
      </c>
      <c r="I6" s="32" t="s">
        <v>2689</v>
      </c>
      <c r="J6" s="22">
        <v>68995739</v>
      </c>
      <c r="K6" s="22" t="s">
        <v>6455</v>
      </c>
      <c r="L6" s="22" t="s">
        <v>6487</v>
      </c>
      <c r="M6" s="24">
        <v>29900</v>
      </c>
      <c r="N6" s="67">
        <f t="shared" si="2"/>
        <v>0.3</v>
      </c>
      <c r="O6" s="34">
        <f t="shared" si="0"/>
        <v>20930</v>
      </c>
      <c r="P6" s="32" t="str">
        <f t="shared" si="3"/>
        <v>PERCENTAGE</v>
      </c>
    </row>
    <row r="7" spans="1:16" x14ac:dyDescent="0.35">
      <c r="A7" s="32" t="str">
        <f t="shared" si="4"/>
        <v>2025 DEC DISC 30%</v>
      </c>
      <c r="B7" s="33">
        <f t="shared" si="4"/>
        <v>46121</v>
      </c>
      <c r="C7" s="33">
        <f t="shared" si="4"/>
        <v>46127</v>
      </c>
      <c r="D7" s="32">
        <v>3284</v>
      </c>
      <c r="E7" s="32">
        <v>338</v>
      </c>
      <c r="F7" s="32">
        <v>4</v>
      </c>
      <c r="G7" s="23">
        <v>10</v>
      </c>
      <c r="H7" s="23">
        <v>81533</v>
      </c>
      <c r="I7" s="32" t="s">
        <v>2689</v>
      </c>
      <c r="J7" s="22">
        <v>68995748</v>
      </c>
      <c r="K7" s="22" t="s">
        <v>6455</v>
      </c>
      <c r="L7" s="22" t="s">
        <v>6488</v>
      </c>
      <c r="M7" s="24">
        <v>29900</v>
      </c>
      <c r="N7" s="67">
        <f t="shared" si="2"/>
        <v>0.3</v>
      </c>
      <c r="O7" s="34">
        <f t="shared" si="0"/>
        <v>20930</v>
      </c>
      <c r="P7" s="32" t="str">
        <f t="shared" si="3"/>
        <v>PERCENTAGE</v>
      </c>
    </row>
    <row r="8" spans="1:16" x14ac:dyDescent="0.35">
      <c r="A8" s="32" t="str">
        <f t="shared" si="4"/>
        <v>2025 DEC DISC 30%</v>
      </c>
      <c r="B8" s="33">
        <f t="shared" si="4"/>
        <v>46121</v>
      </c>
      <c r="C8" s="33">
        <f t="shared" si="4"/>
        <v>46127</v>
      </c>
      <c r="D8" s="32">
        <v>3284</v>
      </c>
      <c r="E8" s="32">
        <v>338</v>
      </c>
      <c r="F8" s="32">
        <v>4</v>
      </c>
      <c r="G8" s="23">
        <v>2</v>
      </c>
      <c r="H8" s="23">
        <v>81679</v>
      </c>
      <c r="I8" s="32" t="s">
        <v>2689</v>
      </c>
      <c r="J8" s="22">
        <v>69033365</v>
      </c>
      <c r="K8" s="22" t="s">
        <v>6456</v>
      </c>
      <c r="L8" s="22" t="s">
        <v>6489</v>
      </c>
      <c r="M8" s="24">
        <v>149900</v>
      </c>
      <c r="N8" s="67">
        <f t="shared" si="2"/>
        <v>0.3</v>
      </c>
      <c r="O8" s="34">
        <f t="shared" si="0"/>
        <v>104930</v>
      </c>
      <c r="P8" s="32" t="str">
        <f t="shared" si="3"/>
        <v>PERCENTAGE</v>
      </c>
    </row>
    <row r="9" spans="1:16" x14ac:dyDescent="0.35">
      <c r="A9" s="32" t="str">
        <f t="shared" si="4"/>
        <v>2025 DEC DISC 30%</v>
      </c>
      <c r="B9" s="33">
        <f t="shared" si="4"/>
        <v>46121</v>
      </c>
      <c r="C9" s="33">
        <f t="shared" si="4"/>
        <v>46127</v>
      </c>
      <c r="D9" s="32">
        <v>3284</v>
      </c>
      <c r="E9" s="32">
        <v>338</v>
      </c>
      <c r="F9" s="32">
        <v>4</v>
      </c>
      <c r="G9" s="23">
        <v>2</v>
      </c>
      <c r="H9" s="23">
        <v>81679</v>
      </c>
      <c r="I9" s="32" t="s">
        <v>2689</v>
      </c>
      <c r="J9" s="22">
        <v>69033374</v>
      </c>
      <c r="K9" s="22" t="s">
        <v>6456</v>
      </c>
      <c r="L9" s="22" t="s">
        <v>6490</v>
      </c>
      <c r="M9" s="24">
        <v>149900</v>
      </c>
      <c r="N9" s="67">
        <f t="shared" si="2"/>
        <v>0.3</v>
      </c>
      <c r="O9" s="34">
        <f t="shared" si="0"/>
        <v>104930</v>
      </c>
      <c r="P9" s="32" t="str">
        <f t="shared" si="3"/>
        <v>PERCENTAGE</v>
      </c>
    </row>
    <row r="10" spans="1:16" x14ac:dyDescent="0.35">
      <c r="A10" s="32" t="str">
        <f t="shared" si="4"/>
        <v>2025 DEC DISC 30%</v>
      </c>
      <c r="B10" s="33">
        <f t="shared" si="4"/>
        <v>46121</v>
      </c>
      <c r="C10" s="33">
        <f t="shared" si="4"/>
        <v>46127</v>
      </c>
      <c r="D10" s="32">
        <v>3284</v>
      </c>
      <c r="E10" s="32">
        <v>338</v>
      </c>
      <c r="F10" s="32">
        <v>4</v>
      </c>
      <c r="G10" s="23">
        <v>2</v>
      </c>
      <c r="H10" s="23">
        <v>81679</v>
      </c>
      <c r="I10" s="32" t="s">
        <v>2689</v>
      </c>
      <c r="J10" s="22">
        <v>69033383</v>
      </c>
      <c r="K10" s="22" t="s">
        <v>6456</v>
      </c>
      <c r="L10" s="22" t="s">
        <v>6491</v>
      </c>
      <c r="M10" s="24">
        <v>149900</v>
      </c>
      <c r="N10" s="67">
        <f t="shared" si="2"/>
        <v>0.3</v>
      </c>
      <c r="O10" s="34">
        <f t="shared" si="0"/>
        <v>104930</v>
      </c>
      <c r="P10" s="32" t="str">
        <f t="shared" si="3"/>
        <v>PERCENTAGE</v>
      </c>
    </row>
    <row r="11" spans="1:16" x14ac:dyDescent="0.35">
      <c r="A11" s="32" t="str">
        <f t="shared" si="4"/>
        <v>2025 DEC DISC 30%</v>
      </c>
      <c r="B11" s="33">
        <f t="shared" si="4"/>
        <v>46121</v>
      </c>
      <c r="C11" s="33">
        <f t="shared" si="4"/>
        <v>46127</v>
      </c>
      <c r="D11" s="32">
        <v>3284</v>
      </c>
      <c r="E11" s="32">
        <v>338</v>
      </c>
      <c r="F11" s="32">
        <v>4</v>
      </c>
      <c r="G11" s="23">
        <v>2</v>
      </c>
      <c r="H11" s="23">
        <v>81679</v>
      </c>
      <c r="I11" s="32" t="s">
        <v>2689</v>
      </c>
      <c r="J11" s="22">
        <v>69033392</v>
      </c>
      <c r="K11" s="22" t="s">
        <v>6456</v>
      </c>
      <c r="L11" s="22" t="s">
        <v>6492</v>
      </c>
      <c r="M11" s="24">
        <v>149900</v>
      </c>
      <c r="N11" s="67">
        <f t="shared" si="2"/>
        <v>0.3</v>
      </c>
      <c r="O11" s="34">
        <f t="shared" si="0"/>
        <v>104930</v>
      </c>
      <c r="P11" s="32" t="str">
        <f t="shared" si="3"/>
        <v>PERCENTAGE</v>
      </c>
    </row>
    <row r="12" spans="1:16" x14ac:dyDescent="0.35">
      <c r="A12" s="32" t="str">
        <f t="shared" si="4"/>
        <v>2025 DEC DISC 30%</v>
      </c>
      <c r="B12" s="33">
        <f t="shared" si="4"/>
        <v>46121</v>
      </c>
      <c r="C12" s="33">
        <f t="shared" si="4"/>
        <v>46127</v>
      </c>
      <c r="D12" s="32">
        <v>3284</v>
      </c>
      <c r="E12" s="32">
        <v>338</v>
      </c>
      <c r="F12" s="32">
        <v>4</v>
      </c>
      <c r="G12" s="23">
        <v>2</v>
      </c>
      <c r="H12" s="23">
        <v>81679</v>
      </c>
      <c r="I12" s="32" t="s">
        <v>2689</v>
      </c>
      <c r="J12" s="22">
        <v>69033409</v>
      </c>
      <c r="K12" s="22" t="s">
        <v>6456</v>
      </c>
      <c r="L12" s="22" t="s">
        <v>6493</v>
      </c>
      <c r="M12" s="24">
        <v>149900</v>
      </c>
      <c r="N12" s="67">
        <f t="shared" si="2"/>
        <v>0.3</v>
      </c>
      <c r="O12" s="34">
        <f t="shared" si="0"/>
        <v>104930</v>
      </c>
      <c r="P12" s="32" t="str">
        <f t="shared" si="3"/>
        <v>PERCENTAGE</v>
      </c>
    </row>
    <row r="13" spans="1:16" x14ac:dyDescent="0.35">
      <c r="A13" s="32" t="str">
        <f t="shared" si="4"/>
        <v>2025 DEC DISC 30%</v>
      </c>
      <c r="B13" s="33">
        <f t="shared" si="4"/>
        <v>46121</v>
      </c>
      <c r="C13" s="33">
        <f t="shared" si="4"/>
        <v>46127</v>
      </c>
      <c r="D13" s="32">
        <v>3284</v>
      </c>
      <c r="E13" s="32">
        <v>338</v>
      </c>
      <c r="F13" s="32">
        <v>4</v>
      </c>
      <c r="G13" s="23">
        <v>2</v>
      </c>
      <c r="H13" s="23">
        <v>81679</v>
      </c>
      <c r="I13" s="32" t="s">
        <v>2689</v>
      </c>
      <c r="J13" s="22">
        <v>69033418</v>
      </c>
      <c r="K13" s="22" t="s">
        <v>6456</v>
      </c>
      <c r="L13" s="22" t="s">
        <v>6494</v>
      </c>
      <c r="M13" s="24">
        <v>149900</v>
      </c>
      <c r="N13" s="67">
        <f t="shared" si="2"/>
        <v>0.3</v>
      </c>
      <c r="O13" s="34">
        <f t="shared" si="0"/>
        <v>104930</v>
      </c>
      <c r="P13" s="32" t="str">
        <f t="shared" si="3"/>
        <v>PERCENTAGE</v>
      </c>
    </row>
    <row r="14" spans="1:16" x14ac:dyDescent="0.35">
      <c r="A14" s="32" t="str">
        <f t="shared" si="4"/>
        <v>2025 DEC DISC 30%</v>
      </c>
      <c r="B14" s="33">
        <f t="shared" si="4"/>
        <v>46121</v>
      </c>
      <c r="C14" s="33">
        <f t="shared" si="4"/>
        <v>46127</v>
      </c>
      <c r="D14" s="32">
        <v>3284</v>
      </c>
      <c r="E14" s="32">
        <v>338</v>
      </c>
      <c r="F14" s="32">
        <v>4</v>
      </c>
      <c r="G14" s="23">
        <v>2</v>
      </c>
      <c r="H14" s="23">
        <v>81679</v>
      </c>
      <c r="I14" s="32" t="s">
        <v>2689</v>
      </c>
      <c r="J14" s="22">
        <v>69033427</v>
      </c>
      <c r="K14" s="22" t="s">
        <v>6456</v>
      </c>
      <c r="L14" s="22" t="s">
        <v>6495</v>
      </c>
      <c r="M14" s="24">
        <v>149900</v>
      </c>
      <c r="N14" s="67">
        <f t="shared" si="2"/>
        <v>0.3</v>
      </c>
      <c r="O14" s="34">
        <f t="shared" si="0"/>
        <v>104930</v>
      </c>
      <c r="P14" s="32" t="str">
        <f t="shared" si="3"/>
        <v>PERCENTAGE</v>
      </c>
    </row>
    <row r="15" spans="1:16" x14ac:dyDescent="0.35">
      <c r="A15" s="32" t="str">
        <f t="shared" ref="A15:C15" si="5">A14</f>
        <v>2025 DEC DISC 30%</v>
      </c>
      <c r="B15" s="33">
        <f t="shared" si="5"/>
        <v>46121</v>
      </c>
      <c r="C15" s="33">
        <f t="shared" si="5"/>
        <v>46127</v>
      </c>
      <c r="D15" s="32">
        <v>3284</v>
      </c>
      <c r="E15" s="32">
        <v>338</v>
      </c>
      <c r="F15" s="32">
        <v>4</v>
      </c>
      <c r="G15" s="23">
        <v>2</v>
      </c>
      <c r="H15" s="23">
        <v>81679</v>
      </c>
      <c r="I15" s="32" t="s">
        <v>2689</v>
      </c>
      <c r="J15" s="22">
        <v>69033436</v>
      </c>
      <c r="K15" s="22" t="s">
        <v>6456</v>
      </c>
      <c r="L15" s="22" t="s">
        <v>6496</v>
      </c>
      <c r="M15" s="24">
        <v>149900</v>
      </c>
      <c r="N15" s="67">
        <f t="shared" si="2"/>
        <v>0.3</v>
      </c>
      <c r="O15" s="34">
        <f t="shared" si="0"/>
        <v>104930</v>
      </c>
      <c r="P15" s="32" t="str">
        <f t="shared" si="3"/>
        <v>PERCENTAGE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conditionalFormatting sqref="J1:J1048576">
    <cfRule type="duplicateValues" dxfId="8" priority="1"/>
  </conditionalFormatting>
  <conditionalFormatting sqref="J2:J15">
    <cfRule type="duplicateValues" dxfId="7" priority="77"/>
  </conditionalFormatting>
  <pageMargins left="0.7" right="0.7" top="0.75" bottom="0.75" header="0.3" footer="0.3"/>
  <pageSetup paperSize="9" orientation="portrait" r:id="rId1"/>
  <ignoredErrors>
    <ignoredError sqref="O2:O15" formula="1"/>
  </ignoredErrors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0187-794C-481D-8842-8C08897B892E}">
  <dimension ref="A1:P96"/>
  <sheetViews>
    <sheetView topLeftCell="M1" zoomScale="80" zoomScaleNormal="80" workbookViewId="0">
      <pane ySplit="1" topLeftCell="A2" activePane="bottomLeft" state="frozen"/>
      <selection activeCell="E25" sqref="E25"/>
      <selection pane="bottomLeft" activeCell="Y14" sqref="Y14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5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60" t="s">
        <v>8</v>
      </c>
      <c r="O1" s="30" t="s">
        <v>9</v>
      </c>
      <c r="P1" s="27" t="s">
        <v>10</v>
      </c>
    </row>
    <row r="2" spans="1:16" x14ac:dyDescent="0.35">
      <c r="A2" s="23" t="s">
        <v>7167</v>
      </c>
      <c r="B2" s="33">
        <f>'2025 HILITE D80 - 3321'!B2</f>
        <v>46121</v>
      </c>
      <c r="C2" s="33">
        <f>'2025 HILITE D80 - 3321'!C2</f>
        <v>46127</v>
      </c>
      <c r="D2" s="32">
        <v>3287</v>
      </c>
      <c r="E2" s="32">
        <v>338</v>
      </c>
      <c r="F2" s="32">
        <v>4</v>
      </c>
      <c r="G2" s="52">
        <v>7</v>
      </c>
      <c r="H2" s="23">
        <v>81827</v>
      </c>
      <c r="I2" s="23" t="s">
        <v>17</v>
      </c>
      <c r="J2" s="59">
        <v>61972383</v>
      </c>
      <c r="K2" s="23" t="s">
        <v>6448</v>
      </c>
      <c r="L2" s="22" t="s">
        <v>6462</v>
      </c>
      <c r="M2" s="24">
        <v>29900</v>
      </c>
      <c r="N2" s="35">
        <v>0.3</v>
      </c>
      <c r="O2" s="34">
        <f>M2-((30*M2)/100)</f>
        <v>20930</v>
      </c>
      <c r="P2" s="32" t="s">
        <v>16</v>
      </c>
    </row>
    <row r="3" spans="1:16" x14ac:dyDescent="0.35">
      <c r="A3" s="23" t="str">
        <f>A2</f>
        <v xml:space="preserve">2025 OCT DISC 30% </v>
      </c>
      <c r="B3" s="33">
        <f>B2</f>
        <v>46121</v>
      </c>
      <c r="C3" s="33">
        <f>C2</f>
        <v>46127</v>
      </c>
      <c r="D3" s="32">
        <v>3287</v>
      </c>
      <c r="E3" s="32">
        <v>338</v>
      </c>
      <c r="F3" s="32">
        <v>4</v>
      </c>
      <c r="G3" s="52">
        <v>7</v>
      </c>
      <c r="H3" s="23">
        <v>81827</v>
      </c>
      <c r="I3" s="23" t="s">
        <v>17</v>
      </c>
      <c r="J3" s="59">
        <v>61972392</v>
      </c>
      <c r="K3" s="23" t="s">
        <v>6448</v>
      </c>
      <c r="L3" s="22" t="s">
        <v>6463</v>
      </c>
      <c r="M3" s="24">
        <v>29900</v>
      </c>
      <c r="N3" s="35">
        <f>N2</f>
        <v>0.3</v>
      </c>
      <c r="O3" s="34">
        <f t="shared" ref="O3:O66" si="0">M3-((30*M3)/100)</f>
        <v>20930</v>
      </c>
      <c r="P3" s="32" t="str">
        <f>P2</f>
        <v>PERCENTAGE</v>
      </c>
    </row>
    <row r="4" spans="1:16" x14ac:dyDescent="0.35">
      <c r="A4" s="23" t="str">
        <f t="shared" ref="A4:C19" si="1">A3</f>
        <v xml:space="preserve">2025 OCT DISC 30% </v>
      </c>
      <c r="B4" s="33">
        <f t="shared" si="1"/>
        <v>46121</v>
      </c>
      <c r="C4" s="33">
        <f t="shared" si="1"/>
        <v>46127</v>
      </c>
      <c r="D4" s="32">
        <v>3287</v>
      </c>
      <c r="E4" s="32">
        <v>338</v>
      </c>
      <c r="F4" s="32">
        <v>4</v>
      </c>
      <c r="G4" s="52">
        <v>7</v>
      </c>
      <c r="H4" s="23">
        <v>81827</v>
      </c>
      <c r="I4" s="23" t="s">
        <v>17</v>
      </c>
      <c r="J4" s="59">
        <v>61972409</v>
      </c>
      <c r="K4" s="23" t="s">
        <v>6448</v>
      </c>
      <c r="L4" s="22" t="s">
        <v>6464</v>
      </c>
      <c r="M4" s="24">
        <v>29900</v>
      </c>
      <c r="N4" s="35">
        <f t="shared" ref="N4:P19" si="2">N3</f>
        <v>0.3</v>
      </c>
      <c r="O4" s="34">
        <f t="shared" si="0"/>
        <v>20930</v>
      </c>
      <c r="P4" s="32" t="str">
        <f t="shared" si="2"/>
        <v>PERCENTAGE</v>
      </c>
    </row>
    <row r="5" spans="1:16" x14ac:dyDescent="0.35">
      <c r="A5" s="23" t="str">
        <f t="shared" si="1"/>
        <v xml:space="preserve">2025 OCT DISC 30% </v>
      </c>
      <c r="B5" s="33">
        <f t="shared" si="1"/>
        <v>46121</v>
      </c>
      <c r="C5" s="33">
        <f t="shared" si="1"/>
        <v>46127</v>
      </c>
      <c r="D5" s="32">
        <v>3287</v>
      </c>
      <c r="E5" s="32">
        <v>338</v>
      </c>
      <c r="F5" s="32">
        <v>4</v>
      </c>
      <c r="G5" s="52">
        <v>10</v>
      </c>
      <c r="H5" s="23">
        <v>81827</v>
      </c>
      <c r="I5" s="23" t="s">
        <v>17</v>
      </c>
      <c r="J5" s="59">
        <v>68208339</v>
      </c>
      <c r="K5" s="23" t="s">
        <v>6453</v>
      </c>
      <c r="L5" s="22" t="s">
        <v>6481</v>
      </c>
      <c r="M5" s="24">
        <v>29900</v>
      </c>
      <c r="N5" s="35">
        <f t="shared" si="2"/>
        <v>0.3</v>
      </c>
      <c r="O5" s="34">
        <f t="shared" si="0"/>
        <v>20930</v>
      </c>
      <c r="P5" s="32" t="str">
        <f t="shared" si="2"/>
        <v>PERCENTAGE</v>
      </c>
    </row>
    <row r="6" spans="1:16" x14ac:dyDescent="0.35">
      <c r="A6" s="23" t="str">
        <f t="shared" si="1"/>
        <v xml:space="preserve">2025 OCT DISC 30% </v>
      </c>
      <c r="B6" s="33">
        <f t="shared" si="1"/>
        <v>46121</v>
      </c>
      <c r="C6" s="33">
        <f t="shared" si="1"/>
        <v>46127</v>
      </c>
      <c r="D6" s="32">
        <v>3287</v>
      </c>
      <c r="E6" s="32">
        <v>338</v>
      </c>
      <c r="F6" s="32">
        <v>4</v>
      </c>
      <c r="G6" s="52">
        <v>10</v>
      </c>
      <c r="H6" s="23">
        <v>81827</v>
      </c>
      <c r="I6" s="23" t="s">
        <v>17</v>
      </c>
      <c r="J6" s="59">
        <v>68208348</v>
      </c>
      <c r="K6" s="23" t="s">
        <v>6453</v>
      </c>
      <c r="L6" s="22" t="s">
        <v>6482</v>
      </c>
      <c r="M6" s="24">
        <v>29900</v>
      </c>
      <c r="N6" s="35">
        <f t="shared" si="2"/>
        <v>0.3</v>
      </c>
      <c r="O6" s="34">
        <f t="shared" si="0"/>
        <v>20930</v>
      </c>
      <c r="P6" s="32" t="str">
        <f t="shared" si="2"/>
        <v>PERCENTAGE</v>
      </c>
    </row>
    <row r="7" spans="1:16" x14ac:dyDescent="0.35">
      <c r="A7" s="23" t="str">
        <f t="shared" si="1"/>
        <v xml:space="preserve">2025 OCT DISC 30% </v>
      </c>
      <c r="B7" s="33">
        <f t="shared" si="1"/>
        <v>46121</v>
      </c>
      <c r="C7" s="33">
        <f t="shared" si="1"/>
        <v>46127</v>
      </c>
      <c r="D7" s="32">
        <v>3287</v>
      </c>
      <c r="E7" s="32">
        <v>338</v>
      </c>
      <c r="F7" s="32">
        <v>4</v>
      </c>
      <c r="G7" s="52">
        <v>10</v>
      </c>
      <c r="H7" s="23">
        <v>81827</v>
      </c>
      <c r="I7" s="23" t="s">
        <v>17</v>
      </c>
      <c r="J7" s="59">
        <v>68208357</v>
      </c>
      <c r="K7" s="23" t="s">
        <v>6452</v>
      </c>
      <c r="L7" s="22" t="s">
        <v>6479</v>
      </c>
      <c r="M7" s="24">
        <v>29900</v>
      </c>
      <c r="N7" s="35">
        <f t="shared" si="2"/>
        <v>0.3</v>
      </c>
      <c r="O7" s="34">
        <f t="shared" si="0"/>
        <v>20930</v>
      </c>
      <c r="P7" s="32" t="str">
        <f t="shared" si="2"/>
        <v>PERCENTAGE</v>
      </c>
    </row>
    <row r="8" spans="1:16" x14ac:dyDescent="0.35">
      <c r="A8" s="23" t="str">
        <f t="shared" si="1"/>
        <v xml:space="preserve">2025 OCT DISC 30% </v>
      </c>
      <c r="B8" s="33">
        <f t="shared" si="1"/>
        <v>46121</v>
      </c>
      <c r="C8" s="33">
        <f t="shared" si="1"/>
        <v>46127</v>
      </c>
      <c r="D8" s="32">
        <v>3287</v>
      </c>
      <c r="E8" s="32">
        <v>338</v>
      </c>
      <c r="F8" s="32">
        <v>4</v>
      </c>
      <c r="G8" s="52">
        <v>10</v>
      </c>
      <c r="H8" s="23">
        <v>81827</v>
      </c>
      <c r="I8" s="23" t="s">
        <v>17</v>
      </c>
      <c r="J8" s="59">
        <v>68208366</v>
      </c>
      <c r="K8" s="23" t="s">
        <v>6452</v>
      </c>
      <c r="L8" s="22" t="s">
        <v>6480</v>
      </c>
      <c r="M8" s="24">
        <v>29900</v>
      </c>
      <c r="N8" s="35">
        <f t="shared" si="2"/>
        <v>0.3</v>
      </c>
      <c r="O8" s="34">
        <f t="shared" si="0"/>
        <v>20930</v>
      </c>
      <c r="P8" s="32" t="str">
        <f t="shared" si="2"/>
        <v>PERCENTAGE</v>
      </c>
    </row>
    <row r="9" spans="1:16" x14ac:dyDescent="0.35">
      <c r="A9" s="23" t="str">
        <f t="shared" si="1"/>
        <v xml:space="preserve">2025 OCT DISC 30% </v>
      </c>
      <c r="B9" s="33">
        <f t="shared" si="1"/>
        <v>46121</v>
      </c>
      <c r="C9" s="33">
        <f t="shared" si="1"/>
        <v>46127</v>
      </c>
      <c r="D9" s="32">
        <v>3287</v>
      </c>
      <c r="E9" s="32">
        <v>338</v>
      </c>
      <c r="F9" s="32">
        <v>4</v>
      </c>
      <c r="G9" s="52">
        <v>7</v>
      </c>
      <c r="H9" s="23">
        <v>81827</v>
      </c>
      <c r="I9" s="23" t="s">
        <v>17</v>
      </c>
      <c r="J9" s="59">
        <v>61972356</v>
      </c>
      <c r="K9" s="23" t="s">
        <v>6449</v>
      </c>
      <c r="L9" s="22" t="s">
        <v>6465</v>
      </c>
      <c r="M9" s="24">
        <v>29900</v>
      </c>
      <c r="N9" s="35">
        <f t="shared" si="2"/>
        <v>0.3</v>
      </c>
      <c r="O9" s="34">
        <f t="shared" si="0"/>
        <v>20930</v>
      </c>
      <c r="P9" s="32" t="str">
        <f t="shared" si="2"/>
        <v>PERCENTAGE</v>
      </c>
    </row>
    <row r="10" spans="1:16" x14ac:dyDescent="0.35">
      <c r="A10" s="23" t="str">
        <f t="shared" si="1"/>
        <v xml:space="preserve">2025 OCT DISC 30% </v>
      </c>
      <c r="B10" s="33">
        <f t="shared" si="1"/>
        <v>46121</v>
      </c>
      <c r="C10" s="33">
        <f t="shared" si="1"/>
        <v>46127</v>
      </c>
      <c r="D10" s="32">
        <v>3287</v>
      </c>
      <c r="E10" s="32">
        <v>338</v>
      </c>
      <c r="F10" s="32">
        <v>4</v>
      </c>
      <c r="G10" s="52">
        <v>7</v>
      </c>
      <c r="H10" s="23">
        <v>81827</v>
      </c>
      <c r="I10" s="23" t="s">
        <v>17</v>
      </c>
      <c r="J10" s="59">
        <v>61972365</v>
      </c>
      <c r="K10" s="23" t="s">
        <v>6449</v>
      </c>
      <c r="L10" s="22" t="s">
        <v>6466</v>
      </c>
      <c r="M10" s="24">
        <v>29900</v>
      </c>
      <c r="N10" s="35">
        <f t="shared" si="2"/>
        <v>0.3</v>
      </c>
      <c r="O10" s="34">
        <f t="shared" si="0"/>
        <v>20930</v>
      </c>
      <c r="P10" s="32" t="str">
        <f t="shared" si="2"/>
        <v>PERCENTAGE</v>
      </c>
    </row>
    <row r="11" spans="1:16" x14ac:dyDescent="0.35">
      <c r="A11" s="23" t="str">
        <f t="shared" si="1"/>
        <v xml:space="preserve">2025 OCT DISC 30% </v>
      </c>
      <c r="B11" s="33">
        <f t="shared" si="1"/>
        <v>46121</v>
      </c>
      <c r="C11" s="33">
        <f t="shared" si="1"/>
        <v>46127</v>
      </c>
      <c r="D11" s="32">
        <v>3287</v>
      </c>
      <c r="E11" s="32">
        <v>338</v>
      </c>
      <c r="F11" s="32">
        <v>4</v>
      </c>
      <c r="G11" s="52">
        <v>7</v>
      </c>
      <c r="H11" s="23">
        <v>81827</v>
      </c>
      <c r="I11" s="23" t="s">
        <v>17</v>
      </c>
      <c r="J11" s="59">
        <v>61972374</v>
      </c>
      <c r="K11" s="23" t="s">
        <v>6449</v>
      </c>
      <c r="L11" s="22" t="s">
        <v>6467</v>
      </c>
      <c r="M11" s="24">
        <v>29900</v>
      </c>
      <c r="N11" s="35">
        <f t="shared" si="2"/>
        <v>0.3</v>
      </c>
      <c r="O11" s="34">
        <f t="shared" si="0"/>
        <v>20930</v>
      </c>
      <c r="P11" s="32" t="str">
        <f t="shared" si="2"/>
        <v>PERCENTAGE</v>
      </c>
    </row>
    <row r="12" spans="1:16" x14ac:dyDescent="0.35">
      <c r="A12" s="23" t="str">
        <f t="shared" si="1"/>
        <v xml:space="preserve">2025 OCT DISC 30% </v>
      </c>
      <c r="B12" s="33">
        <f t="shared" si="1"/>
        <v>46121</v>
      </c>
      <c r="C12" s="33">
        <f t="shared" si="1"/>
        <v>46127</v>
      </c>
      <c r="D12" s="32">
        <v>3287</v>
      </c>
      <c r="E12" s="32">
        <v>338</v>
      </c>
      <c r="F12" s="32">
        <v>4</v>
      </c>
      <c r="G12" s="52">
        <v>10</v>
      </c>
      <c r="H12" s="23">
        <v>81533</v>
      </c>
      <c r="I12" s="23" t="s">
        <v>17</v>
      </c>
      <c r="J12" s="59">
        <v>61074317</v>
      </c>
      <c r="K12" s="23" t="s">
        <v>6273</v>
      </c>
      <c r="L12" s="22" t="s">
        <v>6274</v>
      </c>
      <c r="M12" s="24">
        <v>29900</v>
      </c>
      <c r="N12" s="35">
        <f t="shared" si="2"/>
        <v>0.3</v>
      </c>
      <c r="O12" s="34">
        <f t="shared" si="0"/>
        <v>20930</v>
      </c>
      <c r="P12" s="32" t="str">
        <f t="shared" si="2"/>
        <v>PERCENTAGE</v>
      </c>
    </row>
    <row r="13" spans="1:16" x14ac:dyDescent="0.35">
      <c r="A13" s="23" t="str">
        <f t="shared" si="1"/>
        <v xml:space="preserve">2025 OCT DISC 30% </v>
      </c>
      <c r="B13" s="33">
        <f t="shared" si="1"/>
        <v>46121</v>
      </c>
      <c r="C13" s="33">
        <f t="shared" si="1"/>
        <v>46127</v>
      </c>
      <c r="D13" s="32">
        <v>3287</v>
      </c>
      <c r="E13" s="32">
        <v>338</v>
      </c>
      <c r="F13" s="32">
        <v>4</v>
      </c>
      <c r="G13" s="52">
        <v>10</v>
      </c>
      <c r="H13" s="23">
        <v>81533</v>
      </c>
      <c r="I13" s="23" t="s">
        <v>17</v>
      </c>
      <c r="J13" s="59">
        <v>61074326</v>
      </c>
      <c r="K13" s="23" t="s">
        <v>6273</v>
      </c>
      <c r="L13" s="22" t="s">
        <v>6275</v>
      </c>
      <c r="M13" s="24">
        <v>29900</v>
      </c>
      <c r="N13" s="35">
        <f t="shared" si="2"/>
        <v>0.3</v>
      </c>
      <c r="O13" s="34">
        <f t="shared" si="0"/>
        <v>20930</v>
      </c>
      <c r="P13" s="32" t="str">
        <f t="shared" si="2"/>
        <v>PERCENTAGE</v>
      </c>
    </row>
    <row r="14" spans="1:16" x14ac:dyDescent="0.35">
      <c r="A14" s="23" t="str">
        <f t="shared" si="1"/>
        <v xml:space="preserve">2025 OCT DISC 30% </v>
      </c>
      <c r="B14" s="33">
        <f t="shared" si="1"/>
        <v>46121</v>
      </c>
      <c r="C14" s="33">
        <f t="shared" si="1"/>
        <v>46127</v>
      </c>
      <c r="D14" s="32">
        <v>3287</v>
      </c>
      <c r="E14" s="32">
        <v>338</v>
      </c>
      <c r="F14" s="32">
        <v>4</v>
      </c>
      <c r="G14" s="52">
        <v>10</v>
      </c>
      <c r="H14" s="23">
        <v>81533</v>
      </c>
      <c r="I14" s="23" t="s">
        <v>17</v>
      </c>
      <c r="J14" s="59">
        <v>61074335</v>
      </c>
      <c r="K14" s="23" t="s">
        <v>6273</v>
      </c>
      <c r="L14" s="22" t="s">
        <v>6276</v>
      </c>
      <c r="M14" s="24">
        <v>29900</v>
      </c>
      <c r="N14" s="35">
        <f t="shared" si="2"/>
        <v>0.3</v>
      </c>
      <c r="O14" s="34">
        <f t="shared" si="0"/>
        <v>20930</v>
      </c>
      <c r="P14" s="32" t="str">
        <f t="shared" si="2"/>
        <v>PERCENTAGE</v>
      </c>
    </row>
    <row r="15" spans="1:16" x14ac:dyDescent="0.35">
      <c r="A15" s="23" t="str">
        <f t="shared" si="1"/>
        <v xml:space="preserve">2025 OCT DISC 30% </v>
      </c>
      <c r="B15" s="33">
        <f t="shared" si="1"/>
        <v>46121</v>
      </c>
      <c r="C15" s="33">
        <f t="shared" si="1"/>
        <v>46127</v>
      </c>
      <c r="D15" s="32">
        <v>3287</v>
      </c>
      <c r="E15" s="32">
        <v>338</v>
      </c>
      <c r="F15" s="32">
        <v>4</v>
      </c>
      <c r="G15" s="52">
        <v>10</v>
      </c>
      <c r="H15" s="23">
        <v>81533</v>
      </c>
      <c r="I15" s="23" t="s">
        <v>17</v>
      </c>
      <c r="J15" s="59">
        <v>61074344</v>
      </c>
      <c r="K15" s="23" t="s">
        <v>6277</v>
      </c>
      <c r="L15" s="22" t="s">
        <v>6278</v>
      </c>
      <c r="M15" s="24">
        <v>29900</v>
      </c>
      <c r="N15" s="35">
        <f t="shared" si="2"/>
        <v>0.3</v>
      </c>
      <c r="O15" s="34">
        <f t="shared" si="0"/>
        <v>20930</v>
      </c>
      <c r="P15" s="32" t="str">
        <f t="shared" si="2"/>
        <v>PERCENTAGE</v>
      </c>
    </row>
    <row r="16" spans="1:16" x14ac:dyDescent="0.35">
      <c r="A16" s="23" t="str">
        <f t="shared" si="1"/>
        <v xml:space="preserve">2025 OCT DISC 30% </v>
      </c>
      <c r="B16" s="33">
        <f t="shared" si="1"/>
        <v>46121</v>
      </c>
      <c r="C16" s="33">
        <f t="shared" si="1"/>
        <v>46127</v>
      </c>
      <c r="D16" s="32">
        <v>3287</v>
      </c>
      <c r="E16" s="32">
        <v>338</v>
      </c>
      <c r="F16" s="32">
        <v>4</v>
      </c>
      <c r="G16" s="52">
        <v>10</v>
      </c>
      <c r="H16" s="23">
        <v>81533</v>
      </c>
      <c r="I16" s="23" t="s">
        <v>17</v>
      </c>
      <c r="J16" s="59">
        <v>61074353</v>
      </c>
      <c r="K16" s="23" t="s">
        <v>6277</v>
      </c>
      <c r="L16" s="22" t="s">
        <v>6279</v>
      </c>
      <c r="M16" s="24">
        <v>29900</v>
      </c>
      <c r="N16" s="35">
        <f t="shared" si="2"/>
        <v>0.3</v>
      </c>
      <c r="O16" s="34">
        <f t="shared" si="0"/>
        <v>20930</v>
      </c>
      <c r="P16" s="32" t="str">
        <f t="shared" si="2"/>
        <v>PERCENTAGE</v>
      </c>
    </row>
    <row r="17" spans="1:16" x14ac:dyDescent="0.35">
      <c r="A17" s="23" t="str">
        <f t="shared" si="1"/>
        <v xml:space="preserve">2025 OCT DISC 30% </v>
      </c>
      <c r="B17" s="33">
        <f t="shared" si="1"/>
        <v>46121</v>
      </c>
      <c r="C17" s="33">
        <f t="shared" si="1"/>
        <v>46127</v>
      </c>
      <c r="D17" s="32">
        <v>3287</v>
      </c>
      <c r="E17" s="32">
        <v>338</v>
      </c>
      <c r="F17" s="32">
        <v>4</v>
      </c>
      <c r="G17" s="52">
        <v>10</v>
      </c>
      <c r="H17" s="23">
        <v>81533</v>
      </c>
      <c r="I17" s="23" t="s">
        <v>17</v>
      </c>
      <c r="J17" s="59">
        <v>61074362</v>
      </c>
      <c r="K17" s="23" t="s">
        <v>6277</v>
      </c>
      <c r="L17" s="22" t="s">
        <v>6280</v>
      </c>
      <c r="M17" s="24">
        <v>29900</v>
      </c>
      <c r="N17" s="35">
        <f t="shared" si="2"/>
        <v>0.3</v>
      </c>
      <c r="O17" s="34">
        <f t="shared" si="0"/>
        <v>20930</v>
      </c>
      <c r="P17" s="32" t="str">
        <f t="shared" si="2"/>
        <v>PERCENTAGE</v>
      </c>
    </row>
    <row r="18" spans="1:16" x14ac:dyDescent="0.35">
      <c r="A18" s="23" t="str">
        <f t="shared" si="1"/>
        <v xml:space="preserve">2025 OCT DISC 30% </v>
      </c>
      <c r="B18" s="33">
        <f t="shared" si="1"/>
        <v>46121</v>
      </c>
      <c r="C18" s="33">
        <f t="shared" si="1"/>
        <v>46127</v>
      </c>
      <c r="D18" s="32">
        <v>3287</v>
      </c>
      <c r="E18" s="32">
        <v>338</v>
      </c>
      <c r="F18" s="32">
        <v>4</v>
      </c>
      <c r="G18" s="52">
        <v>10</v>
      </c>
      <c r="H18" s="23">
        <v>81533</v>
      </c>
      <c r="I18" s="23" t="s">
        <v>17</v>
      </c>
      <c r="J18" s="59">
        <v>61074371</v>
      </c>
      <c r="K18" s="23" t="s">
        <v>6281</v>
      </c>
      <c r="L18" s="22" t="s">
        <v>6282</v>
      </c>
      <c r="M18" s="24">
        <v>29900</v>
      </c>
      <c r="N18" s="35">
        <f t="shared" si="2"/>
        <v>0.3</v>
      </c>
      <c r="O18" s="34">
        <f t="shared" si="0"/>
        <v>20930</v>
      </c>
      <c r="P18" s="32" t="str">
        <f t="shared" si="2"/>
        <v>PERCENTAGE</v>
      </c>
    </row>
    <row r="19" spans="1:16" x14ac:dyDescent="0.35">
      <c r="A19" s="23" t="str">
        <f t="shared" si="1"/>
        <v xml:space="preserve">2025 OCT DISC 30% </v>
      </c>
      <c r="B19" s="33">
        <f t="shared" si="1"/>
        <v>46121</v>
      </c>
      <c r="C19" s="33">
        <f t="shared" si="1"/>
        <v>46127</v>
      </c>
      <c r="D19" s="32">
        <v>3287</v>
      </c>
      <c r="E19" s="32">
        <v>338</v>
      </c>
      <c r="F19" s="32">
        <v>4</v>
      </c>
      <c r="G19" s="52">
        <v>10</v>
      </c>
      <c r="H19" s="23">
        <v>81533</v>
      </c>
      <c r="I19" s="23" t="s">
        <v>17</v>
      </c>
      <c r="J19" s="59">
        <v>61074380</v>
      </c>
      <c r="K19" s="23" t="s">
        <v>6281</v>
      </c>
      <c r="L19" s="22" t="s">
        <v>6284</v>
      </c>
      <c r="M19" s="24">
        <v>29900</v>
      </c>
      <c r="N19" s="35">
        <f t="shared" si="2"/>
        <v>0.3</v>
      </c>
      <c r="O19" s="34">
        <f t="shared" si="0"/>
        <v>20930</v>
      </c>
      <c r="P19" s="32" t="str">
        <f t="shared" si="2"/>
        <v>PERCENTAGE</v>
      </c>
    </row>
    <row r="20" spans="1:16" x14ac:dyDescent="0.35">
      <c r="A20" s="23" t="str">
        <f t="shared" ref="A20:C35" si="3">A19</f>
        <v xml:space="preserve">2025 OCT DISC 30% </v>
      </c>
      <c r="B20" s="33">
        <f t="shared" si="3"/>
        <v>46121</v>
      </c>
      <c r="C20" s="33">
        <f t="shared" si="3"/>
        <v>46127</v>
      </c>
      <c r="D20" s="32">
        <v>3287</v>
      </c>
      <c r="E20" s="32">
        <v>338</v>
      </c>
      <c r="F20" s="32">
        <v>4</v>
      </c>
      <c r="G20" s="52">
        <v>10</v>
      </c>
      <c r="H20" s="23">
        <v>81533</v>
      </c>
      <c r="I20" s="23" t="s">
        <v>17</v>
      </c>
      <c r="J20" s="59">
        <v>61074399</v>
      </c>
      <c r="K20" s="23" t="s">
        <v>6281</v>
      </c>
      <c r="L20" s="22" t="s">
        <v>6283</v>
      </c>
      <c r="M20" s="24">
        <v>29900</v>
      </c>
      <c r="N20" s="35">
        <f t="shared" ref="N20:P35" si="4">N19</f>
        <v>0.3</v>
      </c>
      <c r="O20" s="34">
        <f t="shared" si="0"/>
        <v>20930</v>
      </c>
      <c r="P20" s="32" t="str">
        <f t="shared" si="4"/>
        <v>PERCENTAGE</v>
      </c>
    </row>
    <row r="21" spans="1:16" x14ac:dyDescent="0.35">
      <c r="A21" s="23" t="str">
        <f t="shared" si="3"/>
        <v xml:space="preserve">2025 OCT DISC 30% </v>
      </c>
      <c r="B21" s="33">
        <f t="shared" si="3"/>
        <v>46121</v>
      </c>
      <c r="C21" s="33">
        <f t="shared" si="3"/>
        <v>46127</v>
      </c>
      <c r="D21" s="32">
        <v>3287</v>
      </c>
      <c r="E21" s="32">
        <v>338</v>
      </c>
      <c r="F21" s="32">
        <v>4</v>
      </c>
      <c r="G21" s="52">
        <v>10</v>
      </c>
      <c r="H21" s="23">
        <v>81533</v>
      </c>
      <c r="I21" s="23" t="s">
        <v>17</v>
      </c>
      <c r="J21" s="59">
        <v>61074282</v>
      </c>
      <c r="K21" s="23" t="s">
        <v>6224</v>
      </c>
      <c r="L21" s="22" t="s">
        <v>6225</v>
      </c>
      <c r="M21" s="24">
        <v>29900</v>
      </c>
      <c r="N21" s="35">
        <f t="shared" si="4"/>
        <v>0.3</v>
      </c>
      <c r="O21" s="34">
        <f t="shared" si="0"/>
        <v>20930</v>
      </c>
      <c r="P21" s="32" t="str">
        <f t="shared" si="4"/>
        <v>PERCENTAGE</v>
      </c>
    </row>
    <row r="22" spans="1:16" x14ac:dyDescent="0.35">
      <c r="A22" s="23" t="str">
        <f t="shared" si="3"/>
        <v xml:space="preserve">2025 OCT DISC 30% </v>
      </c>
      <c r="B22" s="33">
        <f t="shared" si="3"/>
        <v>46121</v>
      </c>
      <c r="C22" s="33">
        <f t="shared" si="3"/>
        <v>46127</v>
      </c>
      <c r="D22" s="32">
        <v>3287</v>
      </c>
      <c r="E22" s="32">
        <v>338</v>
      </c>
      <c r="F22" s="32">
        <v>4</v>
      </c>
      <c r="G22" s="52">
        <v>10</v>
      </c>
      <c r="H22" s="23">
        <v>81533</v>
      </c>
      <c r="I22" s="23" t="s">
        <v>17</v>
      </c>
      <c r="J22" s="59">
        <v>61074291</v>
      </c>
      <c r="K22" s="23" t="s">
        <v>6224</v>
      </c>
      <c r="L22" s="22" t="s">
        <v>6227</v>
      </c>
      <c r="M22" s="24">
        <v>29900</v>
      </c>
      <c r="N22" s="35">
        <f t="shared" si="4"/>
        <v>0.3</v>
      </c>
      <c r="O22" s="34">
        <f t="shared" si="0"/>
        <v>20930</v>
      </c>
      <c r="P22" s="32" t="str">
        <f t="shared" si="4"/>
        <v>PERCENTAGE</v>
      </c>
    </row>
    <row r="23" spans="1:16" x14ac:dyDescent="0.35">
      <c r="A23" s="23" t="str">
        <f t="shared" si="3"/>
        <v xml:space="preserve">2025 OCT DISC 30% </v>
      </c>
      <c r="B23" s="33">
        <f t="shared" si="3"/>
        <v>46121</v>
      </c>
      <c r="C23" s="33">
        <f t="shared" si="3"/>
        <v>46127</v>
      </c>
      <c r="D23" s="32">
        <v>3287</v>
      </c>
      <c r="E23" s="32">
        <v>338</v>
      </c>
      <c r="F23" s="32">
        <v>4</v>
      </c>
      <c r="G23" s="52">
        <v>10</v>
      </c>
      <c r="H23" s="23">
        <v>81533</v>
      </c>
      <c r="I23" s="23" t="s">
        <v>17</v>
      </c>
      <c r="J23" s="59">
        <v>61074308</v>
      </c>
      <c r="K23" s="23" t="s">
        <v>6224</v>
      </c>
      <c r="L23" s="22" t="s">
        <v>6226</v>
      </c>
      <c r="M23" s="24">
        <v>29900</v>
      </c>
      <c r="N23" s="35">
        <f t="shared" si="4"/>
        <v>0.3</v>
      </c>
      <c r="O23" s="34">
        <f t="shared" si="0"/>
        <v>20930</v>
      </c>
      <c r="P23" s="32" t="str">
        <f t="shared" si="4"/>
        <v>PERCENTAGE</v>
      </c>
    </row>
    <row r="24" spans="1:16" x14ac:dyDescent="0.35">
      <c r="A24" s="23" t="str">
        <f t="shared" si="3"/>
        <v xml:space="preserve">2025 OCT DISC 30% </v>
      </c>
      <c r="B24" s="33">
        <f t="shared" si="3"/>
        <v>46121</v>
      </c>
      <c r="C24" s="33">
        <f t="shared" si="3"/>
        <v>46127</v>
      </c>
      <c r="D24" s="32">
        <v>3287</v>
      </c>
      <c r="E24" s="32">
        <v>338</v>
      </c>
      <c r="F24" s="32">
        <v>4</v>
      </c>
      <c r="G24" s="52">
        <v>10</v>
      </c>
      <c r="H24" s="23">
        <v>81533</v>
      </c>
      <c r="I24" s="23" t="s">
        <v>17</v>
      </c>
      <c r="J24" s="59">
        <v>61074255</v>
      </c>
      <c r="K24" s="23" t="s">
        <v>6220</v>
      </c>
      <c r="L24" s="22" t="s">
        <v>6222</v>
      </c>
      <c r="M24" s="24">
        <v>29900</v>
      </c>
      <c r="N24" s="35">
        <f t="shared" si="4"/>
        <v>0.3</v>
      </c>
      <c r="O24" s="34">
        <f t="shared" si="0"/>
        <v>20930</v>
      </c>
      <c r="P24" s="32" t="str">
        <f t="shared" si="4"/>
        <v>PERCENTAGE</v>
      </c>
    </row>
    <row r="25" spans="1:16" x14ac:dyDescent="0.35">
      <c r="A25" s="23" t="str">
        <f t="shared" si="3"/>
        <v xml:space="preserve">2025 OCT DISC 30% </v>
      </c>
      <c r="B25" s="33">
        <f t="shared" si="3"/>
        <v>46121</v>
      </c>
      <c r="C25" s="33">
        <f t="shared" si="3"/>
        <v>46127</v>
      </c>
      <c r="D25" s="32">
        <v>3287</v>
      </c>
      <c r="E25" s="32">
        <v>338</v>
      </c>
      <c r="F25" s="32">
        <v>4</v>
      </c>
      <c r="G25" s="52">
        <v>10</v>
      </c>
      <c r="H25" s="23">
        <v>81533</v>
      </c>
      <c r="I25" s="23" t="s">
        <v>17</v>
      </c>
      <c r="J25" s="59">
        <v>61074264</v>
      </c>
      <c r="K25" s="23" t="s">
        <v>6220</v>
      </c>
      <c r="L25" s="22" t="s">
        <v>6221</v>
      </c>
      <c r="M25" s="24">
        <v>29900</v>
      </c>
      <c r="N25" s="35">
        <f t="shared" si="4"/>
        <v>0.3</v>
      </c>
      <c r="O25" s="34">
        <f t="shared" si="0"/>
        <v>20930</v>
      </c>
      <c r="P25" s="32" t="str">
        <f t="shared" si="4"/>
        <v>PERCENTAGE</v>
      </c>
    </row>
    <row r="26" spans="1:16" x14ac:dyDescent="0.35">
      <c r="A26" s="23" t="str">
        <f t="shared" si="3"/>
        <v xml:space="preserve">2025 OCT DISC 30% </v>
      </c>
      <c r="B26" s="33">
        <f t="shared" si="3"/>
        <v>46121</v>
      </c>
      <c r="C26" s="33">
        <f t="shared" si="3"/>
        <v>46127</v>
      </c>
      <c r="D26" s="32">
        <v>3287</v>
      </c>
      <c r="E26" s="32">
        <v>338</v>
      </c>
      <c r="F26" s="32">
        <v>4</v>
      </c>
      <c r="G26" s="52">
        <v>10</v>
      </c>
      <c r="H26" s="23">
        <v>81533</v>
      </c>
      <c r="I26" s="23" t="s">
        <v>17</v>
      </c>
      <c r="J26" s="59">
        <v>61074273</v>
      </c>
      <c r="K26" s="23" t="s">
        <v>6220</v>
      </c>
      <c r="L26" s="22" t="s">
        <v>6223</v>
      </c>
      <c r="M26" s="24">
        <v>29900</v>
      </c>
      <c r="N26" s="35">
        <f t="shared" si="4"/>
        <v>0.3</v>
      </c>
      <c r="O26" s="34">
        <f t="shared" si="0"/>
        <v>20930</v>
      </c>
      <c r="P26" s="32" t="str">
        <f t="shared" si="4"/>
        <v>PERCENTAGE</v>
      </c>
    </row>
    <row r="27" spans="1:16" x14ac:dyDescent="0.35">
      <c r="A27" s="23" t="str">
        <f t="shared" si="3"/>
        <v xml:space="preserve">2025 OCT DISC 30% </v>
      </c>
      <c r="B27" s="33">
        <f t="shared" si="3"/>
        <v>46121</v>
      </c>
      <c r="C27" s="33">
        <f t="shared" si="3"/>
        <v>46127</v>
      </c>
      <c r="D27" s="32">
        <v>3287</v>
      </c>
      <c r="E27" s="32">
        <v>338</v>
      </c>
      <c r="F27" s="32">
        <v>4</v>
      </c>
      <c r="G27" s="52">
        <v>7</v>
      </c>
      <c r="H27" s="23">
        <v>81827</v>
      </c>
      <c r="I27" s="23" t="s">
        <v>17</v>
      </c>
      <c r="J27" s="59">
        <v>61074102</v>
      </c>
      <c r="K27" s="23" t="s">
        <v>6212</v>
      </c>
      <c r="L27" s="22" t="s">
        <v>6215</v>
      </c>
      <c r="M27" s="24">
        <v>29900</v>
      </c>
      <c r="N27" s="35">
        <f t="shared" si="4"/>
        <v>0.3</v>
      </c>
      <c r="O27" s="34">
        <f t="shared" si="0"/>
        <v>20930</v>
      </c>
      <c r="P27" s="32" t="str">
        <f t="shared" si="4"/>
        <v>PERCENTAGE</v>
      </c>
    </row>
    <row r="28" spans="1:16" x14ac:dyDescent="0.35">
      <c r="A28" s="23" t="str">
        <f t="shared" si="3"/>
        <v xml:space="preserve">2025 OCT DISC 30% </v>
      </c>
      <c r="B28" s="33">
        <f t="shared" si="3"/>
        <v>46121</v>
      </c>
      <c r="C28" s="33">
        <f t="shared" si="3"/>
        <v>46127</v>
      </c>
      <c r="D28" s="32">
        <v>3287</v>
      </c>
      <c r="E28" s="32">
        <v>338</v>
      </c>
      <c r="F28" s="32">
        <v>4</v>
      </c>
      <c r="G28" s="52">
        <v>7</v>
      </c>
      <c r="H28" s="23">
        <v>81827</v>
      </c>
      <c r="I28" s="23" t="s">
        <v>17</v>
      </c>
      <c r="J28" s="59">
        <v>61074111</v>
      </c>
      <c r="K28" s="23" t="s">
        <v>6212</v>
      </c>
      <c r="L28" s="22" t="s">
        <v>6214</v>
      </c>
      <c r="M28" s="24">
        <v>29900</v>
      </c>
      <c r="N28" s="35">
        <f t="shared" si="4"/>
        <v>0.3</v>
      </c>
      <c r="O28" s="34">
        <f t="shared" si="0"/>
        <v>20930</v>
      </c>
      <c r="P28" s="32" t="str">
        <f t="shared" si="4"/>
        <v>PERCENTAGE</v>
      </c>
    </row>
    <row r="29" spans="1:16" x14ac:dyDescent="0.35">
      <c r="A29" s="23" t="str">
        <f t="shared" si="3"/>
        <v xml:space="preserve">2025 OCT DISC 30% </v>
      </c>
      <c r="B29" s="33">
        <f t="shared" si="3"/>
        <v>46121</v>
      </c>
      <c r="C29" s="33">
        <f t="shared" si="3"/>
        <v>46127</v>
      </c>
      <c r="D29" s="32">
        <v>3287</v>
      </c>
      <c r="E29" s="32">
        <v>338</v>
      </c>
      <c r="F29" s="32">
        <v>4</v>
      </c>
      <c r="G29" s="52">
        <v>7</v>
      </c>
      <c r="H29" s="23">
        <v>81827</v>
      </c>
      <c r="I29" s="23" t="s">
        <v>17</v>
      </c>
      <c r="J29" s="59">
        <v>61074120</v>
      </c>
      <c r="K29" s="23" t="s">
        <v>6212</v>
      </c>
      <c r="L29" s="22" t="s">
        <v>6213</v>
      </c>
      <c r="M29" s="24">
        <v>29900</v>
      </c>
      <c r="N29" s="35">
        <f t="shared" si="4"/>
        <v>0.3</v>
      </c>
      <c r="O29" s="34">
        <f t="shared" si="0"/>
        <v>20930</v>
      </c>
      <c r="P29" s="32" t="str">
        <f t="shared" si="4"/>
        <v>PERCENTAGE</v>
      </c>
    </row>
    <row r="30" spans="1:16" x14ac:dyDescent="0.35">
      <c r="A30" s="23" t="str">
        <f t="shared" si="3"/>
        <v xml:space="preserve">2025 OCT DISC 30% </v>
      </c>
      <c r="B30" s="33">
        <f t="shared" si="3"/>
        <v>46121</v>
      </c>
      <c r="C30" s="33">
        <f t="shared" si="3"/>
        <v>46127</v>
      </c>
      <c r="D30" s="32">
        <v>3287</v>
      </c>
      <c r="E30" s="32">
        <v>338</v>
      </c>
      <c r="F30" s="32">
        <v>4</v>
      </c>
      <c r="G30" s="52">
        <v>7</v>
      </c>
      <c r="H30" s="23">
        <v>81827</v>
      </c>
      <c r="I30" s="23" t="s">
        <v>17</v>
      </c>
      <c r="J30" s="59">
        <v>61074077</v>
      </c>
      <c r="K30" s="23" t="s">
        <v>6216</v>
      </c>
      <c r="L30" s="22" t="s">
        <v>6217</v>
      </c>
      <c r="M30" s="24">
        <v>29900</v>
      </c>
      <c r="N30" s="35">
        <f t="shared" si="4"/>
        <v>0.3</v>
      </c>
      <c r="O30" s="34">
        <f t="shared" si="0"/>
        <v>20930</v>
      </c>
      <c r="P30" s="32" t="str">
        <f t="shared" si="4"/>
        <v>PERCENTAGE</v>
      </c>
    </row>
    <row r="31" spans="1:16" x14ac:dyDescent="0.35">
      <c r="A31" s="23" t="str">
        <f t="shared" si="3"/>
        <v xml:space="preserve">2025 OCT DISC 30% </v>
      </c>
      <c r="B31" s="33">
        <f t="shared" si="3"/>
        <v>46121</v>
      </c>
      <c r="C31" s="33">
        <f t="shared" si="3"/>
        <v>46127</v>
      </c>
      <c r="D31" s="32">
        <v>3287</v>
      </c>
      <c r="E31" s="32">
        <v>338</v>
      </c>
      <c r="F31" s="32">
        <v>4</v>
      </c>
      <c r="G31" s="52">
        <v>7</v>
      </c>
      <c r="H31" s="23">
        <v>81827</v>
      </c>
      <c r="I31" s="23" t="s">
        <v>17</v>
      </c>
      <c r="J31" s="59">
        <v>61074086</v>
      </c>
      <c r="K31" s="23" t="s">
        <v>6216</v>
      </c>
      <c r="L31" s="22" t="s">
        <v>6218</v>
      </c>
      <c r="M31" s="24">
        <v>29900</v>
      </c>
      <c r="N31" s="35">
        <f t="shared" si="4"/>
        <v>0.3</v>
      </c>
      <c r="O31" s="34">
        <f t="shared" si="0"/>
        <v>20930</v>
      </c>
      <c r="P31" s="32" t="str">
        <f t="shared" si="4"/>
        <v>PERCENTAGE</v>
      </c>
    </row>
    <row r="32" spans="1:16" x14ac:dyDescent="0.35">
      <c r="A32" s="23" t="str">
        <f t="shared" si="3"/>
        <v xml:space="preserve">2025 OCT DISC 30% </v>
      </c>
      <c r="B32" s="33">
        <f t="shared" si="3"/>
        <v>46121</v>
      </c>
      <c r="C32" s="33">
        <f t="shared" si="3"/>
        <v>46127</v>
      </c>
      <c r="D32" s="32">
        <v>3287</v>
      </c>
      <c r="E32" s="32">
        <v>338</v>
      </c>
      <c r="F32" s="32">
        <v>4</v>
      </c>
      <c r="G32" s="52">
        <v>7</v>
      </c>
      <c r="H32" s="23">
        <v>81827</v>
      </c>
      <c r="I32" s="23" t="s">
        <v>17</v>
      </c>
      <c r="J32" s="59">
        <v>61074095</v>
      </c>
      <c r="K32" s="23" t="s">
        <v>6216</v>
      </c>
      <c r="L32" s="22" t="s">
        <v>6219</v>
      </c>
      <c r="M32" s="24">
        <v>29900</v>
      </c>
      <c r="N32" s="35">
        <f t="shared" si="4"/>
        <v>0.3</v>
      </c>
      <c r="O32" s="34">
        <f t="shared" si="0"/>
        <v>20930</v>
      </c>
      <c r="P32" s="32" t="str">
        <f t="shared" si="4"/>
        <v>PERCENTAGE</v>
      </c>
    </row>
    <row r="33" spans="1:16" x14ac:dyDescent="0.35">
      <c r="A33" s="23" t="str">
        <f t="shared" si="3"/>
        <v xml:space="preserve">2025 OCT DISC 30% </v>
      </c>
      <c r="B33" s="33">
        <f t="shared" si="3"/>
        <v>46121</v>
      </c>
      <c r="C33" s="33">
        <f t="shared" si="3"/>
        <v>46127</v>
      </c>
      <c r="D33" s="32">
        <v>3287</v>
      </c>
      <c r="E33" s="32">
        <v>338</v>
      </c>
      <c r="F33" s="32">
        <v>4</v>
      </c>
      <c r="G33" s="52">
        <v>7</v>
      </c>
      <c r="H33" s="23">
        <v>81827</v>
      </c>
      <c r="I33" s="23" t="s">
        <v>17</v>
      </c>
      <c r="J33" s="59">
        <v>61972534</v>
      </c>
      <c r="K33" s="23" t="s">
        <v>6447</v>
      </c>
      <c r="L33" s="22" t="s">
        <v>6460</v>
      </c>
      <c r="M33" s="24">
        <v>35900</v>
      </c>
      <c r="N33" s="35">
        <f t="shared" si="4"/>
        <v>0.3</v>
      </c>
      <c r="O33" s="34">
        <f t="shared" si="0"/>
        <v>25130</v>
      </c>
      <c r="P33" s="32" t="str">
        <f t="shared" si="4"/>
        <v>PERCENTAGE</v>
      </c>
    </row>
    <row r="34" spans="1:16" x14ac:dyDescent="0.35">
      <c r="A34" s="23" t="str">
        <f t="shared" si="3"/>
        <v xml:space="preserve">2025 OCT DISC 30% </v>
      </c>
      <c r="B34" s="33">
        <f t="shared" si="3"/>
        <v>46121</v>
      </c>
      <c r="C34" s="33">
        <f t="shared" si="3"/>
        <v>46127</v>
      </c>
      <c r="D34" s="32">
        <v>3287</v>
      </c>
      <c r="E34" s="32">
        <v>338</v>
      </c>
      <c r="F34" s="32">
        <v>4</v>
      </c>
      <c r="G34" s="52">
        <v>7</v>
      </c>
      <c r="H34" s="23">
        <v>81827</v>
      </c>
      <c r="I34" s="23" t="s">
        <v>17</v>
      </c>
      <c r="J34" s="59">
        <v>61972543</v>
      </c>
      <c r="K34" s="23" t="s">
        <v>6447</v>
      </c>
      <c r="L34" s="22" t="s">
        <v>6461</v>
      </c>
      <c r="M34" s="24">
        <v>35900</v>
      </c>
      <c r="N34" s="35">
        <f t="shared" si="4"/>
        <v>0.3</v>
      </c>
      <c r="O34" s="34">
        <f t="shared" si="0"/>
        <v>25130</v>
      </c>
      <c r="P34" s="32" t="str">
        <f t="shared" si="4"/>
        <v>PERCENTAGE</v>
      </c>
    </row>
    <row r="35" spans="1:16" x14ac:dyDescent="0.35">
      <c r="A35" s="23" t="str">
        <f t="shared" si="3"/>
        <v xml:space="preserve">2025 OCT DISC 30% </v>
      </c>
      <c r="B35" s="33">
        <f t="shared" si="3"/>
        <v>46121</v>
      </c>
      <c r="C35" s="33">
        <f t="shared" si="3"/>
        <v>46127</v>
      </c>
      <c r="D35" s="32">
        <v>3287</v>
      </c>
      <c r="E35" s="32">
        <v>338</v>
      </c>
      <c r="F35" s="32">
        <v>4</v>
      </c>
      <c r="G35" s="52">
        <v>7</v>
      </c>
      <c r="H35" s="23">
        <v>81827</v>
      </c>
      <c r="I35" s="23" t="s">
        <v>17</v>
      </c>
      <c r="J35" s="59">
        <v>61315600</v>
      </c>
      <c r="K35" s="23" t="s">
        <v>6209</v>
      </c>
      <c r="L35" s="22" t="s">
        <v>6210</v>
      </c>
      <c r="M35" s="24">
        <v>29900</v>
      </c>
      <c r="N35" s="35">
        <f t="shared" si="4"/>
        <v>0.3</v>
      </c>
      <c r="O35" s="34">
        <f t="shared" si="0"/>
        <v>20930</v>
      </c>
      <c r="P35" s="32" t="str">
        <f t="shared" si="4"/>
        <v>PERCENTAGE</v>
      </c>
    </row>
    <row r="36" spans="1:16" x14ac:dyDescent="0.35">
      <c r="A36" s="23" t="str">
        <f t="shared" ref="A36:C51" si="5">A35</f>
        <v xml:space="preserve">2025 OCT DISC 30% </v>
      </c>
      <c r="B36" s="33">
        <f t="shared" si="5"/>
        <v>46121</v>
      </c>
      <c r="C36" s="33">
        <f t="shared" si="5"/>
        <v>46127</v>
      </c>
      <c r="D36" s="32">
        <v>3287</v>
      </c>
      <c r="E36" s="32">
        <v>338</v>
      </c>
      <c r="F36" s="32">
        <v>4</v>
      </c>
      <c r="G36" s="52">
        <v>7</v>
      </c>
      <c r="H36" s="23">
        <v>81827</v>
      </c>
      <c r="I36" s="23" t="s">
        <v>17</v>
      </c>
      <c r="J36" s="59">
        <v>61315619</v>
      </c>
      <c r="K36" s="23" t="s">
        <v>6209</v>
      </c>
      <c r="L36" s="22" t="s">
        <v>6211</v>
      </c>
      <c r="M36" s="24">
        <v>29900</v>
      </c>
      <c r="N36" s="35">
        <f t="shared" ref="N36:P51" si="6">N35</f>
        <v>0.3</v>
      </c>
      <c r="O36" s="34">
        <f t="shared" si="0"/>
        <v>20930</v>
      </c>
      <c r="P36" s="32" t="str">
        <f t="shared" si="6"/>
        <v>PERCENTAGE</v>
      </c>
    </row>
    <row r="37" spans="1:16" x14ac:dyDescent="0.35">
      <c r="A37" s="23" t="str">
        <f t="shared" si="5"/>
        <v xml:space="preserve">2025 OCT DISC 30% </v>
      </c>
      <c r="B37" s="33">
        <f t="shared" si="5"/>
        <v>46121</v>
      </c>
      <c r="C37" s="33">
        <f t="shared" si="5"/>
        <v>46127</v>
      </c>
      <c r="D37" s="32">
        <v>3287</v>
      </c>
      <c r="E37" s="32">
        <v>338</v>
      </c>
      <c r="F37" s="32">
        <v>4</v>
      </c>
      <c r="G37" s="52">
        <v>10</v>
      </c>
      <c r="H37" s="23">
        <v>81827</v>
      </c>
      <c r="I37" s="23" t="s">
        <v>17</v>
      </c>
      <c r="J37" s="59">
        <v>61074139</v>
      </c>
      <c r="K37" s="23" t="s">
        <v>6257</v>
      </c>
      <c r="L37" s="22" t="s">
        <v>6259</v>
      </c>
      <c r="M37" s="24">
        <v>29900</v>
      </c>
      <c r="N37" s="35">
        <f t="shared" si="6"/>
        <v>0.3</v>
      </c>
      <c r="O37" s="34">
        <f t="shared" si="0"/>
        <v>20930</v>
      </c>
      <c r="P37" s="32" t="str">
        <f t="shared" si="6"/>
        <v>PERCENTAGE</v>
      </c>
    </row>
    <row r="38" spans="1:16" x14ac:dyDescent="0.35">
      <c r="A38" s="23" t="str">
        <f t="shared" si="5"/>
        <v xml:space="preserve">2025 OCT DISC 30% </v>
      </c>
      <c r="B38" s="33">
        <f t="shared" si="5"/>
        <v>46121</v>
      </c>
      <c r="C38" s="33">
        <f t="shared" si="5"/>
        <v>46127</v>
      </c>
      <c r="D38" s="32">
        <v>3287</v>
      </c>
      <c r="E38" s="32">
        <v>338</v>
      </c>
      <c r="F38" s="32">
        <v>4</v>
      </c>
      <c r="G38" s="52">
        <v>10</v>
      </c>
      <c r="H38" s="23">
        <v>81827</v>
      </c>
      <c r="I38" s="23" t="s">
        <v>17</v>
      </c>
      <c r="J38" s="59">
        <v>61074148</v>
      </c>
      <c r="K38" s="23" t="s">
        <v>6257</v>
      </c>
      <c r="L38" s="22" t="s">
        <v>6260</v>
      </c>
      <c r="M38" s="24">
        <v>29900</v>
      </c>
      <c r="N38" s="35">
        <f t="shared" si="6"/>
        <v>0.3</v>
      </c>
      <c r="O38" s="34">
        <f t="shared" si="0"/>
        <v>20930</v>
      </c>
      <c r="P38" s="32" t="str">
        <f t="shared" si="6"/>
        <v>PERCENTAGE</v>
      </c>
    </row>
    <row r="39" spans="1:16" x14ac:dyDescent="0.35">
      <c r="A39" s="23" t="str">
        <f t="shared" si="5"/>
        <v xml:space="preserve">2025 OCT DISC 30% </v>
      </c>
      <c r="B39" s="33">
        <f t="shared" si="5"/>
        <v>46121</v>
      </c>
      <c r="C39" s="33">
        <f t="shared" si="5"/>
        <v>46127</v>
      </c>
      <c r="D39" s="32">
        <v>3287</v>
      </c>
      <c r="E39" s="32">
        <v>338</v>
      </c>
      <c r="F39" s="32">
        <v>4</v>
      </c>
      <c r="G39" s="52">
        <v>10</v>
      </c>
      <c r="H39" s="23">
        <v>81827</v>
      </c>
      <c r="I39" s="23" t="s">
        <v>17</v>
      </c>
      <c r="J39" s="59">
        <v>61074157</v>
      </c>
      <c r="K39" s="23" t="s">
        <v>6257</v>
      </c>
      <c r="L39" s="22" t="s">
        <v>6258</v>
      </c>
      <c r="M39" s="24">
        <v>29900</v>
      </c>
      <c r="N39" s="35">
        <f t="shared" si="6"/>
        <v>0.3</v>
      </c>
      <c r="O39" s="34">
        <f t="shared" si="0"/>
        <v>20930</v>
      </c>
      <c r="P39" s="32" t="str">
        <f t="shared" si="6"/>
        <v>PERCENTAGE</v>
      </c>
    </row>
    <row r="40" spans="1:16" x14ac:dyDescent="0.35">
      <c r="A40" s="23" t="str">
        <f t="shared" si="5"/>
        <v xml:space="preserve">2025 OCT DISC 30% </v>
      </c>
      <c r="B40" s="33">
        <f t="shared" si="5"/>
        <v>46121</v>
      </c>
      <c r="C40" s="33">
        <f t="shared" si="5"/>
        <v>46127</v>
      </c>
      <c r="D40" s="32">
        <v>3287</v>
      </c>
      <c r="E40" s="32">
        <v>338</v>
      </c>
      <c r="F40" s="32">
        <v>4</v>
      </c>
      <c r="G40" s="52">
        <v>10</v>
      </c>
      <c r="H40" s="23">
        <v>81827</v>
      </c>
      <c r="I40" s="23" t="s">
        <v>17</v>
      </c>
      <c r="J40" s="59">
        <v>61074166</v>
      </c>
      <c r="K40" s="23" t="s">
        <v>6261</v>
      </c>
      <c r="L40" s="22" t="s">
        <v>6263</v>
      </c>
      <c r="M40" s="24">
        <v>29900</v>
      </c>
      <c r="N40" s="35">
        <f t="shared" si="6"/>
        <v>0.3</v>
      </c>
      <c r="O40" s="34">
        <f t="shared" si="0"/>
        <v>20930</v>
      </c>
      <c r="P40" s="32" t="str">
        <f t="shared" si="6"/>
        <v>PERCENTAGE</v>
      </c>
    </row>
    <row r="41" spans="1:16" x14ac:dyDescent="0.35">
      <c r="A41" s="23" t="str">
        <f t="shared" si="5"/>
        <v xml:space="preserve">2025 OCT DISC 30% </v>
      </c>
      <c r="B41" s="33">
        <f t="shared" si="5"/>
        <v>46121</v>
      </c>
      <c r="C41" s="33">
        <f t="shared" si="5"/>
        <v>46127</v>
      </c>
      <c r="D41" s="32">
        <v>3287</v>
      </c>
      <c r="E41" s="32">
        <v>338</v>
      </c>
      <c r="F41" s="32">
        <v>4</v>
      </c>
      <c r="G41" s="52">
        <v>10</v>
      </c>
      <c r="H41" s="23">
        <v>81827</v>
      </c>
      <c r="I41" s="23" t="s">
        <v>17</v>
      </c>
      <c r="J41" s="59">
        <v>61074175</v>
      </c>
      <c r="K41" s="23" t="s">
        <v>6261</v>
      </c>
      <c r="L41" s="22" t="s">
        <v>6262</v>
      </c>
      <c r="M41" s="24">
        <v>29900</v>
      </c>
      <c r="N41" s="35">
        <f t="shared" si="6"/>
        <v>0.3</v>
      </c>
      <c r="O41" s="34">
        <f t="shared" si="0"/>
        <v>20930</v>
      </c>
      <c r="P41" s="32" t="str">
        <f t="shared" si="6"/>
        <v>PERCENTAGE</v>
      </c>
    </row>
    <row r="42" spans="1:16" x14ac:dyDescent="0.35">
      <c r="A42" s="23" t="str">
        <f t="shared" si="5"/>
        <v xml:space="preserve">2025 OCT DISC 30% </v>
      </c>
      <c r="B42" s="33">
        <f t="shared" si="5"/>
        <v>46121</v>
      </c>
      <c r="C42" s="33">
        <f t="shared" si="5"/>
        <v>46127</v>
      </c>
      <c r="D42" s="32">
        <v>3287</v>
      </c>
      <c r="E42" s="32">
        <v>338</v>
      </c>
      <c r="F42" s="32">
        <v>4</v>
      </c>
      <c r="G42" s="52">
        <v>10</v>
      </c>
      <c r="H42" s="23">
        <v>81827</v>
      </c>
      <c r="I42" s="23" t="s">
        <v>17</v>
      </c>
      <c r="J42" s="59">
        <v>61074184</v>
      </c>
      <c r="K42" s="23" t="s">
        <v>6261</v>
      </c>
      <c r="L42" s="22" t="s">
        <v>6264</v>
      </c>
      <c r="M42" s="24">
        <v>29900</v>
      </c>
      <c r="N42" s="35">
        <f t="shared" si="6"/>
        <v>0.3</v>
      </c>
      <c r="O42" s="34">
        <f t="shared" si="0"/>
        <v>20930</v>
      </c>
      <c r="P42" s="32" t="str">
        <f t="shared" si="6"/>
        <v>PERCENTAGE</v>
      </c>
    </row>
    <row r="43" spans="1:16" x14ac:dyDescent="0.35">
      <c r="A43" s="23" t="str">
        <f t="shared" si="5"/>
        <v xml:space="preserve">2025 OCT DISC 30% </v>
      </c>
      <c r="B43" s="33">
        <f t="shared" si="5"/>
        <v>46121</v>
      </c>
      <c r="C43" s="33">
        <f t="shared" si="5"/>
        <v>46127</v>
      </c>
      <c r="D43" s="32">
        <v>3287</v>
      </c>
      <c r="E43" s="32">
        <v>338</v>
      </c>
      <c r="F43" s="32">
        <v>4</v>
      </c>
      <c r="G43" s="52">
        <v>10</v>
      </c>
      <c r="H43" s="23">
        <v>81827</v>
      </c>
      <c r="I43" s="23" t="s">
        <v>17</v>
      </c>
      <c r="J43" s="59">
        <v>61074228</v>
      </c>
      <c r="K43" s="23" t="s">
        <v>6269</v>
      </c>
      <c r="L43" s="22" t="s">
        <v>6271</v>
      </c>
      <c r="M43" s="24">
        <v>29900</v>
      </c>
      <c r="N43" s="35">
        <f t="shared" si="6"/>
        <v>0.3</v>
      </c>
      <c r="O43" s="34">
        <f t="shared" si="0"/>
        <v>20930</v>
      </c>
      <c r="P43" s="32" t="str">
        <f t="shared" si="6"/>
        <v>PERCENTAGE</v>
      </c>
    </row>
    <row r="44" spans="1:16" x14ac:dyDescent="0.35">
      <c r="A44" s="23" t="str">
        <f t="shared" si="5"/>
        <v xml:space="preserve">2025 OCT DISC 30% </v>
      </c>
      <c r="B44" s="33">
        <f t="shared" si="5"/>
        <v>46121</v>
      </c>
      <c r="C44" s="33">
        <f t="shared" si="5"/>
        <v>46127</v>
      </c>
      <c r="D44" s="32">
        <v>3287</v>
      </c>
      <c r="E44" s="32">
        <v>338</v>
      </c>
      <c r="F44" s="32">
        <v>4</v>
      </c>
      <c r="G44" s="52">
        <v>10</v>
      </c>
      <c r="H44" s="23">
        <v>81827</v>
      </c>
      <c r="I44" s="23" t="s">
        <v>17</v>
      </c>
      <c r="J44" s="59">
        <v>61074237</v>
      </c>
      <c r="K44" s="23" t="s">
        <v>6269</v>
      </c>
      <c r="L44" s="22" t="s">
        <v>6270</v>
      </c>
      <c r="M44" s="24">
        <v>29900</v>
      </c>
      <c r="N44" s="35">
        <f t="shared" si="6"/>
        <v>0.3</v>
      </c>
      <c r="O44" s="34">
        <f t="shared" si="0"/>
        <v>20930</v>
      </c>
      <c r="P44" s="32" t="str">
        <f t="shared" si="6"/>
        <v>PERCENTAGE</v>
      </c>
    </row>
    <row r="45" spans="1:16" x14ac:dyDescent="0.35">
      <c r="A45" s="23" t="str">
        <f t="shared" si="5"/>
        <v xml:space="preserve">2025 OCT DISC 30% </v>
      </c>
      <c r="B45" s="33">
        <f t="shared" si="5"/>
        <v>46121</v>
      </c>
      <c r="C45" s="33">
        <f t="shared" si="5"/>
        <v>46127</v>
      </c>
      <c r="D45" s="32">
        <v>3287</v>
      </c>
      <c r="E45" s="32">
        <v>338</v>
      </c>
      <c r="F45" s="32">
        <v>4</v>
      </c>
      <c r="G45" s="52">
        <v>10</v>
      </c>
      <c r="H45" s="23">
        <v>81827</v>
      </c>
      <c r="I45" s="23" t="s">
        <v>17</v>
      </c>
      <c r="J45" s="59">
        <v>61074246</v>
      </c>
      <c r="K45" s="23" t="s">
        <v>6269</v>
      </c>
      <c r="L45" s="22" t="s">
        <v>6272</v>
      </c>
      <c r="M45" s="24">
        <v>29900</v>
      </c>
      <c r="N45" s="35">
        <f t="shared" si="6"/>
        <v>0.3</v>
      </c>
      <c r="O45" s="34">
        <f t="shared" si="0"/>
        <v>20930</v>
      </c>
      <c r="P45" s="32" t="str">
        <f t="shared" si="6"/>
        <v>PERCENTAGE</v>
      </c>
    </row>
    <row r="46" spans="1:16" x14ac:dyDescent="0.35">
      <c r="A46" s="23" t="str">
        <f t="shared" si="5"/>
        <v xml:space="preserve">2025 OCT DISC 30% </v>
      </c>
      <c r="B46" s="33">
        <f t="shared" si="5"/>
        <v>46121</v>
      </c>
      <c r="C46" s="33">
        <f t="shared" si="5"/>
        <v>46127</v>
      </c>
      <c r="D46" s="32">
        <v>3287</v>
      </c>
      <c r="E46" s="32">
        <v>338</v>
      </c>
      <c r="F46" s="32">
        <v>4</v>
      </c>
      <c r="G46" s="52">
        <v>10</v>
      </c>
      <c r="H46" s="23">
        <v>81827</v>
      </c>
      <c r="I46" s="23" t="s">
        <v>17</v>
      </c>
      <c r="J46" s="59">
        <v>61074193</v>
      </c>
      <c r="K46" s="23" t="s">
        <v>6265</v>
      </c>
      <c r="L46" s="22" t="s">
        <v>6266</v>
      </c>
      <c r="M46" s="24">
        <v>29900</v>
      </c>
      <c r="N46" s="35">
        <f t="shared" si="6"/>
        <v>0.3</v>
      </c>
      <c r="O46" s="34">
        <f t="shared" si="0"/>
        <v>20930</v>
      </c>
      <c r="P46" s="32" t="str">
        <f t="shared" si="6"/>
        <v>PERCENTAGE</v>
      </c>
    </row>
    <row r="47" spans="1:16" x14ac:dyDescent="0.35">
      <c r="A47" s="23" t="str">
        <f t="shared" si="5"/>
        <v xml:space="preserve">2025 OCT DISC 30% </v>
      </c>
      <c r="B47" s="33">
        <f t="shared" si="5"/>
        <v>46121</v>
      </c>
      <c r="C47" s="33">
        <f t="shared" si="5"/>
        <v>46127</v>
      </c>
      <c r="D47" s="32">
        <v>3287</v>
      </c>
      <c r="E47" s="32">
        <v>338</v>
      </c>
      <c r="F47" s="32">
        <v>4</v>
      </c>
      <c r="G47" s="52">
        <v>10</v>
      </c>
      <c r="H47" s="23">
        <v>81827</v>
      </c>
      <c r="I47" s="23" t="s">
        <v>17</v>
      </c>
      <c r="J47" s="59">
        <v>61074200</v>
      </c>
      <c r="K47" s="23" t="s">
        <v>6265</v>
      </c>
      <c r="L47" s="22" t="s">
        <v>6268</v>
      </c>
      <c r="M47" s="24">
        <v>29900</v>
      </c>
      <c r="N47" s="35">
        <f t="shared" si="6"/>
        <v>0.3</v>
      </c>
      <c r="O47" s="34">
        <f t="shared" si="0"/>
        <v>20930</v>
      </c>
      <c r="P47" s="32" t="str">
        <f t="shared" si="6"/>
        <v>PERCENTAGE</v>
      </c>
    </row>
    <row r="48" spans="1:16" x14ac:dyDescent="0.35">
      <c r="A48" s="23" t="str">
        <f t="shared" si="5"/>
        <v xml:space="preserve">2025 OCT DISC 30% </v>
      </c>
      <c r="B48" s="33">
        <f t="shared" si="5"/>
        <v>46121</v>
      </c>
      <c r="C48" s="33">
        <f t="shared" si="5"/>
        <v>46127</v>
      </c>
      <c r="D48" s="32">
        <v>3287</v>
      </c>
      <c r="E48" s="32">
        <v>338</v>
      </c>
      <c r="F48" s="32">
        <v>4</v>
      </c>
      <c r="G48" s="52">
        <v>10</v>
      </c>
      <c r="H48" s="23">
        <v>81827</v>
      </c>
      <c r="I48" s="23" t="s">
        <v>17</v>
      </c>
      <c r="J48" s="59">
        <v>61074219</v>
      </c>
      <c r="K48" s="23" t="s">
        <v>6265</v>
      </c>
      <c r="L48" s="22" t="s">
        <v>6267</v>
      </c>
      <c r="M48" s="24">
        <v>29900</v>
      </c>
      <c r="N48" s="35">
        <f t="shared" si="6"/>
        <v>0.3</v>
      </c>
      <c r="O48" s="34">
        <f t="shared" si="0"/>
        <v>20930</v>
      </c>
      <c r="P48" s="32" t="str">
        <f t="shared" si="6"/>
        <v>PERCENTAGE</v>
      </c>
    </row>
    <row r="49" spans="1:16" x14ac:dyDescent="0.35">
      <c r="A49" s="23" t="str">
        <f t="shared" si="5"/>
        <v xml:space="preserve">2025 OCT DISC 30% </v>
      </c>
      <c r="B49" s="33">
        <f t="shared" si="5"/>
        <v>46121</v>
      </c>
      <c r="C49" s="33">
        <f t="shared" si="5"/>
        <v>46127</v>
      </c>
      <c r="D49" s="32">
        <v>3287</v>
      </c>
      <c r="E49" s="32">
        <v>338</v>
      </c>
      <c r="F49" s="32">
        <v>4</v>
      </c>
      <c r="G49" s="54">
        <v>8</v>
      </c>
      <c r="H49" s="23">
        <v>81679</v>
      </c>
      <c r="I49" s="23" t="s">
        <v>17</v>
      </c>
      <c r="J49" s="82">
        <v>63154852</v>
      </c>
      <c r="K49" s="23" t="s">
        <v>6296</v>
      </c>
      <c r="L49" s="22" t="s">
        <v>6292</v>
      </c>
      <c r="M49" s="24">
        <v>89900</v>
      </c>
      <c r="N49" s="35">
        <f t="shared" si="6"/>
        <v>0.3</v>
      </c>
      <c r="O49" s="34">
        <f t="shared" si="0"/>
        <v>62930</v>
      </c>
      <c r="P49" s="32" t="str">
        <f t="shared" si="6"/>
        <v>PERCENTAGE</v>
      </c>
    </row>
    <row r="50" spans="1:16" x14ac:dyDescent="0.35">
      <c r="A50" s="23" t="str">
        <f t="shared" si="5"/>
        <v xml:space="preserve">2025 OCT DISC 30% </v>
      </c>
      <c r="B50" s="33">
        <f t="shared" si="5"/>
        <v>46121</v>
      </c>
      <c r="C50" s="33">
        <f t="shared" si="5"/>
        <v>46127</v>
      </c>
      <c r="D50" s="32">
        <v>3287</v>
      </c>
      <c r="E50" s="32">
        <v>338</v>
      </c>
      <c r="F50" s="32">
        <v>4</v>
      </c>
      <c r="G50" s="52">
        <v>3</v>
      </c>
      <c r="H50" s="23">
        <v>81679</v>
      </c>
      <c r="I50" s="23" t="s">
        <v>17</v>
      </c>
      <c r="J50" s="82">
        <v>63154861</v>
      </c>
      <c r="K50" s="23" t="s">
        <v>6294</v>
      </c>
      <c r="L50" s="22" t="s">
        <v>6288</v>
      </c>
      <c r="M50" s="24">
        <v>89900</v>
      </c>
      <c r="N50" s="35">
        <f t="shared" si="6"/>
        <v>0.3</v>
      </c>
      <c r="O50" s="34">
        <f t="shared" si="0"/>
        <v>62930</v>
      </c>
      <c r="P50" s="32" t="str">
        <f t="shared" si="6"/>
        <v>PERCENTAGE</v>
      </c>
    </row>
    <row r="51" spans="1:16" x14ac:dyDescent="0.35">
      <c r="A51" s="23" t="str">
        <f t="shared" si="5"/>
        <v xml:space="preserve">2025 OCT DISC 30% </v>
      </c>
      <c r="B51" s="33">
        <f t="shared" si="5"/>
        <v>46121</v>
      </c>
      <c r="C51" s="33">
        <f t="shared" si="5"/>
        <v>46127</v>
      </c>
      <c r="D51" s="32">
        <v>3287</v>
      </c>
      <c r="E51" s="32">
        <v>338</v>
      </c>
      <c r="F51" s="32">
        <v>4</v>
      </c>
      <c r="G51" s="54">
        <v>3</v>
      </c>
      <c r="H51" s="23">
        <v>81462</v>
      </c>
      <c r="I51" s="23" t="s">
        <v>17</v>
      </c>
      <c r="J51" s="82">
        <v>63154870</v>
      </c>
      <c r="K51" s="23" t="s">
        <v>6451</v>
      </c>
      <c r="L51" s="22" t="s">
        <v>6475</v>
      </c>
      <c r="M51" s="24">
        <v>89900</v>
      </c>
      <c r="N51" s="35">
        <f t="shared" si="6"/>
        <v>0.3</v>
      </c>
      <c r="O51" s="34">
        <f t="shared" si="0"/>
        <v>62930</v>
      </c>
      <c r="P51" s="32" t="str">
        <f t="shared" si="6"/>
        <v>PERCENTAGE</v>
      </c>
    </row>
    <row r="52" spans="1:16" x14ac:dyDescent="0.35">
      <c r="A52" s="23" t="str">
        <f t="shared" ref="A52:C67" si="7">A51</f>
        <v xml:space="preserve">2025 OCT DISC 30% </v>
      </c>
      <c r="B52" s="33">
        <f t="shared" si="7"/>
        <v>46121</v>
      </c>
      <c r="C52" s="33">
        <f t="shared" si="7"/>
        <v>46127</v>
      </c>
      <c r="D52" s="32">
        <v>3287</v>
      </c>
      <c r="E52" s="32">
        <v>338</v>
      </c>
      <c r="F52" s="32">
        <v>4</v>
      </c>
      <c r="G52" s="54">
        <v>3</v>
      </c>
      <c r="H52" s="23">
        <v>81462</v>
      </c>
      <c r="I52" s="23" t="s">
        <v>17</v>
      </c>
      <c r="J52" s="82">
        <v>63154889</v>
      </c>
      <c r="K52" s="23" t="s">
        <v>6451</v>
      </c>
      <c r="L52" s="22" t="s">
        <v>6476</v>
      </c>
      <c r="M52" s="24">
        <v>89900</v>
      </c>
      <c r="N52" s="35">
        <f t="shared" ref="N52:P67" si="8">N51</f>
        <v>0.3</v>
      </c>
      <c r="O52" s="34">
        <f t="shared" si="0"/>
        <v>62930</v>
      </c>
      <c r="P52" s="32" t="str">
        <f t="shared" si="8"/>
        <v>PERCENTAGE</v>
      </c>
    </row>
    <row r="53" spans="1:16" x14ac:dyDescent="0.35">
      <c r="A53" s="23" t="str">
        <f t="shared" si="7"/>
        <v xml:space="preserve">2025 OCT DISC 30% </v>
      </c>
      <c r="B53" s="33">
        <f t="shared" si="7"/>
        <v>46121</v>
      </c>
      <c r="C53" s="33">
        <f t="shared" si="7"/>
        <v>46127</v>
      </c>
      <c r="D53" s="32">
        <v>3287</v>
      </c>
      <c r="E53" s="32">
        <v>338</v>
      </c>
      <c r="F53" s="32">
        <v>4</v>
      </c>
      <c r="G53" s="52">
        <v>3</v>
      </c>
      <c r="H53" s="23">
        <v>81462</v>
      </c>
      <c r="I53" s="23" t="s">
        <v>17</v>
      </c>
      <c r="J53" s="59">
        <v>61972310</v>
      </c>
      <c r="K53" s="23" t="s">
        <v>6451</v>
      </c>
      <c r="L53" s="22" t="s">
        <v>6477</v>
      </c>
      <c r="M53" s="24">
        <v>89900</v>
      </c>
      <c r="N53" s="35">
        <f t="shared" si="8"/>
        <v>0.3</v>
      </c>
      <c r="O53" s="34">
        <f t="shared" si="0"/>
        <v>62930</v>
      </c>
      <c r="P53" s="32" t="str">
        <f t="shared" si="8"/>
        <v>PERCENTAGE</v>
      </c>
    </row>
    <row r="54" spans="1:16" x14ac:dyDescent="0.35">
      <c r="A54" s="23" t="str">
        <f t="shared" si="7"/>
        <v xml:space="preserve">2025 OCT DISC 30% </v>
      </c>
      <c r="B54" s="33">
        <f t="shared" si="7"/>
        <v>46121</v>
      </c>
      <c r="C54" s="33">
        <f t="shared" si="7"/>
        <v>46127</v>
      </c>
      <c r="D54" s="32">
        <v>3287</v>
      </c>
      <c r="E54" s="32">
        <v>338</v>
      </c>
      <c r="F54" s="32">
        <v>4</v>
      </c>
      <c r="G54" s="52">
        <v>3</v>
      </c>
      <c r="H54" s="23">
        <v>81462</v>
      </c>
      <c r="I54" s="23" t="s">
        <v>17</v>
      </c>
      <c r="J54" s="59">
        <v>61972329</v>
      </c>
      <c r="K54" s="23" t="s">
        <v>6451</v>
      </c>
      <c r="L54" s="22" t="s">
        <v>6478</v>
      </c>
      <c r="M54" s="24">
        <v>89900</v>
      </c>
      <c r="N54" s="35">
        <f t="shared" si="8"/>
        <v>0.3</v>
      </c>
      <c r="O54" s="34">
        <f t="shared" si="0"/>
        <v>62930</v>
      </c>
      <c r="P54" s="32" t="str">
        <f t="shared" si="8"/>
        <v>PERCENTAGE</v>
      </c>
    </row>
    <row r="55" spans="1:16" x14ac:dyDescent="0.35">
      <c r="A55" s="23" t="str">
        <f t="shared" si="7"/>
        <v xml:space="preserve">2025 OCT DISC 30% </v>
      </c>
      <c r="B55" s="33">
        <f t="shared" si="7"/>
        <v>46121</v>
      </c>
      <c r="C55" s="33">
        <f t="shared" si="7"/>
        <v>46127</v>
      </c>
      <c r="D55" s="32">
        <v>3287</v>
      </c>
      <c r="E55" s="32">
        <v>338</v>
      </c>
      <c r="F55" s="32">
        <v>4</v>
      </c>
      <c r="G55" s="52">
        <v>1</v>
      </c>
      <c r="H55" s="23">
        <v>81679</v>
      </c>
      <c r="I55" s="23" t="s">
        <v>17</v>
      </c>
      <c r="J55" s="59">
        <v>61972338</v>
      </c>
      <c r="K55" s="23" t="s">
        <v>6293</v>
      </c>
      <c r="L55" s="22" t="s">
        <v>6285</v>
      </c>
      <c r="M55" s="24">
        <v>89900</v>
      </c>
      <c r="N55" s="35">
        <f t="shared" si="8"/>
        <v>0.3</v>
      </c>
      <c r="O55" s="34">
        <f t="shared" si="0"/>
        <v>62930</v>
      </c>
      <c r="P55" s="32" t="str">
        <f t="shared" si="8"/>
        <v>PERCENTAGE</v>
      </c>
    </row>
    <row r="56" spans="1:16" x14ac:dyDescent="0.35">
      <c r="A56" s="23" t="str">
        <f t="shared" si="7"/>
        <v xml:space="preserve">2025 OCT DISC 30% </v>
      </c>
      <c r="B56" s="33">
        <f t="shared" si="7"/>
        <v>46121</v>
      </c>
      <c r="C56" s="33">
        <f t="shared" si="7"/>
        <v>46127</v>
      </c>
      <c r="D56" s="32">
        <v>3287</v>
      </c>
      <c r="E56" s="32">
        <v>338</v>
      </c>
      <c r="F56" s="32">
        <v>4</v>
      </c>
      <c r="G56" s="54">
        <v>1</v>
      </c>
      <c r="H56" s="23">
        <v>81679</v>
      </c>
      <c r="I56" s="23" t="s">
        <v>17</v>
      </c>
      <c r="J56" s="59">
        <v>61972347</v>
      </c>
      <c r="K56" s="23" t="s">
        <v>6293</v>
      </c>
      <c r="L56" s="22" t="s">
        <v>6286</v>
      </c>
      <c r="M56" s="24">
        <v>89900</v>
      </c>
      <c r="N56" s="35">
        <f t="shared" si="8"/>
        <v>0.3</v>
      </c>
      <c r="O56" s="34">
        <f t="shared" si="0"/>
        <v>62930</v>
      </c>
      <c r="P56" s="32" t="str">
        <f t="shared" si="8"/>
        <v>PERCENTAGE</v>
      </c>
    </row>
    <row r="57" spans="1:16" x14ac:dyDescent="0.35">
      <c r="A57" s="23" t="str">
        <f t="shared" si="7"/>
        <v xml:space="preserve">2025 OCT DISC 30% </v>
      </c>
      <c r="B57" s="33">
        <f t="shared" si="7"/>
        <v>46121</v>
      </c>
      <c r="C57" s="33">
        <f t="shared" si="7"/>
        <v>46127</v>
      </c>
      <c r="D57" s="32">
        <v>3287</v>
      </c>
      <c r="E57" s="32">
        <v>338</v>
      </c>
      <c r="F57" s="32">
        <v>4</v>
      </c>
      <c r="G57" s="52">
        <v>1</v>
      </c>
      <c r="H57" s="23">
        <v>81679</v>
      </c>
      <c r="I57" s="23" t="s">
        <v>17</v>
      </c>
      <c r="J57" s="59">
        <v>63150463</v>
      </c>
      <c r="K57" s="23" t="s">
        <v>6293</v>
      </c>
      <c r="L57" s="22" t="s">
        <v>6287</v>
      </c>
      <c r="M57" s="24">
        <v>89900</v>
      </c>
      <c r="N57" s="35">
        <f t="shared" si="8"/>
        <v>0.3</v>
      </c>
      <c r="O57" s="34">
        <f t="shared" si="0"/>
        <v>62930</v>
      </c>
      <c r="P57" s="32" t="str">
        <f t="shared" si="8"/>
        <v>PERCENTAGE</v>
      </c>
    </row>
    <row r="58" spans="1:16" x14ac:dyDescent="0.35">
      <c r="A58" s="23" t="str">
        <f t="shared" si="7"/>
        <v xml:space="preserve">2025 OCT DISC 30% </v>
      </c>
      <c r="B58" s="33">
        <f t="shared" si="7"/>
        <v>46121</v>
      </c>
      <c r="C58" s="33">
        <f t="shared" si="7"/>
        <v>46127</v>
      </c>
      <c r="D58" s="32">
        <v>3287</v>
      </c>
      <c r="E58" s="32">
        <v>338</v>
      </c>
      <c r="F58" s="32">
        <v>4</v>
      </c>
      <c r="G58" s="54">
        <v>3</v>
      </c>
      <c r="H58" s="23">
        <v>81679</v>
      </c>
      <c r="I58" s="23" t="s">
        <v>17</v>
      </c>
      <c r="J58" s="59">
        <v>63150472</v>
      </c>
      <c r="K58" s="23" t="s">
        <v>6295</v>
      </c>
      <c r="L58" s="22" t="s">
        <v>6289</v>
      </c>
      <c r="M58" s="24">
        <v>89900</v>
      </c>
      <c r="N58" s="35">
        <f t="shared" si="8"/>
        <v>0.3</v>
      </c>
      <c r="O58" s="34">
        <f t="shared" si="0"/>
        <v>62930</v>
      </c>
      <c r="P58" s="32" t="str">
        <f t="shared" si="8"/>
        <v>PERCENTAGE</v>
      </c>
    </row>
    <row r="59" spans="1:16" x14ac:dyDescent="0.35">
      <c r="A59" s="23" t="str">
        <f t="shared" si="7"/>
        <v xml:space="preserve">2025 OCT DISC 30% </v>
      </c>
      <c r="B59" s="33">
        <f t="shared" si="7"/>
        <v>46121</v>
      </c>
      <c r="C59" s="33">
        <f t="shared" si="7"/>
        <v>46127</v>
      </c>
      <c r="D59" s="32">
        <v>3287</v>
      </c>
      <c r="E59" s="32">
        <v>338</v>
      </c>
      <c r="F59" s="32">
        <v>4</v>
      </c>
      <c r="G59" s="52">
        <v>3</v>
      </c>
      <c r="H59" s="23">
        <v>81679</v>
      </c>
      <c r="I59" s="23" t="s">
        <v>17</v>
      </c>
      <c r="J59" s="82">
        <v>63150481</v>
      </c>
      <c r="K59" s="23" t="s">
        <v>6295</v>
      </c>
      <c r="L59" s="22" t="s">
        <v>6290</v>
      </c>
      <c r="M59" s="24">
        <v>89900</v>
      </c>
      <c r="N59" s="35">
        <f t="shared" si="8"/>
        <v>0.3</v>
      </c>
      <c r="O59" s="34">
        <f t="shared" si="0"/>
        <v>62930</v>
      </c>
      <c r="P59" s="32" t="str">
        <f t="shared" si="8"/>
        <v>PERCENTAGE</v>
      </c>
    </row>
    <row r="60" spans="1:16" x14ac:dyDescent="0.35">
      <c r="A60" s="23" t="str">
        <f t="shared" si="7"/>
        <v xml:space="preserve">2025 OCT DISC 30% </v>
      </c>
      <c r="B60" s="33">
        <f t="shared" si="7"/>
        <v>46121</v>
      </c>
      <c r="C60" s="33">
        <f t="shared" si="7"/>
        <v>46127</v>
      </c>
      <c r="D60" s="32">
        <v>3287</v>
      </c>
      <c r="E60" s="32">
        <v>338</v>
      </c>
      <c r="F60" s="32">
        <v>4</v>
      </c>
      <c r="G60" s="52">
        <v>3</v>
      </c>
      <c r="H60" s="23">
        <v>81679</v>
      </c>
      <c r="I60" s="23" t="s">
        <v>17</v>
      </c>
      <c r="J60" s="82">
        <v>63150490</v>
      </c>
      <c r="K60" s="23" t="s">
        <v>6295</v>
      </c>
      <c r="L60" s="22" t="s">
        <v>6291</v>
      </c>
      <c r="M60" s="24">
        <v>89900</v>
      </c>
      <c r="N60" s="35">
        <f t="shared" si="8"/>
        <v>0.3</v>
      </c>
      <c r="O60" s="34">
        <f t="shared" si="0"/>
        <v>62930</v>
      </c>
      <c r="P60" s="32" t="str">
        <f t="shared" si="8"/>
        <v>PERCENTAGE</v>
      </c>
    </row>
    <row r="61" spans="1:16" x14ac:dyDescent="0.35">
      <c r="A61" s="23" t="str">
        <f t="shared" si="7"/>
        <v xml:space="preserve">2025 OCT DISC 30% </v>
      </c>
      <c r="B61" s="33">
        <f t="shared" si="7"/>
        <v>46121</v>
      </c>
      <c r="C61" s="33">
        <f t="shared" si="7"/>
        <v>46127</v>
      </c>
      <c r="D61" s="32">
        <v>3287</v>
      </c>
      <c r="E61" s="32">
        <v>338</v>
      </c>
      <c r="F61" s="32">
        <v>4</v>
      </c>
      <c r="G61" s="52">
        <v>1</v>
      </c>
      <c r="H61" s="23">
        <v>81679</v>
      </c>
      <c r="I61" s="23" t="s">
        <v>17</v>
      </c>
      <c r="J61" s="82">
        <v>63154950</v>
      </c>
      <c r="K61" s="23" t="s">
        <v>6246</v>
      </c>
      <c r="L61" s="22" t="s">
        <v>6247</v>
      </c>
      <c r="M61" s="24">
        <v>89900</v>
      </c>
      <c r="N61" s="35">
        <f t="shared" si="8"/>
        <v>0.3</v>
      </c>
      <c r="O61" s="34">
        <f t="shared" si="0"/>
        <v>62930</v>
      </c>
      <c r="P61" s="32" t="str">
        <f t="shared" si="8"/>
        <v>PERCENTAGE</v>
      </c>
    </row>
    <row r="62" spans="1:16" x14ac:dyDescent="0.35">
      <c r="A62" s="23" t="str">
        <f t="shared" si="7"/>
        <v xml:space="preserve">2025 OCT DISC 30% </v>
      </c>
      <c r="B62" s="33">
        <f t="shared" si="7"/>
        <v>46121</v>
      </c>
      <c r="C62" s="33">
        <f t="shared" si="7"/>
        <v>46127</v>
      </c>
      <c r="D62" s="32">
        <v>3287</v>
      </c>
      <c r="E62" s="32">
        <v>338</v>
      </c>
      <c r="F62" s="32">
        <v>4</v>
      </c>
      <c r="G62" s="52">
        <v>1</v>
      </c>
      <c r="H62" s="23">
        <v>81679</v>
      </c>
      <c r="I62" s="23" t="s">
        <v>17</v>
      </c>
      <c r="J62" s="82">
        <v>63154969</v>
      </c>
      <c r="K62" s="23" t="s">
        <v>6207</v>
      </c>
      <c r="L62" s="22" t="s">
        <v>6208</v>
      </c>
      <c r="M62" s="24">
        <v>89900</v>
      </c>
      <c r="N62" s="35">
        <f t="shared" si="8"/>
        <v>0.3</v>
      </c>
      <c r="O62" s="34">
        <f t="shared" si="0"/>
        <v>62930</v>
      </c>
      <c r="P62" s="32" t="str">
        <f t="shared" si="8"/>
        <v>PERCENTAGE</v>
      </c>
    </row>
    <row r="63" spans="1:16" x14ac:dyDescent="0.35">
      <c r="A63" s="23" t="str">
        <f t="shared" si="7"/>
        <v xml:space="preserve">2025 OCT DISC 30% </v>
      </c>
      <c r="B63" s="33">
        <f t="shared" si="7"/>
        <v>46121</v>
      </c>
      <c r="C63" s="33">
        <f t="shared" si="7"/>
        <v>46127</v>
      </c>
      <c r="D63" s="32">
        <v>3287</v>
      </c>
      <c r="E63" s="32">
        <v>338</v>
      </c>
      <c r="F63" s="32">
        <v>4</v>
      </c>
      <c r="G63" s="52">
        <v>2</v>
      </c>
      <c r="H63" s="23">
        <v>81679</v>
      </c>
      <c r="I63" s="23" t="s">
        <v>17</v>
      </c>
      <c r="J63" s="82">
        <v>61972276</v>
      </c>
      <c r="K63" s="23" t="s">
        <v>6446</v>
      </c>
      <c r="L63" s="22" t="s">
        <v>6457</v>
      </c>
      <c r="M63" s="24">
        <v>179000</v>
      </c>
      <c r="N63" s="35">
        <f t="shared" si="8"/>
        <v>0.3</v>
      </c>
      <c r="O63" s="34">
        <f t="shared" si="0"/>
        <v>125300</v>
      </c>
      <c r="P63" s="32" t="str">
        <f t="shared" si="8"/>
        <v>PERCENTAGE</v>
      </c>
    </row>
    <row r="64" spans="1:16" x14ac:dyDescent="0.35">
      <c r="A64" s="23" t="str">
        <f t="shared" si="7"/>
        <v xml:space="preserve">2025 OCT DISC 30% </v>
      </c>
      <c r="B64" s="33">
        <f t="shared" si="7"/>
        <v>46121</v>
      </c>
      <c r="C64" s="33">
        <f t="shared" si="7"/>
        <v>46127</v>
      </c>
      <c r="D64" s="32">
        <v>3287</v>
      </c>
      <c r="E64" s="32">
        <v>338</v>
      </c>
      <c r="F64" s="32">
        <v>4</v>
      </c>
      <c r="G64" s="52">
        <v>2</v>
      </c>
      <c r="H64" s="23">
        <v>81679</v>
      </c>
      <c r="I64" s="23" t="s">
        <v>17</v>
      </c>
      <c r="J64" s="82">
        <v>61972285</v>
      </c>
      <c r="K64" s="23" t="s">
        <v>6446</v>
      </c>
      <c r="L64" s="22" t="s">
        <v>6458</v>
      </c>
      <c r="M64" s="24">
        <v>179000</v>
      </c>
      <c r="N64" s="35">
        <f t="shared" si="8"/>
        <v>0.3</v>
      </c>
      <c r="O64" s="34">
        <f t="shared" si="0"/>
        <v>125300</v>
      </c>
      <c r="P64" s="32" t="str">
        <f t="shared" si="8"/>
        <v>PERCENTAGE</v>
      </c>
    </row>
    <row r="65" spans="1:16" x14ac:dyDescent="0.35">
      <c r="A65" s="23" t="str">
        <f t="shared" si="7"/>
        <v xml:space="preserve">2025 OCT DISC 30% </v>
      </c>
      <c r="B65" s="33">
        <f t="shared" si="7"/>
        <v>46121</v>
      </c>
      <c r="C65" s="33">
        <f t="shared" si="7"/>
        <v>46127</v>
      </c>
      <c r="D65" s="32">
        <v>3287</v>
      </c>
      <c r="E65" s="32">
        <v>338</v>
      </c>
      <c r="F65" s="32">
        <v>4</v>
      </c>
      <c r="G65" s="52">
        <v>2</v>
      </c>
      <c r="H65" s="23">
        <v>81679</v>
      </c>
      <c r="I65" s="23" t="s">
        <v>17</v>
      </c>
      <c r="J65" s="82">
        <v>61972294</v>
      </c>
      <c r="K65" s="23" t="s">
        <v>6446</v>
      </c>
      <c r="L65" s="22" t="s">
        <v>6459</v>
      </c>
      <c r="M65" s="24">
        <v>179000</v>
      </c>
      <c r="N65" s="35">
        <f t="shared" si="8"/>
        <v>0.3</v>
      </c>
      <c r="O65" s="34">
        <f t="shared" si="0"/>
        <v>125300</v>
      </c>
      <c r="P65" s="32" t="str">
        <f t="shared" si="8"/>
        <v>PERCENTAGE</v>
      </c>
    </row>
    <row r="66" spans="1:16" x14ac:dyDescent="0.35">
      <c r="A66" s="23" t="str">
        <f t="shared" si="7"/>
        <v xml:space="preserve">2025 OCT DISC 30% </v>
      </c>
      <c r="B66" s="33">
        <f t="shared" si="7"/>
        <v>46121</v>
      </c>
      <c r="C66" s="33">
        <f t="shared" si="7"/>
        <v>46127</v>
      </c>
      <c r="D66" s="32">
        <v>3287</v>
      </c>
      <c r="E66" s="32">
        <v>338</v>
      </c>
      <c r="F66" s="32">
        <v>4</v>
      </c>
      <c r="G66" s="52">
        <v>2</v>
      </c>
      <c r="H66" s="23">
        <v>81679</v>
      </c>
      <c r="I66" s="23" t="s">
        <v>17</v>
      </c>
      <c r="J66" s="82">
        <v>61972301</v>
      </c>
      <c r="K66" s="23" t="s">
        <v>6450</v>
      </c>
      <c r="L66" s="22" t="s">
        <v>6468</v>
      </c>
      <c r="M66" s="24">
        <v>179900</v>
      </c>
      <c r="N66" s="35">
        <f t="shared" si="8"/>
        <v>0.3</v>
      </c>
      <c r="O66" s="34">
        <f t="shared" si="0"/>
        <v>125930</v>
      </c>
      <c r="P66" s="32" t="str">
        <f t="shared" si="8"/>
        <v>PERCENTAGE</v>
      </c>
    </row>
    <row r="67" spans="1:16" x14ac:dyDescent="0.35">
      <c r="A67" s="23" t="str">
        <f t="shared" si="7"/>
        <v xml:space="preserve">2025 OCT DISC 30% </v>
      </c>
      <c r="B67" s="33">
        <f t="shared" si="7"/>
        <v>46121</v>
      </c>
      <c r="C67" s="33">
        <f t="shared" si="7"/>
        <v>46127</v>
      </c>
      <c r="D67" s="32">
        <v>3287</v>
      </c>
      <c r="E67" s="32">
        <v>338</v>
      </c>
      <c r="F67" s="32">
        <v>4</v>
      </c>
      <c r="G67" s="52">
        <v>2</v>
      </c>
      <c r="H67" s="23">
        <v>81679</v>
      </c>
      <c r="I67" s="23" t="s">
        <v>17</v>
      </c>
      <c r="J67" s="59">
        <v>61073916</v>
      </c>
      <c r="K67" s="23" t="s">
        <v>6450</v>
      </c>
      <c r="L67" s="22" t="s">
        <v>6469</v>
      </c>
      <c r="M67" s="24">
        <v>179900</v>
      </c>
      <c r="N67" s="35">
        <f t="shared" si="8"/>
        <v>0.3</v>
      </c>
      <c r="O67" s="34">
        <f t="shared" ref="O67:O96" si="9">M67-((30*M67)/100)</f>
        <v>125930</v>
      </c>
      <c r="P67" s="32" t="str">
        <f t="shared" si="8"/>
        <v>PERCENTAGE</v>
      </c>
    </row>
    <row r="68" spans="1:16" x14ac:dyDescent="0.35">
      <c r="A68" s="23" t="str">
        <f t="shared" ref="A68:C83" si="10">A67</f>
        <v xml:space="preserve">2025 OCT DISC 30% </v>
      </c>
      <c r="B68" s="33">
        <f t="shared" si="10"/>
        <v>46121</v>
      </c>
      <c r="C68" s="33">
        <f t="shared" si="10"/>
        <v>46127</v>
      </c>
      <c r="D68" s="32">
        <v>3287</v>
      </c>
      <c r="E68" s="32">
        <v>338</v>
      </c>
      <c r="F68" s="32">
        <v>4</v>
      </c>
      <c r="G68" s="52">
        <v>2</v>
      </c>
      <c r="H68" s="23">
        <v>81679</v>
      </c>
      <c r="I68" s="23" t="s">
        <v>17</v>
      </c>
      <c r="J68" s="59">
        <v>61073925</v>
      </c>
      <c r="K68" s="23" t="s">
        <v>6450</v>
      </c>
      <c r="L68" s="22" t="s">
        <v>6470</v>
      </c>
      <c r="M68" s="24">
        <v>179900</v>
      </c>
      <c r="N68" s="35">
        <f t="shared" ref="N68:P83" si="11">N67</f>
        <v>0.3</v>
      </c>
      <c r="O68" s="34">
        <f t="shared" si="9"/>
        <v>125930</v>
      </c>
      <c r="P68" s="32" t="str">
        <f t="shared" si="11"/>
        <v>PERCENTAGE</v>
      </c>
    </row>
    <row r="69" spans="1:16" x14ac:dyDescent="0.35">
      <c r="A69" s="23" t="str">
        <f t="shared" si="10"/>
        <v xml:space="preserve">2025 OCT DISC 30% </v>
      </c>
      <c r="B69" s="33">
        <f t="shared" si="10"/>
        <v>46121</v>
      </c>
      <c r="C69" s="33">
        <f t="shared" si="10"/>
        <v>46127</v>
      </c>
      <c r="D69" s="32">
        <v>3287</v>
      </c>
      <c r="E69" s="32">
        <v>338</v>
      </c>
      <c r="F69" s="32">
        <v>4</v>
      </c>
      <c r="G69" s="52">
        <v>2</v>
      </c>
      <c r="H69" s="23">
        <v>81679</v>
      </c>
      <c r="I69" s="23" t="s">
        <v>17</v>
      </c>
      <c r="J69" s="59">
        <v>61073934</v>
      </c>
      <c r="K69" s="23" t="s">
        <v>6450</v>
      </c>
      <c r="L69" s="22" t="s">
        <v>6471</v>
      </c>
      <c r="M69" s="24">
        <v>179900</v>
      </c>
      <c r="N69" s="35">
        <f t="shared" si="11"/>
        <v>0.3</v>
      </c>
      <c r="O69" s="34">
        <f t="shared" si="9"/>
        <v>125930</v>
      </c>
      <c r="P69" s="32" t="str">
        <f t="shared" si="11"/>
        <v>PERCENTAGE</v>
      </c>
    </row>
    <row r="70" spans="1:16" x14ac:dyDescent="0.35">
      <c r="A70" s="23" t="str">
        <f t="shared" si="10"/>
        <v xml:space="preserve">2025 OCT DISC 30% </v>
      </c>
      <c r="B70" s="33">
        <f t="shared" si="10"/>
        <v>46121</v>
      </c>
      <c r="C70" s="33">
        <f t="shared" si="10"/>
        <v>46127</v>
      </c>
      <c r="D70" s="32">
        <v>3287</v>
      </c>
      <c r="E70" s="32">
        <v>338</v>
      </c>
      <c r="F70" s="32">
        <v>4</v>
      </c>
      <c r="G70" s="52">
        <v>2</v>
      </c>
      <c r="H70" s="23">
        <v>81679</v>
      </c>
      <c r="I70" s="23" t="s">
        <v>17</v>
      </c>
      <c r="J70" s="59">
        <v>61073943</v>
      </c>
      <c r="K70" s="23" t="s">
        <v>6450</v>
      </c>
      <c r="L70" s="22" t="s">
        <v>6472</v>
      </c>
      <c r="M70" s="24">
        <v>179900</v>
      </c>
      <c r="N70" s="35">
        <f t="shared" si="11"/>
        <v>0.3</v>
      </c>
      <c r="O70" s="34">
        <f t="shared" si="9"/>
        <v>125930</v>
      </c>
      <c r="P70" s="32" t="str">
        <f t="shared" si="11"/>
        <v>PERCENTAGE</v>
      </c>
    </row>
    <row r="71" spans="1:16" x14ac:dyDescent="0.35">
      <c r="A71" s="23" t="str">
        <f t="shared" si="10"/>
        <v xml:space="preserve">2025 OCT DISC 30% </v>
      </c>
      <c r="B71" s="33">
        <f t="shared" si="10"/>
        <v>46121</v>
      </c>
      <c r="C71" s="33">
        <f t="shared" si="10"/>
        <v>46127</v>
      </c>
      <c r="D71" s="32">
        <v>3287</v>
      </c>
      <c r="E71" s="32">
        <v>338</v>
      </c>
      <c r="F71" s="32">
        <v>4</v>
      </c>
      <c r="G71" s="52">
        <v>2</v>
      </c>
      <c r="H71" s="23">
        <v>81679</v>
      </c>
      <c r="I71" s="23" t="s">
        <v>17</v>
      </c>
      <c r="J71" s="59">
        <v>61073952</v>
      </c>
      <c r="K71" s="23" t="s">
        <v>6450</v>
      </c>
      <c r="L71" s="22" t="s">
        <v>6473</v>
      </c>
      <c r="M71" s="24">
        <v>179900</v>
      </c>
      <c r="N71" s="35">
        <f t="shared" si="11"/>
        <v>0.3</v>
      </c>
      <c r="O71" s="34">
        <f t="shared" si="9"/>
        <v>125930</v>
      </c>
      <c r="P71" s="32" t="str">
        <f t="shared" si="11"/>
        <v>PERCENTAGE</v>
      </c>
    </row>
    <row r="72" spans="1:16" x14ac:dyDescent="0.35">
      <c r="A72" s="23" t="str">
        <f t="shared" si="10"/>
        <v xml:space="preserve">2025 OCT DISC 30% </v>
      </c>
      <c r="B72" s="33">
        <f t="shared" si="10"/>
        <v>46121</v>
      </c>
      <c r="C72" s="33">
        <f t="shared" si="10"/>
        <v>46127</v>
      </c>
      <c r="D72" s="32">
        <v>3287</v>
      </c>
      <c r="E72" s="32">
        <v>338</v>
      </c>
      <c r="F72" s="32">
        <v>4</v>
      </c>
      <c r="G72" s="52">
        <v>2</v>
      </c>
      <c r="H72" s="23">
        <v>81679</v>
      </c>
      <c r="I72" s="23" t="s">
        <v>17</v>
      </c>
      <c r="J72" s="59">
        <v>61073961</v>
      </c>
      <c r="K72" s="23" t="s">
        <v>6450</v>
      </c>
      <c r="L72" s="22" t="s">
        <v>6474</v>
      </c>
      <c r="M72" s="24">
        <v>179900</v>
      </c>
      <c r="N72" s="35">
        <f t="shared" si="11"/>
        <v>0.3</v>
      </c>
      <c r="O72" s="34">
        <f t="shared" si="9"/>
        <v>125930</v>
      </c>
      <c r="P72" s="32" t="str">
        <f t="shared" si="11"/>
        <v>PERCENTAGE</v>
      </c>
    </row>
    <row r="73" spans="1:16" x14ac:dyDescent="0.35">
      <c r="A73" s="23" t="str">
        <f t="shared" si="10"/>
        <v xml:space="preserve">2025 OCT DISC 30% </v>
      </c>
      <c r="B73" s="33">
        <f t="shared" si="10"/>
        <v>46121</v>
      </c>
      <c r="C73" s="33">
        <f t="shared" si="10"/>
        <v>46127</v>
      </c>
      <c r="D73" s="32">
        <v>3287</v>
      </c>
      <c r="E73" s="32">
        <v>338</v>
      </c>
      <c r="F73" s="32">
        <v>4</v>
      </c>
      <c r="G73" s="52">
        <v>2</v>
      </c>
      <c r="H73" s="23">
        <v>81679</v>
      </c>
      <c r="I73" s="23" t="s">
        <v>17</v>
      </c>
      <c r="J73" s="59">
        <v>61073970</v>
      </c>
      <c r="K73" s="23" t="s">
        <v>6248</v>
      </c>
      <c r="L73" s="22" t="s">
        <v>6251</v>
      </c>
      <c r="M73" s="24">
        <v>149900</v>
      </c>
      <c r="N73" s="35">
        <f t="shared" si="11"/>
        <v>0.3</v>
      </c>
      <c r="O73" s="34">
        <f t="shared" si="9"/>
        <v>104930</v>
      </c>
      <c r="P73" s="32" t="str">
        <f t="shared" si="11"/>
        <v>PERCENTAGE</v>
      </c>
    </row>
    <row r="74" spans="1:16" x14ac:dyDescent="0.35">
      <c r="A74" s="23" t="str">
        <f t="shared" si="10"/>
        <v xml:space="preserve">2025 OCT DISC 30% </v>
      </c>
      <c r="B74" s="33">
        <f t="shared" si="10"/>
        <v>46121</v>
      </c>
      <c r="C74" s="33">
        <f t="shared" si="10"/>
        <v>46127</v>
      </c>
      <c r="D74" s="32">
        <v>3287</v>
      </c>
      <c r="E74" s="32">
        <v>338</v>
      </c>
      <c r="F74" s="32">
        <v>4</v>
      </c>
      <c r="G74" s="52">
        <v>2</v>
      </c>
      <c r="H74" s="23">
        <v>81679</v>
      </c>
      <c r="I74" s="23" t="s">
        <v>17</v>
      </c>
      <c r="J74" s="59">
        <v>61073989</v>
      </c>
      <c r="K74" s="23" t="s">
        <v>6248</v>
      </c>
      <c r="L74" s="22" t="s">
        <v>6250</v>
      </c>
      <c r="M74" s="24">
        <v>149900</v>
      </c>
      <c r="N74" s="35">
        <f t="shared" si="11"/>
        <v>0.3</v>
      </c>
      <c r="O74" s="34">
        <f t="shared" si="9"/>
        <v>104930</v>
      </c>
      <c r="P74" s="32" t="str">
        <f t="shared" si="11"/>
        <v>PERCENTAGE</v>
      </c>
    </row>
    <row r="75" spans="1:16" x14ac:dyDescent="0.35">
      <c r="A75" s="23" t="str">
        <f t="shared" si="10"/>
        <v xml:space="preserve">2025 OCT DISC 30% </v>
      </c>
      <c r="B75" s="33">
        <f t="shared" si="10"/>
        <v>46121</v>
      </c>
      <c r="C75" s="33">
        <f t="shared" si="10"/>
        <v>46127</v>
      </c>
      <c r="D75" s="32">
        <v>3287</v>
      </c>
      <c r="E75" s="32">
        <v>338</v>
      </c>
      <c r="F75" s="32">
        <v>4</v>
      </c>
      <c r="G75" s="52">
        <v>2</v>
      </c>
      <c r="H75" s="23">
        <v>81679</v>
      </c>
      <c r="I75" s="23" t="s">
        <v>17</v>
      </c>
      <c r="J75" s="59">
        <v>61920787</v>
      </c>
      <c r="K75" s="23" t="s">
        <v>6248</v>
      </c>
      <c r="L75" s="22" t="s">
        <v>6256</v>
      </c>
      <c r="M75" s="24">
        <v>149900</v>
      </c>
      <c r="N75" s="35">
        <f t="shared" si="11"/>
        <v>0.3</v>
      </c>
      <c r="O75" s="34">
        <f t="shared" si="9"/>
        <v>104930</v>
      </c>
      <c r="P75" s="32" t="str">
        <f t="shared" si="11"/>
        <v>PERCENTAGE</v>
      </c>
    </row>
    <row r="76" spans="1:16" x14ac:dyDescent="0.35">
      <c r="A76" s="23" t="str">
        <f t="shared" si="10"/>
        <v xml:space="preserve">2025 OCT DISC 30% </v>
      </c>
      <c r="B76" s="33">
        <f t="shared" si="10"/>
        <v>46121</v>
      </c>
      <c r="C76" s="33">
        <f t="shared" si="10"/>
        <v>46127</v>
      </c>
      <c r="D76" s="32">
        <v>3287</v>
      </c>
      <c r="E76" s="32">
        <v>338</v>
      </c>
      <c r="F76" s="32">
        <v>4</v>
      </c>
      <c r="G76" s="52">
        <v>2</v>
      </c>
      <c r="H76" s="23">
        <v>81679</v>
      </c>
      <c r="I76" s="23" t="s">
        <v>17</v>
      </c>
      <c r="J76" s="59">
        <v>61920796</v>
      </c>
      <c r="K76" s="23" t="s">
        <v>6248</v>
      </c>
      <c r="L76" s="22" t="s">
        <v>6254</v>
      </c>
      <c r="M76" s="24">
        <v>149900</v>
      </c>
      <c r="N76" s="35">
        <f t="shared" si="11"/>
        <v>0.3</v>
      </c>
      <c r="O76" s="34">
        <f t="shared" si="9"/>
        <v>104930</v>
      </c>
      <c r="P76" s="32" t="str">
        <f t="shared" si="11"/>
        <v>PERCENTAGE</v>
      </c>
    </row>
    <row r="77" spans="1:16" x14ac:dyDescent="0.35">
      <c r="A77" s="23" t="str">
        <f t="shared" si="10"/>
        <v xml:space="preserve">2025 OCT DISC 30% </v>
      </c>
      <c r="B77" s="33">
        <f t="shared" si="10"/>
        <v>46121</v>
      </c>
      <c r="C77" s="33">
        <f t="shared" si="10"/>
        <v>46127</v>
      </c>
      <c r="D77" s="32">
        <v>3287</v>
      </c>
      <c r="E77" s="32">
        <v>338</v>
      </c>
      <c r="F77" s="32">
        <v>4</v>
      </c>
      <c r="G77" s="52">
        <v>2</v>
      </c>
      <c r="H77" s="23">
        <v>81679</v>
      </c>
      <c r="I77" s="23" t="s">
        <v>17</v>
      </c>
      <c r="J77" s="59">
        <v>61920803</v>
      </c>
      <c r="K77" s="23" t="s">
        <v>6248</v>
      </c>
      <c r="L77" s="22" t="s">
        <v>6253</v>
      </c>
      <c r="M77" s="24">
        <v>149900</v>
      </c>
      <c r="N77" s="35">
        <f t="shared" si="11"/>
        <v>0.3</v>
      </c>
      <c r="O77" s="34">
        <f t="shared" si="9"/>
        <v>104930</v>
      </c>
      <c r="P77" s="32" t="str">
        <f t="shared" si="11"/>
        <v>PERCENTAGE</v>
      </c>
    </row>
    <row r="78" spans="1:16" x14ac:dyDescent="0.35">
      <c r="A78" s="23" t="str">
        <f t="shared" si="10"/>
        <v xml:space="preserve">2025 OCT DISC 30% </v>
      </c>
      <c r="B78" s="33">
        <f t="shared" si="10"/>
        <v>46121</v>
      </c>
      <c r="C78" s="33">
        <f t="shared" si="10"/>
        <v>46127</v>
      </c>
      <c r="D78" s="32">
        <v>3287</v>
      </c>
      <c r="E78" s="32">
        <v>338</v>
      </c>
      <c r="F78" s="32">
        <v>4</v>
      </c>
      <c r="G78" s="52">
        <v>2</v>
      </c>
      <c r="H78" s="23">
        <v>81679</v>
      </c>
      <c r="I78" s="23" t="s">
        <v>17</v>
      </c>
      <c r="J78" s="59">
        <v>61920812</v>
      </c>
      <c r="K78" s="23" t="s">
        <v>6248</v>
      </c>
      <c r="L78" s="22" t="s">
        <v>6249</v>
      </c>
      <c r="M78" s="24">
        <v>149900</v>
      </c>
      <c r="N78" s="35">
        <f t="shared" si="11"/>
        <v>0.3</v>
      </c>
      <c r="O78" s="34">
        <f t="shared" si="9"/>
        <v>104930</v>
      </c>
      <c r="P78" s="32" t="str">
        <f t="shared" si="11"/>
        <v>PERCENTAGE</v>
      </c>
    </row>
    <row r="79" spans="1:16" x14ac:dyDescent="0.35">
      <c r="A79" s="23" t="str">
        <f t="shared" si="10"/>
        <v xml:space="preserve">2025 OCT DISC 30% </v>
      </c>
      <c r="B79" s="33">
        <f t="shared" si="10"/>
        <v>46121</v>
      </c>
      <c r="C79" s="33">
        <f t="shared" si="10"/>
        <v>46127</v>
      </c>
      <c r="D79" s="32">
        <v>3287</v>
      </c>
      <c r="E79" s="32">
        <v>338</v>
      </c>
      <c r="F79" s="32">
        <v>4</v>
      </c>
      <c r="G79" s="52">
        <v>2</v>
      </c>
      <c r="H79" s="23">
        <v>81679</v>
      </c>
      <c r="I79" s="23" t="s">
        <v>17</v>
      </c>
      <c r="J79" s="59">
        <v>61920821</v>
      </c>
      <c r="K79" s="23" t="s">
        <v>6248</v>
      </c>
      <c r="L79" s="22" t="s">
        <v>6255</v>
      </c>
      <c r="M79" s="24">
        <v>149900</v>
      </c>
      <c r="N79" s="35">
        <f t="shared" si="11"/>
        <v>0.3</v>
      </c>
      <c r="O79" s="34">
        <f t="shared" si="9"/>
        <v>104930</v>
      </c>
      <c r="P79" s="32" t="str">
        <f t="shared" si="11"/>
        <v>PERCENTAGE</v>
      </c>
    </row>
    <row r="80" spans="1:16" x14ac:dyDescent="0.35">
      <c r="A80" s="23" t="str">
        <f t="shared" si="10"/>
        <v xml:space="preserve">2025 OCT DISC 30% </v>
      </c>
      <c r="B80" s="33">
        <f t="shared" si="10"/>
        <v>46121</v>
      </c>
      <c r="C80" s="33">
        <f t="shared" si="10"/>
        <v>46127</v>
      </c>
      <c r="D80" s="32">
        <v>3287</v>
      </c>
      <c r="E80" s="32">
        <v>338</v>
      </c>
      <c r="F80" s="32">
        <v>4</v>
      </c>
      <c r="G80" s="52">
        <v>2</v>
      </c>
      <c r="H80" s="23">
        <v>81679</v>
      </c>
      <c r="I80" s="23" t="s">
        <v>17</v>
      </c>
      <c r="J80" s="59">
        <v>61920830</v>
      </c>
      <c r="K80" s="23" t="s">
        <v>6248</v>
      </c>
      <c r="L80" s="22" t="s">
        <v>6252</v>
      </c>
      <c r="M80" s="24">
        <v>149900</v>
      </c>
      <c r="N80" s="35">
        <f t="shared" si="11"/>
        <v>0.3</v>
      </c>
      <c r="O80" s="34">
        <f t="shared" si="9"/>
        <v>104930</v>
      </c>
      <c r="P80" s="32" t="str">
        <f t="shared" si="11"/>
        <v>PERCENTAGE</v>
      </c>
    </row>
    <row r="81" spans="1:16" x14ac:dyDescent="0.35">
      <c r="A81" s="23" t="str">
        <f t="shared" si="10"/>
        <v xml:space="preserve">2025 OCT DISC 30% </v>
      </c>
      <c r="B81" s="33">
        <f t="shared" si="10"/>
        <v>46121</v>
      </c>
      <c r="C81" s="33">
        <f t="shared" si="10"/>
        <v>46127</v>
      </c>
      <c r="D81" s="32">
        <v>3287</v>
      </c>
      <c r="E81" s="32">
        <v>338</v>
      </c>
      <c r="F81" s="32">
        <v>4</v>
      </c>
      <c r="G81" s="52">
        <v>9</v>
      </c>
      <c r="H81" s="23">
        <v>4953</v>
      </c>
      <c r="I81" s="23" t="s">
        <v>17</v>
      </c>
      <c r="J81" s="59">
        <v>61920849</v>
      </c>
      <c r="K81" s="23" t="s">
        <v>6237</v>
      </c>
      <c r="L81" s="22" t="s">
        <v>6241</v>
      </c>
      <c r="M81" s="24">
        <v>129900</v>
      </c>
      <c r="N81" s="35">
        <f t="shared" si="11"/>
        <v>0.3</v>
      </c>
      <c r="O81" s="34">
        <f t="shared" si="9"/>
        <v>90930</v>
      </c>
      <c r="P81" s="32" t="str">
        <f t="shared" si="11"/>
        <v>PERCENTAGE</v>
      </c>
    </row>
    <row r="82" spans="1:16" x14ac:dyDescent="0.35">
      <c r="A82" s="23" t="str">
        <f t="shared" si="10"/>
        <v xml:space="preserve">2025 OCT DISC 30% </v>
      </c>
      <c r="B82" s="33">
        <f t="shared" si="10"/>
        <v>46121</v>
      </c>
      <c r="C82" s="33">
        <f t="shared" si="10"/>
        <v>46127</v>
      </c>
      <c r="D82" s="32">
        <v>3287</v>
      </c>
      <c r="E82" s="32">
        <v>338</v>
      </c>
      <c r="F82" s="32">
        <v>4</v>
      </c>
      <c r="G82" s="52">
        <v>9</v>
      </c>
      <c r="H82" s="23">
        <v>4953</v>
      </c>
      <c r="I82" s="23" t="s">
        <v>17</v>
      </c>
      <c r="J82" s="59">
        <v>61920858</v>
      </c>
      <c r="K82" s="23" t="s">
        <v>6237</v>
      </c>
      <c r="L82" s="22" t="s">
        <v>6245</v>
      </c>
      <c r="M82" s="24">
        <v>129900</v>
      </c>
      <c r="N82" s="35">
        <f t="shared" si="11"/>
        <v>0.3</v>
      </c>
      <c r="O82" s="34">
        <f t="shared" si="9"/>
        <v>90930</v>
      </c>
      <c r="P82" s="32" t="str">
        <f t="shared" si="11"/>
        <v>PERCENTAGE</v>
      </c>
    </row>
    <row r="83" spans="1:16" x14ac:dyDescent="0.35">
      <c r="A83" s="23" t="str">
        <f t="shared" si="10"/>
        <v xml:space="preserve">2025 OCT DISC 30% </v>
      </c>
      <c r="B83" s="33">
        <f t="shared" si="10"/>
        <v>46121</v>
      </c>
      <c r="C83" s="33">
        <f t="shared" si="10"/>
        <v>46127</v>
      </c>
      <c r="D83" s="32">
        <v>3287</v>
      </c>
      <c r="E83" s="32">
        <v>338</v>
      </c>
      <c r="F83" s="32">
        <v>4</v>
      </c>
      <c r="G83" s="52">
        <v>9</v>
      </c>
      <c r="H83" s="23">
        <v>4953</v>
      </c>
      <c r="I83" s="23" t="s">
        <v>17</v>
      </c>
      <c r="J83" s="59">
        <v>61920705</v>
      </c>
      <c r="K83" s="23" t="s">
        <v>6237</v>
      </c>
      <c r="L83" s="22" t="s">
        <v>6243</v>
      </c>
      <c r="M83" s="24">
        <v>129900</v>
      </c>
      <c r="N83" s="35">
        <f t="shared" si="11"/>
        <v>0.3</v>
      </c>
      <c r="O83" s="34">
        <f t="shared" si="9"/>
        <v>90930</v>
      </c>
      <c r="P83" s="32" t="str">
        <f t="shared" si="11"/>
        <v>PERCENTAGE</v>
      </c>
    </row>
    <row r="84" spans="1:16" x14ac:dyDescent="0.35">
      <c r="A84" s="23" t="str">
        <f t="shared" ref="A84:C96" si="12">A83</f>
        <v xml:space="preserve">2025 OCT DISC 30% </v>
      </c>
      <c r="B84" s="33">
        <f t="shared" si="12"/>
        <v>46121</v>
      </c>
      <c r="C84" s="33">
        <f t="shared" si="12"/>
        <v>46127</v>
      </c>
      <c r="D84" s="32">
        <v>3287</v>
      </c>
      <c r="E84" s="32">
        <v>338</v>
      </c>
      <c r="F84" s="32">
        <v>4</v>
      </c>
      <c r="G84" s="52">
        <v>9</v>
      </c>
      <c r="H84" s="23">
        <v>4953</v>
      </c>
      <c r="I84" s="23" t="s">
        <v>17</v>
      </c>
      <c r="J84" s="59">
        <v>61920714</v>
      </c>
      <c r="K84" s="23" t="s">
        <v>6237</v>
      </c>
      <c r="L84" s="22" t="s">
        <v>6244</v>
      </c>
      <c r="M84" s="24">
        <v>129900</v>
      </c>
      <c r="N84" s="35">
        <f t="shared" ref="N84:P96" si="13">N83</f>
        <v>0.3</v>
      </c>
      <c r="O84" s="34">
        <f t="shared" si="9"/>
        <v>90930</v>
      </c>
      <c r="P84" s="32" t="str">
        <f t="shared" si="13"/>
        <v>PERCENTAGE</v>
      </c>
    </row>
    <row r="85" spans="1:16" x14ac:dyDescent="0.35">
      <c r="A85" s="23" t="str">
        <f t="shared" si="12"/>
        <v xml:space="preserve">2025 OCT DISC 30% </v>
      </c>
      <c r="B85" s="33">
        <f t="shared" si="12"/>
        <v>46121</v>
      </c>
      <c r="C85" s="33">
        <f t="shared" si="12"/>
        <v>46127</v>
      </c>
      <c r="D85" s="32">
        <v>3287</v>
      </c>
      <c r="E85" s="32">
        <v>338</v>
      </c>
      <c r="F85" s="32">
        <v>4</v>
      </c>
      <c r="G85" s="52">
        <v>9</v>
      </c>
      <c r="H85" s="23">
        <v>4953</v>
      </c>
      <c r="I85" s="23" t="s">
        <v>17</v>
      </c>
      <c r="J85" s="59">
        <v>61920723</v>
      </c>
      <c r="K85" s="23" t="s">
        <v>6237</v>
      </c>
      <c r="L85" s="22" t="s">
        <v>6240</v>
      </c>
      <c r="M85" s="24">
        <v>129900</v>
      </c>
      <c r="N85" s="35">
        <f t="shared" si="13"/>
        <v>0.3</v>
      </c>
      <c r="O85" s="34">
        <f t="shared" si="9"/>
        <v>90930</v>
      </c>
      <c r="P85" s="32" t="str">
        <f t="shared" si="13"/>
        <v>PERCENTAGE</v>
      </c>
    </row>
    <row r="86" spans="1:16" x14ac:dyDescent="0.35">
      <c r="A86" s="23" t="str">
        <f t="shared" si="12"/>
        <v xml:space="preserve">2025 OCT DISC 30% </v>
      </c>
      <c r="B86" s="33">
        <f t="shared" si="12"/>
        <v>46121</v>
      </c>
      <c r="C86" s="33">
        <f t="shared" si="12"/>
        <v>46127</v>
      </c>
      <c r="D86" s="32">
        <v>3287</v>
      </c>
      <c r="E86" s="32">
        <v>338</v>
      </c>
      <c r="F86" s="32">
        <v>4</v>
      </c>
      <c r="G86" s="52">
        <v>9</v>
      </c>
      <c r="H86" s="23">
        <v>4953</v>
      </c>
      <c r="I86" s="23" t="s">
        <v>17</v>
      </c>
      <c r="J86" s="59">
        <v>61920732</v>
      </c>
      <c r="K86" s="23" t="s">
        <v>6237</v>
      </c>
      <c r="L86" s="22" t="s">
        <v>6238</v>
      </c>
      <c r="M86" s="24">
        <v>129900</v>
      </c>
      <c r="N86" s="35">
        <f t="shared" si="13"/>
        <v>0.3</v>
      </c>
      <c r="O86" s="34">
        <f t="shared" si="9"/>
        <v>90930</v>
      </c>
      <c r="P86" s="32" t="str">
        <f t="shared" si="13"/>
        <v>PERCENTAGE</v>
      </c>
    </row>
    <row r="87" spans="1:16" x14ac:dyDescent="0.35">
      <c r="A87" s="23" t="str">
        <f t="shared" si="12"/>
        <v xml:space="preserve">2025 OCT DISC 30% </v>
      </c>
      <c r="B87" s="33">
        <f t="shared" si="12"/>
        <v>46121</v>
      </c>
      <c r="C87" s="33">
        <f t="shared" si="12"/>
        <v>46127</v>
      </c>
      <c r="D87" s="32">
        <v>3287</v>
      </c>
      <c r="E87" s="32">
        <v>338</v>
      </c>
      <c r="F87" s="32">
        <v>4</v>
      </c>
      <c r="G87" s="52">
        <v>9</v>
      </c>
      <c r="H87" s="23">
        <v>4953</v>
      </c>
      <c r="I87" s="23" t="s">
        <v>17</v>
      </c>
      <c r="J87" s="59">
        <v>61920741</v>
      </c>
      <c r="K87" s="23" t="s">
        <v>6237</v>
      </c>
      <c r="L87" s="22" t="s">
        <v>6239</v>
      </c>
      <c r="M87" s="24">
        <v>129900</v>
      </c>
      <c r="N87" s="35">
        <f t="shared" si="13"/>
        <v>0.3</v>
      </c>
      <c r="O87" s="34">
        <f t="shared" si="9"/>
        <v>90930</v>
      </c>
      <c r="P87" s="32" t="str">
        <f t="shared" si="13"/>
        <v>PERCENTAGE</v>
      </c>
    </row>
    <row r="88" spans="1:16" x14ac:dyDescent="0.35">
      <c r="A88" s="23" t="str">
        <f t="shared" si="12"/>
        <v xml:space="preserve">2025 OCT DISC 30% </v>
      </c>
      <c r="B88" s="33">
        <f t="shared" si="12"/>
        <v>46121</v>
      </c>
      <c r="C88" s="33">
        <f t="shared" si="12"/>
        <v>46127</v>
      </c>
      <c r="D88" s="32">
        <v>3287</v>
      </c>
      <c r="E88" s="32">
        <v>338</v>
      </c>
      <c r="F88" s="32">
        <v>4</v>
      </c>
      <c r="G88" s="52">
        <v>9</v>
      </c>
      <c r="H88" s="23">
        <v>4953</v>
      </c>
      <c r="I88" s="23" t="s">
        <v>17</v>
      </c>
      <c r="J88" s="59">
        <v>61920750</v>
      </c>
      <c r="K88" s="23" t="s">
        <v>6237</v>
      </c>
      <c r="L88" s="22" t="s">
        <v>6242</v>
      </c>
      <c r="M88" s="24">
        <v>129900</v>
      </c>
      <c r="N88" s="35">
        <f t="shared" si="13"/>
        <v>0.3</v>
      </c>
      <c r="O88" s="34">
        <f t="shared" si="9"/>
        <v>90930</v>
      </c>
      <c r="P88" s="32" t="str">
        <f t="shared" si="13"/>
        <v>PERCENTAGE</v>
      </c>
    </row>
    <row r="89" spans="1:16" x14ac:dyDescent="0.35">
      <c r="A89" s="23" t="str">
        <f t="shared" si="12"/>
        <v xml:space="preserve">2025 OCT DISC 30% </v>
      </c>
      <c r="B89" s="33">
        <f t="shared" si="12"/>
        <v>46121</v>
      </c>
      <c r="C89" s="33">
        <f t="shared" si="12"/>
        <v>46127</v>
      </c>
      <c r="D89" s="32">
        <v>3287</v>
      </c>
      <c r="E89" s="32">
        <v>338</v>
      </c>
      <c r="F89" s="32">
        <v>4</v>
      </c>
      <c r="G89" s="52">
        <v>9</v>
      </c>
      <c r="H89" s="23">
        <v>4953</v>
      </c>
      <c r="I89" s="23" t="s">
        <v>17</v>
      </c>
      <c r="J89" s="59">
        <v>61920769</v>
      </c>
      <c r="K89" s="23" t="s">
        <v>6228</v>
      </c>
      <c r="L89" s="22" t="s">
        <v>6232</v>
      </c>
      <c r="M89" s="24">
        <v>149900</v>
      </c>
      <c r="N89" s="35">
        <f t="shared" si="13"/>
        <v>0.3</v>
      </c>
      <c r="O89" s="34">
        <f t="shared" si="9"/>
        <v>104930</v>
      </c>
      <c r="P89" s="32" t="str">
        <f t="shared" si="13"/>
        <v>PERCENTAGE</v>
      </c>
    </row>
    <row r="90" spans="1:16" x14ac:dyDescent="0.35">
      <c r="A90" s="23" t="str">
        <f t="shared" si="12"/>
        <v xml:space="preserve">2025 OCT DISC 30% </v>
      </c>
      <c r="B90" s="33">
        <f t="shared" si="12"/>
        <v>46121</v>
      </c>
      <c r="C90" s="33">
        <f t="shared" si="12"/>
        <v>46127</v>
      </c>
      <c r="D90" s="32">
        <v>3287</v>
      </c>
      <c r="E90" s="32">
        <v>338</v>
      </c>
      <c r="F90" s="32">
        <v>4</v>
      </c>
      <c r="G90" s="52">
        <v>9</v>
      </c>
      <c r="H90" s="23">
        <v>4953</v>
      </c>
      <c r="I90" s="23" t="s">
        <v>17</v>
      </c>
      <c r="J90" s="59">
        <v>61920778</v>
      </c>
      <c r="K90" s="23" t="s">
        <v>6228</v>
      </c>
      <c r="L90" s="22" t="s">
        <v>6234</v>
      </c>
      <c r="M90" s="24">
        <v>149900</v>
      </c>
      <c r="N90" s="35">
        <f t="shared" si="13"/>
        <v>0.3</v>
      </c>
      <c r="O90" s="34">
        <f t="shared" si="9"/>
        <v>104930</v>
      </c>
      <c r="P90" s="32" t="str">
        <f t="shared" si="13"/>
        <v>PERCENTAGE</v>
      </c>
    </row>
    <row r="91" spans="1:16" x14ac:dyDescent="0.35">
      <c r="A91" s="23" t="str">
        <f t="shared" si="12"/>
        <v xml:space="preserve">2025 OCT DISC 30% </v>
      </c>
      <c r="B91" s="33">
        <f t="shared" si="12"/>
        <v>46121</v>
      </c>
      <c r="C91" s="33">
        <f t="shared" si="12"/>
        <v>46127</v>
      </c>
      <c r="D91" s="32">
        <v>3287</v>
      </c>
      <c r="E91" s="32">
        <v>338</v>
      </c>
      <c r="F91" s="32">
        <v>4</v>
      </c>
      <c r="G91" s="52">
        <v>9</v>
      </c>
      <c r="H91" s="23">
        <v>4953</v>
      </c>
      <c r="I91" s="23" t="s">
        <v>17</v>
      </c>
      <c r="J91" s="59">
        <v>61315628</v>
      </c>
      <c r="K91" s="23" t="s">
        <v>6228</v>
      </c>
      <c r="L91" s="22" t="s">
        <v>6236</v>
      </c>
      <c r="M91" s="24">
        <v>149900</v>
      </c>
      <c r="N91" s="35">
        <f t="shared" si="13"/>
        <v>0.3</v>
      </c>
      <c r="O91" s="34">
        <f t="shared" si="9"/>
        <v>104930</v>
      </c>
      <c r="P91" s="32" t="str">
        <f t="shared" si="13"/>
        <v>PERCENTAGE</v>
      </c>
    </row>
    <row r="92" spans="1:16" x14ac:dyDescent="0.35">
      <c r="A92" s="23" t="str">
        <f t="shared" si="12"/>
        <v xml:space="preserve">2025 OCT DISC 30% </v>
      </c>
      <c r="B92" s="33">
        <f t="shared" si="12"/>
        <v>46121</v>
      </c>
      <c r="C92" s="33">
        <f t="shared" si="12"/>
        <v>46127</v>
      </c>
      <c r="D92" s="32">
        <v>3287</v>
      </c>
      <c r="E92" s="32">
        <v>338</v>
      </c>
      <c r="F92" s="32">
        <v>4</v>
      </c>
      <c r="G92" s="52">
        <v>9</v>
      </c>
      <c r="H92" s="23">
        <v>4953</v>
      </c>
      <c r="I92" s="23" t="s">
        <v>17</v>
      </c>
      <c r="J92" s="59">
        <v>61315637</v>
      </c>
      <c r="K92" s="23" t="s">
        <v>6228</v>
      </c>
      <c r="L92" s="22" t="s">
        <v>6233</v>
      </c>
      <c r="M92" s="24">
        <v>149900</v>
      </c>
      <c r="N92" s="35">
        <f t="shared" si="13"/>
        <v>0.3</v>
      </c>
      <c r="O92" s="34">
        <f t="shared" si="9"/>
        <v>104930</v>
      </c>
      <c r="P92" s="32" t="str">
        <f t="shared" si="13"/>
        <v>PERCENTAGE</v>
      </c>
    </row>
    <row r="93" spans="1:16" x14ac:dyDescent="0.35">
      <c r="A93" s="23" t="str">
        <f t="shared" si="12"/>
        <v xml:space="preserve">2025 OCT DISC 30% </v>
      </c>
      <c r="B93" s="33">
        <f t="shared" si="12"/>
        <v>46121</v>
      </c>
      <c r="C93" s="33">
        <f t="shared" si="12"/>
        <v>46127</v>
      </c>
      <c r="D93" s="32">
        <v>3287</v>
      </c>
      <c r="E93" s="32">
        <v>338</v>
      </c>
      <c r="F93" s="32">
        <v>4</v>
      </c>
      <c r="G93" s="52">
        <v>9</v>
      </c>
      <c r="H93" s="23">
        <v>4953</v>
      </c>
      <c r="I93" s="23" t="s">
        <v>17</v>
      </c>
      <c r="J93" s="59">
        <v>61315646</v>
      </c>
      <c r="K93" s="23" t="s">
        <v>6228</v>
      </c>
      <c r="L93" s="22" t="s">
        <v>6235</v>
      </c>
      <c r="M93" s="24">
        <v>149900</v>
      </c>
      <c r="N93" s="35">
        <f t="shared" si="13"/>
        <v>0.3</v>
      </c>
      <c r="O93" s="34">
        <f t="shared" si="9"/>
        <v>104930</v>
      </c>
      <c r="P93" s="32" t="str">
        <f t="shared" si="13"/>
        <v>PERCENTAGE</v>
      </c>
    </row>
    <row r="94" spans="1:16" x14ac:dyDescent="0.35">
      <c r="A94" s="23" t="str">
        <f t="shared" si="12"/>
        <v xml:space="preserve">2025 OCT DISC 30% </v>
      </c>
      <c r="B94" s="33">
        <f t="shared" si="12"/>
        <v>46121</v>
      </c>
      <c r="C94" s="33">
        <f t="shared" si="12"/>
        <v>46127</v>
      </c>
      <c r="D94" s="32">
        <v>3287</v>
      </c>
      <c r="E94" s="32">
        <v>338</v>
      </c>
      <c r="F94" s="32">
        <v>4</v>
      </c>
      <c r="G94" s="52">
        <v>9</v>
      </c>
      <c r="H94" s="23">
        <v>4953</v>
      </c>
      <c r="I94" s="23" t="s">
        <v>17</v>
      </c>
      <c r="J94" s="59">
        <v>61315655</v>
      </c>
      <c r="K94" s="23" t="s">
        <v>6228</v>
      </c>
      <c r="L94" s="22" t="s">
        <v>6231</v>
      </c>
      <c r="M94" s="24">
        <v>149900</v>
      </c>
      <c r="N94" s="35">
        <f t="shared" si="13"/>
        <v>0.3</v>
      </c>
      <c r="O94" s="34">
        <f t="shared" si="9"/>
        <v>104930</v>
      </c>
      <c r="P94" s="32" t="str">
        <f t="shared" si="13"/>
        <v>PERCENTAGE</v>
      </c>
    </row>
    <row r="95" spans="1:16" x14ac:dyDescent="0.35">
      <c r="A95" s="23" t="str">
        <f t="shared" si="12"/>
        <v xml:space="preserve">2025 OCT DISC 30% </v>
      </c>
      <c r="B95" s="33">
        <f t="shared" si="12"/>
        <v>46121</v>
      </c>
      <c r="C95" s="33">
        <f t="shared" si="12"/>
        <v>46127</v>
      </c>
      <c r="D95" s="32">
        <v>3287</v>
      </c>
      <c r="E95" s="32">
        <v>338</v>
      </c>
      <c r="F95" s="32">
        <v>4</v>
      </c>
      <c r="G95" s="52">
        <v>9</v>
      </c>
      <c r="H95" s="23">
        <v>4953</v>
      </c>
      <c r="I95" s="23" t="s">
        <v>17</v>
      </c>
      <c r="J95" s="59">
        <v>61315664</v>
      </c>
      <c r="K95" s="23" t="s">
        <v>6228</v>
      </c>
      <c r="L95" s="22" t="s">
        <v>6229</v>
      </c>
      <c r="M95" s="24">
        <v>149900</v>
      </c>
      <c r="N95" s="35">
        <f t="shared" si="13"/>
        <v>0.3</v>
      </c>
      <c r="O95" s="34">
        <f t="shared" si="9"/>
        <v>104930</v>
      </c>
      <c r="P95" s="32" t="str">
        <f t="shared" si="13"/>
        <v>PERCENTAGE</v>
      </c>
    </row>
    <row r="96" spans="1:16" x14ac:dyDescent="0.35">
      <c r="A96" s="23" t="str">
        <f t="shared" si="12"/>
        <v xml:space="preserve">2025 OCT DISC 30% </v>
      </c>
      <c r="B96" s="33">
        <f t="shared" si="12"/>
        <v>46121</v>
      </c>
      <c r="C96" s="33">
        <f t="shared" si="12"/>
        <v>46127</v>
      </c>
      <c r="D96" s="32">
        <v>3287</v>
      </c>
      <c r="E96" s="32">
        <v>338</v>
      </c>
      <c r="F96" s="32">
        <v>4</v>
      </c>
      <c r="G96" s="52">
        <v>9</v>
      </c>
      <c r="H96" s="23">
        <v>4953</v>
      </c>
      <c r="I96" s="23" t="s">
        <v>17</v>
      </c>
      <c r="J96" s="59">
        <v>61315673</v>
      </c>
      <c r="K96" s="23" t="s">
        <v>6228</v>
      </c>
      <c r="L96" s="22" t="s">
        <v>6230</v>
      </c>
      <c r="M96" s="24">
        <v>149900</v>
      </c>
      <c r="N96" s="35">
        <f t="shared" si="13"/>
        <v>0.3</v>
      </c>
      <c r="O96" s="34">
        <f t="shared" si="9"/>
        <v>104930</v>
      </c>
      <c r="P96" s="32" t="str">
        <f t="shared" si="13"/>
        <v>PERCENTAGE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conditionalFormatting sqref="J2:J51">
    <cfRule type="duplicateValues" dxfId="6" priority="2"/>
  </conditionalFormatting>
  <conditionalFormatting sqref="J2:J96">
    <cfRule type="duplicateValues" dxfId="5" priority="1"/>
  </conditionalFormatting>
  <pageMargins left="0.7" right="0.7" top="0.75" bottom="0.75" header="0.3" footer="0.3"/>
  <pageSetup paperSize="9" orientation="portrait" r:id="rId1"/>
  <ignoredErrors>
    <ignoredError sqref="O3:O96" formula="1"/>
  </ignoredErrors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E18D-47DE-409F-8205-5ACA34B17871}">
  <dimension ref="A1:P63"/>
  <sheetViews>
    <sheetView zoomScale="70" zoomScaleNormal="70" workbookViewId="0">
      <pane ySplit="1" topLeftCell="A38" activePane="bottomLeft" state="frozen"/>
      <selection activeCell="I19" sqref="I19"/>
      <selection pane="bottomLeft" activeCell="E20" sqref="E20"/>
    </sheetView>
  </sheetViews>
  <sheetFormatPr defaultColWidth="8.6328125" defaultRowHeight="14.5" x14ac:dyDescent="0.35"/>
  <cols>
    <col min="1" max="1" width="34.54296875" style="41" customWidth="1"/>
    <col min="2" max="2" width="16.08984375" style="42" bestFit="1" customWidth="1"/>
    <col min="3" max="3" width="13.36328125" style="42" bestFit="1" customWidth="1"/>
    <col min="4" max="4" width="10" style="41" bestFit="1" customWidth="1"/>
    <col min="5" max="5" width="12.36328125" style="41" bestFit="1" customWidth="1"/>
    <col min="6" max="6" width="13.6328125" style="41" bestFit="1" customWidth="1"/>
    <col min="7" max="7" width="9" style="41" customWidth="1"/>
    <col min="8" max="8" width="12.453125" style="41" customWidth="1"/>
    <col min="9" max="9" width="16.54296875" style="41" bestFit="1" customWidth="1"/>
    <col min="10" max="10" width="9.54296875" style="41" bestFit="1" customWidth="1"/>
    <col min="11" max="11" width="12.54296875" style="41" bestFit="1" customWidth="1"/>
    <col min="12" max="12" width="78.81640625" style="41" customWidth="1"/>
    <col min="13" max="13" width="17" style="41" customWidth="1"/>
    <col min="14" max="14" width="13.90625" style="41" customWidth="1"/>
    <col min="15" max="15" width="16.1796875" style="41" customWidth="1"/>
    <col min="16" max="16" width="19.90625" style="41" bestFit="1" customWidth="1"/>
    <col min="17" max="16384" width="8.6328125" style="41"/>
  </cols>
  <sheetData>
    <row r="1" spans="1:16" s="31" customFormat="1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x14ac:dyDescent="0.35">
      <c r="A2" s="32" t="s">
        <v>7162</v>
      </c>
      <c r="B2" s="33">
        <f>'2025 HILITE D80 - 3321'!B2</f>
        <v>46121</v>
      </c>
      <c r="C2" s="33">
        <f>'2025 HILITE D80 - 3321'!C2</f>
        <v>46127</v>
      </c>
      <c r="D2" s="32">
        <v>3287</v>
      </c>
      <c r="E2" s="32">
        <v>338</v>
      </c>
      <c r="F2" s="32">
        <v>4</v>
      </c>
      <c r="G2" s="32">
        <v>9</v>
      </c>
      <c r="H2" s="32">
        <v>4953</v>
      </c>
      <c r="I2" s="32" t="s">
        <v>17</v>
      </c>
      <c r="J2" s="32">
        <v>54921281</v>
      </c>
      <c r="K2" s="38" t="s">
        <v>5852</v>
      </c>
      <c r="L2" s="38" t="s">
        <v>5856</v>
      </c>
      <c r="M2" s="34">
        <v>129900</v>
      </c>
      <c r="N2" s="50" t="s">
        <v>2569</v>
      </c>
      <c r="O2" s="34" t="s">
        <v>2577</v>
      </c>
      <c r="P2" s="50" t="s">
        <v>2569</v>
      </c>
    </row>
    <row r="3" spans="1:16" x14ac:dyDescent="0.35">
      <c r="A3" s="32" t="str">
        <f>A2</f>
        <v>2025 JUL-SEPT B1G1 - 3287</v>
      </c>
      <c r="B3" s="33">
        <f>B2</f>
        <v>46121</v>
      </c>
      <c r="C3" s="33">
        <f>C2</f>
        <v>46127</v>
      </c>
      <c r="D3" s="32">
        <v>3287</v>
      </c>
      <c r="E3" s="32">
        <v>338</v>
      </c>
      <c r="F3" s="32">
        <v>4</v>
      </c>
      <c r="G3" s="32">
        <v>9</v>
      </c>
      <c r="H3" s="32">
        <v>4953</v>
      </c>
      <c r="I3" s="32" t="s">
        <v>17</v>
      </c>
      <c r="J3" s="32">
        <v>54921290</v>
      </c>
      <c r="K3" s="38" t="s">
        <v>5852</v>
      </c>
      <c r="L3" s="38" t="s">
        <v>5857</v>
      </c>
      <c r="M3" s="34">
        <v>129900</v>
      </c>
      <c r="N3" s="50" t="s">
        <v>2569</v>
      </c>
      <c r="O3" s="34" t="s">
        <v>2577</v>
      </c>
      <c r="P3" s="50" t="s">
        <v>2569</v>
      </c>
    </row>
    <row r="4" spans="1:16" x14ac:dyDescent="0.35">
      <c r="A4" s="32" t="str">
        <f>A2</f>
        <v>2025 JUL-SEPT B1G1 - 3287</v>
      </c>
      <c r="B4" s="33">
        <f t="shared" ref="B4:C19" si="0">B3</f>
        <v>46121</v>
      </c>
      <c r="C4" s="33">
        <f t="shared" si="0"/>
        <v>46127</v>
      </c>
      <c r="D4" s="32">
        <v>3287</v>
      </c>
      <c r="E4" s="32">
        <v>338</v>
      </c>
      <c r="F4" s="32">
        <v>4</v>
      </c>
      <c r="G4" s="32">
        <v>9</v>
      </c>
      <c r="H4" s="32">
        <v>4953</v>
      </c>
      <c r="I4" s="32" t="s">
        <v>17</v>
      </c>
      <c r="J4" s="32">
        <v>54921307</v>
      </c>
      <c r="K4" s="38" t="s">
        <v>5852</v>
      </c>
      <c r="L4" s="38" t="s">
        <v>5860</v>
      </c>
      <c r="M4" s="34">
        <v>129900</v>
      </c>
      <c r="N4" s="50" t="s">
        <v>2569</v>
      </c>
      <c r="O4" s="34" t="s">
        <v>2577</v>
      </c>
      <c r="P4" s="50" t="s">
        <v>2569</v>
      </c>
    </row>
    <row r="5" spans="1:16" x14ac:dyDescent="0.35">
      <c r="A5" s="32" t="str">
        <f t="shared" ref="A5:A63" si="1">A3</f>
        <v>2025 JUL-SEPT B1G1 - 3287</v>
      </c>
      <c r="B5" s="33">
        <f t="shared" si="0"/>
        <v>46121</v>
      </c>
      <c r="C5" s="33">
        <f t="shared" si="0"/>
        <v>46127</v>
      </c>
      <c r="D5" s="32">
        <v>3287</v>
      </c>
      <c r="E5" s="32">
        <v>338</v>
      </c>
      <c r="F5" s="32">
        <v>4</v>
      </c>
      <c r="G5" s="32">
        <v>9</v>
      </c>
      <c r="H5" s="32">
        <v>4953</v>
      </c>
      <c r="I5" s="32" t="s">
        <v>17</v>
      </c>
      <c r="J5" s="32">
        <v>54921316</v>
      </c>
      <c r="K5" s="38" t="s">
        <v>5852</v>
      </c>
      <c r="L5" s="38" t="s">
        <v>5859</v>
      </c>
      <c r="M5" s="34">
        <v>129900</v>
      </c>
      <c r="N5" s="50" t="s">
        <v>2569</v>
      </c>
      <c r="O5" s="34" t="s">
        <v>2577</v>
      </c>
      <c r="P5" s="50" t="s">
        <v>2569</v>
      </c>
    </row>
    <row r="6" spans="1:16" x14ac:dyDescent="0.35">
      <c r="A6" s="32" t="str">
        <f t="shared" si="1"/>
        <v>2025 JUL-SEPT B1G1 - 3287</v>
      </c>
      <c r="B6" s="33">
        <f t="shared" si="0"/>
        <v>46121</v>
      </c>
      <c r="C6" s="33">
        <f t="shared" si="0"/>
        <v>46127</v>
      </c>
      <c r="D6" s="32">
        <v>3287</v>
      </c>
      <c r="E6" s="32">
        <v>338</v>
      </c>
      <c r="F6" s="32">
        <v>4</v>
      </c>
      <c r="G6" s="32">
        <v>9</v>
      </c>
      <c r="H6" s="32">
        <v>4953</v>
      </c>
      <c r="I6" s="32" t="s">
        <v>17</v>
      </c>
      <c r="J6" s="32">
        <v>54921325</v>
      </c>
      <c r="K6" s="38" t="s">
        <v>5852</v>
      </c>
      <c r="L6" s="38" t="s">
        <v>5858</v>
      </c>
      <c r="M6" s="34">
        <v>129900</v>
      </c>
      <c r="N6" s="50" t="s">
        <v>2569</v>
      </c>
      <c r="O6" s="34" t="s">
        <v>2577</v>
      </c>
      <c r="P6" s="50" t="s">
        <v>2569</v>
      </c>
    </row>
    <row r="7" spans="1:16" x14ac:dyDescent="0.35">
      <c r="A7" s="32" t="str">
        <f t="shared" si="1"/>
        <v>2025 JUL-SEPT B1G1 - 3287</v>
      </c>
      <c r="B7" s="33">
        <f t="shared" si="0"/>
        <v>46121</v>
      </c>
      <c r="C7" s="33">
        <f t="shared" si="0"/>
        <v>46127</v>
      </c>
      <c r="D7" s="32">
        <v>3287</v>
      </c>
      <c r="E7" s="32">
        <v>338</v>
      </c>
      <c r="F7" s="32">
        <v>4</v>
      </c>
      <c r="G7" s="32">
        <v>9</v>
      </c>
      <c r="H7" s="32">
        <v>4953</v>
      </c>
      <c r="I7" s="32" t="s">
        <v>17</v>
      </c>
      <c r="J7" s="32">
        <v>54921334</v>
      </c>
      <c r="K7" s="38" t="s">
        <v>5852</v>
      </c>
      <c r="L7" s="38" t="s">
        <v>5853</v>
      </c>
      <c r="M7" s="34">
        <v>129900</v>
      </c>
      <c r="N7" s="50" t="s">
        <v>2569</v>
      </c>
      <c r="O7" s="34" t="s">
        <v>2577</v>
      </c>
      <c r="P7" s="50" t="s">
        <v>2569</v>
      </c>
    </row>
    <row r="8" spans="1:16" x14ac:dyDescent="0.35">
      <c r="A8" s="32" t="str">
        <f t="shared" si="1"/>
        <v>2025 JUL-SEPT B1G1 - 3287</v>
      </c>
      <c r="B8" s="33">
        <f t="shared" si="0"/>
        <v>46121</v>
      </c>
      <c r="C8" s="33">
        <f t="shared" si="0"/>
        <v>46127</v>
      </c>
      <c r="D8" s="32">
        <v>3287</v>
      </c>
      <c r="E8" s="32">
        <v>338</v>
      </c>
      <c r="F8" s="32">
        <v>4</v>
      </c>
      <c r="G8" s="32">
        <v>9</v>
      </c>
      <c r="H8" s="32">
        <v>4953</v>
      </c>
      <c r="I8" s="32" t="s">
        <v>17</v>
      </c>
      <c r="J8" s="32">
        <v>54921343</v>
      </c>
      <c r="K8" s="38" t="s">
        <v>5852</v>
      </c>
      <c r="L8" s="38" t="s">
        <v>5855</v>
      </c>
      <c r="M8" s="34">
        <v>129900</v>
      </c>
      <c r="N8" s="50" t="s">
        <v>2569</v>
      </c>
      <c r="O8" s="34" t="s">
        <v>2577</v>
      </c>
      <c r="P8" s="50" t="s">
        <v>2569</v>
      </c>
    </row>
    <row r="9" spans="1:16" x14ac:dyDescent="0.35">
      <c r="A9" s="32" t="str">
        <f t="shared" si="1"/>
        <v>2025 JUL-SEPT B1G1 - 3287</v>
      </c>
      <c r="B9" s="33">
        <f t="shared" si="0"/>
        <v>46121</v>
      </c>
      <c r="C9" s="33">
        <f t="shared" si="0"/>
        <v>46127</v>
      </c>
      <c r="D9" s="32">
        <v>3287</v>
      </c>
      <c r="E9" s="32">
        <v>338</v>
      </c>
      <c r="F9" s="32">
        <v>4</v>
      </c>
      <c r="G9" s="32">
        <v>9</v>
      </c>
      <c r="H9" s="32">
        <v>4953</v>
      </c>
      <c r="I9" s="32" t="s">
        <v>17</v>
      </c>
      <c r="J9" s="32">
        <v>54921352</v>
      </c>
      <c r="K9" s="38" t="s">
        <v>5852</v>
      </c>
      <c r="L9" s="38" t="s">
        <v>5854</v>
      </c>
      <c r="M9" s="34">
        <v>129900</v>
      </c>
      <c r="N9" s="50" t="s">
        <v>2569</v>
      </c>
      <c r="O9" s="34" t="s">
        <v>2577</v>
      </c>
      <c r="P9" s="50" t="s">
        <v>2569</v>
      </c>
    </row>
    <row r="10" spans="1:16" x14ac:dyDescent="0.35">
      <c r="A10" s="32" t="str">
        <f t="shared" si="1"/>
        <v>2025 JUL-SEPT B1G1 - 3287</v>
      </c>
      <c r="B10" s="33">
        <f t="shared" si="0"/>
        <v>46121</v>
      </c>
      <c r="C10" s="33">
        <f t="shared" si="0"/>
        <v>46127</v>
      </c>
      <c r="D10" s="32">
        <v>3287</v>
      </c>
      <c r="E10" s="32">
        <v>338</v>
      </c>
      <c r="F10" s="32">
        <v>4</v>
      </c>
      <c r="G10" s="32">
        <v>3</v>
      </c>
      <c r="H10" s="32">
        <v>81462</v>
      </c>
      <c r="I10" s="32" t="s">
        <v>17</v>
      </c>
      <c r="J10" s="32">
        <v>54921183</v>
      </c>
      <c r="K10" s="38" t="s">
        <v>5847</v>
      </c>
      <c r="L10" s="38" t="s">
        <v>5850</v>
      </c>
      <c r="M10" s="34">
        <v>89900</v>
      </c>
      <c r="N10" s="50" t="s">
        <v>2569</v>
      </c>
      <c r="O10" s="34" t="s">
        <v>2577</v>
      </c>
      <c r="P10" s="50" t="s">
        <v>2569</v>
      </c>
    </row>
    <row r="11" spans="1:16" x14ac:dyDescent="0.35">
      <c r="A11" s="32" t="str">
        <f t="shared" si="1"/>
        <v>2025 JUL-SEPT B1G1 - 3287</v>
      </c>
      <c r="B11" s="33">
        <f t="shared" si="0"/>
        <v>46121</v>
      </c>
      <c r="C11" s="33">
        <f t="shared" si="0"/>
        <v>46127</v>
      </c>
      <c r="D11" s="32">
        <v>3287</v>
      </c>
      <c r="E11" s="32">
        <v>338</v>
      </c>
      <c r="F11" s="32">
        <v>4</v>
      </c>
      <c r="G11" s="32">
        <v>3</v>
      </c>
      <c r="H11" s="32">
        <v>81462</v>
      </c>
      <c r="I11" s="32" t="s">
        <v>17</v>
      </c>
      <c r="J11" s="32">
        <v>54921192</v>
      </c>
      <c r="K11" s="38" t="s">
        <v>5847</v>
      </c>
      <c r="L11" s="38" t="s">
        <v>5849</v>
      </c>
      <c r="M11" s="34">
        <v>89900</v>
      </c>
      <c r="N11" s="50" t="s">
        <v>2569</v>
      </c>
      <c r="O11" s="34" t="s">
        <v>2577</v>
      </c>
      <c r="P11" s="50" t="s">
        <v>2569</v>
      </c>
    </row>
    <row r="12" spans="1:16" x14ac:dyDescent="0.35">
      <c r="A12" s="32" t="str">
        <f t="shared" si="1"/>
        <v>2025 JUL-SEPT B1G1 - 3287</v>
      </c>
      <c r="B12" s="33">
        <f t="shared" si="0"/>
        <v>46121</v>
      </c>
      <c r="C12" s="33">
        <f t="shared" si="0"/>
        <v>46127</v>
      </c>
      <c r="D12" s="32">
        <v>3287</v>
      </c>
      <c r="E12" s="32">
        <v>338</v>
      </c>
      <c r="F12" s="32">
        <v>4</v>
      </c>
      <c r="G12" s="32">
        <v>3</v>
      </c>
      <c r="H12" s="32">
        <v>81462</v>
      </c>
      <c r="I12" s="32" t="s">
        <v>17</v>
      </c>
      <c r="J12" s="32">
        <v>54921209</v>
      </c>
      <c r="K12" s="38" t="s">
        <v>5847</v>
      </c>
      <c r="L12" s="38" t="s">
        <v>5851</v>
      </c>
      <c r="M12" s="34">
        <v>89900</v>
      </c>
      <c r="N12" s="50" t="s">
        <v>2569</v>
      </c>
      <c r="O12" s="34" t="s">
        <v>2577</v>
      </c>
      <c r="P12" s="50" t="s">
        <v>2569</v>
      </c>
    </row>
    <row r="13" spans="1:16" x14ac:dyDescent="0.35">
      <c r="A13" s="32" t="str">
        <f t="shared" si="1"/>
        <v>2025 JUL-SEPT B1G1 - 3287</v>
      </c>
      <c r="B13" s="33">
        <f t="shared" si="0"/>
        <v>46121</v>
      </c>
      <c r="C13" s="33">
        <f t="shared" si="0"/>
        <v>46127</v>
      </c>
      <c r="D13" s="32">
        <v>3287</v>
      </c>
      <c r="E13" s="32">
        <v>338</v>
      </c>
      <c r="F13" s="32">
        <v>4</v>
      </c>
      <c r="G13" s="32">
        <v>3</v>
      </c>
      <c r="H13" s="32">
        <v>81462</v>
      </c>
      <c r="I13" s="32" t="s">
        <v>17</v>
      </c>
      <c r="J13" s="32">
        <v>54921218</v>
      </c>
      <c r="K13" s="38" t="s">
        <v>5847</v>
      </c>
      <c r="L13" s="38" t="s">
        <v>5848</v>
      </c>
      <c r="M13" s="34">
        <v>89900</v>
      </c>
      <c r="N13" s="50" t="s">
        <v>2569</v>
      </c>
      <c r="O13" s="34" t="s">
        <v>2577</v>
      </c>
      <c r="P13" s="50" t="s">
        <v>2569</v>
      </c>
    </row>
    <row r="14" spans="1:16" x14ac:dyDescent="0.35">
      <c r="A14" s="32" t="str">
        <f t="shared" si="1"/>
        <v>2025 JUL-SEPT B1G1 - 3287</v>
      </c>
      <c r="B14" s="33">
        <f t="shared" si="0"/>
        <v>46121</v>
      </c>
      <c r="C14" s="33">
        <f t="shared" si="0"/>
        <v>46127</v>
      </c>
      <c r="D14" s="32">
        <v>3287</v>
      </c>
      <c r="E14" s="32">
        <v>338</v>
      </c>
      <c r="F14" s="32">
        <v>4</v>
      </c>
      <c r="G14" s="32">
        <v>7</v>
      </c>
      <c r="H14" s="32">
        <v>81827</v>
      </c>
      <c r="I14" s="32" t="s">
        <v>17</v>
      </c>
      <c r="J14" s="32">
        <v>54921227</v>
      </c>
      <c r="K14" s="38" t="s">
        <v>5864</v>
      </c>
      <c r="L14" s="38" t="s">
        <v>5872</v>
      </c>
      <c r="M14" s="34">
        <v>29900</v>
      </c>
      <c r="N14" s="50" t="s">
        <v>2569</v>
      </c>
      <c r="O14" s="34" t="s">
        <v>2577</v>
      </c>
      <c r="P14" s="50" t="s">
        <v>2569</v>
      </c>
    </row>
    <row r="15" spans="1:16" x14ac:dyDescent="0.35">
      <c r="A15" s="32" t="str">
        <f t="shared" si="1"/>
        <v>2025 JUL-SEPT B1G1 - 3287</v>
      </c>
      <c r="B15" s="33">
        <f t="shared" si="0"/>
        <v>46121</v>
      </c>
      <c r="C15" s="33">
        <f t="shared" si="0"/>
        <v>46127</v>
      </c>
      <c r="D15" s="32">
        <v>3287</v>
      </c>
      <c r="E15" s="32">
        <v>338</v>
      </c>
      <c r="F15" s="32">
        <v>4</v>
      </c>
      <c r="G15" s="32">
        <v>7</v>
      </c>
      <c r="H15" s="32">
        <v>81827</v>
      </c>
      <c r="I15" s="32" t="s">
        <v>17</v>
      </c>
      <c r="J15" s="32">
        <v>54921236</v>
      </c>
      <c r="K15" s="38" t="s">
        <v>5864</v>
      </c>
      <c r="L15" s="38" t="s">
        <v>5869</v>
      </c>
      <c r="M15" s="34">
        <v>29900</v>
      </c>
      <c r="N15" s="50" t="s">
        <v>2569</v>
      </c>
      <c r="O15" s="34" t="s">
        <v>2577</v>
      </c>
      <c r="P15" s="50" t="s">
        <v>2569</v>
      </c>
    </row>
    <row r="16" spans="1:16" x14ac:dyDescent="0.35">
      <c r="A16" s="32" t="str">
        <f t="shared" si="1"/>
        <v>2025 JUL-SEPT B1G1 - 3287</v>
      </c>
      <c r="B16" s="33">
        <f t="shared" si="0"/>
        <v>46121</v>
      </c>
      <c r="C16" s="33">
        <f t="shared" si="0"/>
        <v>46127</v>
      </c>
      <c r="D16" s="32">
        <v>3287</v>
      </c>
      <c r="E16" s="32">
        <v>338</v>
      </c>
      <c r="F16" s="32">
        <v>4</v>
      </c>
      <c r="G16" s="32">
        <v>7</v>
      </c>
      <c r="H16" s="32">
        <v>81827</v>
      </c>
      <c r="I16" s="32" t="s">
        <v>17</v>
      </c>
      <c r="J16" s="32">
        <v>54921245</v>
      </c>
      <c r="K16" s="38" t="s">
        <v>5866</v>
      </c>
      <c r="L16" s="38" t="s">
        <v>5871</v>
      </c>
      <c r="M16" s="34">
        <v>29900</v>
      </c>
      <c r="N16" s="50" t="s">
        <v>2569</v>
      </c>
      <c r="O16" s="34" t="s">
        <v>2577</v>
      </c>
      <c r="P16" s="50" t="s">
        <v>2569</v>
      </c>
    </row>
    <row r="17" spans="1:16" x14ac:dyDescent="0.35">
      <c r="A17" s="32" t="str">
        <f t="shared" si="1"/>
        <v>2025 JUL-SEPT B1G1 - 3287</v>
      </c>
      <c r="B17" s="33">
        <f t="shared" si="0"/>
        <v>46121</v>
      </c>
      <c r="C17" s="33">
        <f t="shared" si="0"/>
        <v>46127</v>
      </c>
      <c r="D17" s="32">
        <v>3287</v>
      </c>
      <c r="E17" s="32">
        <v>338</v>
      </c>
      <c r="F17" s="32">
        <v>4</v>
      </c>
      <c r="G17" s="32">
        <v>7</v>
      </c>
      <c r="H17" s="32">
        <v>81827</v>
      </c>
      <c r="I17" s="32" t="s">
        <v>17</v>
      </c>
      <c r="J17" s="32">
        <v>54921254</v>
      </c>
      <c r="K17" s="38" t="s">
        <v>5866</v>
      </c>
      <c r="L17" s="38" t="s">
        <v>5867</v>
      </c>
      <c r="M17" s="34">
        <v>29900</v>
      </c>
      <c r="N17" s="50" t="s">
        <v>2569</v>
      </c>
      <c r="O17" s="34" t="s">
        <v>2577</v>
      </c>
      <c r="P17" s="50" t="s">
        <v>2569</v>
      </c>
    </row>
    <row r="18" spans="1:16" x14ac:dyDescent="0.35">
      <c r="A18" s="32" t="str">
        <f t="shared" si="1"/>
        <v>2025 JUL-SEPT B1G1 - 3287</v>
      </c>
      <c r="B18" s="33">
        <f t="shared" si="0"/>
        <v>46121</v>
      </c>
      <c r="C18" s="33">
        <f t="shared" si="0"/>
        <v>46127</v>
      </c>
      <c r="D18" s="32">
        <v>3287</v>
      </c>
      <c r="E18" s="32">
        <v>338</v>
      </c>
      <c r="F18" s="32">
        <v>4</v>
      </c>
      <c r="G18" s="32">
        <v>7</v>
      </c>
      <c r="H18" s="32">
        <v>81827</v>
      </c>
      <c r="I18" s="32" t="s">
        <v>17</v>
      </c>
      <c r="J18" s="32">
        <v>54921263</v>
      </c>
      <c r="K18" s="38" t="s">
        <v>5861</v>
      </c>
      <c r="L18" s="38" t="s">
        <v>5863</v>
      </c>
      <c r="M18" s="34">
        <v>29900</v>
      </c>
      <c r="N18" s="50" t="s">
        <v>2569</v>
      </c>
      <c r="O18" s="34" t="s">
        <v>2577</v>
      </c>
      <c r="P18" s="50" t="s">
        <v>2569</v>
      </c>
    </row>
    <row r="19" spans="1:16" x14ac:dyDescent="0.35">
      <c r="A19" s="32" t="str">
        <f t="shared" si="1"/>
        <v>2025 JUL-SEPT B1G1 - 3287</v>
      </c>
      <c r="B19" s="33">
        <f t="shared" si="0"/>
        <v>46121</v>
      </c>
      <c r="C19" s="33">
        <f t="shared" si="0"/>
        <v>46127</v>
      </c>
      <c r="D19" s="32">
        <v>3287</v>
      </c>
      <c r="E19" s="32">
        <v>338</v>
      </c>
      <c r="F19" s="32">
        <v>4</v>
      </c>
      <c r="G19" s="32">
        <v>7</v>
      </c>
      <c r="H19" s="32">
        <v>81827</v>
      </c>
      <c r="I19" s="32" t="s">
        <v>17</v>
      </c>
      <c r="J19" s="32">
        <v>54921272</v>
      </c>
      <c r="K19" s="38" t="s">
        <v>5861</v>
      </c>
      <c r="L19" s="38" t="s">
        <v>5870</v>
      </c>
      <c r="M19" s="34">
        <v>29900</v>
      </c>
      <c r="N19" s="50" t="s">
        <v>2569</v>
      </c>
      <c r="O19" s="34" t="s">
        <v>2577</v>
      </c>
      <c r="P19" s="50" t="s">
        <v>2569</v>
      </c>
    </row>
    <row r="20" spans="1:16" x14ac:dyDescent="0.35">
      <c r="A20" s="32" t="str">
        <f t="shared" si="1"/>
        <v>2025 JUL-SEPT B1G1 - 3287</v>
      </c>
      <c r="B20" s="33">
        <f t="shared" ref="B20:C22" si="2">B19</f>
        <v>46121</v>
      </c>
      <c r="C20" s="33">
        <f t="shared" si="2"/>
        <v>46127</v>
      </c>
      <c r="D20" s="32">
        <v>3287</v>
      </c>
      <c r="E20" s="32">
        <v>338</v>
      </c>
      <c r="F20" s="32">
        <v>4</v>
      </c>
      <c r="G20" s="32">
        <v>7</v>
      </c>
      <c r="H20" s="32">
        <v>81827</v>
      </c>
      <c r="I20" s="32" t="s">
        <v>17</v>
      </c>
      <c r="J20" s="32">
        <v>54949163</v>
      </c>
      <c r="K20" s="38" t="s">
        <v>5864</v>
      </c>
      <c r="L20" s="38" t="s">
        <v>5865</v>
      </c>
      <c r="M20" s="34">
        <v>29900</v>
      </c>
      <c r="N20" s="50" t="s">
        <v>2569</v>
      </c>
      <c r="O20" s="34" t="s">
        <v>2577</v>
      </c>
      <c r="P20" s="50" t="s">
        <v>2569</v>
      </c>
    </row>
    <row r="21" spans="1:16" x14ac:dyDescent="0.35">
      <c r="A21" s="32" t="str">
        <f t="shared" si="1"/>
        <v>2025 JUL-SEPT B1G1 - 3287</v>
      </c>
      <c r="B21" s="33">
        <f t="shared" si="2"/>
        <v>46121</v>
      </c>
      <c r="C21" s="33">
        <f t="shared" si="2"/>
        <v>46127</v>
      </c>
      <c r="D21" s="32">
        <v>3287</v>
      </c>
      <c r="E21" s="32">
        <v>338</v>
      </c>
      <c r="F21" s="32">
        <v>4</v>
      </c>
      <c r="G21" s="32">
        <v>7</v>
      </c>
      <c r="H21" s="32">
        <v>81827</v>
      </c>
      <c r="I21" s="32" t="s">
        <v>17</v>
      </c>
      <c r="J21" s="32">
        <v>54949172</v>
      </c>
      <c r="K21" s="38" t="s">
        <v>5866</v>
      </c>
      <c r="L21" s="38" t="s">
        <v>5868</v>
      </c>
      <c r="M21" s="34">
        <v>29900</v>
      </c>
      <c r="N21" s="50" t="s">
        <v>2569</v>
      </c>
      <c r="O21" s="34" t="s">
        <v>2577</v>
      </c>
      <c r="P21" s="50" t="s">
        <v>2569</v>
      </c>
    </row>
    <row r="22" spans="1:16" x14ac:dyDescent="0.35">
      <c r="A22" s="32" t="str">
        <f t="shared" si="1"/>
        <v>2025 JUL-SEPT B1G1 - 3287</v>
      </c>
      <c r="B22" s="33">
        <f t="shared" si="2"/>
        <v>46121</v>
      </c>
      <c r="C22" s="33">
        <f t="shared" si="2"/>
        <v>46127</v>
      </c>
      <c r="D22" s="32">
        <v>3287</v>
      </c>
      <c r="E22" s="32">
        <v>338</v>
      </c>
      <c r="F22" s="32">
        <v>4</v>
      </c>
      <c r="G22" s="32">
        <v>7</v>
      </c>
      <c r="H22" s="32">
        <v>81827</v>
      </c>
      <c r="I22" s="32" t="s">
        <v>17</v>
      </c>
      <c r="J22" s="32">
        <v>54949181</v>
      </c>
      <c r="K22" s="38" t="s">
        <v>5861</v>
      </c>
      <c r="L22" s="38" t="s">
        <v>5862</v>
      </c>
      <c r="M22" s="34">
        <v>29900</v>
      </c>
      <c r="N22" s="50" t="s">
        <v>2569</v>
      </c>
      <c r="O22" s="34" t="s">
        <v>2577</v>
      </c>
      <c r="P22" s="50" t="s">
        <v>2569</v>
      </c>
    </row>
    <row r="23" spans="1:16" x14ac:dyDescent="0.35">
      <c r="A23" s="32" t="str">
        <f t="shared" si="1"/>
        <v>2025 JUL-SEPT B1G1 - 3287</v>
      </c>
      <c r="B23" s="33">
        <f t="shared" ref="B23:C23" si="3">B22</f>
        <v>46121</v>
      </c>
      <c r="C23" s="33">
        <f t="shared" si="3"/>
        <v>46127</v>
      </c>
      <c r="D23" s="32">
        <v>3287</v>
      </c>
      <c r="E23" s="32">
        <v>338</v>
      </c>
      <c r="F23" s="32">
        <v>4</v>
      </c>
      <c r="G23" s="23">
        <v>10</v>
      </c>
      <c r="H23" s="23">
        <v>81533</v>
      </c>
      <c r="I23" s="32" t="s">
        <v>17</v>
      </c>
      <c r="J23" s="22">
        <v>55253895</v>
      </c>
      <c r="K23" s="22" t="s">
        <v>5887</v>
      </c>
      <c r="L23" s="22" t="s">
        <v>5889</v>
      </c>
      <c r="M23" s="24">
        <v>29900</v>
      </c>
      <c r="N23" s="20" t="s">
        <v>2569</v>
      </c>
      <c r="O23" s="32" t="s">
        <v>2577</v>
      </c>
      <c r="P23" s="20" t="s">
        <v>2569</v>
      </c>
    </row>
    <row r="24" spans="1:16" x14ac:dyDescent="0.35">
      <c r="A24" s="32" t="str">
        <f t="shared" si="1"/>
        <v>2025 JUL-SEPT B1G1 - 3287</v>
      </c>
      <c r="B24" s="33">
        <f t="shared" ref="B24:C24" si="4">B23</f>
        <v>46121</v>
      </c>
      <c r="C24" s="33">
        <f t="shared" si="4"/>
        <v>46127</v>
      </c>
      <c r="D24" s="32">
        <v>3287</v>
      </c>
      <c r="E24" s="32">
        <v>338</v>
      </c>
      <c r="F24" s="32">
        <v>4</v>
      </c>
      <c r="G24" s="23">
        <v>10</v>
      </c>
      <c r="H24" s="23">
        <v>81533</v>
      </c>
      <c r="I24" s="32" t="s">
        <v>17</v>
      </c>
      <c r="J24" s="22">
        <v>55253902</v>
      </c>
      <c r="K24" s="22" t="s">
        <v>5887</v>
      </c>
      <c r="L24" s="22" t="s">
        <v>5888</v>
      </c>
      <c r="M24" s="24">
        <v>29900</v>
      </c>
      <c r="N24" s="20" t="s">
        <v>2569</v>
      </c>
      <c r="O24" s="32" t="str">
        <f t="shared" ref="O24:O55" si="5">O23</f>
        <v>B1G1</v>
      </c>
      <c r="P24" s="20" t="s">
        <v>2569</v>
      </c>
    </row>
    <row r="25" spans="1:16" x14ac:dyDescent="0.35">
      <c r="A25" s="32" t="str">
        <f t="shared" si="1"/>
        <v>2025 JUL-SEPT B1G1 - 3287</v>
      </c>
      <c r="B25" s="33">
        <f t="shared" ref="B25:C25" si="6">B24</f>
        <v>46121</v>
      </c>
      <c r="C25" s="33">
        <f t="shared" si="6"/>
        <v>46127</v>
      </c>
      <c r="D25" s="32">
        <v>3287</v>
      </c>
      <c r="E25" s="32">
        <v>338</v>
      </c>
      <c r="F25" s="32">
        <v>4</v>
      </c>
      <c r="G25" s="23">
        <v>10</v>
      </c>
      <c r="H25" s="23">
        <v>81533</v>
      </c>
      <c r="I25" s="32" t="s">
        <v>17</v>
      </c>
      <c r="J25" s="22">
        <v>55253911</v>
      </c>
      <c r="K25" s="22" t="s">
        <v>5887</v>
      </c>
      <c r="L25" s="22" t="s">
        <v>5890</v>
      </c>
      <c r="M25" s="24">
        <v>29900</v>
      </c>
      <c r="N25" s="20" t="s">
        <v>2569</v>
      </c>
      <c r="O25" s="32" t="str">
        <f t="shared" si="5"/>
        <v>B1G1</v>
      </c>
      <c r="P25" s="20" t="s">
        <v>2569</v>
      </c>
    </row>
    <row r="26" spans="1:16" x14ac:dyDescent="0.35">
      <c r="A26" s="32" t="str">
        <f t="shared" si="1"/>
        <v>2025 JUL-SEPT B1G1 - 3287</v>
      </c>
      <c r="B26" s="33">
        <f t="shared" ref="B26:C26" si="7">B25</f>
        <v>46121</v>
      </c>
      <c r="C26" s="33">
        <f t="shared" si="7"/>
        <v>46127</v>
      </c>
      <c r="D26" s="32">
        <v>3287</v>
      </c>
      <c r="E26" s="32">
        <v>338</v>
      </c>
      <c r="F26" s="32">
        <v>4</v>
      </c>
      <c r="G26" s="23">
        <v>1</v>
      </c>
      <c r="H26" s="23">
        <v>81679</v>
      </c>
      <c r="I26" s="32" t="s">
        <v>17</v>
      </c>
      <c r="J26" s="22">
        <v>55253715</v>
      </c>
      <c r="K26" s="22" t="s">
        <v>5873</v>
      </c>
      <c r="L26" s="22" t="s">
        <v>5876</v>
      </c>
      <c r="M26" s="24">
        <v>89900</v>
      </c>
      <c r="N26" s="20" t="s">
        <v>2569</v>
      </c>
      <c r="O26" s="32" t="str">
        <f t="shared" si="5"/>
        <v>B1G1</v>
      </c>
      <c r="P26" s="20" t="s">
        <v>2569</v>
      </c>
    </row>
    <row r="27" spans="1:16" x14ac:dyDescent="0.35">
      <c r="A27" s="32" t="str">
        <f t="shared" si="1"/>
        <v>2025 JUL-SEPT B1G1 - 3287</v>
      </c>
      <c r="B27" s="33">
        <f t="shared" ref="B27:C27" si="8">B26</f>
        <v>46121</v>
      </c>
      <c r="C27" s="33">
        <f t="shared" si="8"/>
        <v>46127</v>
      </c>
      <c r="D27" s="32">
        <v>3287</v>
      </c>
      <c r="E27" s="32">
        <v>338</v>
      </c>
      <c r="F27" s="32">
        <v>4</v>
      </c>
      <c r="G27" s="23">
        <v>1</v>
      </c>
      <c r="H27" s="23">
        <v>81679</v>
      </c>
      <c r="I27" s="32" t="s">
        <v>17</v>
      </c>
      <c r="J27" s="22">
        <v>55253724</v>
      </c>
      <c r="K27" s="22" t="s">
        <v>5873</v>
      </c>
      <c r="L27" s="22" t="s">
        <v>5875</v>
      </c>
      <c r="M27" s="24">
        <v>89900</v>
      </c>
      <c r="N27" s="20" t="s">
        <v>2569</v>
      </c>
      <c r="O27" s="32" t="str">
        <f t="shared" si="5"/>
        <v>B1G1</v>
      </c>
      <c r="P27" s="20" t="s">
        <v>2569</v>
      </c>
    </row>
    <row r="28" spans="1:16" x14ac:dyDescent="0.35">
      <c r="A28" s="32" t="str">
        <f t="shared" si="1"/>
        <v>2025 JUL-SEPT B1G1 - 3287</v>
      </c>
      <c r="B28" s="33">
        <f t="shared" ref="B28:C28" si="9">B27</f>
        <v>46121</v>
      </c>
      <c r="C28" s="33">
        <f t="shared" si="9"/>
        <v>46127</v>
      </c>
      <c r="D28" s="32">
        <v>3287</v>
      </c>
      <c r="E28" s="32">
        <v>338</v>
      </c>
      <c r="F28" s="32">
        <v>4</v>
      </c>
      <c r="G28" s="23">
        <v>1</v>
      </c>
      <c r="H28" s="23">
        <v>81679</v>
      </c>
      <c r="I28" s="32" t="s">
        <v>17</v>
      </c>
      <c r="J28" s="22">
        <v>55253733</v>
      </c>
      <c r="K28" s="22" t="s">
        <v>5873</v>
      </c>
      <c r="L28" s="22" t="s">
        <v>5877</v>
      </c>
      <c r="M28" s="24">
        <v>89900</v>
      </c>
      <c r="N28" s="20" t="s">
        <v>2569</v>
      </c>
      <c r="O28" s="32" t="str">
        <f t="shared" si="5"/>
        <v>B1G1</v>
      </c>
      <c r="P28" s="20" t="s">
        <v>2569</v>
      </c>
    </row>
    <row r="29" spans="1:16" x14ac:dyDescent="0.35">
      <c r="A29" s="32" t="str">
        <f t="shared" si="1"/>
        <v>2025 JUL-SEPT B1G1 - 3287</v>
      </c>
      <c r="B29" s="33">
        <f t="shared" ref="B29:C29" si="10">B28</f>
        <v>46121</v>
      </c>
      <c r="C29" s="33">
        <f t="shared" si="10"/>
        <v>46127</v>
      </c>
      <c r="D29" s="32">
        <v>3287</v>
      </c>
      <c r="E29" s="32">
        <v>338</v>
      </c>
      <c r="F29" s="32">
        <v>4</v>
      </c>
      <c r="G29" s="23">
        <v>1</v>
      </c>
      <c r="H29" s="23">
        <v>81679</v>
      </c>
      <c r="I29" s="32" t="s">
        <v>17</v>
      </c>
      <c r="J29" s="22">
        <v>55253742</v>
      </c>
      <c r="K29" s="22" t="s">
        <v>5873</v>
      </c>
      <c r="L29" s="22" t="s">
        <v>5874</v>
      </c>
      <c r="M29" s="24">
        <v>89900</v>
      </c>
      <c r="N29" s="20" t="s">
        <v>2569</v>
      </c>
      <c r="O29" s="32" t="str">
        <f t="shared" si="5"/>
        <v>B1G1</v>
      </c>
      <c r="P29" s="20" t="s">
        <v>2569</v>
      </c>
    </row>
    <row r="30" spans="1:16" x14ac:dyDescent="0.35">
      <c r="A30" s="32" t="str">
        <f t="shared" si="1"/>
        <v>2025 JUL-SEPT B1G1 - 3287</v>
      </c>
      <c r="B30" s="33">
        <f t="shared" ref="B30:C30" si="11">B29</f>
        <v>46121</v>
      </c>
      <c r="C30" s="33">
        <f t="shared" si="11"/>
        <v>46127</v>
      </c>
      <c r="D30" s="32">
        <v>3287</v>
      </c>
      <c r="E30" s="32">
        <v>338</v>
      </c>
      <c r="F30" s="32">
        <v>4</v>
      </c>
      <c r="G30" s="23">
        <v>4</v>
      </c>
      <c r="H30" s="23">
        <v>81679</v>
      </c>
      <c r="I30" s="32" t="s">
        <v>17</v>
      </c>
      <c r="J30" s="22">
        <v>55253751</v>
      </c>
      <c r="K30" s="22" t="s">
        <v>5878</v>
      </c>
      <c r="L30" s="22" t="s">
        <v>5880</v>
      </c>
      <c r="M30" s="24">
        <v>149900</v>
      </c>
      <c r="N30" s="20" t="s">
        <v>2569</v>
      </c>
      <c r="O30" s="32" t="str">
        <f t="shared" si="5"/>
        <v>B1G1</v>
      </c>
      <c r="P30" s="20" t="s">
        <v>2569</v>
      </c>
    </row>
    <row r="31" spans="1:16" x14ac:dyDescent="0.35">
      <c r="A31" s="32" t="str">
        <f t="shared" si="1"/>
        <v>2025 JUL-SEPT B1G1 - 3287</v>
      </c>
      <c r="B31" s="33">
        <f t="shared" ref="B31:C31" si="12">B30</f>
        <v>46121</v>
      </c>
      <c r="C31" s="33">
        <f t="shared" si="12"/>
        <v>46127</v>
      </c>
      <c r="D31" s="32">
        <v>3287</v>
      </c>
      <c r="E31" s="32">
        <v>338</v>
      </c>
      <c r="F31" s="32">
        <v>4</v>
      </c>
      <c r="G31" s="23">
        <v>4</v>
      </c>
      <c r="H31" s="23">
        <v>81679</v>
      </c>
      <c r="I31" s="32" t="s">
        <v>17</v>
      </c>
      <c r="J31" s="22">
        <v>55253760</v>
      </c>
      <c r="K31" s="22" t="s">
        <v>5878</v>
      </c>
      <c r="L31" s="22" t="s">
        <v>5883</v>
      </c>
      <c r="M31" s="24">
        <v>149900</v>
      </c>
      <c r="N31" s="20" t="s">
        <v>2569</v>
      </c>
      <c r="O31" s="32" t="str">
        <f t="shared" si="5"/>
        <v>B1G1</v>
      </c>
      <c r="P31" s="20" t="s">
        <v>2569</v>
      </c>
    </row>
    <row r="32" spans="1:16" x14ac:dyDescent="0.35">
      <c r="A32" s="32" t="str">
        <f t="shared" si="1"/>
        <v>2025 JUL-SEPT B1G1 - 3287</v>
      </c>
      <c r="B32" s="33">
        <f t="shared" ref="B32:C32" si="13">B31</f>
        <v>46121</v>
      </c>
      <c r="C32" s="33">
        <f t="shared" si="13"/>
        <v>46127</v>
      </c>
      <c r="D32" s="32">
        <v>3287</v>
      </c>
      <c r="E32" s="32">
        <v>338</v>
      </c>
      <c r="F32" s="32">
        <v>4</v>
      </c>
      <c r="G32" s="23">
        <v>4</v>
      </c>
      <c r="H32" s="23">
        <v>81679</v>
      </c>
      <c r="I32" s="32" t="s">
        <v>17</v>
      </c>
      <c r="J32" s="22">
        <v>55253779</v>
      </c>
      <c r="K32" s="22" t="s">
        <v>5878</v>
      </c>
      <c r="L32" s="22" t="s">
        <v>5885</v>
      </c>
      <c r="M32" s="24">
        <v>149900</v>
      </c>
      <c r="N32" s="20" t="s">
        <v>2569</v>
      </c>
      <c r="O32" s="32" t="str">
        <f t="shared" si="5"/>
        <v>B1G1</v>
      </c>
      <c r="P32" s="20" t="s">
        <v>2569</v>
      </c>
    </row>
    <row r="33" spans="1:16" x14ac:dyDescent="0.35">
      <c r="A33" s="32" t="str">
        <f t="shared" si="1"/>
        <v>2025 JUL-SEPT B1G1 - 3287</v>
      </c>
      <c r="B33" s="33">
        <f t="shared" ref="B33:C33" si="14">B32</f>
        <v>46121</v>
      </c>
      <c r="C33" s="33">
        <f t="shared" si="14"/>
        <v>46127</v>
      </c>
      <c r="D33" s="32">
        <v>3287</v>
      </c>
      <c r="E33" s="32">
        <v>338</v>
      </c>
      <c r="F33" s="32">
        <v>4</v>
      </c>
      <c r="G33" s="23">
        <v>4</v>
      </c>
      <c r="H33" s="23">
        <v>81679</v>
      </c>
      <c r="I33" s="32" t="s">
        <v>17</v>
      </c>
      <c r="J33" s="22">
        <v>55253788</v>
      </c>
      <c r="K33" s="22" t="s">
        <v>5878</v>
      </c>
      <c r="L33" s="22" t="s">
        <v>5881</v>
      </c>
      <c r="M33" s="24">
        <v>149900</v>
      </c>
      <c r="N33" s="20" t="s">
        <v>2569</v>
      </c>
      <c r="O33" s="32" t="str">
        <f t="shared" si="5"/>
        <v>B1G1</v>
      </c>
      <c r="P33" s="20" t="s">
        <v>2569</v>
      </c>
    </row>
    <row r="34" spans="1:16" x14ac:dyDescent="0.35">
      <c r="A34" s="32" t="str">
        <f t="shared" si="1"/>
        <v>2025 JUL-SEPT B1G1 - 3287</v>
      </c>
      <c r="B34" s="33">
        <f t="shared" ref="B34:C34" si="15">B33</f>
        <v>46121</v>
      </c>
      <c r="C34" s="33">
        <f t="shared" si="15"/>
        <v>46127</v>
      </c>
      <c r="D34" s="32">
        <v>3287</v>
      </c>
      <c r="E34" s="32">
        <v>338</v>
      </c>
      <c r="F34" s="32">
        <v>4</v>
      </c>
      <c r="G34" s="23">
        <v>4</v>
      </c>
      <c r="H34" s="23">
        <v>81679</v>
      </c>
      <c r="I34" s="32" t="s">
        <v>17</v>
      </c>
      <c r="J34" s="22">
        <v>55253797</v>
      </c>
      <c r="K34" s="22" t="s">
        <v>5878</v>
      </c>
      <c r="L34" s="22" t="s">
        <v>5879</v>
      </c>
      <c r="M34" s="24">
        <v>149900</v>
      </c>
      <c r="N34" s="20" t="s">
        <v>2569</v>
      </c>
      <c r="O34" s="32" t="str">
        <f t="shared" si="5"/>
        <v>B1G1</v>
      </c>
      <c r="P34" s="20" t="s">
        <v>2569</v>
      </c>
    </row>
    <row r="35" spans="1:16" x14ac:dyDescent="0.35">
      <c r="A35" s="32" t="str">
        <f t="shared" si="1"/>
        <v>2025 JUL-SEPT B1G1 - 3287</v>
      </c>
      <c r="B35" s="33">
        <f t="shared" ref="B35:C35" si="16">B34</f>
        <v>46121</v>
      </c>
      <c r="C35" s="33">
        <f t="shared" si="16"/>
        <v>46127</v>
      </c>
      <c r="D35" s="32">
        <v>3287</v>
      </c>
      <c r="E35" s="32">
        <v>338</v>
      </c>
      <c r="F35" s="32">
        <v>4</v>
      </c>
      <c r="G35" s="23">
        <v>4</v>
      </c>
      <c r="H35" s="23">
        <v>81679</v>
      </c>
      <c r="I35" s="32" t="s">
        <v>17</v>
      </c>
      <c r="J35" s="22">
        <v>55253804</v>
      </c>
      <c r="K35" s="22" t="s">
        <v>5878</v>
      </c>
      <c r="L35" s="22" t="s">
        <v>5886</v>
      </c>
      <c r="M35" s="24">
        <v>149900</v>
      </c>
      <c r="N35" s="20" t="s">
        <v>2569</v>
      </c>
      <c r="O35" s="32" t="str">
        <f t="shared" si="5"/>
        <v>B1G1</v>
      </c>
      <c r="P35" s="20" t="s">
        <v>2569</v>
      </c>
    </row>
    <row r="36" spans="1:16" x14ac:dyDescent="0.35">
      <c r="A36" s="32" t="str">
        <f t="shared" si="1"/>
        <v>2025 JUL-SEPT B1G1 - 3287</v>
      </c>
      <c r="B36" s="33">
        <f t="shared" ref="B36:C36" si="17">B35</f>
        <v>46121</v>
      </c>
      <c r="C36" s="33">
        <f t="shared" si="17"/>
        <v>46127</v>
      </c>
      <c r="D36" s="32">
        <v>3287</v>
      </c>
      <c r="E36" s="32">
        <v>338</v>
      </c>
      <c r="F36" s="32">
        <v>4</v>
      </c>
      <c r="G36" s="23">
        <v>4</v>
      </c>
      <c r="H36" s="23">
        <v>81679</v>
      </c>
      <c r="I36" s="32" t="s">
        <v>17</v>
      </c>
      <c r="J36" s="22">
        <v>55253813</v>
      </c>
      <c r="K36" s="22" t="s">
        <v>5878</v>
      </c>
      <c r="L36" s="22" t="s">
        <v>5884</v>
      </c>
      <c r="M36" s="24">
        <v>149900</v>
      </c>
      <c r="N36" s="20" t="s">
        <v>2569</v>
      </c>
      <c r="O36" s="32" t="str">
        <f t="shared" si="5"/>
        <v>B1G1</v>
      </c>
      <c r="P36" s="20" t="s">
        <v>2569</v>
      </c>
    </row>
    <row r="37" spans="1:16" x14ac:dyDescent="0.35">
      <c r="A37" s="32" t="str">
        <f t="shared" si="1"/>
        <v>2025 JUL-SEPT B1G1 - 3287</v>
      </c>
      <c r="B37" s="33">
        <f t="shared" ref="B37:C37" si="18">B36</f>
        <v>46121</v>
      </c>
      <c r="C37" s="33">
        <f t="shared" si="18"/>
        <v>46127</v>
      </c>
      <c r="D37" s="32">
        <v>3287</v>
      </c>
      <c r="E37" s="32">
        <v>338</v>
      </c>
      <c r="F37" s="32">
        <v>4</v>
      </c>
      <c r="G37" s="23">
        <v>4</v>
      </c>
      <c r="H37" s="23">
        <v>81679</v>
      </c>
      <c r="I37" s="32" t="s">
        <v>17</v>
      </c>
      <c r="J37" s="22">
        <v>55253822</v>
      </c>
      <c r="K37" s="22" t="s">
        <v>5878</v>
      </c>
      <c r="L37" s="22" t="s">
        <v>5882</v>
      </c>
      <c r="M37" s="24">
        <v>149900</v>
      </c>
      <c r="N37" s="20" t="s">
        <v>2569</v>
      </c>
      <c r="O37" s="32" t="str">
        <f t="shared" si="5"/>
        <v>B1G1</v>
      </c>
      <c r="P37" s="20" t="s">
        <v>2569</v>
      </c>
    </row>
    <row r="38" spans="1:16" x14ac:dyDescent="0.35">
      <c r="A38" s="32" t="str">
        <f t="shared" si="1"/>
        <v>2025 JUL-SEPT B1G1 - 3287</v>
      </c>
      <c r="B38" s="33">
        <f t="shared" ref="B38:C38" si="19">B37</f>
        <v>46121</v>
      </c>
      <c r="C38" s="33">
        <f t="shared" si="19"/>
        <v>46127</v>
      </c>
      <c r="D38" s="32">
        <v>3287</v>
      </c>
      <c r="E38" s="32">
        <v>338</v>
      </c>
      <c r="F38" s="32">
        <v>4</v>
      </c>
      <c r="G38" s="23">
        <v>8</v>
      </c>
      <c r="H38" s="23">
        <v>81679</v>
      </c>
      <c r="I38" s="32" t="s">
        <v>17</v>
      </c>
      <c r="J38" s="22">
        <v>55516155</v>
      </c>
      <c r="K38" s="22" t="s">
        <v>5891</v>
      </c>
      <c r="L38" s="22" t="s">
        <v>5895</v>
      </c>
      <c r="M38" s="24">
        <v>89900</v>
      </c>
      <c r="N38" s="20" t="s">
        <v>2569</v>
      </c>
      <c r="O38" s="32" t="str">
        <f t="shared" si="5"/>
        <v>B1G1</v>
      </c>
      <c r="P38" s="20" t="s">
        <v>2569</v>
      </c>
    </row>
    <row r="39" spans="1:16" x14ac:dyDescent="0.35">
      <c r="A39" s="32" t="str">
        <f t="shared" si="1"/>
        <v>2025 JUL-SEPT B1G1 - 3287</v>
      </c>
      <c r="B39" s="33">
        <f t="shared" ref="B39:C39" si="20">B38</f>
        <v>46121</v>
      </c>
      <c r="C39" s="33">
        <f t="shared" si="20"/>
        <v>46127</v>
      </c>
      <c r="D39" s="32">
        <v>3287</v>
      </c>
      <c r="E39" s="32">
        <v>338</v>
      </c>
      <c r="F39" s="32">
        <v>4</v>
      </c>
      <c r="G39" s="23">
        <v>8</v>
      </c>
      <c r="H39" s="23">
        <v>81679</v>
      </c>
      <c r="I39" s="32" t="s">
        <v>17</v>
      </c>
      <c r="J39" s="22">
        <v>55516164</v>
      </c>
      <c r="K39" s="22" t="s">
        <v>5891</v>
      </c>
      <c r="L39" s="22" t="s">
        <v>5892</v>
      </c>
      <c r="M39" s="24">
        <v>89900</v>
      </c>
      <c r="N39" s="20" t="s">
        <v>2569</v>
      </c>
      <c r="O39" s="32" t="str">
        <f t="shared" si="5"/>
        <v>B1G1</v>
      </c>
      <c r="P39" s="20" t="s">
        <v>2569</v>
      </c>
    </row>
    <row r="40" spans="1:16" x14ac:dyDescent="0.35">
      <c r="A40" s="32" t="str">
        <f t="shared" si="1"/>
        <v>2025 JUL-SEPT B1G1 - 3287</v>
      </c>
      <c r="B40" s="33">
        <f t="shared" ref="B40:C40" si="21">B39</f>
        <v>46121</v>
      </c>
      <c r="C40" s="33">
        <f t="shared" si="21"/>
        <v>46127</v>
      </c>
      <c r="D40" s="32">
        <v>3287</v>
      </c>
      <c r="E40" s="32">
        <v>338</v>
      </c>
      <c r="F40" s="32">
        <v>4</v>
      </c>
      <c r="G40" s="23">
        <v>8</v>
      </c>
      <c r="H40" s="23">
        <v>81679</v>
      </c>
      <c r="I40" s="32" t="s">
        <v>17</v>
      </c>
      <c r="J40" s="22">
        <v>55516173</v>
      </c>
      <c r="K40" s="22" t="s">
        <v>5891</v>
      </c>
      <c r="L40" s="22" t="s">
        <v>5894</v>
      </c>
      <c r="M40" s="24">
        <v>89900</v>
      </c>
      <c r="N40" s="20" t="s">
        <v>2569</v>
      </c>
      <c r="O40" s="32" t="str">
        <f t="shared" si="5"/>
        <v>B1G1</v>
      </c>
      <c r="P40" s="20" t="s">
        <v>2569</v>
      </c>
    </row>
    <row r="41" spans="1:16" x14ac:dyDescent="0.35">
      <c r="A41" s="32" t="str">
        <f t="shared" si="1"/>
        <v>2025 JUL-SEPT B1G1 - 3287</v>
      </c>
      <c r="B41" s="33">
        <f t="shared" ref="B41:C41" si="22">B40</f>
        <v>46121</v>
      </c>
      <c r="C41" s="33">
        <f t="shared" si="22"/>
        <v>46127</v>
      </c>
      <c r="D41" s="32">
        <v>3287</v>
      </c>
      <c r="E41" s="32">
        <v>338</v>
      </c>
      <c r="F41" s="32">
        <v>4</v>
      </c>
      <c r="G41" s="23">
        <v>8</v>
      </c>
      <c r="H41" s="23">
        <v>81679</v>
      </c>
      <c r="I41" s="32" t="s">
        <v>17</v>
      </c>
      <c r="J41" s="22">
        <v>55516182</v>
      </c>
      <c r="K41" s="22" t="s">
        <v>5891</v>
      </c>
      <c r="L41" s="22" t="s">
        <v>5893</v>
      </c>
      <c r="M41" s="24">
        <v>89900</v>
      </c>
      <c r="N41" s="20" t="s">
        <v>2569</v>
      </c>
      <c r="O41" s="32" t="str">
        <f t="shared" si="5"/>
        <v>B1G1</v>
      </c>
      <c r="P41" s="20" t="s">
        <v>2569</v>
      </c>
    </row>
    <row r="42" spans="1:16" x14ac:dyDescent="0.35">
      <c r="A42" s="32" t="str">
        <f t="shared" si="1"/>
        <v>2025 JUL-SEPT B1G1 - 3287</v>
      </c>
      <c r="B42" s="33">
        <f t="shared" ref="B42:C42" si="23">B41</f>
        <v>46121</v>
      </c>
      <c r="C42" s="33">
        <f t="shared" si="23"/>
        <v>46127</v>
      </c>
      <c r="D42" s="32">
        <v>3287</v>
      </c>
      <c r="E42" s="32">
        <v>338</v>
      </c>
      <c r="F42" s="32">
        <v>4</v>
      </c>
      <c r="G42" s="23">
        <v>10</v>
      </c>
      <c r="H42" s="23">
        <v>81533</v>
      </c>
      <c r="I42" s="32" t="s">
        <v>17</v>
      </c>
      <c r="J42" s="22">
        <v>55516306</v>
      </c>
      <c r="K42" s="22" t="s">
        <v>6089</v>
      </c>
      <c r="L42" s="22" t="s">
        <v>6092</v>
      </c>
      <c r="M42" s="24">
        <v>29900</v>
      </c>
      <c r="N42" s="20" t="s">
        <v>2569</v>
      </c>
      <c r="O42" s="32" t="str">
        <f t="shared" si="5"/>
        <v>B1G1</v>
      </c>
      <c r="P42" s="20" t="s">
        <v>2569</v>
      </c>
    </row>
    <row r="43" spans="1:16" x14ac:dyDescent="0.35">
      <c r="A43" s="32" t="str">
        <f t="shared" si="1"/>
        <v>2025 JUL-SEPT B1G1 - 3287</v>
      </c>
      <c r="B43" s="33">
        <f t="shared" ref="B43:C43" si="24">B42</f>
        <v>46121</v>
      </c>
      <c r="C43" s="33">
        <f t="shared" si="24"/>
        <v>46127</v>
      </c>
      <c r="D43" s="32">
        <v>3287</v>
      </c>
      <c r="E43" s="32">
        <v>338</v>
      </c>
      <c r="F43" s="32">
        <v>4</v>
      </c>
      <c r="G43" s="23">
        <v>10</v>
      </c>
      <c r="H43" s="23">
        <v>81533</v>
      </c>
      <c r="I43" s="32" t="s">
        <v>17</v>
      </c>
      <c r="J43" s="22">
        <v>55516315</v>
      </c>
      <c r="K43" s="22" t="s">
        <v>6089</v>
      </c>
      <c r="L43" s="22" t="s">
        <v>6090</v>
      </c>
      <c r="M43" s="24">
        <v>29900</v>
      </c>
      <c r="N43" s="20" t="s">
        <v>2569</v>
      </c>
      <c r="O43" s="32" t="str">
        <f t="shared" si="5"/>
        <v>B1G1</v>
      </c>
      <c r="P43" s="20" t="s">
        <v>2569</v>
      </c>
    </row>
    <row r="44" spans="1:16" x14ac:dyDescent="0.35">
      <c r="A44" s="32" t="str">
        <f t="shared" si="1"/>
        <v>2025 JUL-SEPT B1G1 - 3287</v>
      </c>
      <c r="B44" s="33">
        <f t="shared" ref="B44:C44" si="25">B43</f>
        <v>46121</v>
      </c>
      <c r="C44" s="33">
        <f t="shared" si="25"/>
        <v>46127</v>
      </c>
      <c r="D44" s="32">
        <v>3287</v>
      </c>
      <c r="E44" s="32">
        <v>338</v>
      </c>
      <c r="F44" s="32">
        <v>4</v>
      </c>
      <c r="G44" s="23">
        <v>10</v>
      </c>
      <c r="H44" s="23">
        <v>81533</v>
      </c>
      <c r="I44" s="32" t="s">
        <v>17</v>
      </c>
      <c r="J44" s="22">
        <v>55516324</v>
      </c>
      <c r="K44" s="22" t="s">
        <v>6089</v>
      </c>
      <c r="L44" s="22" t="s">
        <v>6091</v>
      </c>
      <c r="M44" s="24">
        <v>29900</v>
      </c>
      <c r="N44" s="20" t="s">
        <v>2569</v>
      </c>
      <c r="O44" s="32" t="str">
        <f t="shared" si="5"/>
        <v>B1G1</v>
      </c>
      <c r="P44" s="20" t="s">
        <v>2569</v>
      </c>
    </row>
    <row r="45" spans="1:16" x14ac:dyDescent="0.35">
      <c r="A45" s="32" t="str">
        <f t="shared" si="1"/>
        <v>2025 JUL-SEPT B1G1 - 3287</v>
      </c>
      <c r="B45" s="33">
        <f t="shared" ref="B45:C45" si="26">B44</f>
        <v>46121</v>
      </c>
      <c r="C45" s="33">
        <f t="shared" si="26"/>
        <v>46127</v>
      </c>
      <c r="D45" s="32">
        <v>3287</v>
      </c>
      <c r="E45" s="32">
        <v>338</v>
      </c>
      <c r="F45" s="32">
        <v>4</v>
      </c>
      <c r="G45" s="23">
        <v>10</v>
      </c>
      <c r="H45" s="23">
        <v>81533</v>
      </c>
      <c r="I45" s="32" t="s">
        <v>17</v>
      </c>
      <c r="J45" s="22">
        <v>55516271</v>
      </c>
      <c r="K45" s="22" t="s">
        <v>6085</v>
      </c>
      <c r="L45" s="22" t="s">
        <v>6088</v>
      </c>
      <c r="M45" s="24">
        <v>29900</v>
      </c>
      <c r="N45" s="20" t="s">
        <v>2569</v>
      </c>
      <c r="O45" s="32" t="str">
        <f t="shared" si="5"/>
        <v>B1G1</v>
      </c>
      <c r="P45" s="20" t="s">
        <v>2569</v>
      </c>
    </row>
    <row r="46" spans="1:16" x14ac:dyDescent="0.35">
      <c r="A46" s="32" t="str">
        <f t="shared" si="1"/>
        <v>2025 JUL-SEPT B1G1 - 3287</v>
      </c>
      <c r="B46" s="33">
        <f t="shared" ref="B46:C46" si="27">B45</f>
        <v>46121</v>
      </c>
      <c r="C46" s="33">
        <f t="shared" si="27"/>
        <v>46127</v>
      </c>
      <c r="D46" s="32">
        <v>3287</v>
      </c>
      <c r="E46" s="32">
        <v>338</v>
      </c>
      <c r="F46" s="32">
        <v>4</v>
      </c>
      <c r="G46" s="23">
        <v>10</v>
      </c>
      <c r="H46" s="23">
        <v>81533</v>
      </c>
      <c r="I46" s="32" t="s">
        <v>17</v>
      </c>
      <c r="J46" s="22">
        <v>55516280</v>
      </c>
      <c r="K46" s="22" t="s">
        <v>6085</v>
      </c>
      <c r="L46" s="22" t="s">
        <v>6086</v>
      </c>
      <c r="M46" s="24">
        <v>29900</v>
      </c>
      <c r="N46" s="20" t="s">
        <v>2569</v>
      </c>
      <c r="O46" s="32" t="str">
        <f t="shared" si="5"/>
        <v>B1G1</v>
      </c>
      <c r="P46" s="20" t="s">
        <v>2569</v>
      </c>
    </row>
    <row r="47" spans="1:16" x14ac:dyDescent="0.35">
      <c r="A47" s="32" t="str">
        <f t="shared" si="1"/>
        <v>2025 JUL-SEPT B1G1 - 3287</v>
      </c>
      <c r="B47" s="33">
        <f t="shared" ref="B47:C47" si="28">B46</f>
        <v>46121</v>
      </c>
      <c r="C47" s="33">
        <f t="shared" si="28"/>
        <v>46127</v>
      </c>
      <c r="D47" s="32">
        <v>3287</v>
      </c>
      <c r="E47" s="32">
        <v>338</v>
      </c>
      <c r="F47" s="32">
        <v>4</v>
      </c>
      <c r="G47" s="23">
        <v>10</v>
      </c>
      <c r="H47" s="23">
        <v>81533</v>
      </c>
      <c r="I47" s="32" t="s">
        <v>17</v>
      </c>
      <c r="J47" s="22">
        <v>55516299</v>
      </c>
      <c r="K47" s="22" t="s">
        <v>6085</v>
      </c>
      <c r="L47" s="22" t="s">
        <v>6087</v>
      </c>
      <c r="M47" s="24">
        <v>29900</v>
      </c>
      <c r="N47" s="20" t="s">
        <v>2569</v>
      </c>
      <c r="O47" s="32" t="str">
        <f t="shared" si="5"/>
        <v>B1G1</v>
      </c>
      <c r="P47" s="20" t="s">
        <v>2569</v>
      </c>
    </row>
    <row r="48" spans="1:16" x14ac:dyDescent="0.35">
      <c r="A48" s="32" t="str">
        <f t="shared" si="1"/>
        <v>2025 JUL-SEPT B1G1 - 3287</v>
      </c>
      <c r="B48" s="33">
        <f t="shared" ref="B48:C48" si="29">B47</f>
        <v>46121</v>
      </c>
      <c r="C48" s="33">
        <f t="shared" si="29"/>
        <v>46127</v>
      </c>
      <c r="D48" s="32">
        <v>3287</v>
      </c>
      <c r="E48" s="32">
        <v>338</v>
      </c>
      <c r="F48" s="32">
        <v>4</v>
      </c>
      <c r="G48" s="23">
        <v>8</v>
      </c>
      <c r="H48" s="23">
        <v>81679</v>
      </c>
      <c r="I48" s="32" t="s">
        <v>17</v>
      </c>
      <c r="J48" s="22">
        <v>55516191</v>
      </c>
      <c r="K48" s="22" t="s">
        <v>6080</v>
      </c>
      <c r="L48" s="22" t="s">
        <v>6083</v>
      </c>
      <c r="M48" s="24">
        <v>89900</v>
      </c>
      <c r="N48" s="20" t="s">
        <v>2569</v>
      </c>
      <c r="O48" s="32" t="str">
        <f t="shared" si="5"/>
        <v>B1G1</v>
      </c>
      <c r="P48" s="20" t="s">
        <v>2569</v>
      </c>
    </row>
    <row r="49" spans="1:16" x14ac:dyDescent="0.35">
      <c r="A49" s="32" t="str">
        <f t="shared" si="1"/>
        <v>2025 JUL-SEPT B1G1 - 3287</v>
      </c>
      <c r="B49" s="33">
        <f t="shared" ref="B49:C49" si="30">B48</f>
        <v>46121</v>
      </c>
      <c r="C49" s="33">
        <f t="shared" si="30"/>
        <v>46127</v>
      </c>
      <c r="D49" s="32">
        <v>3287</v>
      </c>
      <c r="E49" s="32">
        <v>338</v>
      </c>
      <c r="F49" s="32">
        <v>4</v>
      </c>
      <c r="G49" s="23">
        <v>8</v>
      </c>
      <c r="H49" s="23">
        <v>81679</v>
      </c>
      <c r="I49" s="32" t="s">
        <v>17</v>
      </c>
      <c r="J49" s="22">
        <v>55516208</v>
      </c>
      <c r="K49" s="22" t="s">
        <v>6080</v>
      </c>
      <c r="L49" s="22" t="s">
        <v>6081</v>
      </c>
      <c r="M49" s="24">
        <v>89900</v>
      </c>
      <c r="N49" s="20" t="s">
        <v>2569</v>
      </c>
      <c r="O49" s="32" t="str">
        <f t="shared" si="5"/>
        <v>B1G1</v>
      </c>
      <c r="P49" s="20" t="s">
        <v>2569</v>
      </c>
    </row>
    <row r="50" spans="1:16" x14ac:dyDescent="0.35">
      <c r="A50" s="32" t="str">
        <f t="shared" si="1"/>
        <v>2025 JUL-SEPT B1G1 - 3287</v>
      </c>
      <c r="B50" s="33">
        <f t="shared" ref="B50:C50" si="31">B49</f>
        <v>46121</v>
      </c>
      <c r="C50" s="33">
        <f t="shared" si="31"/>
        <v>46127</v>
      </c>
      <c r="D50" s="32">
        <v>3287</v>
      </c>
      <c r="E50" s="32">
        <v>338</v>
      </c>
      <c r="F50" s="32">
        <v>4</v>
      </c>
      <c r="G50" s="23">
        <v>8</v>
      </c>
      <c r="H50" s="23">
        <v>81679</v>
      </c>
      <c r="I50" s="32" t="s">
        <v>17</v>
      </c>
      <c r="J50" s="22">
        <v>55516217</v>
      </c>
      <c r="K50" s="22" t="s">
        <v>6080</v>
      </c>
      <c r="L50" s="22" t="s">
        <v>6082</v>
      </c>
      <c r="M50" s="24">
        <v>89900</v>
      </c>
      <c r="N50" s="20" t="s">
        <v>2569</v>
      </c>
      <c r="O50" s="32" t="str">
        <f t="shared" si="5"/>
        <v>B1G1</v>
      </c>
      <c r="P50" s="20" t="s">
        <v>2569</v>
      </c>
    </row>
    <row r="51" spans="1:16" x14ac:dyDescent="0.35">
      <c r="A51" s="32" t="str">
        <f t="shared" si="1"/>
        <v>2025 JUL-SEPT B1G1 - 3287</v>
      </c>
      <c r="B51" s="33">
        <f t="shared" ref="B51:C51" si="32">B50</f>
        <v>46121</v>
      </c>
      <c r="C51" s="33">
        <f t="shared" si="32"/>
        <v>46127</v>
      </c>
      <c r="D51" s="32">
        <v>3287</v>
      </c>
      <c r="E51" s="32">
        <v>338</v>
      </c>
      <c r="F51" s="32">
        <v>4</v>
      </c>
      <c r="G51" s="23">
        <v>8</v>
      </c>
      <c r="H51" s="23">
        <v>81679</v>
      </c>
      <c r="I51" s="32" t="s">
        <v>17</v>
      </c>
      <c r="J51" s="22">
        <v>55516226</v>
      </c>
      <c r="K51" s="22" t="s">
        <v>6080</v>
      </c>
      <c r="L51" s="22" t="s">
        <v>6084</v>
      </c>
      <c r="M51" s="24">
        <v>89900</v>
      </c>
      <c r="N51" s="20" t="s">
        <v>2569</v>
      </c>
      <c r="O51" s="32" t="str">
        <f t="shared" si="5"/>
        <v>B1G1</v>
      </c>
      <c r="P51" s="20" t="s">
        <v>2569</v>
      </c>
    </row>
    <row r="52" spans="1:16" x14ac:dyDescent="0.35">
      <c r="A52" s="32" t="str">
        <f t="shared" si="1"/>
        <v>2025 JUL-SEPT B1G1 - 3287</v>
      </c>
      <c r="B52" s="33">
        <f t="shared" ref="B52:C52" si="33">B51</f>
        <v>46121</v>
      </c>
      <c r="C52" s="33">
        <f t="shared" si="33"/>
        <v>46127</v>
      </c>
      <c r="D52" s="32">
        <v>3287</v>
      </c>
      <c r="E52" s="32">
        <v>338</v>
      </c>
      <c r="F52" s="32">
        <v>4</v>
      </c>
      <c r="G52" s="23">
        <v>8</v>
      </c>
      <c r="H52" s="23">
        <v>81679</v>
      </c>
      <c r="I52" s="32" t="s">
        <v>17</v>
      </c>
      <c r="J52" s="22">
        <v>55516235</v>
      </c>
      <c r="K52" s="22" t="s">
        <v>6141</v>
      </c>
      <c r="L52" s="22" t="s">
        <v>6145</v>
      </c>
      <c r="M52" s="24">
        <v>89900</v>
      </c>
      <c r="N52" s="20" t="s">
        <v>2569</v>
      </c>
      <c r="O52" s="32" t="str">
        <f t="shared" si="5"/>
        <v>B1G1</v>
      </c>
      <c r="P52" s="20" t="s">
        <v>2569</v>
      </c>
    </row>
    <row r="53" spans="1:16" x14ac:dyDescent="0.35">
      <c r="A53" s="32" t="str">
        <f t="shared" si="1"/>
        <v>2025 JUL-SEPT B1G1 - 3287</v>
      </c>
      <c r="B53" s="33">
        <f t="shared" ref="B53:C53" si="34">B52</f>
        <v>46121</v>
      </c>
      <c r="C53" s="33">
        <f t="shared" si="34"/>
        <v>46127</v>
      </c>
      <c r="D53" s="32">
        <v>3287</v>
      </c>
      <c r="E53" s="32">
        <v>338</v>
      </c>
      <c r="F53" s="32">
        <v>4</v>
      </c>
      <c r="G53" s="23">
        <v>8</v>
      </c>
      <c r="H53" s="23">
        <v>81679</v>
      </c>
      <c r="I53" s="32" t="s">
        <v>17</v>
      </c>
      <c r="J53" s="22">
        <v>55516244</v>
      </c>
      <c r="K53" s="22" t="s">
        <v>6141</v>
      </c>
      <c r="L53" s="22" t="s">
        <v>6144</v>
      </c>
      <c r="M53" s="24">
        <v>89900</v>
      </c>
      <c r="N53" s="20" t="s">
        <v>2569</v>
      </c>
      <c r="O53" s="32" t="str">
        <f t="shared" si="5"/>
        <v>B1G1</v>
      </c>
      <c r="P53" s="20" t="s">
        <v>2569</v>
      </c>
    </row>
    <row r="54" spans="1:16" x14ac:dyDescent="0.35">
      <c r="A54" s="32" t="str">
        <f t="shared" si="1"/>
        <v>2025 JUL-SEPT B1G1 - 3287</v>
      </c>
      <c r="B54" s="33">
        <f t="shared" ref="B54:C54" si="35">B53</f>
        <v>46121</v>
      </c>
      <c r="C54" s="33">
        <f t="shared" si="35"/>
        <v>46127</v>
      </c>
      <c r="D54" s="32">
        <v>3287</v>
      </c>
      <c r="E54" s="32">
        <v>338</v>
      </c>
      <c r="F54" s="32">
        <v>4</v>
      </c>
      <c r="G54" s="23">
        <v>8</v>
      </c>
      <c r="H54" s="23">
        <v>81679</v>
      </c>
      <c r="I54" s="32" t="s">
        <v>17</v>
      </c>
      <c r="J54" s="22">
        <v>55516253</v>
      </c>
      <c r="K54" s="22" t="s">
        <v>6141</v>
      </c>
      <c r="L54" s="22" t="s">
        <v>6142</v>
      </c>
      <c r="M54" s="24">
        <v>89900</v>
      </c>
      <c r="N54" s="20" t="s">
        <v>2569</v>
      </c>
      <c r="O54" s="32" t="str">
        <f t="shared" si="5"/>
        <v>B1G1</v>
      </c>
      <c r="P54" s="20" t="s">
        <v>2569</v>
      </c>
    </row>
    <row r="55" spans="1:16" x14ac:dyDescent="0.35">
      <c r="A55" s="32" t="str">
        <f t="shared" si="1"/>
        <v>2025 JUL-SEPT B1G1 - 3287</v>
      </c>
      <c r="B55" s="33">
        <f t="shared" ref="B55:C55" si="36">B54</f>
        <v>46121</v>
      </c>
      <c r="C55" s="33">
        <f t="shared" si="36"/>
        <v>46127</v>
      </c>
      <c r="D55" s="32">
        <v>3287</v>
      </c>
      <c r="E55" s="32">
        <v>338</v>
      </c>
      <c r="F55" s="32">
        <v>4</v>
      </c>
      <c r="G55" s="23">
        <v>8</v>
      </c>
      <c r="H55" s="23">
        <v>81679</v>
      </c>
      <c r="I55" s="32" t="s">
        <v>17</v>
      </c>
      <c r="J55" s="22">
        <v>55516262</v>
      </c>
      <c r="K55" s="22" t="s">
        <v>6141</v>
      </c>
      <c r="L55" s="22" t="s">
        <v>6143</v>
      </c>
      <c r="M55" s="24">
        <v>89900</v>
      </c>
      <c r="N55" s="20" t="s">
        <v>2569</v>
      </c>
      <c r="O55" s="32" t="str">
        <f t="shared" si="5"/>
        <v>B1G1</v>
      </c>
      <c r="P55" s="20" t="s">
        <v>2569</v>
      </c>
    </row>
    <row r="56" spans="1:16" x14ac:dyDescent="0.35">
      <c r="A56" s="32" t="str">
        <f t="shared" si="1"/>
        <v>2025 JUL-SEPT B1G1 - 3287</v>
      </c>
      <c r="B56" s="33">
        <f t="shared" ref="B56:C56" si="37">B55</f>
        <v>46121</v>
      </c>
      <c r="C56" s="33">
        <f t="shared" si="37"/>
        <v>46127</v>
      </c>
      <c r="D56" s="32">
        <v>3287</v>
      </c>
      <c r="E56" s="32">
        <v>338</v>
      </c>
      <c r="F56" s="32">
        <v>4</v>
      </c>
      <c r="G56" s="23">
        <v>9</v>
      </c>
      <c r="H56" s="23">
        <v>4953</v>
      </c>
      <c r="I56" s="32" t="s">
        <v>17</v>
      </c>
      <c r="J56" s="22">
        <v>59123581</v>
      </c>
      <c r="K56" s="22" t="s">
        <v>6146</v>
      </c>
      <c r="L56" s="22" t="s">
        <v>6147</v>
      </c>
      <c r="M56" s="24">
        <v>149900</v>
      </c>
      <c r="N56" s="20" t="s">
        <v>2569</v>
      </c>
      <c r="O56" s="32" t="s">
        <v>2577</v>
      </c>
      <c r="P56" s="20" t="s">
        <v>2569</v>
      </c>
    </row>
    <row r="57" spans="1:16" x14ac:dyDescent="0.35">
      <c r="A57" s="32" t="str">
        <f t="shared" si="1"/>
        <v>2025 JUL-SEPT B1G1 - 3287</v>
      </c>
      <c r="B57" s="33">
        <f t="shared" ref="B57:C57" si="38">B56</f>
        <v>46121</v>
      </c>
      <c r="C57" s="33">
        <f t="shared" si="38"/>
        <v>46127</v>
      </c>
      <c r="D57" s="32">
        <v>3287</v>
      </c>
      <c r="E57" s="32">
        <v>338</v>
      </c>
      <c r="F57" s="32">
        <v>4</v>
      </c>
      <c r="G57" s="23">
        <v>9</v>
      </c>
      <c r="H57" s="23">
        <v>4953</v>
      </c>
      <c r="I57" s="32" t="s">
        <v>17</v>
      </c>
      <c r="J57" s="22">
        <v>59123590</v>
      </c>
      <c r="K57" s="22" t="s">
        <v>6146</v>
      </c>
      <c r="L57" s="22" t="s">
        <v>6151</v>
      </c>
      <c r="M57" s="24">
        <v>149900</v>
      </c>
      <c r="N57" s="20" t="str">
        <f t="shared" ref="N57:P63" si="39">N56</f>
        <v>BXGY</v>
      </c>
      <c r="O57" s="32" t="str">
        <f t="shared" si="39"/>
        <v>B1G1</v>
      </c>
      <c r="P57" s="20" t="str">
        <f t="shared" si="39"/>
        <v>BXGY</v>
      </c>
    </row>
    <row r="58" spans="1:16" x14ac:dyDescent="0.35">
      <c r="A58" s="32" t="str">
        <f t="shared" si="1"/>
        <v>2025 JUL-SEPT B1G1 - 3287</v>
      </c>
      <c r="B58" s="33">
        <f t="shared" ref="B58:C58" si="40">B57</f>
        <v>46121</v>
      </c>
      <c r="C58" s="33">
        <f t="shared" si="40"/>
        <v>46127</v>
      </c>
      <c r="D58" s="32">
        <v>3287</v>
      </c>
      <c r="E58" s="32">
        <v>338</v>
      </c>
      <c r="F58" s="32">
        <v>4</v>
      </c>
      <c r="G58" s="23">
        <v>9</v>
      </c>
      <c r="H58" s="23">
        <v>4953</v>
      </c>
      <c r="I58" s="32" t="s">
        <v>17</v>
      </c>
      <c r="J58" s="22">
        <v>59123607</v>
      </c>
      <c r="K58" s="22" t="s">
        <v>6146</v>
      </c>
      <c r="L58" s="22" t="s">
        <v>6149</v>
      </c>
      <c r="M58" s="24">
        <v>149900</v>
      </c>
      <c r="N58" s="20" t="str">
        <f t="shared" si="39"/>
        <v>BXGY</v>
      </c>
      <c r="O58" s="32" t="str">
        <f t="shared" si="39"/>
        <v>B1G1</v>
      </c>
      <c r="P58" s="20" t="str">
        <f t="shared" si="39"/>
        <v>BXGY</v>
      </c>
    </row>
    <row r="59" spans="1:16" x14ac:dyDescent="0.35">
      <c r="A59" s="32" t="str">
        <f t="shared" si="1"/>
        <v>2025 JUL-SEPT B1G1 - 3287</v>
      </c>
      <c r="B59" s="33">
        <f t="shared" ref="B59:C59" si="41">B58</f>
        <v>46121</v>
      </c>
      <c r="C59" s="33">
        <f t="shared" si="41"/>
        <v>46127</v>
      </c>
      <c r="D59" s="32">
        <v>3287</v>
      </c>
      <c r="E59" s="32">
        <v>338</v>
      </c>
      <c r="F59" s="32">
        <v>4</v>
      </c>
      <c r="G59" s="23">
        <v>9</v>
      </c>
      <c r="H59" s="23">
        <v>4953</v>
      </c>
      <c r="I59" s="32" t="s">
        <v>17</v>
      </c>
      <c r="J59" s="22">
        <v>59123616</v>
      </c>
      <c r="K59" s="22" t="s">
        <v>6146</v>
      </c>
      <c r="L59" s="22" t="s">
        <v>6150</v>
      </c>
      <c r="M59" s="24">
        <v>149900</v>
      </c>
      <c r="N59" s="20" t="str">
        <f t="shared" si="39"/>
        <v>BXGY</v>
      </c>
      <c r="O59" s="32" t="str">
        <f t="shared" si="39"/>
        <v>B1G1</v>
      </c>
      <c r="P59" s="20" t="str">
        <f t="shared" si="39"/>
        <v>BXGY</v>
      </c>
    </row>
    <row r="60" spans="1:16" x14ac:dyDescent="0.35">
      <c r="A60" s="32" t="str">
        <f t="shared" si="1"/>
        <v>2025 JUL-SEPT B1G1 - 3287</v>
      </c>
      <c r="B60" s="33">
        <f t="shared" ref="B60:C60" si="42">B59</f>
        <v>46121</v>
      </c>
      <c r="C60" s="33">
        <f t="shared" si="42"/>
        <v>46127</v>
      </c>
      <c r="D60" s="32">
        <v>3287</v>
      </c>
      <c r="E60" s="32">
        <v>338</v>
      </c>
      <c r="F60" s="32">
        <v>4</v>
      </c>
      <c r="G60" s="23">
        <v>9</v>
      </c>
      <c r="H60" s="23">
        <v>4953</v>
      </c>
      <c r="I60" s="32" t="s">
        <v>17</v>
      </c>
      <c r="J60" s="22">
        <v>59123625</v>
      </c>
      <c r="K60" s="22" t="s">
        <v>6146</v>
      </c>
      <c r="L60" s="22" t="s">
        <v>6152</v>
      </c>
      <c r="M60" s="24">
        <v>149900</v>
      </c>
      <c r="N60" s="20" t="str">
        <f t="shared" si="39"/>
        <v>BXGY</v>
      </c>
      <c r="O60" s="32" t="str">
        <f t="shared" si="39"/>
        <v>B1G1</v>
      </c>
      <c r="P60" s="20" t="str">
        <f t="shared" si="39"/>
        <v>BXGY</v>
      </c>
    </row>
    <row r="61" spans="1:16" x14ac:dyDescent="0.35">
      <c r="A61" s="32" t="str">
        <f t="shared" si="1"/>
        <v>2025 JUL-SEPT B1G1 - 3287</v>
      </c>
      <c r="B61" s="33">
        <f t="shared" ref="B61:C61" si="43">B60</f>
        <v>46121</v>
      </c>
      <c r="C61" s="33">
        <f t="shared" si="43"/>
        <v>46127</v>
      </c>
      <c r="D61" s="32">
        <v>3287</v>
      </c>
      <c r="E61" s="32">
        <v>338</v>
      </c>
      <c r="F61" s="32">
        <v>4</v>
      </c>
      <c r="G61" s="23">
        <v>9</v>
      </c>
      <c r="H61" s="23">
        <v>4953</v>
      </c>
      <c r="I61" s="32" t="s">
        <v>17</v>
      </c>
      <c r="J61" s="22">
        <v>59123634</v>
      </c>
      <c r="K61" s="22" t="s">
        <v>6146</v>
      </c>
      <c r="L61" s="22" t="s">
        <v>6148</v>
      </c>
      <c r="M61" s="24">
        <v>149900</v>
      </c>
      <c r="N61" s="20" t="str">
        <f t="shared" si="39"/>
        <v>BXGY</v>
      </c>
      <c r="O61" s="32" t="str">
        <f t="shared" si="39"/>
        <v>B1G1</v>
      </c>
      <c r="P61" s="20" t="str">
        <f t="shared" si="39"/>
        <v>BXGY</v>
      </c>
    </row>
    <row r="62" spans="1:16" x14ac:dyDescent="0.35">
      <c r="A62" s="32" t="str">
        <f t="shared" si="1"/>
        <v>2025 JUL-SEPT B1G1 - 3287</v>
      </c>
      <c r="B62" s="33">
        <f t="shared" ref="B62:C62" si="44">B61</f>
        <v>46121</v>
      </c>
      <c r="C62" s="33">
        <f t="shared" si="44"/>
        <v>46127</v>
      </c>
      <c r="D62" s="32">
        <v>3287</v>
      </c>
      <c r="E62" s="32">
        <v>338</v>
      </c>
      <c r="F62" s="32">
        <v>4</v>
      </c>
      <c r="G62" s="23">
        <v>9</v>
      </c>
      <c r="H62" s="23">
        <v>4953</v>
      </c>
      <c r="I62" s="32" t="s">
        <v>17</v>
      </c>
      <c r="J62" s="22">
        <v>59123643</v>
      </c>
      <c r="K62" s="22" t="s">
        <v>6146</v>
      </c>
      <c r="L62" s="22" t="s">
        <v>6153</v>
      </c>
      <c r="M62" s="24">
        <v>149900</v>
      </c>
      <c r="N62" s="20" t="str">
        <f t="shared" si="39"/>
        <v>BXGY</v>
      </c>
      <c r="O62" s="32" t="str">
        <f t="shared" si="39"/>
        <v>B1G1</v>
      </c>
      <c r="P62" s="20" t="str">
        <f t="shared" si="39"/>
        <v>BXGY</v>
      </c>
    </row>
    <row r="63" spans="1:16" x14ac:dyDescent="0.35">
      <c r="A63" s="32" t="str">
        <f t="shared" si="1"/>
        <v>2025 JUL-SEPT B1G1 - 3287</v>
      </c>
      <c r="B63" s="33">
        <f t="shared" ref="B63:C63" si="45">B62</f>
        <v>46121</v>
      </c>
      <c r="C63" s="33">
        <f t="shared" si="45"/>
        <v>46127</v>
      </c>
      <c r="D63" s="32">
        <v>3287</v>
      </c>
      <c r="E63" s="32">
        <v>338</v>
      </c>
      <c r="F63" s="32">
        <v>4</v>
      </c>
      <c r="G63" s="23">
        <v>9</v>
      </c>
      <c r="H63" s="23">
        <v>4953</v>
      </c>
      <c r="I63" s="32" t="s">
        <v>17</v>
      </c>
      <c r="J63" s="22">
        <v>59123652</v>
      </c>
      <c r="K63" s="22" t="s">
        <v>6146</v>
      </c>
      <c r="L63" s="22" t="s">
        <v>6154</v>
      </c>
      <c r="M63" s="24">
        <v>149900</v>
      </c>
      <c r="N63" s="20" t="str">
        <f t="shared" si="39"/>
        <v>BXGY</v>
      </c>
      <c r="O63" s="32" t="str">
        <f t="shared" si="39"/>
        <v>B1G1</v>
      </c>
      <c r="P63" s="20" t="str">
        <f t="shared" si="39"/>
        <v>BXGY</v>
      </c>
    </row>
  </sheetData>
  <conditionalFormatting sqref="J1:J1048576">
    <cfRule type="duplicateValues" dxfId="4" priority="1"/>
  </conditionalFormatting>
  <conditionalFormatting sqref="J23:J55">
    <cfRule type="duplicateValues" dxfId="3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1A1A-9BC1-4D25-B8AF-38EB7D454E51}">
  <dimension ref="A1:P303"/>
  <sheetViews>
    <sheetView zoomScale="80" zoomScaleNormal="80" workbookViewId="0">
      <pane ySplit="1" topLeftCell="A274" activePane="bottomLeft" state="frozen"/>
      <selection activeCell="L20" sqref="L20"/>
      <selection pane="bottomLeft" activeCell="L345" sqref="L345"/>
    </sheetView>
  </sheetViews>
  <sheetFormatPr defaultColWidth="8.81640625" defaultRowHeight="14.5" x14ac:dyDescent="0.35"/>
  <cols>
    <col min="1" max="1" width="33.9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54296875" style="31" customWidth="1"/>
    <col min="10" max="10" width="9.453125" style="31" bestFit="1" customWidth="1"/>
    <col min="11" max="11" width="12.453125" style="31" bestFit="1" customWidth="1"/>
    <col min="12" max="12" width="66.6328125" style="17" customWidth="1"/>
    <col min="13" max="13" width="17" style="37" customWidth="1"/>
    <col min="14" max="14" width="8.81640625" style="26" customWidth="1"/>
    <col min="15" max="15" width="13.816406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7161</v>
      </c>
      <c r="B2" s="33">
        <f>'2025 HILITE D80 - 3321'!B2</f>
        <v>46121</v>
      </c>
      <c r="C2" s="33">
        <f>'2025 HILITE D80 - 3321'!C2</f>
        <v>46127</v>
      </c>
      <c r="D2" s="32">
        <v>3287</v>
      </c>
      <c r="E2" s="32">
        <v>338</v>
      </c>
      <c r="F2" s="32">
        <v>4</v>
      </c>
      <c r="G2" s="23">
        <v>10</v>
      </c>
      <c r="H2" s="23">
        <v>81533</v>
      </c>
      <c r="I2" s="32" t="s">
        <v>17</v>
      </c>
      <c r="J2" s="23">
        <v>51694390</v>
      </c>
      <c r="K2" s="23" t="s">
        <v>4878</v>
      </c>
      <c r="L2" s="43" t="s">
        <v>4879</v>
      </c>
      <c r="M2" s="24">
        <v>35900</v>
      </c>
      <c r="N2" s="20">
        <v>0.75</v>
      </c>
      <c r="O2" s="83">
        <f>M2-((75*M2)/100)</f>
        <v>8975</v>
      </c>
      <c r="P2" s="20" t="s">
        <v>16</v>
      </c>
    </row>
    <row r="3" spans="1:16" x14ac:dyDescent="0.35">
      <c r="A3" s="32" t="str">
        <f>A2</f>
        <v>2025 JAN-JUN DISC 75% LICENSE ESS</v>
      </c>
      <c r="B3" s="33">
        <f>B2</f>
        <v>46121</v>
      </c>
      <c r="C3" s="33">
        <f>C2</f>
        <v>46127</v>
      </c>
      <c r="D3" s="32">
        <v>3287</v>
      </c>
      <c r="E3" s="32">
        <v>338</v>
      </c>
      <c r="F3" s="32">
        <v>4</v>
      </c>
      <c r="G3" s="23">
        <v>10</v>
      </c>
      <c r="H3" s="23">
        <v>81533</v>
      </c>
      <c r="I3" s="32" t="s">
        <v>17</v>
      </c>
      <c r="J3" s="23">
        <v>51694407</v>
      </c>
      <c r="K3" s="23" t="s">
        <v>4878</v>
      </c>
      <c r="L3" s="43" t="s">
        <v>4889</v>
      </c>
      <c r="M3" s="24">
        <v>35900</v>
      </c>
      <c r="N3" s="20">
        <f>N2</f>
        <v>0.75</v>
      </c>
      <c r="O3" s="83">
        <f t="shared" ref="O3:O66" si="0">M3-((75*M3)/100)</f>
        <v>8975</v>
      </c>
      <c r="P3" s="20" t="str">
        <f>P2</f>
        <v>PERCENTAGE</v>
      </c>
    </row>
    <row r="4" spans="1:16" x14ac:dyDescent="0.35">
      <c r="A4" s="32" t="str">
        <f t="shared" ref="A4:C19" si="1">A3</f>
        <v>2025 JAN-JUN DISC 75% LICENSE ESS</v>
      </c>
      <c r="B4" s="33">
        <f t="shared" si="1"/>
        <v>46121</v>
      </c>
      <c r="C4" s="33">
        <f t="shared" si="1"/>
        <v>46127</v>
      </c>
      <c r="D4" s="32">
        <v>3287</v>
      </c>
      <c r="E4" s="32">
        <v>338</v>
      </c>
      <c r="F4" s="32">
        <v>4</v>
      </c>
      <c r="G4" s="23">
        <v>10</v>
      </c>
      <c r="H4" s="23">
        <v>81533</v>
      </c>
      <c r="I4" s="32" t="s">
        <v>17</v>
      </c>
      <c r="J4" s="23">
        <v>51694434</v>
      </c>
      <c r="K4" s="23" t="s">
        <v>4884</v>
      </c>
      <c r="L4" s="43" t="s">
        <v>4885</v>
      </c>
      <c r="M4" s="24">
        <v>35900</v>
      </c>
      <c r="N4" s="20">
        <f t="shared" ref="N4:N67" si="2">N3</f>
        <v>0.75</v>
      </c>
      <c r="O4" s="83">
        <f t="shared" si="0"/>
        <v>8975</v>
      </c>
      <c r="P4" s="20" t="str">
        <f t="shared" ref="P4:P67" si="3">P3</f>
        <v>PERCENTAGE</v>
      </c>
    </row>
    <row r="5" spans="1:16" x14ac:dyDescent="0.35">
      <c r="A5" s="32" t="str">
        <f t="shared" si="1"/>
        <v>2025 JAN-JUN DISC 75% LICENSE ESS</v>
      </c>
      <c r="B5" s="33">
        <f t="shared" si="1"/>
        <v>46121</v>
      </c>
      <c r="C5" s="33">
        <f t="shared" si="1"/>
        <v>46127</v>
      </c>
      <c r="D5" s="32">
        <v>3287</v>
      </c>
      <c r="E5" s="32">
        <v>338</v>
      </c>
      <c r="F5" s="32">
        <v>4</v>
      </c>
      <c r="G5" s="23">
        <v>10</v>
      </c>
      <c r="H5" s="23">
        <v>81533</v>
      </c>
      <c r="I5" s="32" t="s">
        <v>17</v>
      </c>
      <c r="J5" s="23">
        <v>51694443</v>
      </c>
      <c r="K5" s="23" t="s">
        <v>4884</v>
      </c>
      <c r="L5" s="43" t="s">
        <v>4892</v>
      </c>
      <c r="M5" s="24">
        <v>35900</v>
      </c>
      <c r="N5" s="20">
        <f t="shared" si="2"/>
        <v>0.75</v>
      </c>
      <c r="O5" s="83">
        <f t="shared" si="0"/>
        <v>8975</v>
      </c>
      <c r="P5" s="20" t="str">
        <f t="shared" si="3"/>
        <v>PERCENTAGE</v>
      </c>
    </row>
    <row r="6" spans="1:16" x14ac:dyDescent="0.35">
      <c r="A6" s="32" t="str">
        <f t="shared" si="1"/>
        <v>2025 JAN-JUN DISC 75% LICENSE ESS</v>
      </c>
      <c r="B6" s="33">
        <f t="shared" si="1"/>
        <v>46121</v>
      </c>
      <c r="C6" s="33">
        <f t="shared" si="1"/>
        <v>46127</v>
      </c>
      <c r="D6" s="32">
        <v>3287</v>
      </c>
      <c r="E6" s="32">
        <v>338</v>
      </c>
      <c r="F6" s="32">
        <v>4</v>
      </c>
      <c r="G6" s="23">
        <v>8</v>
      </c>
      <c r="H6" s="23">
        <v>81462</v>
      </c>
      <c r="I6" s="32" t="s">
        <v>17</v>
      </c>
      <c r="J6" s="23">
        <v>51694550</v>
      </c>
      <c r="K6" s="23" t="s">
        <v>4865</v>
      </c>
      <c r="L6" s="43" t="s">
        <v>4866</v>
      </c>
      <c r="M6" s="24">
        <v>119900</v>
      </c>
      <c r="N6" s="20">
        <f t="shared" si="2"/>
        <v>0.75</v>
      </c>
      <c r="O6" s="83">
        <f t="shared" si="0"/>
        <v>29975</v>
      </c>
      <c r="P6" s="20" t="str">
        <f t="shared" si="3"/>
        <v>PERCENTAGE</v>
      </c>
    </row>
    <row r="7" spans="1:16" x14ac:dyDescent="0.35">
      <c r="A7" s="32" t="str">
        <f t="shared" si="1"/>
        <v>2025 JAN-JUN DISC 75% LICENSE ESS</v>
      </c>
      <c r="B7" s="33">
        <f t="shared" si="1"/>
        <v>46121</v>
      </c>
      <c r="C7" s="33">
        <f t="shared" si="1"/>
        <v>46127</v>
      </c>
      <c r="D7" s="32">
        <v>3287</v>
      </c>
      <c r="E7" s="32">
        <v>338</v>
      </c>
      <c r="F7" s="32">
        <v>4</v>
      </c>
      <c r="G7" s="23">
        <v>8</v>
      </c>
      <c r="H7" s="23">
        <v>81462</v>
      </c>
      <c r="I7" s="32" t="s">
        <v>17</v>
      </c>
      <c r="J7" s="23">
        <v>51694569</v>
      </c>
      <c r="K7" s="23" t="s">
        <v>4865</v>
      </c>
      <c r="L7" s="43" t="s">
        <v>4869</v>
      </c>
      <c r="M7" s="24">
        <v>119900</v>
      </c>
      <c r="N7" s="20">
        <f t="shared" si="2"/>
        <v>0.75</v>
      </c>
      <c r="O7" s="83">
        <f t="shared" si="0"/>
        <v>29975</v>
      </c>
      <c r="P7" s="20" t="str">
        <f t="shared" si="3"/>
        <v>PERCENTAGE</v>
      </c>
    </row>
    <row r="8" spans="1:16" x14ac:dyDescent="0.35">
      <c r="A8" s="32" t="str">
        <f t="shared" si="1"/>
        <v>2025 JAN-JUN DISC 75% LICENSE ESS</v>
      </c>
      <c r="B8" s="33">
        <f t="shared" si="1"/>
        <v>46121</v>
      </c>
      <c r="C8" s="33">
        <f t="shared" si="1"/>
        <v>46127</v>
      </c>
      <c r="D8" s="32">
        <v>3287</v>
      </c>
      <c r="E8" s="32">
        <v>338</v>
      </c>
      <c r="F8" s="32">
        <v>4</v>
      </c>
      <c r="G8" s="23">
        <v>8</v>
      </c>
      <c r="H8" s="23">
        <v>81462</v>
      </c>
      <c r="I8" s="32" t="s">
        <v>17</v>
      </c>
      <c r="J8" s="23">
        <v>51694578</v>
      </c>
      <c r="K8" s="23" t="s">
        <v>4865</v>
      </c>
      <c r="L8" s="43" t="s">
        <v>4867</v>
      </c>
      <c r="M8" s="24">
        <v>119900</v>
      </c>
      <c r="N8" s="20">
        <f t="shared" si="2"/>
        <v>0.75</v>
      </c>
      <c r="O8" s="83">
        <f t="shared" si="0"/>
        <v>29975</v>
      </c>
      <c r="P8" s="20" t="str">
        <f t="shared" si="3"/>
        <v>PERCENTAGE</v>
      </c>
    </row>
    <row r="9" spans="1:16" x14ac:dyDescent="0.35">
      <c r="A9" s="32" t="str">
        <f t="shared" si="1"/>
        <v>2025 JAN-JUN DISC 75% LICENSE ESS</v>
      </c>
      <c r="B9" s="33">
        <f t="shared" si="1"/>
        <v>46121</v>
      </c>
      <c r="C9" s="33">
        <f t="shared" si="1"/>
        <v>46127</v>
      </c>
      <c r="D9" s="32">
        <v>3287</v>
      </c>
      <c r="E9" s="32">
        <v>338</v>
      </c>
      <c r="F9" s="32">
        <v>4</v>
      </c>
      <c r="G9" s="23">
        <v>8</v>
      </c>
      <c r="H9" s="23">
        <v>81462</v>
      </c>
      <c r="I9" s="32" t="s">
        <v>17</v>
      </c>
      <c r="J9" s="23">
        <v>51694587</v>
      </c>
      <c r="K9" s="23" t="s">
        <v>4865</v>
      </c>
      <c r="L9" s="43" t="s">
        <v>4868</v>
      </c>
      <c r="M9" s="24">
        <v>119900</v>
      </c>
      <c r="N9" s="20">
        <f t="shared" si="2"/>
        <v>0.75</v>
      </c>
      <c r="O9" s="83">
        <f t="shared" si="0"/>
        <v>29975</v>
      </c>
      <c r="P9" s="20" t="str">
        <f t="shared" si="3"/>
        <v>PERCENTAGE</v>
      </c>
    </row>
    <row r="10" spans="1:16" x14ac:dyDescent="0.35">
      <c r="A10" s="32" t="str">
        <f t="shared" si="1"/>
        <v>2025 JAN-JUN DISC 75% LICENSE ESS</v>
      </c>
      <c r="B10" s="33">
        <f t="shared" si="1"/>
        <v>46121</v>
      </c>
      <c r="C10" s="33">
        <f t="shared" si="1"/>
        <v>46127</v>
      </c>
      <c r="D10" s="32">
        <v>3287</v>
      </c>
      <c r="E10" s="32">
        <v>338</v>
      </c>
      <c r="F10" s="32">
        <v>4</v>
      </c>
      <c r="G10" s="23">
        <v>10</v>
      </c>
      <c r="H10" s="23">
        <v>81533</v>
      </c>
      <c r="I10" s="32" t="s">
        <v>17</v>
      </c>
      <c r="J10" s="23">
        <v>51694416</v>
      </c>
      <c r="K10" s="23" t="s">
        <v>4876</v>
      </c>
      <c r="L10" s="43" t="s">
        <v>4877</v>
      </c>
      <c r="M10" s="24">
        <v>35900</v>
      </c>
      <c r="N10" s="20">
        <f t="shared" si="2"/>
        <v>0.75</v>
      </c>
      <c r="O10" s="83">
        <f t="shared" si="0"/>
        <v>8975</v>
      </c>
      <c r="P10" s="20" t="str">
        <f t="shared" si="3"/>
        <v>PERCENTAGE</v>
      </c>
    </row>
    <row r="11" spans="1:16" x14ac:dyDescent="0.35">
      <c r="A11" s="32" t="str">
        <f t="shared" si="1"/>
        <v>2025 JAN-JUN DISC 75% LICENSE ESS</v>
      </c>
      <c r="B11" s="33">
        <f t="shared" si="1"/>
        <v>46121</v>
      </c>
      <c r="C11" s="33">
        <f t="shared" si="1"/>
        <v>46127</v>
      </c>
      <c r="D11" s="32">
        <v>3287</v>
      </c>
      <c r="E11" s="32">
        <v>338</v>
      </c>
      <c r="F11" s="32">
        <v>4</v>
      </c>
      <c r="G11" s="23">
        <v>10</v>
      </c>
      <c r="H11" s="23">
        <v>81533</v>
      </c>
      <c r="I11" s="32" t="s">
        <v>17</v>
      </c>
      <c r="J11" s="23">
        <v>51694425</v>
      </c>
      <c r="K11" s="23" t="s">
        <v>4876</v>
      </c>
      <c r="L11" s="43" t="s">
        <v>4893</v>
      </c>
      <c r="M11" s="24">
        <v>35900</v>
      </c>
      <c r="N11" s="20">
        <f t="shared" si="2"/>
        <v>0.75</v>
      </c>
      <c r="O11" s="83">
        <f t="shared" si="0"/>
        <v>8975</v>
      </c>
      <c r="P11" s="20" t="str">
        <f t="shared" si="3"/>
        <v>PERCENTAGE</v>
      </c>
    </row>
    <row r="12" spans="1:16" x14ac:dyDescent="0.35">
      <c r="A12" s="32" t="str">
        <f t="shared" si="1"/>
        <v>2025 JAN-JUN DISC 75% LICENSE ESS</v>
      </c>
      <c r="B12" s="33">
        <f t="shared" si="1"/>
        <v>46121</v>
      </c>
      <c r="C12" s="33">
        <f t="shared" si="1"/>
        <v>46127</v>
      </c>
      <c r="D12" s="32">
        <v>3287</v>
      </c>
      <c r="E12" s="32">
        <v>338</v>
      </c>
      <c r="F12" s="32">
        <v>4</v>
      </c>
      <c r="G12" s="23">
        <v>10</v>
      </c>
      <c r="H12" s="23">
        <v>81533</v>
      </c>
      <c r="I12" s="32" t="s">
        <v>17</v>
      </c>
      <c r="J12" s="23">
        <v>51694498</v>
      </c>
      <c r="K12" s="23" t="s">
        <v>4874</v>
      </c>
      <c r="L12" s="43" t="s">
        <v>4875</v>
      </c>
      <c r="M12" s="24">
        <v>35900</v>
      </c>
      <c r="N12" s="20">
        <f t="shared" si="2"/>
        <v>0.75</v>
      </c>
      <c r="O12" s="83">
        <f t="shared" si="0"/>
        <v>8975</v>
      </c>
      <c r="P12" s="20" t="str">
        <f t="shared" si="3"/>
        <v>PERCENTAGE</v>
      </c>
    </row>
    <row r="13" spans="1:16" x14ac:dyDescent="0.35">
      <c r="A13" s="32" t="str">
        <f t="shared" si="1"/>
        <v>2025 JAN-JUN DISC 75% LICENSE ESS</v>
      </c>
      <c r="B13" s="33">
        <f t="shared" si="1"/>
        <v>46121</v>
      </c>
      <c r="C13" s="33">
        <f t="shared" si="1"/>
        <v>46127</v>
      </c>
      <c r="D13" s="32">
        <v>3287</v>
      </c>
      <c r="E13" s="32">
        <v>338</v>
      </c>
      <c r="F13" s="32">
        <v>4</v>
      </c>
      <c r="G13" s="23">
        <v>10</v>
      </c>
      <c r="H13" s="23">
        <v>81533</v>
      </c>
      <c r="I13" s="32" t="s">
        <v>17</v>
      </c>
      <c r="J13" s="23">
        <v>51694505</v>
      </c>
      <c r="K13" s="23" t="s">
        <v>4874</v>
      </c>
      <c r="L13" s="43" t="s">
        <v>4886</v>
      </c>
      <c r="M13" s="24">
        <v>35900</v>
      </c>
      <c r="N13" s="20">
        <f t="shared" si="2"/>
        <v>0.75</v>
      </c>
      <c r="O13" s="83">
        <f t="shared" si="0"/>
        <v>8975</v>
      </c>
      <c r="P13" s="20" t="str">
        <f t="shared" si="3"/>
        <v>PERCENTAGE</v>
      </c>
    </row>
    <row r="14" spans="1:16" x14ac:dyDescent="0.35">
      <c r="A14" s="32" t="str">
        <f t="shared" si="1"/>
        <v>2025 JAN-JUN DISC 75% LICENSE ESS</v>
      </c>
      <c r="B14" s="33">
        <f t="shared" si="1"/>
        <v>46121</v>
      </c>
      <c r="C14" s="33">
        <f t="shared" si="1"/>
        <v>46127</v>
      </c>
      <c r="D14" s="32">
        <v>3287</v>
      </c>
      <c r="E14" s="32">
        <v>338</v>
      </c>
      <c r="F14" s="32">
        <v>4</v>
      </c>
      <c r="G14" s="23">
        <v>10</v>
      </c>
      <c r="H14" s="23">
        <v>81533</v>
      </c>
      <c r="I14" s="32" t="s">
        <v>17</v>
      </c>
      <c r="J14" s="23">
        <v>51694532</v>
      </c>
      <c r="K14" s="23" t="s">
        <v>4880</v>
      </c>
      <c r="L14" s="43" t="s">
        <v>4881</v>
      </c>
      <c r="M14" s="24">
        <v>35900</v>
      </c>
      <c r="N14" s="20">
        <f t="shared" si="2"/>
        <v>0.75</v>
      </c>
      <c r="O14" s="83">
        <f t="shared" si="0"/>
        <v>8975</v>
      </c>
      <c r="P14" s="20" t="str">
        <f t="shared" si="3"/>
        <v>PERCENTAGE</v>
      </c>
    </row>
    <row r="15" spans="1:16" x14ac:dyDescent="0.35">
      <c r="A15" s="32" t="str">
        <f t="shared" si="1"/>
        <v>2025 JAN-JUN DISC 75% LICENSE ESS</v>
      </c>
      <c r="B15" s="33">
        <f t="shared" si="1"/>
        <v>46121</v>
      </c>
      <c r="C15" s="33">
        <f t="shared" si="1"/>
        <v>46127</v>
      </c>
      <c r="D15" s="32">
        <v>3287</v>
      </c>
      <c r="E15" s="32">
        <v>338</v>
      </c>
      <c r="F15" s="32">
        <v>4</v>
      </c>
      <c r="G15" s="23">
        <v>10</v>
      </c>
      <c r="H15" s="23">
        <v>81533</v>
      </c>
      <c r="I15" s="32" t="s">
        <v>17</v>
      </c>
      <c r="J15" s="23">
        <v>51694541</v>
      </c>
      <c r="K15" s="23" t="s">
        <v>4880</v>
      </c>
      <c r="L15" s="43" t="s">
        <v>4883</v>
      </c>
      <c r="M15" s="24">
        <v>35900</v>
      </c>
      <c r="N15" s="20">
        <f t="shared" si="2"/>
        <v>0.75</v>
      </c>
      <c r="O15" s="83">
        <f t="shared" si="0"/>
        <v>8975</v>
      </c>
      <c r="P15" s="20" t="str">
        <f t="shared" si="3"/>
        <v>PERCENTAGE</v>
      </c>
    </row>
    <row r="16" spans="1:16" x14ac:dyDescent="0.35">
      <c r="A16" s="32" t="str">
        <f t="shared" si="1"/>
        <v>2025 JAN-JUN DISC 75% LICENSE ESS</v>
      </c>
      <c r="B16" s="33">
        <f t="shared" si="1"/>
        <v>46121</v>
      </c>
      <c r="C16" s="33">
        <f t="shared" si="1"/>
        <v>46127</v>
      </c>
      <c r="D16" s="32">
        <v>3287</v>
      </c>
      <c r="E16" s="32">
        <v>338</v>
      </c>
      <c r="F16" s="32">
        <v>4</v>
      </c>
      <c r="G16" s="23">
        <v>10</v>
      </c>
      <c r="H16" s="23">
        <v>81533</v>
      </c>
      <c r="I16" s="32" t="s">
        <v>17</v>
      </c>
      <c r="J16" s="23">
        <v>51694470</v>
      </c>
      <c r="K16" s="23" t="s">
        <v>4870</v>
      </c>
      <c r="L16" s="43" t="s">
        <v>4871</v>
      </c>
      <c r="M16" s="24">
        <v>35900</v>
      </c>
      <c r="N16" s="20">
        <f t="shared" si="2"/>
        <v>0.75</v>
      </c>
      <c r="O16" s="83">
        <f t="shared" si="0"/>
        <v>8975</v>
      </c>
      <c r="P16" s="20" t="str">
        <f t="shared" si="3"/>
        <v>PERCENTAGE</v>
      </c>
    </row>
    <row r="17" spans="1:16" x14ac:dyDescent="0.35">
      <c r="A17" s="32" t="str">
        <f t="shared" si="1"/>
        <v>2025 JAN-JUN DISC 75% LICENSE ESS</v>
      </c>
      <c r="B17" s="33">
        <f t="shared" si="1"/>
        <v>46121</v>
      </c>
      <c r="C17" s="33">
        <f t="shared" si="1"/>
        <v>46127</v>
      </c>
      <c r="D17" s="32">
        <v>3287</v>
      </c>
      <c r="E17" s="32">
        <v>338</v>
      </c>
      <c r="F17" s="32">
        <v>4</v>
      </c>
      <c r="G17" s="23">
        <v>10</v>
      </c>
      <c r="H17" s="23">
        <v>81533</v>
      </c>
      <c r="I17" s="32" t="s">
        <v>17</v>
      </c>
      <c r="J17" s="23">
        <v>51694489</v>
      </c>
      <c r="K17" s="23" t="s">
        <v>4870</v>
      </c>
      <c r="L17" s="43" t="s">
        <v>4882</v>
      </c>
      <c r="M17" s="24">
        <v>35900</v>
      </c>
      <c r="N17" s="20">
        <f t="shared" si="2"/>
        <v>0.75</v>
      </c>
      <c r="O17" s="83">
        <f t="shared" si="0"/>
        <v>8975</v>
      </c>
      <c r="P17" s="20" t="str">
        <f t="shared" si="3"/>
        <v>PERCENTAGE</v>
      </c>
    </row>
    <row r="18" spans="1:16" x14ac:dyDescent="0.35">
      <c r="A18" s="32" t="str">
        <f t="shared" si="1"/>
        <v>2025 JAN-JUN DISC 75% LICENSE ESS</v>
      </c>
      <c r="B18" s="33">
        <f t="shared" si="1"/>
        <v>46121</v>
      </c>
      <c r="C18" s="33">
        <f t="shared" si="1"/>
        <v>46127</v>
      </c>
      <c r="D18" s="32">
        <v>3287</v>
      </c>
      <c r="E18" s="32">
        <v>338</v>
      </c>
      <c r="F18" s="32">
        <v>4</v>
      </c>
      <c r="G18" s="23">
        <v>10</v>
      </c>
      <c r="H18" s="23">
        <v>81533</v>
      </c>
      <c r="I18" s="32" t="s">
        <v>17</v>
      </c>
      <c r="J18" s="23">
        <v>51694514</v>
      </c>
      <c r="K18" s="23" t="s">
        <v>4887</v>
      </c>
      <c r="L18" s="43" t="s">
        <v>4891</v>
      </c>
      <c r="M18" s="24">
        <v>35900</v>
      </c>
      <c r="N18" s="20">
        <f t="shared" si="2"/>
        <v>0.75</v>
      </c>
      <c r="O18" s="83">
        <f t="shared" si="0"/>
        <v>8975</v>
      </c>
      <c r="P18" s="20" t="str">
        <f t="shared" si="3"/>
        <v>PERCENTAGE</v>
      </c>
    </row>
    <row r="19" spans="1:16" x14ac:dyDescent="0.35">
      <c r="A19" s="32" t="str">
        <f t="shared" si="1"/>
        <v>2025 JAN-JUN DISC 75% LICENSE ESS</v>
      </c>
      <c r="B19" s="33">
        <f t="shared" si="1"/>
        <v>46121</v>
      </c>
      <c r="C19" s="33">
        <f t="shared" si="1"/>
        <v>46127</v>
      </c>
      <c r="D19" s="32">
        <v>3287</v>
      </c>
      <c r="E19" s="32">
        <v>338</v>
      </c>
      <c r="F19" s="32">
        <v>4</v>
      </c>
      <c r="G19" s="23">
        <v>10</v>
      </c>
      <c r="H19" s="23">
        <v>81533</v>
      </c>
      <c r="I19" s="32" t="s">
        <v>17</v>
      </c>
      <c r="J19" s="23">
        <v>51694523</v>
      </c>
      <c r="K19" s="23" t="s">
        <v>4887</v>
      </c>
      <c r="L19" s="43" t="s">
        <v>4888</v>
      </c>
      <c r="M19" s="24">
        <v>35900</v>
      </c>
      <c r="N19" s="20">
        <f t="shared" si="2"/>
        <v>0.75</v>
      </c>
      <c r="O19" s="83">
        <f t="shared" si="0"/>
        <v>8975</v>
      </c>
      <c r="P19" s="20" t="str">
        <f t="shared" si="3"/>
        <v>PERCENTAGE</v>
      </c>
    </row>
    <row r="20" spans="1:16" x14ac:dyDescent="0.35">
      <c r="A20" s="32" t="str">
        <f t="shared" ref="A20:C35" si="4">A19</f>
        <v>2025 JAN-JUN DISC 75% LICENSE ESS</v>
      </c>
      <c r="B20" s="33">
        <f t="shared" si="4"/>
        <v>46121</v>
      </c>
      <c r="C20" s="33">
        <f t="shared" si="4"/>
        <v>46127</v>
      </c>
      <c r="D20" s="32">
        <v>3287</v>
      </c>
      <c r="E20" s="32">
        <v>338</v>
      </c>
      <c r="F20" s="32">
        <v>4</v>
      </c>
      <c r="G20" s="23">
        <v>10</v>
      </c>
      <c r="H20" s="23">
        <v>81533</v>
      </c>
      <c r="I20" s="32" t="s">
        <v>17</v>
      </c>
      <c r="J20" s="23">
        <v>51694452</v>
      </c>
      <c r="K20" s="23" t="s">
        <v>4872</v>
      </c>
      <c r="L20" s="43" t="s">
        <v>4890</v>
      </c>
      <c r="M20" s="24">
        <v>35900</v>
      </c>
      <c r="N20" s="20">
        <f t="shared" si="2"/>
        <v>0.75</v>
      </c>
      <c r="O20" s="83">
        <f t="shared" si="0"/>
        <v>8975</v>
      </c>
      <c r="P20" s="20" t="str">
        <f t="shared" si="3"/>
        <v>PERCENTAGE</v>
      </c>
    </row>
    <row r="21" spans="1:16" x14ac:dyDescent="0.35">
      <c r="A21" s="32" t="str">
        <f t="shared" si="4"/>
        <v>2025 JAN-JUN DISC 75% LICENSE ESS</v>
      </c>
      <c r="B21" s="33">
        <f t="shared" si="4"/>
        <v>46121</v>
      </c>
      <c r="C21" s="33">
        <f t="shared" si="4"/>
        <v>46127</v>
      </c>
      <c r="D21" s="32">
        <v>3287</v>
      </c>
      <c r="E21" s="32">
        <v>338</v>
      </c>
      <c r="F21" s="32">
        <v>4</v>
      </c>
      <c r="G21" s="23">
        <v>10</v>
      </c>
      <c r="H21" s="23">
        <v>81533</v>
      </c>
      <c r="I21" s="32" t="s">
        <v>17</v>
      </c>
      <c r="J21" s="23">
        <v>51694461</v>
      </c>
      <c r="K21" s="23" t="s">
        <v>4872</v>
      </c>
      <c r="L21" s="43" t="s">
        <v>4873</v>
      </c>
      <c r="M21" s="24">
        <v>35900</v>
      </c>
      <c r="N21" s="20">
        <f t="shared" si="2"/>
        <v>0.75</v>
      </c>
      <c r="O21" s="83">
        <f t="shared" si="0"/>
        <v>8975</v>
      </c>
      <c r="P21" s="20" t="str">
        <f t="shared" si="3"/>
        <v>PERCENTAGE</v>
      </c>
    </row>
    <row r="22" spans="1:16" x14ac:dyDescent="0.35">
      <c r="A22" s="32" t="str">
        <f t="shared" si="4"/>
        <v>2025 JAN-JUN DISC 75% LICENSE ESS</v>
      </c>
      <c r="B22" s="33">
        <f t="shared" si="4"/>
        <v>46121</v>
      </c>
      <c r="C22" s="33">
        <f t="shared" si="4"/>
        <v>46127</v>
      </c>
      <c r="D22" s="32">
        <v>3287</v>
      </c>
      <c r="E22" s="32">
        <v>338</v>
      </c>
      <c r="F22" s="32">
        <v>4</v>
      </c>
      <c r="G22" s="23">
        <v>1</v>
      </c>
      <c r="H22" s="23">
        <v>81462</v>
      </c>
      <c r="I22" s="32" t="s">
        <v>17</v>
      </c>
      <c r="J22" s="23">
        <v>51395758</v>
      </c>
      <c r="K22" s="23" t="s">
        <v>4529</v>
      </c>
      <c r="L22" s="43" t="s">
        <v>4531</v>
      </c>
      <c r="M22" s="24">
        <v>119900</v>
      </c>
      <c r="N22" s="20">
        <f t="shared" si="2"/>
        <v>0.75</v>
      </c>
      <c r="O22" s="83">
        <f t="shared" si="0"/>
        <v>29975</v>
      </c>
      <c r="P22" s="20" t="str">
        <f t="shared" si="3"/>
        <v>PERCENTAGE</v>
      </c>
    </row>
    <row r="23" spans="1:16" x14ac:dyDescent="0.35">
      <c r="A23" s="32" t="str">
        <f t="shared" si="4"/>
        <v>2025 JAN-JUN DISC 75% LICENSE ESS</v>
      </c>
      <c r="B23" s="33">
        <f t="shared" si="4"/>
        <v>46121</v>
      </c>
      <c r="C23" s="33">
        <f t="shared" si="4"/>
        <v>46127</v>
      </c>
      <c r="D23" s="32">
        <v>3287</v>
      </c>
      <c r="E23" s="32">
        <v>338</v>
      </c>
      <c r="F23" s="32">
        <v>4</v>
      </c>
      <c r="G23" s="23">
        <v>1</v>
      </c>
      <c r="H23" s="23">
        <v>81462</v>
      </c>
      <c r="I23" s="32" t="s">
        <v>17</v>
      </c>
      <c r="J23" s="23">
        <v>51395767</v>
      </c>
      <c r="K23" s="23" t="s">
        <v>4529</v>
      </c>
      <c r="L23" s="43" t="s">
        <v>4533</v>
      </c>
      <c r="M23" s="24">
        <v>119900</v>
      </c>
      <c r="N23" s="20">
        <f t="shared" si="2"/>
        <v>0.75</v>
      </c>
      <c r="O23" s="83">
        <f t="shared" si="0"/>
        <v>29975</v>
      </c>
      <c r="P23" s="20" t="str">
        <f t="shared" si="3"/>
        <v>PERCENTAGE</v>
      </c>
    </row>
    <row r="24" spans="1:16" x14ac:dyDescent="0.35">
      <c r="A24" s="32" t="str">
        <f t="shared" si="4"/>
        <v>2025 JAN-JUN DISC 75% LICENSE ESS</v>
      </c>
      <c r="B24" s="33">
        <f t="shared" si="4"/>
        <v>46121</v>
      </c>
      <c r="C24" s="33">
        <f t="shared" si="4"/>
        <v>46127</v>
      </c>
      <c r="D24" s="32">
        <v>3287</v>
      </c>
      <c r="E24" s="32">
        <v>338</v>
      </c>
      <c r="F24" s="32">
        <v>4</v>
      </c>
      <c r="G24" s="23">
        <v>1</v>
      </c>
      <c r="H24" s="23">
        <v>81462</v>
      </c>
      <c r="I24" s="32" t="s">
        <v>17</v>
      </c>
      <c r="J24" s="23">
        <v>51395776</v>
      </c>
      <c r="K24" s="23" t="s">
        <v>4529</v>
      </c>
      <c r="L24" s="43" t="s">
        <v>4532</v>
      </c>
      <c r="M24" s="24">
        <v>119900</v>
      </c>
      <c r="N24" s="20">
        <f t="shared" si="2"/>
        <v>0.75</v>
      </c>
      <c r="O24" s="83">
        <f t="shared" si="0"/>
        <v>29975</v>
      </c>
      <c r="P24" s="20" t="str">
        <f t="shared" si="3"/>
        <v>PERCENTAGE</v>
      </c>
    </row>
    <row r="25" spans="1:16" x14ac:dyDescent="0.35">
      <c r="A25" s="32" t="str">
        <f t="shared" si="4"/>
        <v>2025 JAN-JUN DISC 75% LICENSE ESS</v>
      </c>
      <c r="B25" s="33">
        <f t="shared" si="4"/>
        <v>46121</v>
      </c>
      <c r="C25" s="33">
        <f t="shared" si="4"/>
        <v>46127</v>
      </c>
      <c r="D25" s="32">
        <v>3287</v>
      </c>
      <c r="E25" s="32">
        <v>338</v>
      </c>
      <c r="F25" s="32">
        <v>4</v>
      </c>
      <c r="G25" s="23">
        <v>1</v>
      </c>
      <c r="H25" s="23">
        <v>81462</v>
      </c>
      <c r="I25" s="32" t="s">
        <v>17</v>
      </c>
      <c r="J25" s="23">
        <v>51395785</v>
      </c>
      <c r="K25" s="23" t="s">
        <v>4529</v>
      </c>
      <c r="L25" s="43" t="s">
        <v>4530</v>
      </c>
      <c r="M25" s="24">
        <v>119900</v>
      </c>
      <c r="N25" s="20">
        <f t="shared" si="2"/>
        <v>0.75</v>
      </c>
      <c r="O25" s="83">
        <f t="shared" si="0"/>
        <v>29975</v>
      </c>
      <c r="P25" s="20" t="str">
        <f t="shared" si="3"/>
        <v>PERCENTAGE</v>
      </c>
    </row>
    <row r="26" spans="1:16" x14ac:dyDescent="0.35">
      <c r="A26" s="32" t="str">
        <f t="shared" si="4"/>
        <v>2025 JAN-JUN DISC 75% LICENSE ESS</v>
      </c>
      <c r="B26" s="33">
        <f t="shared" si="4"/>
        <v>46121</v>
      </c>
      <c r="C26" s="33">
        <f t="shared" si="4"/>
        <v>46127</v>
      </c>
      <c r="D26" s="32">
        <v>3287</v>
      </c>
      <c r="E26" s="32">
        <v>338</v>
      </c>
      <c r="F26" s="32">
        <v>4</v>
      </c>
      <c r="G26" s="23">
        <v>1</v>
      </c>
      <c r="H26" s="23">
        <v>81462</v>
      </c>
      <c r="I26" s="32" t="s">
        <v>17</v>
      </c>
      <c r="J26" s="23">
        <v>51395712</v>
      </c>
      <c r="K26" s="23" t="s">
        <v>4524</v>
      </c>
      <c r="L26" s="43" t="s">
        <v>4527</v>
      </c>
      <c r="M26" s="24">
        <v>119900</v>
      </c>
      <c r="N26" s="20">
        <f t="shared" si="2"/>
        <v>0.75</v>
      </c>
      <c r="O26" s="83">
        <f t="shared" si="0"/>
        <v>29975</v>
      </c>
      <c r="P26" s="20" t="str">
        <f t="shared" si="3"/>
        <v>PERCENTAGE</v>
      </c>
    </row>
    <row r="27" spans="1:16" x14ac:dyDescent="0.35">
      <c r="A27" s="32" t="str">
        <f t="shared" si="4"/>
        <v>2025 JAN-JUN DISC 75% LICENSE ESS</v>
      </c>
      <c r="B27" s="33">
        <f t="shared" si="4"/>
        <v>46121</v>
      </c>
      <c r="C27" s="33">
        <f t="shared" si="4"/>
        <v>46127</v>
      </c>
      <c r="D27" s="32">
        <v>3287</v>
      </c>
      <c r="E27" s="32">
        <v>338</v>
      </c>
      <c r="F27" s="32">
        <v>4</v>
      </c>
      <c r="G27" s="23">
        <v>1</v>
      </c>
      <c r="H27" s="23">
        <v>81462</v>
      </c>
      <c r="I27" s="32" t="s">
        <v>17</v>
      </c>
      <c r="J27" s="23">
        <v>51395721</v>
      </c>
      <c r="K27" s="23" t="s">
        <v>4524</v>
      </c>
      <c r="L27" s="43" t="s">
        <v>4528</v>
      </c>
      <c r="M27" s="24">
        <v>119900</v>
      </c>
      <c r="N27" s="20">
        <f t="shared" si="2"/>
        <v>0.75</v>
      </c>
      <c r="O27" s="83">
        <f t="shared" si="0"/>
        <v>29975</v>
      </c>
      <c r="P27" s="20" t="str">
        <f t="shared" si="3"/>
        <v>PERCENTAGE</v>
      </c>
    </row>
    <row r="28" spans="1:16" x14ac:dyDescent="0.35">
      <c r="A28" s="32" t="str">
        <f t="shared" si="4"/>
        <v>2025 JAN-JUN DISC 75% LICENSE ESS</v>
      </c>
      <c r="B28" s="33">
        <f t="shared" si="4"/>
        <v>46121</v>
      </c>
      <c r="C28" s="33">
        <f t="shared" si="4"/>
        <v>46127</v>
      </c>
      <c r="D28" s="32">
        <v>3287</v>
      </c>
      <c r="E28" s="32">
        <v>338</v>
      </c>
      <c r="F28" s="32">
        <v>4</v>
      </c>
      <c r="G28" s="23">
        <v>1</v>
      </c>
      <c r="H28" s="23">
        <v>81462</v>
      </c>
      <c r="I28" s="32" t="s">
        <v>17</v>
      </c>
      <c r="J28" s="23">
        <v>51395730</v>
      </c>
      <c r="K28" s="23" t="s">
        <v>4524</v>
      </c>
      <c r="L28" s="43" t="s">
        <v>4525</v>
      </c>
      <c r="M28" s="24">
        <v>119900</v>
      </c>
      <c r="N28" s="20">
        <f t="shared" si="2"/>
        <v>0.75</v>
      </c>
      <c r="O28" s="83">
        <f t="shared" si="0"/>
        <v>29975</v>
      </c>
      <c r="P28" s="20" t="str">
        <f t="shared" si="3"/>
        <v>PERCENTAGE</v>
      </c>
    </row>
    <row r="29" spans="1:16" x14ac:dyDescent="0.35">
      <c r="A29" s="32" t="str">
        <f t="shared" si="4"/>
        <v>2025 JAN-JUN DISC 75% LICENSE ESS</v>
      </c>
      <c r="B29" s="33">
        <f t="shared" si="4"/>
        <v>46121</v>
      </c>
      <c r="C29" s="33">
        <f t="shared" si="4"/>
        <v>46127</v>
      </c>
      <c r="D29" s="32">
        <v>3287</v>
      </c>
      <c r="E29" s="32">
        <v>338</v>
      </c>
      <c r="F29" s="32">
        <v>4</v>
      </c>
      <c r="G29" s="23">
        <v>1</v>
      </c>
      <c r="H29" s="23">
        <v>81462</v>
      </c>
      <c r="I29" s="32" t="s">
        <v>17</v>
      </c>
      <c r="J29" s="23">
        <v>51395749</v>
      </c>
      <c r="K29" s="23" t="s">
        <v>4524</v>
      </c>
      <c r="L29" s="43" t="s">
        <v>4526</v>
      </c>
      <c r="M29" s="24">
        <v>119900</v>
      </c>
      <c r="N29" s="20">
        <f t="shared" si="2"/>
        <v>0.75</v>
      </c>
      <c r="O29" s="83">
        <f t="shared" si="0"/>
        <v>29975</v>
      </c>
      <c r="P29" s="20" t="str">
        <f t="shared" si="3"/>
        <v>PERCENTAGE</v>
      </c>
    </row>
    <row r="30" spans="1:16" x14ac:dyDescent="0.35">
      <c r="A30" s="32" t="str">
        <f t="shared" si="4"/>
        <v>2025 JAN-JUN DISC 75% LICENSE ESS</v>
      </c>
      <c r="B30" s="33">
        <f t="shared" si="4"/>
        <v>46121</v>
      </c>
      <c r="C30" s="33">
        <f t="shared" si="4"/>
        <v>46127</v>
      </c>
      <c r="D30" s="32">
        <v>3287</v>
      </c>
      <c r="E30" s="32">
        <v>338</v>
      </c>
      <c r="F30" s="32">
        <v>4</v>
      </c>
      <c r="G30" s="23">
        <v>1</v>
      </c>
      <c r="H30" s="23">
        <v>81462</v>
      </c>
      <c r="I30" s="32" t="s">
        <v>17</v>
      </c>
      <c r="J30" s="23">
        <v>51395632</v>
      </c>
      <c r="K30" s="23" t="s">
        <v>4519</v>
      </c>
      <c r="L30" s="43" t="s">
        <v>4520</v>
      </c>
      <c r="M30" s="24">
        <v>119900</v>
      </c>
      <c r="N30" s="20">
        <f t="shared" si="2"/>
        <v>0.75</v>
      </c>
      <c r="O30" s="83">
        <f t="shared" si="0"/>
        <v>29975</v>
      </c>
      <c r="P30" s="20" t="str">
        <f t="shared" si="3"/>
        <v>PERCENTAGE</v>
      </c>
    </row>
    <row r="31" spans="1:16" x14ac:dyDescent="0.35">
      <c r="A31" s="32" t="str">
        <f t="shared" si="4"/>
        <v>2025 JAN-JUN DISC 75% LICENSE ESS</v>
      </c>
      <c r="B31" s="33">
        <f t="shared" si="4"/>
        <v>46121</v>
      </c>
      <c r="C31" s="33">
        <f t="shared" si="4"/>
        <v>46127</v>
      </c>
      <c r="D31" s="32">
        <v>3287</v>
      </c>
      <c r="E31" s="32">
        <v>338</v>
      </c>
      <c r="F31" s="32">
        <v>4</v>
      </c>
      <c r="G31" s="23">
        <v>1</v>
      </c>
      <c r="H31" s="23">
        <v>81462</v>
      </c>
      <c r="I31" s="32" t="s">
        <v>17</v>
      </c>
      <c r="J31" s="23">
        <v>51395641</v>
      </c>
      <c r="K31" s="23" t="s">
        <v>4519</v>
      </c>
      <c r="L31" s="43" t="s">
        <v>4523</v>
      </c>
      <c r="M31" s="24">
        <v>119900</v>
      </c>
      <c r="N31" s="20">
        <f t="shared" si="2"/>
        <v>0.75</v>
      </c>
      <c r="O31" s="83">
        <f t="shared" si="0"/>
        <v>29975</v>
      </c>
      <c r="P31" s="20" t="str">
        <f t="shared" si="3"/>
        <v>PERCENTAGE</v>
      </c>
    </row>
    <row r="32" spans="1:16" x14ac:dyDescent="0.35">
      <c r="A32" s="32" t="str">
        <f t="shared" si="4"/>
        <v>2025 JAN-JUN DISC 75% LICENSE ESS</v>
      </c>
      <c r="B32" s="33">
        <f t="shared" si="4"/>
        <v>46121</v>
      </c>
      <c r="C32" s="33">
        <f t="shared" si="4"/>
        <v>46127</v>
      </c>
      <c r="D32" s="32">
        <v>3287</v>
      </c>
      <c r="E32" s="32">
        <v>338</v>
      </c>
      <c r="F32" s="32">
        <v>4</v>
      </c>
      <c r="G32" s="23">
        <v>1</v>
      </c>
      <c r="H32" s="23">
        <v>81462</v>
      </c>
      <c r="I32" s="32" t="s">
        <v>17</v>
      </c>
      <c r="J32" s="23">
        <v>51395650</v>
      </c>
      <c r="K32" s="23" t="s">
        <v>4519</v>
      </c>
      <c r="L32" s="43" t="s">
        <v>4522</v>
      </c>
      <c r="M32" s="24">
        <v>119900</v>
      </c>
      <c r="N32" s="20">
        <f t="shared" si="2"/>
        <v>0.75</v>
      </c>
      <c r="O32" s="83">
        <f t="shared" si="0"/>
        <v>29975</v>
      </c>
      <c r="P32" s="20" t="str">
        <f t="shared" si="3"/>
        <v>PERCENTAGE</v>
      </c>
    </row>
    <row r="33" spans="1:16" x14ac:dyDescent="0.35">
      <c r="A33" s="32" t="str">
        <f t="shared" si="4"/>
        <v>2025 JAN-JUN DISC 75% LICENSE ESS</v>
      </c>
      <c r="B33" s="33">
        <f t="shared" si="4"/>
        <v>46121</v>
      </c>
      <c r="C33" s="33">
        <f t="shared" si="4"/>
        <v>46127</v>
      </c>
      <c r="D33" s="32">
        <v>3287</v>
      </c>
      <c r="E33" s="32">
        <v>338</v>
      </c>
      <c r="F33" s="32">
        <v>4</v>
      </c>
      <c r="G33" s="23">
        <v>1</v>
      </c>
      <c r="H33" s="23">
        <v>81462</v>
      </c>
      <c r="I33" s="32" t="s">
        <v>17</v>
      </c>
      <c r="J33" s="23">
        <v>51395669</v>
      </c>
      <c r="K33" s="23" t="s">
        <v>4519</v>
      </c>
      <c r="L33" s="43" t="s">
        <v>4521</v>
      </c>
      <c r="M33" s="24">
        <v>119900</v>
      </c>
      <c r="N33" s="20">
        <f t="shared" si="2"/>
        <v>0.75</v>
      </c>
      <c r="O33" s="83">
        <f t="shared" si="0"/>
        <v>29975</v>
      </c>
      <c r="P33" s="20" t="str">
        <f t="shared" si="3"/>
        <v>PERCENTAGE</v>
      </c>
    </row>
    <row r="34" spans="1:16" x14ac:dyDescent="0.35">
      <c r="A34" s="32" t="str">
        <f t="shared" si="4"/>
        <v>2025 JAN-JUN DISC 75% LICENSE ESS</v>
      </c>
      <c r="B34" s="33">
        <f t="shared" si="4"/>
        <v>46121</v>
      </c>
      <c r="C34" s="33">
        <f t="shared" si="4"/>
        <v>46127</v>
      </c>
      <c r="D34" s="32">
        <v>3287</v>
      </c>
      <c r="E34" s="32">
        <v>338</v>
      </c>
      <c r="F34" s="32">
        <v>4</v>
      </c>
      <c r="G34" s="23">
        <v>7</v>
      </c>
      <c r="H34" s="23">
        <v>81827</v>
      </c>
      <c r="I34" s="32" t="s">
        <v>17</v>
      </c>
      <c r="J34" s="23">
        <v>51630467</v>
      </c>
      <c r="K34" s="23" t="s">
        <v>4534</v>
      </c>
      <c r="L34" s="43" t="s">
        <v>4535</v>
      </c>
      <c r="M34" s="24">
        <v>35900</v>
      </c>
      <c r="N34" s="20">
        <f t="shared" si="2"/>
        <v>0.75</v>
      </c>
      <c r="O34" s="83">
        <f t="shared" si="0"/>
        <v>8975</v>
      </c>
      <c r="P34" s="20" t="str">
        <f t="shared" si="3"/>
        <v>PERCENTAGE</v>
      </c>
    </row>
    <row r="35" spans="1:16" x14ac:dyDescent="0.35">
      <c r="A35" s="32" t="str">
        <f t="shared" si="4"/>
        <v>2025 JAN-JUN DISC 75% LICENSE ESS</v>
      </c>
      <c r="B35" s="33">
        <f t="shared" si="4"/>
        <v>46121</v>
      </c>
      <c r="C35" s="33">
        <f t="shared" si="4"/>
        <v>46127</v>
      </c>
      <c r="D35" s="32">
        <v>3287</v>
      </c>
      <c r="E35" s="32">
        <v>338</v>
      </c>
      <c r="F35" s="32">
        <v>4</v>
      </c>
      <c r="G35" s="23">
        <v>7</v>
      </c>
      <c r="H35" s="23">
        <v>81827</v>
      </c>
      <c r="I35" s="32" t="s">
        <v>17</v>
      </c>
      <c r="J35" s="23">
        <v>51630476</v>
      </c>
      <c r="K35" s="23" t="s">
        <v>4534</v>
      </c>
      <c r="L35" s="43" t="s">
        <v>4536</v>
      </c>
      <c r="M35" s="24">
        <v>35900</v>
      </c>
      <c r="N35" s="20">
        <f t="shared" si="2"/>
        <v>0.75</v>
      </c>
      <c r="O35" s="83">
        <f t="shared" si="0"/>
        <v>8975</v>
      </c>
      <c r="P35" s="20" t="str">
        <f t="shared" si="3"/>
        <v>PERCENTAGE</v>
      </c>
    </row>
    <row r="36" spans="1:16" x14ac:dyDescent="0.35">
      <c r="A36" s="32" t="str">
        <f t="shared" ref="A36:C51" si="5">A35</f>
        <v>2025 JAN-JUN DISC 75% LICENSE ESS</v>
      </c>
      <c r="B36" s="33">
        <f t="shared" si="5"/>
        <v>46121</v>
      </c>
      <c r="C36" s="33">
        <f t="shared" si="5"/>
        <v>46127</v>
      </c>
      <c r="D36" s="32">
        <v>3287</v>
      </c>
      <c r="E36" s="32">
        <v>338</v>
      </c>
      <c r="F36" s="32">
        <v>4</v>
      </c>
      <c r="G36" s="23">
        <v>7</v>
      </c>
      <c r="H36" s="23">
        <v>81827</v>
      </c>
      <c r="I36" s="32" t="s">
        <v>17</v>
      </c>
      <c r="J36" s="23">
        <v>51630403</v>
      </c>
      <c r="K36" s="23" t="s">
        <v>4574</v>
      </c>
      <c r="L36" s="43" t="s">
        <v>4575</v>
      </c>
      <c r="M36" s="24">
        <v>35900</v>
      </c>
      <c r="N36" s="20">
        <f t="shared" si="2"/>
        <v>0.75</v>
      </c>
      <c r="O36" s="83">
        <f t="shared" si="0"/>
        <v>8975</v>
      </c>
      <c r="P36" s="20" t="str">
        <f t="shared" si="3"/>
        <v>PERCENTAGE</v>
      </c>
    </row>
    <row r="37" spans="1:16" x14ac:dyDescent="0.35">
      <c r="A37" s="32" t="str">
        <f t="shared" si="5"/>
        <v>2025 JAN-JUN DISC 75% LICENSE ESS</v>
      </c>
      <c r="B37" s="33">
        <f t="shared" si="5"/>
        <v>46121</v>
      </c>
      <c r="C37" s="33">
        <f t="shared" si="5"/>
        <v>46127</v>
      </c>
      <c r="D37" s="32">
        <v>3287</v>
      </c>
      <c r="E37" s="32">
        <v>338</v>
      </c>
      <c r="F37" s="32">
        <v>4</v>
      </c>
      <c r="G37" s="23">
        <v>7</v>
      </c>
      <c r="H37" s="23">
        <v>81827</v>
      </c>
      <c r="I37" s="32" t="s">
        <v>17</v>
      </c>
      <c r="J37" s="23">
        <v>51630412</v>
      </c>
      <c r="K37" s="23" t="s">
        <v>4574</v>
      </c>
      <c r="L37" s="43" t="s">
        <v>4576</v>
      </c>
      <c r="M37" s="24">
        <v>35900</v>
      </c>
      <c r="N37" s="20">
        <f t="shared" si="2"/>
        <v>0.75</v>
      </c>
      <c r="O37" s="83">
        <f t="shared" si="0"/>
        <v>8975</v>
      </c>
      <c r="P37" s="20" t="str">
        <f t="shared" si="3"/>
        <v>PERCENTAGE</v>
      </c>
    </row>
    <row r="38" spans="1:16" x14ac:dyDescent="0.35">
      <c r="A38" s="32" t="str">
        <f t="shared" si="5"/>
        <v>2025 JAN-JUN DISC 75% LICENSE ESS</v>
      </c>
      <c r="B38" s="33">
        <f t="shared" si="5"/>
        <v>46121</v>
      </c>
      <c r="C38" s="33">
        <f t="shared" si="5"/>
        <v>46127</v>
      </c>
      <c r="D38" s="32">
        <v>3287</v>
      </c>
      <c r="E38" s="32">
        <v>338</v>
      </c>
      <c r="F38" s="32">
        <v>4</v>
      </c>
      <c r="G38" s="23">
        <v>7</v>
      </c>
      <c r="H38" s="23">
        <v>81827</v>
      </c>
      <c r="I38" s="32" t="s">
        <v>17</v>
      </c>
      <c r="J38" s="23">
        <v>51630485</v>
      </c>
      <c r="K38" s="23" t="s">
        <v>4537</v>
      </c>
      <c r="L38" s="43" t="s">
        <v>4538</v>
      </c>
      <c r="M38" s="24">
        <v>35900</v>
      </c>
      <c r="N38" s="20">
        <f t="shared" si="2"/>
        <v>0.75</v>
      </c>
      <c r="O38" s="83">
        <f t="shared" si="0"/>
        <v>8975</v>
      </c>
      <c r="P38" s="20" t="str">
        <f t="shared" si="3"/>
        <v>PERCENTAGE</v>
      </c>
    </row>
    <row r="39" spans="1:16" x14ac:dyDescent="0.35">
      <c r="A39" s="32" t="str">
        <f t="shared" si="5"/>
        <v>2025 JAN-JUN DISC 75% LICENSE ESS</v>
      </c>
      <c r="B39" s="33">
        <f t="shared" si="5"/>
        <v>46121</v>
      </c>
      <c r="C39" s="33">
        <f t="shared" si="5"/>
        <v>46127</v>
      </c>
      <c r="D39" s="32">
        <v>3287</v>
      </c>
      <c r="E39" s="32">
        <v>338</v>
      </c>
      <c r="F39" s="32">
        <v>4</v>
      </c>
      <c r="G39" s="23">
        <v>7</v>
      </c>
      <c r="H39" s="23">
        <v>81827</v>
      </c>
      <c r="I39" s="32" t="s">
        <v>17</v>
      </c>
      <c r="J39" s="23">
        <v>51630494</v>
      </c>
      <c r="K39" s="23" t="s">
        <v>4537</v>
      </c>
      <c r="L39" s="43" t="s">
        <v>4539</v>
      </c>
      <c r="M39" s="24">
        <v>35900</v>
      </c>
      <c r="N39" s="20">
        <f t="shared" si="2"/>
        <v>0.75</v>
      </c>
      <c r="O39" s="83">
        <f t="shared" si="0"/>
        <v>8975</v>
      </c>
      <c r="P39" s="20" t="str">
        <f t="shared" si="3"/>
        <v>PERCENTAGE</v>
      </c>
    </row>
    <row r="40" spans="1:16" x14ac:dyDescent="0.35">
      <c r="A40" s="32" t="str">
        <f t="shared" si="5"/>
        <v>2025 JAN-JUN DISC 75% LICENSE ESS</v>
      </c>
      <c r="B40" s="33">
        <f t="shared" si="5"/>
        <v>46121</v>
      </c>
      <c r="C40" s="33">
        <f t="shared" si="5"/>
        <v>46127</v>
      </c>
      <c r="D40" s="32">
        <v>3287</v>
      </c>
      <c r="E40" s="32">
        <v>338</v>
      </c>
      <c r="F40" s="32">
        <v>4</v>
      </c>
      <c r="G40" s="23">
        <v>7</v>
      </c>
      <c r="H40" s="23">
        <v>81827</v>
      </c>
      <c r="I40" s="32" t="s">
        <v>17</v>
      </c>
      <c r="J40" s="23">
        <v>51630421</v>
      </c>
      <c r="K40" s="23" t="s">
        <v>4577</v>
      </c>
      <c r="L40" s="43" t="s">
        <v>4578</v>
      </c>
      <c r="M40" s="24">
        <v>35900</v>
      </c>
      <c r="N40" s="20">
        <f t="shared" si="2"/>
        <v>0.75</v>
      </c>
      <c r="O40" s="83">
        <f t="shared" si="0"/>
        <v>8975</v>
      </c>
      <c r="P40" s="20" t="str">
        <f t="shared" si="3"/>
        <v>PERCENTAGE</v>
      </c>
    </row>
    <row r="41" spans="1:16" x14ac:dyDescent="0.35">
      <c r="A41" s="32" t="str">
        <f t="shared" si="5"/>
        <v>2025 JAN-JUN DISC 75% LICENSE ESS</v>
      </c>
      <c r="B41" s="33">
        <f t="shared" si="5"/>
        <v>46121</v>
      </c>
      <c r="C41" s="33">
        <f t="shared" si="5"/>
        <v>46127</v>
      </c>
      <c r="D41" s="32">
        <v>3287</v>
      </c>
      <c r="E41" s="32">
        <v>338</v>
      </c>
      <c r="F41" s="32">
        <v>4</v>
      </c>
      <c r="G41" s="23">
        <v>7</v>
      </c>
      <c r="H41" s="23">
        <v>81827</v>
      </c>
      <c r="I41" s="32" t="s">
        <v>17</v>
      </c>
      <c r="J41" s="23">
        <v>51630430</v>
      </c>
      <c r="K41" s="23" t="s">
        <v>4577</v>
      </c>
      <c r="L41" s="43" t="s">
        <v>4579</v>
      </c>
      <c r="M41" s="24">
        <v>35900</v>
      </c>
      <c r="N41" s="20">
        <f t="shared" si="2"/>
        <v>0.75</v>
      </c>
      <c r="O41" s="83">
        <f t="shared" si="0"/>
        <v>8975</v>
      </c>
      <c r="P41" s="20" t="str">
        <f t="shared" si="3"/>
        <v>PERCENTAGE</v>
      </c>
    </row>
    <row r="42" spans="1:16" x14ac:dyDescent="0.35">
      <c r="A42" s="32" t="str">
        <f t="shared" si="5"/>
        <v>2025 JAN-JUN DISC 75% LICENSE ESS</v>
      </c>
      <c r="B42" s="33">
        <f t="shared" si="5"/>
        <v>46121</v>
      </c>
      <c r="C42" s="33">
        <f t="shared" si="5"/>
        <v>46127</v>
      </c>
      <c r="D42" s="32">
        <v>3287</v>
      </c>
      <c r="E42" s="32">
        <v>338</v>
      </c>
      <c r="F42" s="32">
        <v>4</v>
      </c>
      <c r="G42" s="23">
        <v>3</v>
      </c>
      <c r="H42" s="23">
        <v>81462</v>
      </c>
      <c r="I42" s="32" t="s">
        <v>17</v>
      </c>
      <c r="J42" s="23">
        <v>51943110</v>
      </c>
      <c r="K42" s="23" t="s">
        <v>4773</v>
      </c>
      <c r="L42" s="43" t="s">
        <v>4776</v>
      </c>
      <c r="M42" s="24">
        <v>119900</v>
      </c>
      <c r="N42" s="20">
        <f t="shared" si="2"/>
        <v>0.75</v>
      </c>
      <c r="O42" s="83">
        <f t="shared" si="0"/>
        <v>29975</v>
      </c>
      <c r="P42" s="20" t="str">
        <f t="shared" si="3"/>
        <v>PERCENTAGE</v>
      </c>
    </row>
    <row r="43" spans="1:16" x14ac:dyDescent="0.35">
      <c r="A43" s="32" t="str">
        <f t="shared" si="5"/>
        <v>2025 JAN-JUN DISC 75% LICENSE ESS</v>
      </c>
      <c r="B43" s="33">
        <f t="shared" si="5"/>
        <v>46121</v>
      </c>
      <c r="C43" s="33">
        <f t="shared" si="5"/>
        <v>46127</v>
      </c>
      <c r="D43" s="32">
        <v>3287</v>
      </c>
      <c r="E43" s="32">
        <v>338</v>
      </c>
      <c r="F43" s="32">
        <v>4</v>
      </c>
      <c r="G43" s="23">
        <v>3</v>
      </c>
      <c r="H43" s="23">
        <v>81462</v>
      </c>
      <c r="I43" s="32" t="s">
        <v>17</v>
      </c>
      <c r="J43" s="23">
        <v>51943129</v>
      </c>
      <c r="K43" s="23" t="s">
        <v>4773</v>
      </c>
      <c r="L43" s="43" t="s">
        <v>4774</v>
      </c>
      <c r="M43" s="24">
        <v>119900</v>
      </c>
      <c r="N43" s="20">
        <f t="shared" si="2"/>
        <v>0.75</v>
      </c>
      <c r="O43" s="83">
        <f t="shared" si="0"/>
        <v>29975</v>
      </c>
      <c r="P43" s="20" t="str">
        <f t="shared" si="3"/>
        <v>PERCENTAGE</v>
      </c>
    </row>
    <row r="44" spans="1:16" x14ac:dyDescent="0.35">
      <c r="A44" s="32" t="str">
        <f t="shared" si="5"/>
        <v>2025 JAN-JUN DISC 75% LICENSE ESS</v>
      </c>
      <c r="B44" s="33">
        <f t="shared" si="5"/>
        <v>46121</v>
      </c>
      <c r="C44" s="33">
        <f t="shared" si="5"/>
        <v>46127</v>
      </c>
      <c r="D44" s="32">
        <v>3287</v>
      </c>
      <c r="E44" s="32">
        <v>338</v>
      </c>
      <c r="F44" s="32">
        <v>4</v>
      </c>
      <c r="G44" s="23">
        <v>3</v>
      </c>
      <c r="H44" s="23">
        <v>81462</v>
      </c>
      <c r="I44" s="32" t="s">
        <v>17</v>
      </c>
      <c r="J44" s="23">
        <v>51943138</v>
      </c>
      <c r="K44" s="23" t="s">
        <v>4773</v>
      </c>
      <c r="L44" s="43" t="s">
        <v>4777</v>
      </c>
      <c r="M44" s="24">
        <v>119900</v>
      </c>
      <c r="N44" s="20">
        <f t="shared" si="2"/>
        <v>0.75</v>
      </c>
      <c r="O44" s="83">
        <f t="shared" si="0"/>
        <v>29975</v>
      </c>
      <c r="P44" s="20" t="str">
        <f t="shared" si="3"/>
        <v>PERCENTAGE</v>
      </c>
    </row>
    <row r="45" spans="1:16" x14ac:dyDescent="0.35">
      <c r="A45" s="32" t="str">
        <f t="shared" si="5"/>
        <v>2025 JAN-JUN DISC 75% LICENSE ESS</v>
      </c>
      <c r="B45" s="33">
        <f t="shared" si="5"/>
        <v>46121</v>
      </c>
      <c r="C45" s="33">
        <f t="shared" si="5"/>
        <v>46127</v>
      </c>
      <c r="D45" s="32">
        <v>3287</v>
      </c>
      <c r="E45" s="32">
        <v>338</v>
      </c>
      <c r="F45" s="32">
        <v>4</v>
      </c>
      <c r="G45" s="23">
        <v>3</v>
      </c>
      <c r="H45" s="23">
        <v>81462</v>
      </c>
      <c r="I45" s="32" t="s">
        <v>17</v>
      </c>
      <c r="J45" s="23">
        <v>51943147</v>
      </c>
      <c r="K45" s="23" t="s">
        <v>4773</v>
      </c>
      <c r="L45" s="43" t="s">
        <v>4775</v>
      </c>
      <c r="M45" s="24">
        <v>119900</v>
      </c>
      <c r="N45" s="20">
        <f t="shared" si="2"/>
        <v>0.75</v>
      </c>
      <c r="O45" s="83">
        <f t="shared" si="0"/>
        <v>29975</v>
      </c>
      <c r="P45" s="20" t="str">
        <f t="shared" si="3"/>
        <v>PERCENTAGE</v>
      </c>
    </row>
    <row r="46" spans="1:16" x14ac:dyDescent="0.35">
      <c r="A46" s="32" t="str">
        <f t="shared" si="5"/>
        <v>2025 JAN-JUN DISC 75% LICENSE ESS</v>
      </c>
      <c r="B46" s="33">
        <f t="shared" si="5"/>
        <v>46121</v>
      </c>
      <c r="C46" s="33">
        <f t="shared" si="5"/>
        <v>46127</v>
      </c>
      <c r="D46" s="32">
        <v>3287</v>
      </c>
      <c r="E46" s="32">
        <v>338</v>
      </c>
      <c r="F46" s="32">
        <v>4</v>
      </c>
      <c r="G46" s="23">
        <v>3</v>
      </c>
      <c r="H46" s="23">
        <v>81574</v>
      </c>
      <c r="I46" s="32" t="s">
        <v>17</v>
      </c>
      <c r="J46" s="23">
        <v>51395874</v>
      </c>
      <c r="K46" s="23" t="s">
        <v>4569</v>
      </c>
      <c r="L46" s="43" t="s">
        <v>4573</v>
      </c>
      <c r="M46" s="24">
        <v>119900</v>
      </c>
      <c r="N46" s="20">
        <f t="shared" si="2"/>
        <v>0.75</v>
      </c>
      <c r="O46" s="83">
        <f t="shared" si="0"/>
        <v>29975</v>
      </c>
      <c r="P46" s="20" t="str">
        <f t="shared" si="3"/>
        <v>PERCENTAGE</v>
      </c>
    </row>
    <row r="47" spans="1:16" x14ac:dyDescent="0.35">
      <c r="A47" s="32" t="str">
        <f t="shared" si="5"/>
        <v>2025 JAN-JUN DISC 75% LICENSE ESS</v>
      </c>
      <c r="B47" s="33">
        <f t="shared" si="5"/>
        <v>46121</v>
      </c>
      <c r="C47" s="33">
        <f t="shared" si="5"/>
        <v>46127</v>
      </c>
      <c r="D47" s="32">
        <v>3287</v>
      </c>
      <c r="E47" s="32">
        <v>338</v>
      </c>
      <c r="F47" s="32">
        <v>4</v>
      </c>
      <c r="G47" s="23">
        <v>3</v>
      </c>
      <c r="H47" s="23">
        <v>81574</v>
      </c>
      <c r="I47" s="32" t="s">
        <v>17</v>
      </c>
      <c r="J47" s="23">
        <v>51395883</v>
      </c>
      <c r="K47" s="23" t="s">
        <v>4569</v>
      </c>
      <c r="L47" s="43" t="s">
        <v>4572</v>
      </c>
      <c r="M47" s="24">
        <v>119900</v>
      </c>
      <c r="N47" s="20">
        <f t="shared" si="2"/>
        <v>0.75</v>
      </c>
      <c r="O47" s="83">
        <f t="shared" si="0"/>
        <v>29975</v>
      </c>
      <c r="P47" s="20" t="str">
        <f t="shared" si="3"/>
        <v>PERCENTAGE</v>
      </c>
    </row>
    <row r="48" spans="1:16" x14ac:dyDescent="0.35">
      <c r="A48" s="32" t="str">
        <f t="shared" si="5"/>
        <v>2025 JAN-JUN DISC 75% LICENSE ESS</v>
      </c>
      <c r="B48" s="33">
        <f t="shared" si="5"/>
        <v>46121</v>
      </c>
      <c r="C48" s="33">
        <f t="shared" si="5"/>
        <v>46127</v>
      </c>
      <c r="D48" s="32">
        <v>3287</v>
      </c>
      <c r="E48" s="32">
        <v>338</v>
      </c>
      <c r="F48" s="32">
        <v>4</v>
      </c>
      <c r="G48" s="23">
        <v>3</v>
      </c>
      <c r="H48" s="23">
        <v>81574</v>
      </c>
      <c r="I48" s="32" t="s">
        <v>17</v>
      </c>
      <c r="J48" s="23">
        <v>51395892</v>
      </c>
      <c r="K48" s="23" t="s">
        <v>4569</v>
      </c>
      <c r="L48" s="43" t="s">
        <v>4571</v>
      </c>
      <c r="M48" s="24">
        <v>119900</v>
      </c>
      <c r="N48" s="20">
        <f t="shared" si="2"/>
        <v>0.75</v>
      </c>
      <c r="O48" s="83">
        <f t="shared" si="0"/>
        <v>29975</v>
      </c>
      <c r="P48" s="20" t="str">
        <f t="shared" si="3"/>
        <v>PERCENTAGE</v>
      </c>
    </row>
    <row r="49" spans="1:16" x14ac:dyDescent="0.35">
      <c r="A49" s="32" t="str">
        <f t="shared" si="5"/>
        <v>2025 JAN-JUN DISC 75% LICENSE ESS</v>
      </c>
      <c r="B49" s="33">
        <f t="shared" si="5"/>
        <v>46121</v>
      </c>
      <c r="C49" s="33">
        <f t="shared" si="5"/>
        <v>46127</v>
      </c>
      <c r="D49" s="32">
        <v>3287</v>
      </c>
      <c r="E49" s="32">
        <v>338</v>
      </c>
      <c r="F49" s="32">
        <v>4</v>
      </c>
      <c r="G49" s="23">
        <v>3</v>
      </c>
      <c r="H49" s="23">
        <v>81574</v>
      </c>
      <c r="I49" s="32" t="s">
        <v>17</v>
      </c>
      <c r="J49" s="23">
        <v>51395909</v>
      </c>
      <c r="K49" s="23" t="s">
        <v>4569</v>
      </c>
      <c r="L49" s="43" t="s">
        <v>4570</v>
      </c>
      <c r="M49" s="24">
        <v>119900</v>
      </c>
      <c r="N49" s="20">
        <f t="shared" si="2"/>
        <v>0.75</v>
      </c>
      <c r="O49" s="83">
        <f t="shared" si="0"/>
        <v>29975</v>
      </c>
      <c r="P49" s="20" t="str">
        <f t="shared" si="3"/>
        <v>PERCENTAGE</v>
      </c>
    </row>
    <row r="50" spans="1:16" x14ac:dyDescent="0.35">
      <c r="A50" s="32" t="str">
        <f t="shared" si="5"/>
        <v>2025 JAN-JUN DISC 75% LICENSE ESS</v>
      </c>
      <c r="B50" s="33">
        <f t="shared" si="5"/>
        <v>46121</v>
      </c>
      <c r="C50" s="33">
        <f t="shared" si="5"/>
        <v>46127</v>
      </c>
      <c r="D50" s="32">
        <v>3287</v>
      </c>
      <c r="E50" s="32">
        <v>338</v>
      </c>
      <c r="F50" s="32">
        <v>4</v>
      </c>
      <c r="G50" s="23">
        <v>3</v>
      </c>
      <c r="H50" s="23">
        <v>81574</v>
      </c>
      <c r="I50" s="32" t="s">
        <v>17</v>
      </c>
      <c r="J50" s="23">
        <v>51395918</v>
      </c>
      <c r="K50" s="23" t="s">
        <v>4564</v>
      </c>
      <c r="L50" s="43" t="s">
        <v>4565</v>
      </c>
      <c r="M50" s="24">
        <v>119900</v>
      </c>
      <c r="N50" s="20">
        <f t="shared" si="2"/>
        <v>0.75</v>
      </c>
      <c r="O50" s="83">
        <f t="shared" si="0"/>
        <v>29975</v>
      </c>
      <c r="P50" s="20" t="str">
        <f t="shared" si="3"/>
        <v>PERCENTAGE</v>
      </c>
    </row>
    <row r="51" spans="1:16" x14ac:dyDescent="0.35">
      <c r="A51" s="32" t="str">
        <f t="shared" si="5"/>
        <v>2025 JAN-JUN DISC 75% LICENSE ESS</v>
      </c>
      <c r="B51" s="33">
        <f t="shared" si="5"/>
        <v>46121</v>
      </c>
      <c r="C51" s="33">
        <f t="shared" si="5"/>
        <v>46127</v>
      </c>
      <c r="D51" s="32">
        <v>3287</v>
      </c>
      <c r="E51" s="32">
        <v>338</v>
      </c>
      <c r="F51" s="32">
        <v>4</v>
      </c>
      <c r="G51" s="23">
        <v>3</v>
      </c>
      <c r="H51" s="23">
        <v>81574</v>
      </c>
      <c r="I51" s="32" t="s">
        <v>17</v>
      </c>
      <c r="J51" s="23">
        <v>51395927</v>
      </c>
      <c r="K51" s="23" t="s">
        <v>4564</v>
      </c>
      <c r="L51" s="43" t="s">
        <v>4567</v>
      </c>
      <c r="M51" s="24">
        <v>119900</v>
      </c>
      <c r="N51" s="20">
        <f t="shared" si="2"/>
        <v>0.75</v>
      </c>
      <c r="O51" s="83">
        <f t="shared" si="0"/>
        <v>29975</v>
      </c>
      <c r="P51" s="20" t="str">
        <f t="shared" si="3"/>
        <v>PERCENTAGE</v>
      </c>
    </row>
    <row r="52" spans="1:16" x14ac:dyDescent="0.35">
      <c r="A52" s="32" t="str">
        <f t="shared" ref="A52:C67" si="6">A51</f>
        <v>2025 JAN-JUN DISC 75% LICENSE ESS</v>
      </c>
      <c r="B52" s="33">
        <f t="shared" si="6"/>
        <v>46121</v>
      </c>
      <c r="C52" s="33">
        <f t="shared" si="6"/>
        <v>46127</v>
      </c>
      <c r="D52" s="32">
        <v>3287</v>
      </c>
      <c r="E52" s="32">
        <v>338</v>
      </c>
      <c r="F52" s="32">
        <v>4</v>
      </c>
      <c r="G52" s="23">
        <v>3</v>
      </c>
      <c r="H52" s="23">
        <v>81574</v>
      </c>
      <c r="I52" s="32" t="s">
        <v>17</v>
      </c>
      <c r="J52" s="23">
        <v>51395936</v>
      </c>
      <c r="K52" s="23" t="s">
        <v>4564</v>
      </c>
      <c r="L52" s="43" t="s">
        <v>4566</v>
      </c>
      <c r="M52" s="24">
        <v>119900</v>
      </c>
      <c r="N52" s="20">
        <f t="shared" si="2"/>
        <v>0.75</v>
      </c>
      <c r="O52" s="83">
        <f t="shared" si="0"/>
        <v>29975</v>
      </c>
      <c r="P52" s="20" t="str">
        <f t="shared" si="3"/>
        <v>PERCENTAGE</v>
      </c>
    </row>
    <row r="53" spans="1:16" x14ac:dyDescent="0.35">
      <c r="A53" s="32" t="str">
        <f t="shared" si="6"/>
        <v>2025 JAN-JUN DISC 75% LICENSE ESS</v>
      </c>
      <c r="B53" s="33">
        <f t="shared" si="6"/>
        <v>46121</v>
      </c>
      <c r="C53" s="33">
        <f t="shared" si="6"/>
        <v>46127</v>
      </c>
      <c r="D53" s="32">
        <v>3287</v>
      </c>
      <c r="E53" s="32">
        <v>338</v>
      </c>
      <c r="F53" s="32">
        <v>4</v>
      </c>
      <c r="G53" s="23">
        <v>3</v>
      </c>
      <c r="H53" s="23">
        <v>81574</v>
      </c>
      <c r="I53" s="32" t="s">
        <v>17</v>
      </c>
      <c r="J53" s="23">
        <v>51395945</v>
      </c>
      <c r="K53" s="23" t="s">
        <v>4564</v>
      </c>
      <c r="L53" s="43" t="s">
        <v>4568</v>
      </c>
      <c r="M53" s="24">
        <v>119900</v>
      </c>
      <c r="N53" s="20">
        <f t="shared" si="2"/>
        <v>0.75</v>
      </c>
      <c r="O53" s="83">
        <f t="shared" si="0"/>
        <v>29975</v>
      </c>
      <c r="P53" s="20" t="str">
        <f t="shared" si="3"/>
        <v>PERCENTAGE</v>
      </c>
    </row>
    <row r="54" spans="1:16" x14ac:dyDescent="0.35">
      <c r="A54" s="32" t="str">
        <f t="shared" si="6"/>
        <v>2025 JAN-JUN DISC 75% LICENSE ESS</v>
      </c>
      <c r="B54" s="33">
        <f t="shared" si="6"/>
        <v>46121</v>
      </c>
      <c r="C54" s="33">
        <f t="shared" si="6"/>
        <v>46127</v>
      </c>
      <c r="D54" s="32">
        <v>3287</v>
      </c>
      <c r="E54" s="32">
        <v>338</v>
      </c>
      <c r="F54" s="32">
        <v>4</v>
      </c>
      <c r="G54" s="23">
        <v>7</v>
      </c>
      <c r="H54" s="23">
        <v>81827</v>
      </c>
      <c r="I54" s="32" t="s">
        <v>17</v>
      </c>
      <c r="J54" s="23">
        <v>51630547</v>
      </c>
      <c r="K54" s="23" t="s">
        <v>4552</v>
      </c>
      <c r="L54" s="43" t="s">
        <v>4553</v>
      </c>
      <c r="M54" s="24">
        <v>35900</v>
      </c>
      <c r="N54" s="20">
        <f t="shared" si="2"/>
        <v>0.75</v>
      </c>
      <c r="O54" s="83">
        <f t="shared" si="0"/>
        <v>8975</v>
      </c>
      <c r="P54" s="20" t="str">
        <f t="shared" si="3"/>
        <v>PERCENTAGE</v>
      </c>
    </row>
    <row r="55" spans="1:16" x14ac:dyDescent="0.35">
      <c r="A55" s="32" t="str">
        <f t="shared" si="6"/>
        <v>2025 JAN-JUN DISC 75% LICENSE ESS</v>
      </c>
      <c r="B55" s="33">
        <f t="shared" si="6"/>
        <v>46121</v>
      </c>
      <c r="C55" s="33">
        <f t="shared" si="6"/>
        <v>46127</v>
      </c>
      <c r="D55" s="32">
        <v>3287</v>
      </c>
      <c r="E55" s="32">
        <v>338</v>
      </c>
      <c r="F55" s="32">
        <v>4</v>
      </c>
      <c r="G55" s="23">
        <v>7</v>
      </c>
      <c r="H55" s="23">
        <v>81827</v>
      </c>
      <c r="I55" s="32" t="s">
        <v>17</v>
      </c>
      <c r="J55" s="23">
        <v>51630556</v>
      </c>
      <c r="K55" s="23" t="s">
        <v>4552</v>
      </c>
      <c r="L55" s="43" t="s">
        <v>4554</v>
      </c>
      <c r="M55" s="24">
        <v>35900</v>
      </c>
      <c r="N55" s="20">
        <f t="shared" si="2"/>
        <v>0.75</v>
      </c>
      <c r="O55" s="83">
        <f t="shared" si="0"/>
        <v>8975</v>
      </c>
      <c r="P55" s="20" t="str">
        <f t="shared" si="3"/>
        <v>PERCENTAGE</v>
      </c>
    </row>
    <row r="56" spans="1:16" x14ac:dyDescent="0.35">
      <c r="A56" s="32" t="str">
        <f t="shared" si="6"/>
        <v>2025 JAN-JUN DISC 75% LICENSE ESS</v>
      </c>
      <c r="B56" s="33">
        <f t="shared" si="6"/>
        <v>46121</v>
      </c>
      <c r="C56" s="33">
        <f t="shared" si="6"/>
        <v>46127</v>
      </c>
      <c r="D56" s="32">
        <v>3287</v>
      </c>
      <c r="E56" s="32">
        <v>338</v>
      </c>
      <c r="F56" s="32">
        <v>4</v>
      </c>
      <c r="G56" s="23">
        <v>7</v>
      </c>
      <c r="H56" s="23">
        <v>81827</v>
      </c>
      <c r="I56" s="32" t="s">
        <v>17</v>
      </c>
      <c r="J56" s="23">
        <v>51630583</v>
      </c>
      <c r="K56" s="23" t="s">
        <v>4549</v>
      </c>
      <c r="L56" s="43" t="s">
        <v>4551</v>
      </c>
      <c r="M56" s="24">
        <v>35900</v>
      </c>
      <c r="N56" s="20">
        <f t="shared" si="2"/>
        <v>0.75</v>
      </c>
      <c r="O56" s="83">
        <f t="shared" si="0"/>
        <v>8975</v>
      </c>
      <c r="P56" s="20" t="str">
        <f t="shared" si="3"/>
        <v>PERCENTAGE</v>
      </c>
    </row>
    <row r="57" spans="1:16" x14ac:dyDescent="0.35">
      <c r="A57" s="32" t="str">
        <f t="shared" si="6"/>
        <v>2025 JAN-JUN DISC 75% LICENSE ESS</v>
      </c>
      <c r="B57" s="33">
        <f t="shared" si="6"/>
        <v>46121</v>
      </c>
      <c r="C57" s="33">
        <f t="shared" si="6"/>
        <v>46127</v>
      </c>
      <c r="D57" s="32">
        <v>3287</v>
      </c>
      <c r="E57" s="32">
        <v>338</v>
      </c>
      <c r="F57" s="32">
        <v>4</v>
      </c>
      <c r="G57" s="23">
        <v>7</v>
      </c>
      <c r="H57" s="23">
        <v>81827</v>
      </c>
      <c r="I57" s="32" t="s">
        <v>17</v>
      </c>
      <c r="J57" s="23">
        <v>51630592</v>
      </c>
      <c r="K57" s="23" t="s">
        <v>4549</v>
      </c>
      <c r="L57" s="43" t="s">
        <v>4550</v>
      </c>
      <c r="M57" s="24">
        <v>35900</v>
      </c>
      <c r="N57" s="20">
        <f t="shared" si="2"/>
        <v>0.75</v>
      </c>
      <c r="O57" s="83">
        <f t="shared" si="0"/>
        <v>8975</v>
      </c>
      <c r="P57" s="20" t="str">
        <f t="shared" si="3"/>
        <v>PERCENTAGE</v>
      </c>
    </row>
    <row r="58" spans="1:16" x14ac:dyDescent="0.35">
      <c r="A58" s="32" t="str">
        <f t="shared" si="6"/>
        <v>2025 JAN-JUN DISC 75% LICENSE ESS</v>
      </c>
      <c r="B58" s="33">
        <f t="shared" si="6"/>
        <v>46121</v>
      </c>
      <c r="C58" s="33">
        <f t="shared" si="6"/>
        <v>46127</v>
      </c>
      <c r="D58" s="32">
        <v>3287</v>
      </c>
      <c r="E58" s="32">
        <v>338</v>
      </c>
      <c r="F58" s="32">
        <v>4</v>
      </c>
      <c r="G58" s="23">
        <v>7</v>
      </c>
      <c r="H58" s="23">
        <v>81827</v>
      </c>
      <c r="I58" s="32" t="s">
        <v>17</v>
      </c>
      <c r="J58" s="23">
        <v>51630707</v>
      </c>
      <c r="K58" s="23" t="s">
        <v>4543</v>
      </c>
      <c r="L58" s="43" t="s">
        <v>4545</v>
      </c>
      <c r="M58" s="24">
        <v>35900</v>
      </c>
      <c r="N58" s="20">
        <f t="shared" si="2"/>
        <v>0.75</v>
      </c>
      <c r="O58" s="83">
        <f t="shared" si="0"/>
        <v>8975</v>
      </c>
      <c r="P58" s="20" t="str">
        <f t="shared" si="3"/>
        <v>PERCENTAGE</v>
      </c>
    </row>
    <row r="59" spans="1:16" x14ac:dyDescent="0.35">
      <c r="A59" s="32" t="str">
        <f t="shared" si="6"/>
        <v>2025 JAN-JUN DISC 75% LICENSE ESS</v>
      </c>
      <c r="B59" s="33">
        <f t="shared" si="6"/>
        <v>46121</v>
      </c>
      <c r="C59" s="33">
        <f t="shared" si="6"/>
        <v>46127</v>
      </c>
      <c r="D59" s="32">
        <v>3287</v>
      </c>
      <c r="E59" s="32">
        <v>338</v>
      </c>
      <c r="F59" s="32">
        <v>4</v>
      </c>
      <c r="G59" s="23">
        <v>7</v>
      </c>
      <c r="H59" s="23">
        <v>81827</v>
      </c>
      <c r="I59" s="32" t="s">
        <v>17</v>
      </c>
      <c r="J59" s="23">
        <v>51630716</v>
      </c>
      <c r="K59" s="23" t="s">
        <v>4543</v>
      </c>
      <c r="L59" s="43" t="s">
        <v>4544</v>
      </c>
      <c r="M59" s="24">
        <v>35900</v>
      </c>
      <c r="N59" s="20">
        <f t="shared" si="2"/>
        <v>0.75</v>
      </c>
      <c r="O59" s="83">
        <f t="shared" si="0"/>
        <v>8975</v>
      </c>
      <c r="P59" s="20" t="str">
        <f t="shared" si="3"/>
        <v>PERCENTAGE</v>
      </c>
    </row>
    <row r="60" spans="1:16" x14ac:dyDescent="0.35">
      <c r="A60" s="32" t="str">
        <f t="shared" si="6"/>
        <v>2025 JAN-JUN DISC 75% LICENSE ESS</v>
      </c>
      <c r="B60" s="33">
        <f t="shared" si="6"/>
        <v>46121</v>
      </c>
      <c r="C60" s="33">
        <f t="shared" si="6"/>
        <v>46127</v>
      </c>
      <c r="D60" s="32">
        <v>3287</v>
      </c>
      <c r="E60" s="32">
        <v>338</v>
      </c>
      <c r="F60" s="32">
        <v>4</v>
      </c>
      <c r="G60" s="23">
        <v>7</v>
      </c>
      <c r="H60" s="23">
        <v>81827</v>
      </c>
      <c r="I60" s="32" t="s">
        <v>17</v>
      </c>
      <c r="J60" s="23">
        <v>51630609</v>
      </c>
      <c r="K60" s="23" t="s">
        <v>4583</v>
      </c>
      <c r="L60" s="43" t="s">
        <v>4585</v>
      </c>
      <c r="M60" s="24">
        <v>35900</v>
      </c>
      <c r="N60" s="20">
        <f t="shared" si="2"/>
        <v>0.75</v>
      </c>
      <c r="O60" s="83">
        <f t="shared" si="0"/>
        <v>8975</v>
      </c>
      <c r="P60" s="20" t="str">
        <f t="shared" si="3"/>
        <v>PERCENTAGE</v>
      </c>
    </row>
    <row r="61" spans="1:16" x14ac:dyDescent="0.35">
      <c r="A61" s="32" t="str">
        <f t="shared" si="6"/>
        <v>2025 JAN-JUN DISC 75% LICENSE ESS</v>
      </c>
      <c r="B61" s="33">
        <f t="shared" si="6"/>
        <v>46121</v>
      </c>
      <c r="C61" s="33">
        <f t="shared" si="6"/>
        <v>46127</v>
      </c>
      <c r="D61" s="32">
        <v>3287</v>
      </c>
      <c r="E61" s="32">
        <v>338</v>
      </c>
      <c r="F61" s="32">
        <v>4</v>
      </c>
      <c r="G61" s="23">
        <v>7</v>
      </c>
      <c r="H61" s="23">
        <v>81827</v>
      </c>
      <c r="I61" s="32" t="s">
        <v>17</v>
      </c>
      <c r="J61" s="23">
        <v>51630618</v>
      </c>
      <c r="K61" s="23" t="s">
        <v>4583</v>
      </c>
      <c r="L61" s="43" t="s">
        <v>4584</v>
      </c>
      <c r="M61" s="24">
        <v>35900</v>
      </c>
      <c r="N61" s="20">
        <f t="shared" si="2"/>
        <v>0.75</v>
      </c>
      <c r="O61" s="83">
        <f t="shared" si="0"/>
        <v>8975</v>
      </c>
      <c r="P61" s="20" t="str">
        <f t="shared" si="3"/>
        <v>PERCENTAGE</v>
      </c>
    </row>
    <row r="62" spans="1:16" x14ac:dyDescent="0.35">
      <c r="A62" s="32" t="str">
        <f t="shared" si="6"/>
        <v>2025 JAN-JUN DISC 75% LICENSE ESS</v>
      </c>
      <c r="B62" s="33">
        <f t="shared" si="6"/>
        <v>46121</v>
      </c>
      <c r="C62" s="33">
        <f t="shared" si="6"/>
        <v>46127</v>
      </c>
      <c r="D62" s="32">
        <v>3287</v>
      </c>
      <c r="E62" s="32">
        <v>338</v>
      </c>
      <c r="F62" s="32">
        <v>4</v>
      </c>
      <c r="G62" s="23">
        <v>7</v>
      </c>
      <c r="H62" s="23">
        <v>81827</v>
      </c>
      <c r="I62" s="32" t="s">
        <v>17</v>
      </c>
      <c r="J62" s="23">
        <v>51630501</v>
      </c>
      <c r="K62" s="23" t="s">
        <v>4546</v>
      </c>
      <c r="L62" s="43" t="s">
        <v>4547</v>
      </c>
      <c r="M62" s="24">
        <v>35900</v>
      </c>
      <c r="N62" s="20">
        <f t="shared" si="2"/>
        <v>0.75</v>
      </c>
      <c r="O62" s="83">
        <f t="shared" si="0"/>
        <v>8975</v>
      </c>
      <c r="P62" s="20" t="str">
        <f t="shared" si="3"/>
        <v>PERCENTAGE</v>
      </c>
    </row>
    <row r="63" spans="1:16" x14ac:dyDescent="0.35">
      <c r="A63" s="32" t="str">
        <f t="shared" si="6"/>
        <v>2025 JAN-JUN DISC 75% LICENSE ESS</v>
      </c>
      <c r="B63" s="33">
        <f t="shared" si="6"/>
        <v>46121</v>
      </c>
      <c r="C63" s="33">
        <f t="shared" si="6"/>
        <v>46127</v>
      </c>
      <c r="D63" s="32">
        <v>3287</v>
      </c>
      <c r="E63" s="32">
        <v>338</v>
      </c>
      <c r="F63" s="32">
        <v>4</v>
      </c>
      <c r="G63" s="23">
        <v>7</v>
      </c>
      <c r="H63" s="23">
        <v>81827</v>
      </c>
      <c r="I63" s="32" t="s">
        <v>17</v>
      </c>
      <c r="J63" s="23">
        <v>51630510</v>
      </c>
      <c r="K63" s="23" t="s">
        <v>4546</v>
      </c>
      <c r="L63" s="43" t="s">
        <v>4548</v>
      </c>
      <c r="M63" s="24">
        <v>35900</v>
      </c>
      <c r="N63" s="20">
        <f t="shared" si="2"/>
        <v>0.75</v>
      </c>
      <c r="O63" s="83">
        <f t="shared" si="0"/>
        <v>8975</v>
      </c>
      <c r="P63" s="20" t="str">
        <f t="shared" si="3"/>
        <v>PERCENTAGE</v>
      </c>
    </row>
    <row r="64" spans="1:16" x14ac:dyDescent="0.35">
      <c r="A64" s="32" t="str">
        <f t="shared" si="6"/>
        <v>2025 JAN-JUN DISC 75% LICENSE ESS</v>
      </c>
      <c r="B64" s="33">
        <f t="shared" si="6"/>
        <v>46121</v>
      </c>
      <c r="C64" s="33">
        <f t="shared" si="6"/>
        <v>46127</v>
      </c>
      <c r="D64" s="32">
        <v>3287</v>
      </c>
      <c r="E64" s="32">
        <v>338</v>
      </c>
      <c r="F64" s="32">
        <v>4</v>
      </c>
      <c r="G64" s="23">
        <v>7</v>
      </c>
      <c r="H64" s="23">
        <v>81827</v>
      </c>
      <c r="I64" s="32" t="s">
        <v>17</v>
      </c>
      <c r="J64" s="23">
        <v>51630529</v>
      </c>
      <c r="K64" s="23" t="s">
        <v>4540</v>
      </c>
      <c r="L64" s="43" t="s">
        <v>4541</v>
      </c>
      <c r="M64" s="24">
        <v>35900</v>
      </c>
      <c r="N64" s="20">
        <f t="shared" si="2"/>
        <v>0.75</v>
      </c>
      <c r="O64" s="83">
        <f t="shared" si="0"/>
        <v>8975</v>
      </c>
      <c r="P64" s="20" t="str">
        <f t="shared" si="3"/>
        <v>PERCENTAGE</v>
      </c>
    </row>
    <row r="65" spans="1:16" x14ac:dyDescent="0.35">
      <c r="A65" s="32" t="str">
        <f t="shared" si="6"/>
        <v>2025 JAN-JUN DISC 75% LICENSE ESS</v>
      </c>
      <c r="B65" s="33">
        <f t="shared" si="6"/>
        <v>46121</v>
      </c>
      <c r="C65" s="33">
        <f t="shared" si="6"/>
        <v>46127</v>
      </c>
      <c r="D65" s="32">
        <v>3287</v>
      </c>
      <c r="E65" s="32">
        <v>338</v>
      </c>
      <c r="F65" s="32">
        <v>4</v>
      </c>
      <c r="G65" s="23">
        <v>7</v>
      </c>
      <c r="H65" s="23">
        <v>81827</v>
      </c>
      <c r="I65" s="32" t="s">
        <v>17</v>
      </c>
      <c r="J65" s="23">
        <v>51630538</v>
      </c>
      <c r="K65" s="23" t="s">
        <v>4540</v>
      </c>
      <c r="L65" s="43" t="s">
        <v>4542</v>
      </c>
      <c r="M65" s="24">
        <v>35900</v>
      </c>
      <c r="N65" s="20">
        <f t="shared" si="2"/>
        <v>0.75</v>
      </c>
      <c r="O65" s="83">
        <f t="shared" si="0"/>
        <v>8975</v>
      </c>
      <c r="P65" s="20" t="str">
        <f t="shared" si="3"/>
        <v>PERCENTAGE</v>
      </c>
    </row>
    <row r="66" spans="1:16" x14ac:dyDescent="0.35">
      <c r="A66" s="32" t="str">
        <f t="shared" si="6"/>
        <v>2025 JAN-JUN DISC 75% LICENSE ESS</v>
      </c>
      <c r="B66" s="33">
        <f t="shared" si="6"/>
        <v>46121</v>
      </c>
      <c r="C66" s="33">
        <f t="shared" si="6"/>
        <v>46127</v>
      </c>
      <c r="D66" s="32">
        <v>3287</v>
      </c>
      <c r="E66" s="32">
        <v>338</v>
      </c>
      <c r="F66" s="32">
        <v>4</v>
      </c>
      <c r="G66" s="23">
        <v>7</v>
      </c>
      <c r="H66" s="23">
        <v>81827</v>
      </c>
      <c r="I66" s="32" t="s">
        <v>17</v>
      </c>
      <c r="J66" s="23">
        <v>51630565</v>
      </c>
      <c r="K66" s="23" t="s">
        <v>4580</v>
      </c>
      <c r="L66" s="43" t="s">
        <v>4582</v>
      </c>
      <c r="M66" s="24">
        <v>35900</v>
      </c>
      <c r="N66" s="20">
        <f t="shared" si="2"/>
        <v>0.75</v>
      </c>
      <c r="O66" s="83">
        <f t="shared" si="0"/>
        <v>8975</v>
      </c>
      <c r="P66" s="20" t="str">
        <f t="shared" si="3"/>
        <v>PERCENTAGE</v>
      </c>
    </row>
    <row r="67" spans="1:16" x14ac:dyDescent="0.35">
      <c r="A67" s="32" t="str">
        <f t="shared" si="6"/>
        <v>2025 JAN-JUN DISC 75% LICENSE ESS</v>
      </c>
      <c r="B67" s="33">
        <f t="shared" si="6"/>
        <v>46121</v>
      </c>
      <c r="C67" s="33">
        <f t="shared" si="6"/>
        <v>46127</v>
      </c>
      <c r="D67" s="32">
        <v>3287</v>
      </c>
      <c r="E67" s="32">
        <v>338</v>
      </c>
      <c r="F67" s="32">
        <v>4</v>
      </c>
      <c r="G67" s="23">
        <v>7</v>
      </c>
      <c r="H67" s="23">
        <v>81827</v>
      </c>
      <c r="I67" s="32" t="s">
        <v>17</v>
      </c>
      <c r="J67" s="23">
        <v>51630574</v>
      </c>
      <c r="K67" s="23" t="s">
        <v>4580</v>
      </c>
      <c r="L67" s="43" t="s">
        <v>4581</v>
      </c>
      <c r="M67" s="24">
        <v>35900</v>
      </c>
      <c r="N67" s="20">
        <f t="shared" si="2"/>
        <v>0.75</v>
      </c>
      <c r="O67" s="83">
        <f t="shared" ref="O67:O130" si="7">M67-((75*M67)/100)</f>
        <v>8975</v>
      </c>
      <c r="P67" s="20" t="str">
        <f t="shared" si="3"/>
        <v>PERCENTAGE</v>
      </c>
    </row>
    <row r="68" spans="1:16" x14ac:dyDescent="0.35">
      <c r="A68" s="32" t="str">
        <f t="shared" ref="A68:C83" si="8">A67</f>
        <v>2025 JAN-JUN DISC 75% LICENSE ESS</v>
      </c>
      <c r="B68" s="33">
        <f t="shared" si="8"/>
        <v>46121</v>
      </c>
      <c r="C68" s="33">
        <f t="shared" si="8"/>
        <v>46127</v>
      </c>
      <c r="D68" s="32">
        <v>3287</v>
      </c>
      <c r="E68" s="32">
        <v>338</v>
      </c>
      <c r="F68" s="32">
        <v>4</v>
      </c>
      <c r="G68" s="23">
        <v>2</v>
      </c>
      <c r="H68" s="23">
        <v>81676</v>
      </c>
      <c r="I68" s="32" t="s">
        <v>17</v>
      </c>
      <c r="J68" s="23">
        <v>51395552</v>
      </c>
      <c r="K68" s="23" t="s">
        <v>4555</v>
      </c>
      <c r="L68" s="43" t="s">
        <v>4556</v>
      </c>
      <c r="M68" s="24">
        <v>219900</v>
      </c>
      <c r="N68" s="20">
        <f t="shared" ref="N68:N131" si="9">N67</f>
        <v>0.75</v>
      </c>
      <c r="O68" s="83">
        <f t="shared" si="7"/>
        <v>54975</v>
      </c>
      <c r="P68" s="20" t="str">
        <f t="shared" ref="P68:P131" si="10">P67</f>
        <v>PERCENTAGE</v>
      </c>
    </row>
    <row r="69" spans="1:16" x14ac:dyDescent="0.35">
      <c r="A69" s="32" t="str">
        <f t="shared" si="8"/>
        <v>2025 JAN-JUN DISC 75% LICENSE ESS</v>
      </c>
      <c r="B69" s="33">
        <f t="shared" si="8"/>
        <v>46121</v>
      </c>
      <c r="C69" s="33">
        <f t="shared" si="8"/>
        <v>46127</v>
      </c>
      <c r="D69" s="32">
        <v>3287</v>
      </c>
      <c r="E69" s="32">
        <v>338</v>
      </c>
      <c r="F69" s="32">
        <v>4</v>
      </c>
      <c r="G69" s="23">
        <v>2</v>
      </c>
      <c r="H69" s="23">
        <v>81676</v>
      </c>
      <c r="I69" s="32" t="s">
        <v>17</v>
      </c>
      <c r="J69" s="23">
        <v>51395561</v>
      </c>
      <c r="K69" s="23" t="s">
        <v>4555</v>
      </c>
      <c r="L69" s="43" t="s">
        <v>4561</v>
      </c>
      <c r="M69" s="24">
        <v>219900</v>
      </c>
      <c r="N69" s="20">
        <f t="shared" si="9"/>
        <v>0.75</v>
      </c>
      <c r="O69" s="83">
        <f t="shared" si="7"/>
        <v>54975</v>
      </c>
      <c r="P69" s="20" t="str">
        <f t="shared" si="10"/>
        <v>PERCENTAGE</v>
      </c>
    </row>
    <row r="70" spans="1:16" x14ac:dyDescent="0.35">
      <c r="A70" s="32" t="str">
        <f t="shared" si="8"/>
        <v>2025 JAN-JUN DISC 75% LICENSE ESS</v>
      </c>
      <c r="B70" s="33">
        <f t="shared" si="8"/>
        <v>46121</v>
      </c>
      <c r="C70" s="33">
        <f t="shared" si="8"/>
        <v>46127</v>
      </c>
      <c r="D70" s="32">
        <v>3287</v>
      </c>
      <c r="E70" s="32">
        <v>338</v>
      </c>
      <c r="F70" s="32">
        <v>4</v>
      </c>
      <c r="G70" s="23">
        <v>2</v>
      </c>
      <c r="H70" s="23">
        <v>81676</v>
      </c>
      <c r="I70" s="32" t="s">
        <v>17</v>
      </c>
      <c r="J70" s="23">
        <v>51395570</v>
      </c>
      <c r="K70" s="23" t="s">
        <v>4555</v>
      </c>
      <c r="L70" s="43" t="s">
        <v>4559</v>
      </c>
      <c r="M70" s="24">
        <v>219900</v>
      </c>
      <c r="N70" s="20">
        <f t="shared" si="9"/>
        <v>0.75</v>
      </c>
      <c r="O70" s="83">
        <f t="shared" si="7"/>
        <v>54975</v>
      </c>
      <c r="P70" s="20" t="str">
        <f t="shared" si="10"/>
        <v>PERCENTAGE</v>
      </c>
    </row>
    <row r="71" spans="1:16" x14ac:dyDescent="0.35">
      <c r="A71" s="32" t="str">
        <f t="shared" si="8"/>
        <v>2025 JAN-JUN DISC 75% LICENSE ESS</v>
      </c>
      <c r="B71" s="33">
        <f t="shared" si="8"/>
        <v>46121</v>
      </c>
      <c r="C71" s="33">
        <f t="shared" si="8"/>
        <v>46127</v>
      </c>
      <c r="D71" s="32">
        <v>3287</v>
      </c>
      <c r="E71" s="32">
        <v>338</v>
      </c>
      <c r="F71" s="32">
        <v>4</v>
      </c>
      <c r="G71" s="23">
        <v>2</v>
      </c>
      <c r="H71" s="23">
        <v>81676</v>
      </c>
      <c r="I71" s="32" t="s">
        <v>17</v>
      </c>
      <c r="J71" s="23">
        <v>51395589</v>
      </c>
      <c r="K71" s="23" t="s">
        <v>4555</v>
      </c>
      <c r="L71" s="43" t="s">
        <v>4557</v>
      </c>
      <c r="M71" s="24">
        <v>219900</v>
      </c>
      <c r="N71" s="20">
        <f t="shared" si="9"/>
        <v>0.75</v>
      </c>
      <c r="O71" s="83">
        <f t="shared" si="7"/>
        <v>54975</v>
      </c>
      <c r="P71" s="20" t="str">
        <f t="shared" si="10"/>
        <v>PERCENTAGE</v>
      </c>
    </row>
    <row r="72" spans="1:16" x14ac:dyDescent="0.35">
      <c r="A72" s="32" t="str">
        <f t="shared" si="8"/>
        <v>2025 JAN-JUN DISC 75% LICENSE ESS</v>
      </c>
      <c r="B72" s="33">
        <f t="shared" si="8"/>
        <v>46121</v>
      </c>
      <c r="C72" s="33">
        <f t="shared" si="8"/>
        <v>46127</v>
      </c>
      <c r="D72" s="32">
        <v>3287</v>
      </c>
      <c r="E72" s="32">
        <v>338</v>
      </c>
      <c r="F72" s="32">
        <v>4</v>
      </c>
      <c r="G72" s="23">
        <v>2</v>
      </c>
      <c r="H72" s="23">
        <v>81676</v>
      </c>
      <c r="I72" s="32" t="s">
        <v>17</v>
      </c>
      <c r="J72" s="23">
        <v>51395598</v>
      </c>
      <c r="K72" s="23" t="s">
        <v>4555</v>
      </c>
      <c r="L72" s="43" t="s">
        <v>4563</v>
      </c>
      <c r="M72" s="24">
        <v>229900</v>
      </c>
      <c r="N72" s="20">
        <f t="shared" si="9"/>
        <v>0.75</v>
      </c>
      <c r="O72" s="83">
        <f t="shared" si="7"/>
        <v>57475</v>
      </c>
      <c r="P72" s="20" t="str">
        <f t="shared" si="10"/>
        <v>PERCENTAGE</v>
      </c>
    </row>
    <row r="73" spans="1:16" x14ac:dyDescent="0.35">
      <c r="A73" s="32" t="str">
        <f t="shared" si="8"/>
        <v>2025 JAN-JUN DISC 75% LICENSE ESS</v>
      </c>
      <c r="B73" s="33">
        <f t="shared" si="8"/>
        <v>46121</v>
      </c>
      <c r="C73" s="33">
        <f t="shared" si="8"/>
        <v>46127</v>
      </c>
      <c r="D73" s="32">
        <v>3287</v>
      </c>
      <c r="E73" s="32">
        <v>338</v>
      </c>
      <c r="F73" s="32">
        <v>4</v>
      </c>
      <c r="G73" s="23">
        <v>2</v>
      </c>
      <c r="H73" s="23">
        <v>81676</v>
      </c>
      <c r="I73" s="32" t="s">
        <v>17</v>
      </c>
      <c r="J73" s="23">
        <v>51395605</v>
      </c>
      <c r="K73" s="23" t="s">
        <v>4555</v>
      </c>
      <c r="L73" s="43" t="s">
        <v>4562</v>
      </c>
      <c r="M73" s="24">
        <v>229900</v>
      </c>
      <c r="N73" s="20">
        <f t="shared" si="9"/>
        <v>0.75</v>
      </c>
      <c r="O73" s="83">
        <f t="shared" si="7"/>
        <v>57475</v>
      </c>
      <c r="P73" s="20" t="str">
        <f t="shared" si="10"/>
        <v>PERCENTAGE</v>
      </c>
    </row>
    <row r="74" spans="1:16" x14ac:dyDescent="0.35">
      <c r="A74" s="32" t="str">
        <f t="shared" si="8"/>
        <v>2025 JAN-JUN DISC 75% LICENSE ESS</v>
      </c>
      <c r="B74" s="33">
        <f t="shared" si="8"/>
        <v>46121</v>
      </c>
      <c r="C74" s="33">
        <f t="shared" si="8"/>
        <v>46127</v>
      </c>
      <c r="D74" s="32">
        <v>3287</v>
      </c>
      <c r="E74" s="32">
        <v>338</v>
      </c>
      <c r="F74" s="32">
        <v>4</v>
      </c>
      <c r="G74" s="23">
        <v>2</v>
      </c>
      <c r="H74" s="23">
        <v>81676</v>
      </c>
      <c r="I74" s="32" t="s">
        <v>17</v>
      </c>
      <c r="J74" s="23">
        <v>51395614</v>
      </c>
      <c r="K74" s="23" t="s">
        <v>4555</v>
      </c>
      <c r="L74" s="43" t="s">
        <v>4558</v>
      </c>
      <c r="M74" s="24">
        <v>229900</v>
      </c>
      <c r="N74" s="20">
        <f t="shared" si="9"/>
        <v>0.75</v>
      </c>
      <c r="O74" s="83">
        <f t="shared" si="7"/>
        <v>57475</v>
      </c>
      <c r="P74" s="20" t="str">
        <f t="shared" si="10"/>
        <v>PERCENTAGE</v>
      </c>
    </row>
    <row r="75" spans="1:16" x14ac:dyDescent="0.35">
      <c r="A75" s="32" t="str">
        <f t="shared" si="8"/>
        <v>2025 JAN-JUN DISC 75% LICENSE ESS</v>
      </c>
      <c r="B75" s="33">
        <f t="shared" si="8"/>
        <v>46121</v>
      </c>
      <c r="C75" s="33">
        <f t="shared" si="8"/>
        <v>46127</v>
      </c>
      <c r="D75" s="32">
        <v>3287</v>
      </c>
      <c r="E75" s="32">
        <v>338</v>
      </c>
      <c r="F75" s="32">
        <v>4</v>
      </c>
      <c r="G75" s="23">
        <v>2</v>
      </c>
      <c r="H75" s="23">
        <v>81676</v>
      </c>
      <c r="I75" s="32" t="s">
        <v>17</v>
      </c>
      <c r="J75" s="23">
        <v>51395623</v>
      </c>
      <c r="K75" s="23" t="s">
        <v>4555</v>
      </c>
      <c r="L75" s="43" t="s">
        <v>4560</v>
      </c>
      <c r="M75" s="24">
        <v>229900</v>
      </c>
      <c r="N75" s="20">
        <f t="shared" si="9"/>
        <v>0.75</v>
      </c>
      <c r="O75" s="83">
        <f t="shared" si="7"/>
        <v>57475</v>
      </c>
      <c r="P75" s="20" t="str">
        <f t="shared" si="10"/>
        <v>PERCENTAGE</v>
      </c>
    </row>
    <row r="76" spans="1:16" x14ac:dyDescent="0.35">
      <c r="A76" s="32" t="str">
        <f t="shared" si="8"/>
        <v>2025 JAN-JUN DISC 75% LICENSE ESS</v>
      </c>
      <c r="B76" s="33">
        <f t="shared" si="8"/>
        <v>46121</v>
      </c>
      <c r="C76" s="33">
        <f t="shared" si="8"/>
        <v>46127</v>
      </c>
      <c r="D76" s="32">
        <v>3287</v>
      </c>
      <c r="E76" s="32">
        <v>338</v>
      </c>
      <c r="F76" s="32">
        <v>4</v>
      </c>
      <c r="G76" s="23">
        <v>4</v>
      </c>
      <c r="H76" s="23">
        <v>81379</v>
      </c>
      <c r="I76" s="32" t="s">
        <v>17</v>
      </c>
      <c r="J76" s="23">
        <v>51395990</v>
      </c>
      <c r="K76" s="23" t="s">
        <v>4586</v>
      </c>
      <c r="L76" s="43" t="s">
        <v>4594</v>
      </c>
      <c r="M76" s="24">
        <v>219900</v>
      </c>
      <c r="N76" s="20">
        <f t="shared" si="9"/>
        <v>0.75</v>
      </c>
      <c r="O76" s="83">
        <f t="shared" si="7"/>
        <v>54975</v>
      </c>
      <c r="P76" s="20" t="str">
        <f t="shared" si="10"/>
        <v>PERCENTAGE</v>
      </c>
    </row>
    <row r="77" spans="1:16" x14ac:dyDescent="0.35">
      <c r="A77" s="32" t="str">
        <f t="shared" si="8"/>
        <v>2025 JAN-JUN DISC 75% LICENSE ESS</v>
      </c>
      <c r="B77" s="33">
        <f t="shared" si="8"/>
        <v>46121</v>
      </c>
      <c r="C77" s="33">
        <f t="shared" si="8"/>
        <v>46127</v>
      </c>
      <c r="D77" s="32">
        <v>3287</v>
      </c>
      <c r="E77" s="32">
        <v>338</v>
      </c>
      <c r="F77" s="32">
        <v>4</v>
      </c>
      <c r="G77" s="23">
        <v>4</v>
      </c>
      <c r="H77" s="23">
        <v>81379</v>
      </c>
      <c r="I77" s="32" t="s">
        <v>17</v>
      </c>
      <c r="J77" s="23">
        <v>51396006</v>
      </c>
      <c r="K77" s="23" t="s">
        <v>4586</v>
      </c>
      <c r="L77" s="43" t="s">
        <v>4587</v>
      </c>
      <c r="M77" s="24">
        <v>219900</v>
      </c>
      <c r="N77" s="20">
        <f t="shared" si="9"/>
        <v>0.75</v>
      </c>
      <c r="O77" s="83">
        <f t="shared" si="7"/>
        <v>54975</v>
      </c>
      <c r="P77" s="20" t="str">
        <f t="shared" si="10"/>
        <v>PERCENTAGE</v>
      </c>
    </row>
    <row r="78" spans="1:16" x14ac:dyDescent="0.35">
      <c r="A78" s="32" t="str">
        <f t="shared" si="8"/>
        <v>2025 JAN-JUN DISC 75% LICENSE ESS</v>
      </c>
      <c r="B78" s="33">
        <f t="shared" si="8"/>
        <v>46121</v>
      </c>
      <c r="C78" s="33">
        <f t="shared" si="8"/>
        <v>46127</v>
      </c>
      <c r="D78" s="32">
        <v>3287</v>
      </c>
      <c r="E78" s="32">
        <v>338</v>
      </c>
      <c r="F78" s="32">
        <v>4</v>
      </c>
      <c r="G78" s="23">
        <v>4</v>
      </c>
      <c r="H78" s="23">
        <v>81379</v>
      </c>
      <c r="I78" s="32" t="s">
        <v>17</v>
      </c>
      <c r="J78" s="23">
        <v>51396015</v>
      </c>
      <c r="K78" s="23" t="s">
        <v>4586</v>
      </c>
      <c r="L78" s="43" t="s">
        <v>4592</v>
      </c>
      <c r="M78" s="24">
        <v>219900</v>
      </c>
      <c r="N78" s="20">
        <f t="shared" si="9"/>
        <v>0.75</v>
      </c>
      <c r="O78" s="83">
        <f t="shared" si="7"/>
        <v>54975</v>
      </c>
      <c r="P78" s="20" t="str">
        <f t="shared" si="10"/>
        <v>PERCENTAGE</v>
      </c>
    </row>
    <row r="79" spans="1:16" x14ac:dyDescent="0.35">
      <c r="A79" s="32" t="str">
        <f t="shared" si="8"/>
        <v>2025 JAN-JUN DISC 75% LICENSE ESS</v>
      </c>
      <c r="B79" s="33">
        <f t="shared" si="8"/>
        <v>46121</v>
      </c>
      <c r="C79" s="33">
        <f t="shared" si="8"/>
        <v>46127</v>
      </c>
      <c r="D79" s="32">
        <v>3287</v>
      </c>
      <c r="E79" s="32">
        <v>338</v>
      </c>
      <c r="F79" s="32">
        <v>4</v>
      </c>
      <c r="G79" s="23">
        <v>4</v>
      </c>
      <c r="H79" s="23">
        <v>81379</v>
      </c>
      <c r="I79" s="32" t="s">
        <v>17</v>
      </c>
      <c r="J79" s="23">
        <v>51396024</v>
      </c>
      <c r="K79" s="23" t="s">
        <v>4586</v>
      </c>
      <c r="L79" s="43" t="s">
        <v>4590</v>
      </c>
      <c r="M79" s="24">
        <v>219900</v>
      </c>
      <c r="N79" s="20">
        <f t="shared" si="9"/>
        <v>0.75</v>
      </c>
      <c r="O79" s="83">
        <f t="shared" si="7"/>
        <v>54975</v>
      </c>
      <c r="P79" s="20" t="str">
        <f t="shared" si="10"/>
        <v>PERCENTAGE</v>
      </c>
    </row>
    <row r="80" spans="1:16" x14ac:dyDescent="0.35">
      <c r="A80" s="32" t="str">
        <f t="shared" si="8"/>
        <v>2025 JAN-JUN DISC 75% LICENSE ESS</v>
      </c>
      <c r="B80" s="33">
        <f t="shared" si="8"/>
        <v>46121</v>
      </c>
      <c r="C80" s="33">
        <f t="shared" si="8"/>
        <v>46127</v>
      </c>
      <c r="D80" s="32">
        <v>3287</v>
      </c>
      <c r="E80" s="32">
        <v>338</v>
      </c>
      <c r="F80" s="32">
        <v>4</v>
      </c>
      <c r="G80" s="23">
        <v>4</v>
      </c>
      <c r="H80" s="23">
        <v>81379</v>
      </c>
      <c r="I80" s="32" t="s">
        <v>17</v>
      </c>
      <c r="J80" s="23">
        <v>51396033</v>
      </c>
      <c r="K80" s="23" t="s">
        <v>4586</v>
      </c>
      <c r="L80" s="43" t="s">
        <v>4591</v>
      </c>
      <c r="M80" s="24">
        <v>229900</v>
      </c>
      <c r="N80" s="20">
        <f t="shared" si="9"/>
        <v>0.75</v>
      </c>
      <c r="O80" s="83">
        <f t="shared" si="7"/>
        <v>57475</v>
      </c>
      <c r="P80" s="20" t="str">
        <f t="shared" si="10"/>
        <v>PERCENTAGE</v>
      </c>
    </row>
    <row r="81" spans="1:16" x14ac:dyDescent="0.35">
      <c r="A81" s="32" t="str">
        <f t="shared" si="8"/>
        <v>2025 JAN-JUN DISC 75% LICENSE ESS</v>
      </c>
      <c r="B81" s="33">
        <f t="shared" si="8"/>
        <v>46121</v>
      </c>
      <c r="C81" s="33">
        <f t="shared" si="8"/>
        <v>46127</v>
      </c>
      <c r="D81" s="32">
        <v>3287</v>
      </c>
      <c r="E81" s="32">
        <v>338</v>
      </c>
      <c r="F81" s="32">
        <v>4</v>
      </c>
      <c r="G81" s="23">
        <v>4</v>
      </c>
      <c r="H81" s="23">
        <v>81379</v>
      </c>
      <c r="I81" s="32" t="s">
        <v>17</v>
      </c>
      <c r="J81" s="23">
        <v>51396042</v>
      </c>
      <c r="K81" s="23" t="s">
        <v>4586</v>
      </c>
      <c r="L81" s="43" t="s">
        <v>4589</v>
      </c>
      <c r="M81" s="24">
        <v>229900</v>
      </c>
      <c r="N81" s="20">
        <f t="shared" si="9"/>
        <v>0.75</v>
      </c>
      <c r="O81" s="83">
        <f t="shared" si="7"/>
        <v>57475</v>
      </c>
      <c r="P81" s="20" t="str">
        <f t="shared" si="10"/>
        <v>PERCENTAGE</v>
      </c>
    </row>
    <row r="82" spans="1:16" x14ac:dyDescent="0.35">
      <c r="A82" s="32" t="str">
        <f t="shared" si="8"/>
        <v>2025 JAN-JUN DISC 75% LICENSE ESS</v>
      </c>
      <c r="B82" s="33">
        <f t="shared" si="8"/>
        <v>46121</v>
      </c>
      <c r="C82" s="33">
        <f t="shared" si="8"/>
        <v>46127</v>
      </c>
      <c r="D82" s="32">
        <v>3287</v>
      </c>
      <c r="E82" s="32">
        <v>338</v>
      </c>
      <c r="F82" s="32">
        <v>4</v>
      </c>
      <c r="G82" s="23">
        <v>4</v>
      </c>
      <c r="H82" s="23">
        <v>81379</v>
      </c>
      <c r="I82" s="32" t="s">
        <v>17</v>
      </c>
      <c r="J82" s="23">
        <v>51396051</v>
      </c>
      <c r="K82" s="23" t="s">
        <v>4586</v>
      </c>
      <c r="L82" s="43" t="s">
        <v>4588</v>
      </c>
      <c r="M82" s="24">
        <v>229900</v>
      </c>
      <c r="N82" s="20">
        <f t="shared" si="9"/>
        <v>0.75</v>
      </c>
      <c r="O82" s="83">
        <f t="shared" si="7"/>
        <v>57475</v>
      </c>
      <c r="P82" s="20" t="str">
        <f t="shared" si="10"/>
        <v>PERCENTAGE</v>
      </c>
    </row>
    <row r="83" spans="1:16" x14ac:dyDescent="0.35">
      <c r="A83" s="32" t="str">
        <f t="shared" si="8"/>
        <v>2025 JAN-JUN DISC 75% LICENSE ESS</v>
      </c>
      <c r="B83" s="33">
        <f t="shared" si="8"/>
        <v>46121</v>
      </c>
      <c r="C83" s="33">
        <f t="shared" si="8"/>
        <v>46127</v>
      </c>
      <c r="D83" s="32">
        <v>3287</v>
      </c>
      <c r="E83" s="32">
        <v>338</v>
      </c>
      <c r="F83" s="32">
        <v>4</v>
      </c>
      <c r="G83" s="23">
        <v>4</v>
      </c>
      <c r="H83" s="23">
        <v>81379</v>
      </c>
      <c r="I83" s="32" t="s">
        <v>17</v>
      </c>
      <c r="J83" s="23">
        <v>51396060</v>
      </c>
      <c r="K83" s="23" t="s">
        <v>4586</v>
      </c>
      <c r="L83" s="43" t="s">
        <v>4593</v>
      </c>
      <c r="M83" s="24">
        <v>229900</v>
      </c>
      <c r="N83" s="20">
        <f t="shared" si="9"/>
        <v>0.75</v>
      </c>
      <c r="O83" s="83">
        <f t="shared" si="7"/>
        <v>57475</v>
      </c>
      <c r="P83" s="20" t="str">
        <f t="shared" si="10"/>
        <v>PERCENTAGE</v>
      </c>
    </row>
    <row r="84" spans="1:16" x14ac:dyDescent="0.35">
      <c r="A84" s="32" t="str">
        <f t="shared" ref="A84:C99" si="11">A83</f>
        <v>2025 JAN-JUN DISC 75% LICENSE ESS</v>
      </c>
      <c r="B84" s="33">
        <f t="shared" si="11"/>
        <v>46121</v>
      </c>
      <c r="C84" s="33">
        <f t="shared" si="11"/>
        <v>46127</v>
      </c>
      <c r="D84" s="32">
        <v>3287</v>
      </c>
      <c r="E84" s="32">
        <v>338</v>
      </c>
      <c r="F84" s="32">
        <v>4</v>
      </c>
      <c r="G84" s="23">
        <v>4</v>
      </c>
      <c r="H84" s="23">
        <v>81379</v>
      </c>
      <c r="I84" s="32" t="s">
        <v>17</v>
      </c>
      <c r="J84" s="23">
        <v>51942835</v>
      </c>
      <c r="K84" s="23" t="s">
        <v>4595</v>
      </c>
      <c r="L84" s="43" t="s">
        <v>4599</v>
      </c>
      <c r="M84" s="24">
        <v>219900</v>
      </c>
      <c r="N84" s="20">
        <f t="shared" si="9"/>
        <v>0.75</v>
      </c>
      <c r="O84" s="83">
        <f t="shared" si="7"/>
        <v>54975</v>
      </c>
      <c r="P84" s="20" t="str">
        <f t="shared" si="10"/>
        <v>PERCENTAGE</v>
      </c>
    </row>
    <row r="85" spans="1:16" x14ac:dyDescent="0.35">
      <c r="A85" s="32" t="str">
        <f t="shared" si="11"/>
        <v>2025 JAN-JUN DISC 75% LICENSE ESS</v>
      </c>
      <c r="B85" s="33">
        <f t="shared" si="11"/>
        <v>46121</v>
      </c>
      <c r="C85" s="33">
        <f t="shared" si="11"/>
        <v>46127</v>
      </c>
      <c r="D85" s="32">
        <v>3287</v>
      </c>
      <c r="E85" s="32">
        <v>338</v>
      </c>
      <c r="F85" s="32">
        <v>4</v>
      </c>
      <c r="G85" s="23">
        <v>4</v>
      </c>
      <c r="H85" s="23">
        <v>81379</v>
      </c>
      <c r="I85" s="32" t="s">
        <v>17</v>
      </c>
      <c r="J85" s="23">
        <v>51942844</v>
      </c>
      <c r="K85" s="23" t="s">
        <v>4595</v>
      </c>
      <c r="L85" s="43" t="s">
        <v>4596</v>
      </c>
      <c r="M85" s="24">
        <v>219900</v>
      </c>
      <c r="N85" s="20">
        <f t="shared" si="9"/>
        <v>0.75</v>
      </c>
      <c r="O85" s="83">
        <f t="shared" si="7"/>
        <v>54975</v>
      </c>
      <c r="P85" s="20" t="str">
        <f t="shared" si="10"/>
        <v>PERCENTAGE</v>
      </c>
    </row>
    <row r="86" spans="1:16" x14ac:dyDescent="0.35">
      <c r="A86" s="32" t="str">
        <f t="shared" si="11"/>
        <v>2025 JAN-JUN DISC 75% LICENSE ESS</v>
      </c>
      <c r="B86" s="33">
        <f t="shared" si="11"/>
        <v>46121</v>
      </c>
      <c r="C86" s="33">
        <f t="shared" si="11"/>
        <v>46127</v>
      </c>
      <c r="D86" s="32">
        <v>3287</v>
      </c>
      <c r="E86" s="32">
        <v>338</v>
      </c>
      <c r="F86" s="32">
        <v>4</v>
      </c>
      <c r="G86" s="23">
        <v>4</v>
      </c>
      <c r="H86" s="23">
        <v>81379</v>
      </c>
      <c r="I86" s="32" t="s">
        <v>17</v>
      </c>
      <c r="J86" s="23">
        <v>51942853</v>
      </c>
      <c r="K86" s="23" t="s">
        <v>4595</v>
      </c>
      <c r="L86" s="43" t="s">
        <v>4597</v>
      </c>
      <c r="M86" s="24">
        <v>219900</v>
      </c>
      <c r="N86" s="20">
        <f t="shared" si="9"/>
        <v>0.75</v>
      </c>
      <c r="O86" s="83">
        <f t="shared" si="7"/>
        <v>54975</v>
      </c>
      <c r="P86" s="20" t="str">
        <f t="shared" si="10"/>
        <v>PERCENTAGE</v>
      </c>
    </row>
    <row r="87" spans="1:16" x14ac:dyDescent="0.35">
      <c r="A87" s="32" t="str">
        <f t="shared" si="11"/>
        <v>2025 JAN-JUN DISC 75% LICENSE ESS</v>
      </c>
      <c r="B87" s="33">
        <f t="shared" si="11"/>
        <v>46121</v>
      </c>
      <c r="C87" s="33">
        <f t="shared" si="11"/>
        <v>46127</v>
      </c>
      <c r="D87" s="32">
        <v>3287</v>
      </c>
      <c r="E87" s="32">
        <v>338</v>
      </c>
      <c r="F87" s="32">
        <v>4</v>
      </c>
      <c r="G87" s="23">
        <v>4</v>
      </c>
      <c r="H87" s="23">
        <v>81379</v>
      </c>
      <c r="I87" s="32" t="s">
        <v>17</v>
      </c>
      <c r="J87" s="23">
        <v>51942862</v>
      </c>
      <c r="K87" s="23" t="s">
        <v>4595</v>
      </c>
      <c r="L87" s="43" t="s">
        <v>4602</v>
      </c>
      <c r="M87" s="24">
        <v>219900</v>
      </c>
      <c r="N87" s="20">
        <f t="shared" si="9"/>
        <v>0.75</v>
      </c>
      <c r="O87" s="83">
        <f t="shared" si="7"/>
        <v>54975</v>
      </c>
      <c r="P87" s="20" t="str">
        <f t="shared" si="10"/>
        <v>PERCENTAGE</v>
      </c>
    </row>
    <row r="88" spans="1:16" x14ac:dyDescent="0.35">
      <c r="A88" s="32" t="str">
        <f t="shared" si="11"/>
        <v>2025 JAN-JUN DISC 75% LICENSE ESS</v>
      </c>
      <c r="B88" s="33">
        <f t="shared" si="11"/>
        <v>46121</v>
      </c>
      <c r="C88" s="33">
        <f t="shared" si="11"/>
        <v>46127</v>
      </c>
      <c r="D88" s="32">
        <v>3287</v>
      </c>
      <c r="E88" s="32">
        <v>338</v>
      </c>
      <c r="F88" s="32">
        <v>4</v>
      </c>
      <c r="G88" s="23">
        <v>4</v>
      </c>
      <c r="H88" s="23">
        <v>81379</v>
      </c>
      <c r="I88" s="32" t="s">
        <v>17</v>
      </c>
      <c r="J88" s="23">
        <v>51942871</v>
      </c>
      <c r="K88" s="23" t="s">
        <v>4595</v>
      </c>
      <c r="L88" s="43" t="s">
        <v>4603</v>
      </c>
      <c r="M88" s="24">
        <v>219900</v>
      </c>
      <c r="N88" s="20">
        <f t="shared" si="9"/>
        <v>0.75</v>
      </c>
      <c r="O88" s="83">
        <f t="shared" si="7"/>
        <v>54975</v>
      </c>
      <c r="P88" s="20" t="str">
        <f t="shared" si="10"/>
        <v>PERCENTAGE</v>
      </c>
    </row>
    <row r="89" spans="1:16" x14ac:dyDescent="0.35">
      <c r="A89" s="32" t="str">
        <f t="shared" si="11"/>
        <v>2025 JAN-JUN DISC 75% LICENSE ESS</v>
      </c>
      <c r="B89" s="33">
        <f t="shared" si="11"/>
        <v>46121</v>
      </c>
      <c r="C89" s="33">
        <f t="shared" si="11"/>
        <v>46127</v>
      </c>
      <c r="D89" s="32">
        <v>3287</v>
      </c>
      <c r="E89" s="32">
        <v>338</v>
      </c>
      <c r="F89" s="32">
        <v>4</v>
      </c>
      <c r="G89" s="23">
        <v>4</v>
      </c>
      <c r="H89" s="23">
        <v>81379</v>
      </c>
      <c r="I89" s="32" t="s">
        <v>17</v>
      </c>
      <c r="J89" s="23">
        <v>51942880</v>
      </c>
      <c r="K89" s="23" t="s">
        <v>4595</v>
      </c>
      <c r="L89" s="43" t="s">
        <v>4601</v>
      </c>
      <c r="M89" s="24">
        <v>219900</v>
      </c>
      <c r="N89" s="20">
        <f t="shared" si="9"/>
        <v>0.75</v>
      </c>
      <c r="O89" s="83">
        <f t="shared" si="7"/>
        <v>54975</v>
      </c>
      <c r="P89" s="20" t="str">
        <f t="shared" si="10"/>
        <v>PERCENTAGE</v>
      </c>
    </row>
    <row r="90" spans="1:16" x14ac:dyDescent="0.35">
      <c r="A90" s="32" t="str">
        <f t="shared" si="11"/>
        <v>2025 JAN-JUN DISC 75% LICENSE ESS</v>
      </c>
      <c r="B90" s="33">
        <f t="shared" si="11"/>
        <v>46121</v>
      </c>
      <c r="C90" s="33">
        <f t="shared" si="11"/>
        <v>46127</v>
      </c>
      <c r="D90" s="32">
        <v>3287</v>
      </c>
      <c r="E90" s="32">
        <v>338</v>
      </c>
      <c r="F90" s="32">
        <v>4</v>
      </c>
      <c r="G90" s="23">
        <v>4</v>
      </c>
      <c r="H90" s="23">
        <v>81379</v>
      </c>
      <c r="I90" s="32" t="s">
        <v>17</v>
      </c>
      <c r="J90" s="23">
        <v>51942899</v>
      </c>
      <c r="K90" s="23" t="s">
        <v>4595</v>
      </c>
      <c r="L90" s="43" t="s">
        <v>4598</v>
      </c>
      <c r="M90" s="24">
        <v>219900</v>
      </c>
      <c r="N90" s="20">
        <f t="shared" si="9"/>
        <v>0.75</v>
      </c>
      <c r="O90" s="83">
        <f t="shared" si="7"/>
        <v>54975</v>
      </c>
      <c r="P90" s="20" t="str">
        <f t="shared" si="10"/>
        <v>PERCENTAGE</v>
      </c>
    </row>
    <row r="91" spans="1:16" x14ac:dyDescent="0.35">
      <c r="A91" s="32" t="str">
        <f t="shared" si="11"/>
        <v>2025 JAN-JUN DISC 75% LICENSE ESS</v>
      </c>
      <c r="B91" s="33">
        <f t="shared" si="11"/>
        <v>46121</v>
      </c>
      <c r="C91" s="33">
        <f t="shared" si="11"/>
        <v>46127</v>
      </c>
      <c r="D91" s="32">
        <v>3287</v>
      </c>
      <c r="E91" s="32">
        <v>338</v>
      </c>
      <c r="F91" s="32">
        <v>4</v>
      </c>
      <c r="G91" s="23">
        <v>4</v>
      </c>
      <c r="H91" s="23">
        <v>81379</v>
      </c>
      <c r="I91" s="32" t="s">
        <v>17</v>
      </c>
      <c r="J91" s="23">
        <v>51942906</v>
      </c>
      <c r="K91" s="23" t="s">
        <v>4595</v>
      </c>
      <c r="L91" s="43" t="s">
        <v>4600</v>
      </c>
      <c r="M91" s="24">
        <v>219900</v>
      </c>
      <c r="N91" s="20">
        <f t="shared" si="9"/>
        <v>0.75</v>
      </c>
      <c r="O91" s="83">
        <f t="shared" si="7"/>
        <v>54975</v>
      </c>
      <c r="P91" s="20" t="str">
        <f t="shared" si="10"/>
        <v>PERCENTAGE</v>
      </c>
    </row>
    <row r="92" spans="1:16" x14ac:dyDescent="0.35">
      <c r="A92" s="32" t="str">
        <f t="shared" si="11"/>
        <v>2025 JAN-JUN DISC 75% LICENSE ESS</v>
      </c>
      <c r="B92" s="33">
        <f t="shared" si="11"/>
        <v>46121</v>
      </c>
      <c r="C92" s="33">
        <f t="shared" si="11"/>
        <v>46127</v>
      </c>
      <c r="D92" s="32">
        <v>3287</v>
      </c>
      <c r="E92" s="32">
        <v>338</v>
      </c>
      <c r="F92" s="32">
        <v>4</v>
      </c>
      <c r="G92" s="23">
        <v>3</v>
      </c>
      <c r="H92" s="23">
        <v>81462</v>
      </c>
      <c r="I92" s="32" t="s">
        <v>17</v>
      </c>
      <c r="J92" s="23">
        <v>51395954</v>
      </c>
      <c r="K92" s="23" t="s">
        <v>4778</v>
      </c>
      <c r="L92" s="43" t="s">
        <v>4781</v>
      </c>
      <c r="M92" s="24">
        <v>119900</v>
      </c>
      <c r="N92" s="20">
        <f t="shared" si="9"/>
        <v>0.75</v>
      </c>
      <c r="O92" s="83">
        <f t="shared" si="7"/>
        <v>29975</v>
      </c>
      <c r="P92" s="20" t="str">
        <f t="shared" si="10"/>
        <v>PERCENTAGE</v>
      </c>
    </row>
    <row r="93" spans="1:16" x14ac:dyDescent="0.35">
      <c r="A93" s="32" t="str">
        <f t="shared" si="11"/>
        <v>2025 JAN-JUN DISC 75% LICENSE ESS</v>
      </c>
      <c r="B93" s="33">
        <f t="shared" si="11"/>
        <v>46121</v>
      </c>
      <c r="C93" s="33">
        <f t="shared" si="11"/>
        <v>46127</v>
      </c>
      <c r="D93" s="32">
        <v>3287</v>
      </c>
      <c r="E93" s="32">
        <v>338</v>
      </c>
      <c r="F93" s="32">
        <v>4</v>
      </c>
      <c r="G93" s="23">
        <v>3</v>
      </c>
      <c r="H93" s="23">
        <v>81462</v>
      </c>
      <c r="I93" s="32" t="s">
        <v>17</v>
      </c>
      <c r="J93" s="23">
        <v>51395963</v>
      </c>
      <c r="K93" s="23" t="s">
        <v>4778</v>
      </c>
      <c r="L93" s="43" t="s">
        <v>4780</v>
      </c>
      <c r="M93" s="24">
        <v>119900</v>
      </c>
      <c r="N93" s="20">
        <f t="shared" si="9"/>
        <v>0.75</v>
      </c>
      <c r="O93" s="83">
        <f t="shared" si="7"/>
        <v>29975</v>
      </c>
      <c r="P93" s="20" t="str">
        <f t="shared" si="10"/>
        <v>PERCENTAGE</v>
      </c>
    </row>
    <row r="94" spans="1:16" x14ac:dyDescent="0.35">
      <c r="A94" s="32" t="str">
        <f t="shared" si="11"/>
        <v>2025 JAN-JUN DISC 75% LICENSE ESS</v>
      </c>
      <c r="B94" s="33">
        <f t="shared" si="11"/>
        <v>46121</v>
      </c>
      <c r="C94" s="33">
        <f t="shared" si="11"/>
        <v>46127</v>
      </c>
      <c r="D94" s="32">
        <v>3287</v>
      </c>
      <c r="E94" s="32">
        <v>338</v>
      </c>
      <c r="F94" s="32">
        <v>4</v>
      </c>
      <c r="G94" s="23">
        <v>3</v>
      </c>
      <c r="H94" s="23">
        <v>81462</v>
      </c>
      <c r="I94" s="32" t="s">
        <v>17</v>
      </c>
      <c r="J94" s="23">
        <v>51395972</v>
      </c>
      <c r="K94" s="23" t="s">
        <v>4778</v>
      </c>
      <c r="L94" s="43" t="s">
        <v>4782</v>
      </c>
      <c r="M94" s="24">
        <v>119900</v>
      </c>
      <c r="N94" s="20">
        <f t="shared" si="9"/>
        <v>0.75</v>
      </c>
      <c r="O94" s="83">
        <f t="shared" si="7"/>
        <v>29975</v>
      </c>
      <c r="P94" s="20" t="str">
        <f t="shared" si="10"/>
        <v>PERCENTAGE</v>
      </c>
    </row>
    <row r="95" spans="1:16" x14ac:dyDescent="0.35">
      <c r="A95" s="32" t="str">
        <f t="shared" si="11"/>
        <v>2025 JAN-JUN DISC 75% LICENSE ESS</v>
      </c>
      <c r="B95" s="33">
        <f t="shared" si="11"/>
        <v>46121</v>
      </c>
      <c r="C95" s="33">
        <f t="shared" si="11"/>
        <v>46127</v>
      </c>
      <c r="D95" s="32">
        <v>3287</v>
      </c>
      <c r="E95" s="32">
        <v>338</v>
      </c>
      <c r="F95" s="32">
        <v>4</v>
      </c>
      <c r="G95" s="23">
        <v>3</v>
      </c>
      <c r="H95" s="23">
        <v>81462</v>
      </c>
      <c r="I95" s="32" t="s">
        <v>17</v>
      </c>
      <c r="J95" s="23">
        <v>51395981</v>
      </c>
      <c r="K95" s="23" t="s">
        <v>4778</v>
      </c>
      <c r="L95" s="43" t="s">
        <v>4779</v>
      </c>
      <c r="M95" s="24">
        <v>119900</v>
      </c>
      <c r="N95" s="20">
        <f t="shared" si="9"/>
        <v>0.75</v>
      </c>
      <c r="O95" s="83">
        <f t="shared" si="7"/>
        <v>29975</v>
      </c>
      <c r="P95" s="20" t="str">
        <f t="shared" si="10"/>
        <v>PERCENTAGE</v>
      </c>
    </row>
    <row r="96" spans="1:16" x14ac:dyDescent="0.35">
      <c r="A96" s="32" t="str">
        <f t="shared" si="11"/>
        <v>2025 JAN-JUN DISC 75% LICENSE ESS</v>
      </c>
      <c r="B96" s="33">
        <f t="shared" si="11"/>
        <v>46121</v>
      </c>
      <c r="C96" s="33">
        <f t="shared" si="11"/>
        <v>46127</v>
      </c>
      <c r="D96" s="32">
        <v>3287</v>
      </c>
      <c r="E96" s="32">
        <v>338</v>
      </c>
      <c r="F96" s="32">
        <v>4</v>
      </c>
      <c r="G96" s="23">
        <v>3</v>
      </c>
      <c r="H96" s="23">
        <v>81574</v>
      </c>
      <c r="I96" s="32" t="s">
        <v>17</v>
      </c>
      <c r="J96" s="23">
        <v>52190628</v>
      </c>
      <c r="K96" s="23" t="s">
        <v>4768</v>
      </c>
      <c r="L96" s="43" t="s">
        <v>4769</v>
      </c>
      <c r="M96" s="24">
        <v>119900</v>
      </c>
      <c r="N96" s="20">
        <f t="shared" si="9"/>
        <v>0.75</v>
      </c>
      <c r="O96" s="83">
        <f t="shared" si="7"/>
        <v>29975</v>
      </c>
      <c r="P96" s="20" t="str">
        <f t="shared" si="10"/>
        <v>PERCENTAGE</v>
      </c>
    </row>
    <row r="97" spans="1:16" x14ac:dyDescent="0.35">
      <c r="A97" s="32" t="str">
        <f t="shared" si="11"/>
        <v>2025 JAN-JUN DISC 75% LICENSE ESS</v>
      </c>
      <c r="B97" s="33">
        <f t="shared" si="11"/>
        <v>46121</v>
      </c>
      <c r="C97" s="33">
        <f t="shared" si="11"/>
        <v>46127</v>
      </c>
      <c r="D97" s="32">
        <v>3287</v>
      </c>
      <c r="E97" s="32">
        <v>338</v>
      </c>
      <c r="F97" s="32">
        <v>4</v>
      </c>
      <c r="G97" s="23">
        <v>3</v>
      </c>
      <c r="H97" s="23">
        <v>81574</v>
      </c>
      <c r="I97" s="32" t="s">
        <v>17</v>
      </c>
      <c r="J97" s="23">
        <v>52190637</v>
      </c>
      <c r="K97" s="23" t="s">
        <v>4768</v>
      </c>
      <c r="L97" s="43" t="s">
        <v>4772</v>
      </c>
      <c r="M97" s="24">
        <v>119900</v>
      </c>
      <c r="N97" s="20">
        <f t="shared" si="9"/>
        <v>0.75</v>
      </c>
      <c r="O97" s="83">
        <f t="shared" si="7"/>
        <v>29975</v>
      </c>
      <c r="P97" s="20" t="str">
        <f t="shared" si="10"/>
        <v>PERCENTAGE</v>
      </c>
    </row>
    <row r="98" spans="1:16" x14ac:dyDescent="0.35">
      <c r="A98" s="32" t="str">
        <f t="shared" si="11"/>
        <v>2025 JAN-JUN DISC 75% LICENSE ESS</v>
      </c>
      <c r="B98" s="33">
        <f t="shared" si="11"/>
        <v>46121</v>
      </c>
      <c r="C98" s="33">
        <f t="shared" si="11"/>
        <v>46127</v>
      </c>
      <c r="D98" s="32">
        <v>3287</v>
      </c>
      <c r="E98" s="32">
        <v>338</v>
      </c>
      <c r="F98" s="32">
        <v>4</v>
      </c>
      <c r="G98" s="23">
        <v>3</v>
      </c>
      <c r="H98" s="23">
        <v>81574</v>
      </c>
      <c r="I98" s="32" t="s">
        <v>17</v>
      </c>
      <c r="J98" s="23">
        <v>52190646</v>
      </c>
      <c r="K98" s="23" t="s">
        <v>4768</v>
      </c>
      <c r="L98" s="43" t="s">
        <v>4771</v>
      </c>
      <c r="M98" s="24">
        <v>119900</v>
      </c>
      <c r="N98" s="20">
        <f t="shared" si="9"/>
        <v>0.75</v>
      </c>
      <c r="O98" s="83">
        <f t="shared" si="7"/>
        <v>29975</v>
      </c>
      <c r="P98" s="20" t="str">
        <f t="shared" si="10"/>
        <v>PERCENTAGE</v>
      </c>
    </row>
    <row r="99" spans="1:16" x14ac:dyDescent="0.35">
      <c r="A99" s="32" t="str">
        <f t="shared" si="11"/>
        <v>2025 JAN-JUN DISC 75% LICENSE ESS</v>
      </c>
      <c r="B99" s="33">
        <f t="shared" si="11"/>
        <v>46121</v>
      </c>
      <c r="C99" s="33">
        <f t="shared" si="11"/>
        <v>46127</v>
      </c>
      <c r="D99" s="32">
        <v>3287</v>
      </c>
      <c r="E99" s="32">
        <v>338</v>
      </c>
      <c r="F99" s="32">
        <v>4</v>
      </c>
      <c r="G99" s="23">
        <v>3</v>
      </c>
      <c r="H99" s="23">
        <v>81574</v>
      </c>
      <c r="I99" s="32" t="s">
        <v>17</v>
      </c>
      <c r="J99" s="23">
        <v>52190655</v>
      </c>
      <c r="K99" s="23" t="s">
        <v>4768</v>
      </c>
      <c r="L99" s="43" t="s">
        <v>4770</v>
      </c>
      <c r="M99" s="24">
        <v>119900</v>
      </c>
      <c r="N99" s="20">
        <f t="shared" si="9"/>
        <v>0.75</v>
      </c>
      <c r="O99" s="83">
        <f t="shared" si="7"/>
        <v>29975</v>
      </c>
      <c r="P99" s="20" t="str">
        <f t="shared" si="10"/>
        <v>PERCENTAGE</v>
      </c>
    </row>
    <row r="100" spans="1:16" x14ac:dyDescent="0.35">
      <c r="A100" s="32" t="str">
        <f t="shared" ref="A100:C115" si="12">A99</f>
        <v>2025 JAN-JUN DISC 75% LICENSE ESS</v>
      </c>
      <c r="B100" s="33">
        <f t="shared" si="12"/>
        <v>46121</v>
      </c>
      <c r="C100" s="33">
        <f t="shared" si="12"/>
        <v>46127</v>
      </c>
      <c r="D100" s="32">
        <v>3287</v>
      </c>
      <c r="E100" s="32">
        <v>338</v>
      </c>
      <c r="F100" s="32">
        <v>4</v>
      </c>
      <c r="G100" s="23">
        <v>4</v>
      </c>
      <c r="H100" s="23">
        <v>81462</v>
      </c>
      <c r="I100" s="32" t="s">
        <v>17</v>
      </c>
      <c r="J100" s="23">
        <v>51942915</v>
      </c>
      <c r="K100" s="23" t="s">
        <v>4783</v>
      </c>
      <c r="L100" s="43" t="s">
        <v>4784</v>
      </c>
      <c r="M100" s="24">
        <v>219900</v>
      </c>
      <c r="N100" s="20">
        <f t="shared" si="9"/>
        <v>0.75</v>
      </c>
      <c r="O100" s="83">
        <f t="shared" si="7"/>
        <v>54975</v>
      </c>
      <c r="P100" s="20" t="str">
        <f t="shared" si="10"/>
        <v>PERCENTAGE</v>
      </c>
    </row>
    <row r="101" spans="1:16" x14ac:dyDescent="0.35">
      <c r="A101" s="32" t="str">
        <f t="shared" si="12"/>
        <v>2025 JAN-JUN DISC 75% LICENSE ESS</v>
      </c>
      <c r="B101" s="33">
        <f t="shared" si="12"/>
        <v>46121</v>
      </c>
      <c r="C101" s="33">
        <f t="shared" si="12"/>
        <v>46127</v>
      </c>
      <c r="D101" s="32">
        <v>3287</v>
      </c>
      <c r="E101" s="32">
        <v>338</v>
      </c>
      <c r="F101" s="32">
        <v>4</v>
      </c>
      <c r="G101" s="23">
        <v>4</v>
      </c>
      <c r="H101" s="23">
        <v>81462</v>
      </c>
      <c r="I101" s="32" t="s">
        <v>17</v>
      </c>
      <c r="J101" s="23">
        <v>51942924</v>
      </c>
      <c r="K101" s="23" t="s">
        <v>4783</v>
      </c>
      <c r="L101" s="43" t="s">
        <v>4785</v>
      </c>
      <c r="M101" s="24">
        <v>219900</v>
      </c>
      <c r="N101" s="20">
        <f t="shared" si="9"/>
        <v>0.75</v>
      </c>
      <c r="O101" s="83">
        <f t="shared" si="7"/>
        <v>54975</v>
      </c>
      <c r="P101" s="20" t="str">
        <f t="shared" si="10"/>
        <v>PERCENTAGE</v>
      </c>
    </row>
    <row r="102" spans="1:16" x14ac:dyDescent="0.35">
      <c r="A102" s="32" t="str">
        <f t="shared" si="12"/>
        <v>2025 JAN-JUN DISC 75% LICENSE ESS</v>
      </c>
      <c r="B102" s="33">
        <f t="shared" si="12"/>
        <v>46121</v>
      </c>
      <c r="C102" s="33">
        <f t="shared" si="12"/>
        <v>46127</v>
      </c>
      <c r="D102" s="32">
        <v>3287</v>
      </c>
      <c r="E102" s="32">
        <v>338</v>
      </c>
      <c r="F102" s="32">
        <v>4</v>
      </c>
      <c r="G102" s="23">
        <v>4</v>
      </c>
      <c r="H102" s="23">
        <v>81462</v>
      </c>
      <c r="I102" s="32" t="s">
        <v>17</v>
      </c>
      <c r="J102" s="23">
        <v>51942933</v>
      </c>
      <c r="K102" s="23" t="s">
        <v>4783</v>
      </c>
      <c r="L102" s="43" t="s">
        <v>4791</v>
      </c>
      <c r="M102" s="24">
        <v>219900</v>
      </c>
      <c r="N102" s="20">
        <f t="shared" si="9"/>
        <v>0.75</v>
      </c>
      <c r="O102" s="83">
        <f t="shared" si="7"/>
        <v>54975</v>
      </c>
      <c r="P102" s="20" t="str">
        <f t="shared" si="10"/>
        <v>PERCENTAGE</v>
      </c>
    </row>
    <row r="103" spans="1:16" x14ac:dyDescent="0.35">
      <c r="A103" s="32" t="str">
        <f t="shared" si="12"/>
        <v>2025 JAN-JUN DISC 75% LICENSE ESS</v>
      </c>
      <c r="B103" s="33">
        <f t="shared" si="12"/>
        <v>46121</v>
      </c>
      <c r="C103" s="33">
        <f t="shared" si="12"/>
        <v>46127</v>
      </c>
      <c r="D103" s="32">
        <v>3287</v>
      </c>
      <c r="E103" s="32">
        <v>338</v>
      </c>
      <c r="F103" s="32">
        <v>4</v>
      </c>
      <c r="G103" s="23">
        <v>4</v>
      </c>
      <c r="H103" s="23">
        <v>81462</v>
      </c>
      <c r="I103" s="32" t="s">
        <v>17</v>
      </c>
      <c r="J103" s="23">
        <v>51942942</v>
      </c>
      <c r="K103" s="23" t="s">
        <v>4783</v>
      </c>
      <c r="L103" s="43" t="s">
        <v>4788</v>
      </c>
      <c r="M103" s="24">
        <v>219900</v>
      </c>
      <c r="N103" s="20">
        <f t="shared" si="9"/>
        <v>0.75</v>
      </c>
      <c r="O103" s="83">
        <f t="shared" si="7"/>
        <v>54975</v>
      </c>
      <c r="P103" s="20" t="str">
        <f t="shared" si="10"/>
        <v>PERCENTAGE</v>
      </c>
    </row>
    <row r="104" spans="1:16" x14ac:dyDescent="0.35">
      <c r="A104" s="32" t="str">
        <f t="shared" si="12"/>
        <v>2025 JAN-JUN DISC 75% LICENSE ESS</v>
      </c>
      <c r="B104" s="33">
        <f t="shared" si="12"/>
        <v>46121</v>
      </c>
      <c r="C104" s="33">
        <f t="shared" si="12"/>
        <v>46127</v>
      </c>
      <c r="D104" s="32">
        <v>3287</v>
      </c>
      <c r="E104" s="32">
        <v>338</v>
      </c>
      <c r="F104" s="32">
        <v>4</v>
      </c>
      <c r="G104" s="23">
        <v>4</v>
      </c>
      <c r="H104" s="23">
        <v>81462</v>
      </c>
      <c r="I104" s="32" t="s">
        <v>17</v>
      </c>
      <c r="J104" s="23">
        <v>51942951</v>
      </c>
      <c r="K104" s="23" t="s">
        <v>4783</v>
      </c>
      <c r="L104" s="43" t="s">
        <v>4789</v>
      </c>
      <c r="M104" s="24">
        <v>229900</v>
      </c>
      <c r="N104" s="20">
        <f t="shared" si="9"/>
        <v>0.75</v>
      </c>
      <c r="O104" s="83">
        <f t="shared" si="7"/>
        <v>57475</v>
      </c>
      <c r="P104" s="20" t="str">
        <f t="shared" si="10"/>
        <v>PERCENTAGE</v>
      </c>
    </row>
    <row r="105" spans="1:16" x14ac:dyDescent="0.35">
      <c r="A105" s="32" t="str">
        <f t="shared" si="12"/>
        <v>2025 JAN-JUN DISC 75% LICENSE ESS</v>
      </c>
      <c r="B105" s="33">
        <f t="shared" si="12"/>
        <v>46121</v>
      </c>
      <c r="C105" s="33">
        <f t="shared" si="12"/>
        <v>46127</v>
      </c>
      <c r="D105" s="32">
        <v>3287</v>
      </c>
      <c r="E105" s="32">
        <v>338</v>
      </c>
      <c r="F105" s="32">
        <v>4</v>
      </c>
      <c r="G105" s="23">
        <v>4</v>
      </c>
      <c r="H105" s="23">
        <v>81462</v>
      </c>
      <c r="I105" s="32" t="s">
        <v>17</v>
      </c>
      <c r="J105" s="23">
        <v>51942960</v>
      </c>
      <c r="K105" s="23" t="s">
        <v>4783</v>
      </c>
      <c r="L105" s="43" t="s">
        <v>4790</v>
      </c>
      <c r="M105" s="24">
        <v>229900</v>
      </c>
      <c r="N105" s="20">
        <f t="shared" si="9"/>
        <v>0.75</v>
      </c>
      <c r="O105" s="83">
        <f t="shared" si="7"/>
        <v>57475</v>
      </c>
      <c r="P105" s="20" t="str">
        <f t="shared" si="10"/>
        <v>PERCENTAGE</v>
      </c>
    </row>
    <row r="106" spans="1:16" x14ac:dyDescent="0.35">
      <c r="A106" s="32" t="str">
        <f t="shared" si="12"/>
        <v>2025 JAN-JUN DISC 75% LICENSE ESS</v>
      </c>
      <c r="B106" s="33">
        <f t="shared" si="12"/>
        <v>46121</v>
      </c>
      <c r="C106" s="33">
        <f t="shared" si="12"/>
        <v>46127</v>
      </c>
      <c r="D106" s="32">
        <v>3287</v>
      </c>
      <c r="E106" s="32">
        <v>338</v>
      </c>
      <c r="F106" s="32">
        <v>4</v>
      </c>
      <c r="G106" s="23">
        <v>4</v>
      </c>
      <c r="H106" s="23">
        <v>81462</v>
      </c>
      <c r="I106" s="32" t="s">
        <v>17</v>
      </c>
      <c r="J106" s="23">
        <v>51942979</v>
      </c>
      <c r="K106" s="23" t="s">
        <v>4783</v>
      </c>
      <c r="L106" s="43" t="s">
        <v>4786</v>
      </c>
      <c r="M106" s="24">
        <v>229900</v>
      </c>
      <c r="N106" s="20">
        <f t="shared" si="9"/>
        <v>0.75</v>
      </c>
      <c r="O106" s="83">
        <f t="shared" si="7"/>
        <v>57475</v>
      </c>
      <c r="P106" s="20" t="str">
        <f t="shared" si="10"/>
        <v>PERCENTAGE</v>
      </c>
    </row>
    <row r="107" spans="1:16" x14ac:dyDescent="0.35">
      <c r="A107" s="32" t="str">
        <f t="shared" si="12"/>
        <v>2025 JAN-JUN DISC 75% LICENSE ESS</v>
      </c>
      <c r="B107" s="33">
        <f t="shared" si="12"/>
        <v>46121</v>
      </c>
      <c r="C107" s="33">
        <f t="shared" si="12"/>
        <v>46127</v>
      </c>
      <c r="D107" s="32">
        <v>3287</v>
      </c>
      <c r="E107" s="32">
        <v>338</v>
      </c>
      <c r="F107" s="32">
        <v>4</v>
      </c>
      <c r="G107" s="23">
        <v>4</v>
      </c>
      <c r="H107" s="23">
        <v>81462</v>
      </c>
      <c r="I107" s="32" t="s">
        <v>17</v>
      </c>
      <c r="J107" s="23">
        <v>51942988</v>
      </c>
      <c r="K107" s="23" t="s">
        <v>4783</v>
      </c>
      <c r="L107" s="43" t="s">
        <v>4787</v>
      </c>
      <c r="M107" s="24">
        <v>229900</v>
      </c>
      <c r="N107" s="20">
        <f t="shared" si="9"/>
        <v>0.75</v>
      </c>
      <c r="O107" s="83">
        <f t="shared" si="7"/>
        <v>57475</v>
      </c>
      <c r="P107" s="20" t="str">
        <f t="shared" si="10"/>
        <v>PERCENTAGE</v>
      </c>
    </row>
    <row r="108" spans="1:16" x14ac:dyDescent="0.35">
      <c r="A108" s="32" t="str">
        <f t="shared" si="12"/>
        <v>2025 JAN-JUN DISC 75% LICENSE ESS</v>
      </c>
      <c r="B108" s="33">
        <f t="shared" si="12"/>
        <v>46121</v>
      </c>
      <c r="C108" s="33">
        <f t="shared" si="12"/>
        <v>46127</v>
      </c>
      <c r="D108" s="32">
        <v>3287</v>
      </c>
      <c r="E108" s="32">
        <v>338</v>
      </c>
      <c r="F108" s="32">
        <v>4</v>
      </c>
      <c r="G108" s="23">
        <v>4</v>
      </c>
      <c r="H108" s="23">
        <v>81462</v>
      </c>
      <c r="I108" s="32" t="s">
        <v>17</v>
      </c>
      <c r="J108" s="23">
        <v>51942997</v>
      </c>
      <c r="K108" s="23" t="s">
        <v>4792</v>
      </c>
      <c r="L108" s="43" t="s">
        <v>4796</v>
      </c>
      <c r="M108" s="24">
        <v>219900</v>
      </c>
      <c r="N108" s="20">
        <f t="shared" si="9"/>
        <v>0.75</v>
      </c>
      <c r="O108" s="83">
        <f t="shared" si="7"/>
        <v>54975</v>
      </c>
      <c r="P108" s="20" t="str">
        <f t="shared" si="10"/>
        <v>PERCENTAGE</v>
      </c>
    </row>
    <row r="109" spans="1:16" x14ac:dyDescent="0.35">
      <c r="A109" s="32" t="str">
        <f t="shared" si="12"/>
        <v>2025 JAN-JUN DISC 75% LICENSE ESS</v>
      </c>
      <c r="B109" s="33">
        <f t="shared" si="12"/>
        <v>46121</v>
      </c>
      <c r="C109" s="33">
        <f t="shared" si="12"/>
        <v>46127</v>
      </c>
      <c r="D109" s="32">
        <v>3287</v>
      </c>
      <c r="E109" s="32">
        <v>338</v>
      </c>
      <c r="F109" s="32">
        <v>4</v>
      </c>
      <c r="G109" s="23">
        <v>4</v>
      </c>
      <c r="H109" s="23">
        <v>81462</v>
      </c>
      <c r="I109" s="32" t="s">
        <v>17</v>
      </c>
      <c r="J109" s="23">
        <v>51943003</v>
      </c>
      <c r="K109" s="23" t="s">
        <v>4792</v>
      </c>
      <c r="L109" s="43" t="s">
        <v>4797</v>
      </c>
      <c r="M109" s="24">
        <v>219900</v>
      </c>
      <c r="N109" s="20">
        <f t="shared" si="9"/>
        <v>0.75</v>
      </c>
      <c r="O109" s="83">
        <f t="shared" si="7"/>
        <v>54975</v>
      </c>
      <c r="P109" s="20" t="str">
        <f t="shared" si="10"/>
        <v>PERCENTAGE</v>
      </c>
    </row>
    <row r="110" spans="1:16" x14ac:dyDescent="0.35">
      <c r="A110" s="32" t="str">
        <f t="shared" si="12"/>
        <v>2025 JAN-JUN DISC 75% LICENSE ESS</v>
      </c>
      <c r="B110" s="33">
        <f t="shared" si="12"/>
        <v>46121</v>
      </c>
      <c r="C110" s="33">
        <f t="shared" si="12"/>
        <v>46127</v>
      </c>
      <c r="D110" s="32">
        <v>3287</v>
      </c>
      <c r="E110" s="32">
        <v>338</v>
      </c>
      <c r="F110" s="32">
        <v>4</v>
      </c>
      <c r="G110" s="23">
        <v>4</v>
      </c>
      <c r="H110" s="23">
        <v>81462</v>
      </c>
      <c r="I110" s="32" t="s">
        <v>17</v>
      </c>
      <c r="J110" s="23">
        <v>51943012</v>
      </c>
      <c r="K110" s="23" t="s">
        <v>4792</v>
      </c>
      <c r="L110" s="43" t="s">
        <v>4793</v>
      </c>
      <c r="M110" s="24">
        <v>219900</v>
      </c>
      <c r="N110" s="20">
        <f t="shared" si="9"/>
        <v>0.75</v>
      </c>
      <c r="O110" s="83">
        <f t="shared" si="7"/>
        <v>54975</v>
      </c>
      <c r="P110" s="20" t="str">
        <f t="shared" si="10"/>
        <v>PERCENTAGE</v>
      </c>
    </row>
    <row r="111" spans="1:16" x14ac:dyDescent="0.35">
      <c r="A111" s="32" t="str">
        <f t="shared" si="12"/>
        <v>2025 JAN-JUN DISC 75% LICENSE ESS</v>
      </c>
      <c r="B111" s="33">
        <f t="shared" si="12"/>
        <v>46121</v>
      </c>
      <c r="C111" s="33">
        <f t="shared" si="12"/>
        <v>46127</v>
      </c>
      <c r="D111" s="32">
        <v>3287</v>
      </c>
      <c r="E111" s="32">
        <v>338</v>
      </c>
      <c r="F111" s="32">
        <v>4</v>
      </c>
      <c r="G111" s="23">
        <v>4</v>
      </c>
      <c r="H111" s="23">
        <v>81462</v>
      </c>
      <c r="I111" s="32" t="s">
        <v>17</v>
      </c>
      <c r="J111" s="23">
        <v>51943021</v>
      </c>
      <c r="K111" s="23" t="s">
        <v>4792</v>
      </c>
      <c r="L111" s="43" t="s">
        <v>4794</v>
      </c>
      <c r="M111" s="24">
        <v>219900</v>
      </c>
      <c r="N111" s="20">
        <f t="shared" si="9"/>
        <v>0.75</v>
      </c>
      <c r="O111" s="83">
        <f t="shared" si="7"/>
        <v>54975</v>
      </c>
      <c r="P111" s="20" t="str">
        <f t="shared" si="10"/>
        <v>PERCENTAGE</v>
      </c>
    </row>
    <row r="112" spans="1:16" x14ac:dyDescent="0.35">
      <c r="A112" s="32" t="str">
        <f t="shared" si="12"/>
        <v>2025 JAN-JUN DISC 75% LICENSE ESS</v>
      </c>
      <c r="B112" s="33">
        <f t="shared" si="12"/>
        <v>46121</v>
      </c>
      <c r="C112" s="33">
        <f t="shared" si="12"/>
        <v>46127</v>
      </c>
      <c r="D112" s="32">
        <v>3287</v>
      </c>
      <c r="E112" s="32">
        <v>338</v>
      </c>
      <c r="F112" s="32">
        <v>4</v>
      </c>
      <c r="G112" s="23">
        <v>4</v>
      </c>
      <c r="H112" s="23">
        <v>81462</v>
      </c>
      <c r="I112" s="32" t="s">
        <v>17</v>
      </c>
      <c r="J112" s="23">
        <v>51943030</v>
      </c>
      <c r="K112" s="23" t="s">
        <v>4792</v>
      </c>
      <c r="L112" s="43" t="s">
        <v>4800</v>
      </c>
      <c r="M112" s="24">
        <v>229900</v>
      </c>
      <c r="N112" s="20">
        <f t="shared" si="9"/>
        <v>0.75</v>
      </c>
      <c r="O112" s="83">
        <f t="shared" si="7"/>
        <v>57475</v>
      </c>
      <c r="P112" s="20" t="str">
        <f t="shared" si="10"/>
        <v>PERCENTAGE</v>
      </c>
    </row>
    <row r="113" spans="1:16" x14ac:dyDescent="0.35">
      <c r="A113" s="32" t="str">
        <f t="shared" si="12"/>
        <v>2025 JAN-JUN DISC 75% LICENSE ESS</v>
      </c>
      <c r="B113" s="33">
        <f t="shared" si="12"/>
        <v>46121</v>
      </c>
      <c r="C113" s="33">
        <f t="shared" si="12"/>
        <v>46127</v>
      </c>
      <c r="D113" s="32">
        <v>3287</v>
      </c>
      <c r="E113" s="32">
        <v>338</v>
      </c>
      <c r="F113" s="32">
        <v>4</v>
      </c>
      <c r="G113" s="23">
        <v>4</v>
      </c>
      <c r="H113" s="23">
        <v>81462</v>
      </c>
      <c r="I113" s="32" t="s">
        <v>17</v>
      </c>
      <c r="J113" s="23">
        <v>51943049</v>
      </c>
      <c r="K113" s="23" t="s">
        <v>4792</v>
      </c>
      <c r="L113" s="43" t="s">
        <v>4795</v>
      </c>
      <c r="M113" s="24">
        <v>229900</v>
      </c>
      <c r="N113" s="20">
        <f t="shared" si="9"/>
        <v>0.75</v>
      </c>
      <c r="O113" s="83">
        <f t="shared" si="7"/>
        <v>57475</v>
      </c>
      <c r="P113" s="20" t="str">
        <f t="shared" si="10"/>
        <v>PERCENTAGE</v>
      </c>
    </row>
    <row r="114" spans="1:16" x14ac:dyDescent="0.35">
      <c r="A114" s="32" t="str">
        <f t="shared" si="12"/>
        <v>2025 JAN-JUN DISC 75% LICENSE ESS</v>
      </c>
      <c r="B114" s="33">
        <f t="shared" si="12"/>
        <v>46121</v>
      </c>
      <c r="C114" s="33">
        <f t="shared" si="12"/>
        <v>46127</v>
      </c>
      <c r="D114" s="32">
        <v>3287</v>
      </c>
      <c r="E114" s="32">
        <v>338</v>
      </c>
      <c r="F114" s="32">
        <v>4</v>
      </c>
      <c r="G114" s="23">
        <v>4</v>
      </c>
      <c r="H114" s="23">
        <v>81462</v>
      </c>
      <c r="I114" s="32" t="s">
        <v>17</v>
      </c>
      <c r="J114" s="23">
        <v>51943058</v>
      </c>
      <c r="K114" s="23" t="s">
        <v>4792</v>
      </c>
      <c r="L114" s="43" t="s">
        <v>4799</v>
      </c>
      <c r="M114" s="24">
        <v>229900</v>
      </c>
      <c r="N114" s="20">
        <f t="shared" si="9"/>
        <v>0.75</v>
      </c>
      <c r="O114" s="83">
        <f t="shared" si="7"/>
        <v>57475</v>
      </c>
      <c r="P114" s="20" t="str">
        <f t="shared" si="10"/>
        <v>PERCENTAGE</v>
      </c>
    </row>
    <row r="115" spans="1:16" x14ac:dyDescent="0.35">
      <c r="A115" s="32" t="str">
        <f t="shared" si="12"/>
        <v>2025 JAN-JUN DISC 75% LICENSE ESS</v>
      </c>
      <c r="B115" s="33">
        <f t="shared" si="12"/>
        <v>46121</v>
      </c>
      <c r="C115" s="33">
        <f t="shared" si="12"/>
        <v>46127</v>
      </c>
      <c r="D115" s="32">
        <v>3287</v>
      </c>
      <c r="E115" s="32">
        <v>338</v>
      </c>
      <c r="F115" s="32">
        <v>4</v>
      </c>
      <c r="G115" s="23">
        <v>4</v>
      </c>
      <c r="H115" s="23">
        <v>81462</v>
      </c>
      <c r="I115" s="32" t="s">
        <v>17</v>
      </c>
      <c r="J115" s="23">
        <v>51943067</v>
      </c>
      <c r="K115" s="23" t="s">
        <v>4792</v>
      </c>
      <c r="L115" s="43" t="s">
        <v>4798</v>
      </c>
      <c r="M115" s="24">
        <v>229900</v>
      </c>
      <c r="N115" s="20">
        <f t="shared" si="9"/>
        <v>0.75</v>
      </c>
      <c r="O115" s="83">
        <f t="shared" si="7"/>
        <v>57475</v>
      </c>
      <c r="P115" s="20" t="str">
        <f t="shared" si="10"/>
        <v>PERCENTAGE</v>
      </c>
    </row>
    <row r="116" spans="1:16" x14ac:dyDescent="0.35">
      <c r="A116" s="32" t="str">
        <f t="shared" ref="A116:C131" si="13">A115</f>
        <v>2025 JAN-JUN DISC 75% LICENSE ESS</v>
      </c>
      <c r="B116" s="33">
        <f t="shared" si="13"/>
        <v>46121</v>
      </c>
      <c r="C116" s="33">
        <f t="shared" si="13"/>
        <v>46127</v>
      </c>
      <c r="D116" s="32">
        <v>3287</v>
      </c>
      <c r="E116" s="32">
        <v>338</v>
      </c>
      <c r="F116" s="32">
        <v>4</v>
      </c>
      <c r="G116" s="23">
        <v>9</v>
      </c>
      <c r="H116" s="23">
        <v>81462</v>
      </c>
      <c r="I116" s="32" t="s">
        <v>17</v>
      </c>
      <c r="J116" s="23">
        <v>52340966</v>
      </c>
      <c r="K116" s="23" t="s">
        <v>4894</v>
      </c>
      <c r="L116" s="43" t="s">
        <v>4897</v>
      </c>
      <c r="M116" s="24">
        <v>219900</v>
      </c>
      <c r="N116" s="20">
        <f t="shared" si="9"/>
        <v>0.75</v>
      </c>
      <c r="O116" s="83">
        <f t="shared" si="7"/>
        <v>54975</v>
      </c>
      <c r="P116" s="20" t="str">
        <f t="shared" si="10"/>
        <v>PERCENTAGE</v>
      </c>
    </row>
    <row r="117" spans="1:16" x14ac:dyDescent="0.35">
      <c r="A117" s="32" t="str">
        <f t="shared" si="13"/>
        <v>2025 JAN-JUN DISC 75% LICENSE ESS</v>
      </c>
      <c r="B117" s="33">
        <f t="shared" si="13"/>
        <v>46121</v>
      </c>
      <c r="C117" s="33">
        <f t="shared" si="13"/>
        <v>46127</v>
      </c>
      <c r="D117" s="32">
        <v>3287</v>
      </c>
      <c r="E117" s="32">
        <v>338</v>
      </c>
      <c r="F117" s="32">
        <v>4</v>
      </c>
      <c r="G117" s="23">
        <v>9</v>
      </c>
      <c r="H117" s="23">
        <v>81462</v>
      </c>
      <c r="I117" s="32" t="s">
        <v>17</v>
      </c>
      <c r="J117" s="23">
        <v>52340975</v>
      </c>
      <c r="K117" s="23" t="s">
        <v>4894</v>
      </c>
      <c r="L117" s="43" t="s">
        <v>4902</v>
      </c>
      <c r="M117" s="24">
        <v>219900</v>
      </c>
      <c r="N117" s="20">
        <f t="shared" si="9"/>
        <v>0.75</v>
      </c>
      <c r="O117" s="83">
        <f t="shared" si="7"/>
        <v>54975</v>
      </c>
      <c r="P117" s="20" t="str">
        <f t="shared" si="10"/>
        <v>PERCENTAGE</v>
      </c>
    </row>
    <row r="118" spans="1:16" x14ac:dyDescent="0.35">
      <c r="A118" s="32" t="str">
        <f t="shared" si="13"/>
        <v>2025 JAN-JUN DISC 75% LICENSE ESS</v>
      </c>
      <c r="B118" s="33">
        <f t="shared" si="13"/>
        <v>46121</v>
      </c>
      <c r="C118" s="33">
        <f t="shared" si="13"/>
        <v>46127</v>
      </c>
      <c r="D118" s="32">
        <v>3287</v>
      </c>
      <c r="E118" s="32">
        <v>338</v>
      </c>
      <c r="F118" s="32">
        <v>4</v>
      </c>
      <c r="G118" s="23">
        <v>9</v>
      </c>
      <c r="H118" s="23">
        <v>81462</v>
      </c>
      <c r="I118" s="32" t="s">
        <v>17</v>
      </c>
      <c r="J118" s="23">
        <v>52340984</v>
      </c>
      <c r="K118" s="23" t="s">
        <v>4894</v>
      </c>
      <c r="L118" s="43" t="s">
        <v>4899</v>
      </c>
      <c r="M118" s="24">
        <v>219900</v>
      </c>
      <c r="N118" s="20">
        <f t="shared" si="9"/>
        <v>0.75</v>
      </c>
      <c r="O118" s="83">
        <f t="shared" si="7"/>
        <v>54975</v>
      </c>
      <c r="P118" s="20" t="str">
        <f t="shared" si="10"/>
        <v>PERCENTAGE</v>
      </c>
    </row>
    <row r="119" spans="1:16" x14ac:dyDescent="0.35">
      <c r="A119" s="32" t="str">
        <f t="shared" si="13"/>
        <v>2025 JAN-JUN DISC 75% LICENSE ESS</v>
      </c>
      <c r="B119" s="33">
        <f t="shared" si="13"/>
        <v>46121</v>
      </c>
      <c r="C119" s="33">
        <f t="shared" si="13"/>
        <v>46127</v>
      </c>
      <c r="D119" s="32">
        <v>3287</v>
      </c>
      <c r="E119" s="32">
        <v>338</v>
      </c>
      <c r="F119" s="32">
        <v>4</v>
      </c>
      <c r="G119" s="23">
        <v>9</v>
      </c>
      <c r="H119" s="23">
        <v>81462</v>
      </c>
      <c r="I119" s="32" t="s">
        <v>17</v>
      </c>
      <c r="J119" s="23">
        <v>52340993</v>
      </c>
      <c r="K119" s="23" t="s">
        <v>4894</v>
      </c>
      <c r="L119" s="43" t="s">
        <v>4898</v>
      </c>
      <c r="M119" s="24">
        <v>219900</v>
      </c>
      <c r="N119" s="20">
        <f t="shared" si="9"/>
        <v>0.75</v>
      </c>
      <c r="O119" s="83">
        <f t="shared" si="7"/>
        <v>54975</v>
      </c>
      <c r="P119" s="20" t="str">
        <f t="shared" si="10"/>
        <v>PERCENTAGE</v>
      </c>
    </row>
    <row r="120" spans="1:16" x14ac:dyDescent="0.35">
      <c r="A120" s="32" t="str">
        <f t="shared" si="13"/>
        <v>2025 JAN-JUN DISC 75% LICENSE ESS</v>
      </c>
      <c r="B120" s="33">
        <f t="shared" si="13"/>
        <v>46121</v>
      </c>
      <c r="C120" s="33">
        <f t="shared" si="13"/>
        <v>46127</v>
      </c>
      <c r="D120" s="32">
        <v>3287</v>
      </c>
      <c r="E120" s="32">
        <v>338</v>
      </c>
      <c r="F120" s="32">
        <v>4</v>
      </c>
      <c r="G120" s="23">
        <v>9</v>
      </c>
      <c r="H120" s="23">
        <v>81462</v>
      </c>
      <c r="I120" s="32" t="s">
        <v>17</v>
      </c>
      <c r="J120" s="23">
        <v>52341009</v>
      </c>
      <c r="K120" s="23" t="s">
        <v>4894</v>
      </c>
      <c r="L120" s="43" t="s">
        <v>4901</v>
      </c>
      <c r="M120" s="24">
        <v>219900</v>
      </c>
      <c r="N120" s="20">
        <f t="shared" si="9"/>
        <v>0.75</v>
      </c>
      <c r="O120" s="83">
        <f t="shared" si="7"/>
        <v>54975</v>
      </c>
      <c r="P120" s="20" t="str">
        <f t="shared" si="10"/>
        <v>PERCENTAGE</v>
      </c>
    </row>
    <row r="121" spans="1:16" x14ac:dyDescent="0.35">
      <c r="A121" s="32" t="str">
        <f t="shared" si="13"/>
        <v>2025 JAN-JUN DISC 75% LICENSE ESS</v>
      </c>
      <c r="B121" s="33">
        <f t="shared" si="13"/>
        <v>46121</v>
      </c>
      <c r="C121" s="33">
        <f t="shared" si="13"/>
        <v>46127</v>
      </c>
      <c r="D121" s="32">
        <v>3287</v>
      </c>
      <c r="E121" s="32">
        <v>338</v>
      </c>
      <c r="F121" s="32">
        <v>4</v>
      </c>
      <c r="G121" s="23">
        <v>9</v>
      </c>
      <c r="H121" s="23">
        <v>81462</v>
      </c>
      <c r="I121" s="32" t="s">
        <v>17</v>
      </c>
      <c r="J121" s="23">
        <v>52341018</v>
      </c>
      <c r="K121" s="23" t="s">
        <v>4894</v>
      </c>
      <c r="L121" s="43" t="s">
        <v>4896</v>
      </c>
      <c r="M121" s="24">
        <v>219900</v>
      </c>
      <c r="N121" s="20">
        <f t="shared" si="9"/>
        <v>0.75</v>
      </c>
      <c r="O121" s="83">
        <f t="shared" si="7"/>
        <v>54975</v>
      </c>
      <c r="P121" s="20" t="str">
        <f t="shared" si="10"/>
        <v>PERCENTAGE</v>
      </c>
    </row>
    <row r="122" spans="1:16" x14ac:dyDescent="0.35">
      <c r="A122" s="32" t="str">
        <f t="shared" si="13"/>
        <v>2025 JAN-JUN DISC 75% LICENSE ESS</v>
      </c>
      <c r="B122" s="33">
        <f t="shared" si="13"/>
        <v>46121</v>
      </c>
      <c r="C122" s="33">
        <f t="shared" si="13"/>
        <v>46127</v>
      </c>
      <c r="D122" s="32">
        <v>3287</v>
      </c>
      <c r="E122" s="32">
        <v>338</v>
      </c>
      <c r="F122" s="32">
        <v>4</v>
      </c>
      <c r="G122" s="23">
        <v>9</v>
      </c>
      <c r="H122" s="23">
        <v>81462</v>
      </c>
      <c r="I122" s="32" t="s">
        <v>17</v>
      </c>
      <c r="J122" s="23">
        <v>52341027</v>
      </c>
      <c r="K122" s="23" t="s">
        <v>4894</v>
      </c>
      <c r="L122" s="43" t="s">
        <v>4895</v>
      </c>
      <c r="M122" s="24">
        <v>219900</v>
      </c>
      <c r="N122" s="20">
        <f t="shared" si="9"/>
        <v>0.75</v>
      </c>
      <c r="O122" s="83">
        <f t="shared" si="7"/>
        <v>54975</v>
      </c>
      <c r="P122" s="20" t="str">
        <f t="shared" si="10"/>
        <v>PERCENTAGE</v>
      </c>
    </row>
    <row r="123" spans="1:16" x14ac:dyDescent="0.35">
      <c r="A123" s="32" t="str">
        <f t="shared" si="13"/>
        <v>2025 JAN-JUN DISC 75% LICENSE ESS</v>
      </c>
      <c r="B123" s="33">
        <f t="shared" si="13"/>
        <v>46121</v>
      </c>
      <c r="C123" s="33">
        <f t="shared" si="13"/>
        <v>46127</v>
      </c>
      <c r="D123" s="32">
        <v>3287</v>
      </c>
      <c r="E123" s="32">
        <v>338</v>
      </c>
      <c r="F123" s="32">
        <v>4</v>
      </c>
      <c r="G123" s="23">
        <v>9</v>
      </c>
      <c r="H123" s="23">
        <v>81462</v>
      </c>
      <c r="I123" s="32" t="s">
        <v>17</v>
      </c>
      <c r="J123" s="23">
        <v>52341036</v>
      </c>
      <c r="K123" s="23" t="s">
        <v>4894</v>
      </c>
      <c r="L123" s="43" t="s">
        <v>4900</v>
      </c>
      <c r="M123" s="24">
        <v>219900</v>
      </c>
      <c r="N123" s="20">
        <f t="shared" si="9"/>
        <v>0.75</v>
      </c>
      <c r="O123" s="83">
        <f t="shared" si="7"/>
        <v>54975</v>
      </c>
      <c r="P123" s="20" t="str">
        <f t="shared" si="10"/>
        <v>PERCENTAGE</v>
      </c>
    </row>
    <row r="124" spans="1:16" x14ac:dyDescent="0.35">
      <c r="A124" s="32" t="str">
        <f t="shared" si="13"/>
        <v>2025 JAN-JUN DISC 75% LICENSE ESS</v>
      </c>
      <c r="B124" s="33">
        <f t="shared" si="13"/>
        <v>46121</v>
      </c>
      <c r="C124" s="33">
        <f t="shared" si="13"/>
        <v>46127</v>
      </c>
      <c r="D124" s="32">
        <v>3287</v>
      </c>
      <c r="E124" s="32">
        <v>338</v>
      </c>
      <c r="F124" s="32">
        <v>4</v>
      </c>
      <c r="G124" s="23">
        <v>2</v>
      </c>
      <c r="H124" s="23">
        <v>81462</v>
      </c>
      <c r="I124" s="32" t="s">
        <v>17</v>
      </c>
      <c r="J124" s="23">
        <v>52340886</v>
      </c>
      <c r="K124" s="23" t="s">
        <v>4806</v>
      </c>
      <c r="L124" s="43" t="s">
        <v>4812</v>
      </c>
      <c r="M124" s="24">
        <v>219900</v>
      </c>
      <c r="N124" s="20">
        <f t="shared" si="9"/>
        <v>0.75</v>
      </c>
      <c r="O124" s="83">
        <f t="shared" si="7"/>
        <v>54975</v>
      </c>
      <c r="P124" s="20" t="str">
        <f t="shared" si="10"/>
        <v>PERCENTAGE</v>
      </c>
    </row>
    <row r="125" spans="1:16" x14ac:dyDescent="0.35">
      <c r="A125" s="32" t="str">
        <f t="shared" si="13"/>
        <v>2025 JAN-JUN DISC 75% LICENSE ESS</v>
      </c>
      <c r="B125" s="33">
        <f t="shared" si="13"/>
        <v>46121</v>
      </c>
      <c r="C125" s="33">
        <f t="shared" si="13"/>
        <v>46127</v>
      </c>
      <c r="D125" s="32">
        <v>3287</v>
      </c>
      <c r="E125" s="32">
        <v>338</v>
      </c>
      <c r="F125" s="32">
        <v>4</v>
      </c>
      <c r="G125" s="23">
        <v>2</v>
      </c>
      <c r="H125" s="23">
        <v>81462</v>
      </c>
      <c r="I125" s="32" t="s">
        <v>17</v>
      </c>
      <c r="J125" s="23">
        <v>52340895</v>
      </c>
      <c r="K125" s="23" t="s">
        <v>4806</v>
      </c>
      <c r="L125" s="43" t="s">
        <v>4809</v>
      </c>
      <c r="M125" s="24">
        <v>219900</v>
      </c>
      <c r="N125" s="20">
        <f t="shared" si="9"/>
        <v>0.75</v>
      </c>
      <c r="O125" s="83">
        <f t="shared" si="7"/>
        <v>54975</v>
      </c>
      <c r="P125" s="20" t="str">
        <f t="shared" si="10"/>
        <v>PERCENTAGE</v>
      </c>
    </row>
    <row r="126" spans="1:16" x14ac:dyDescent="0.35">
      <c r="A126" s="32" t="str">
        <f t="shared" si="13"/>
        <v>2025 JAN-JUN DISC 75% LICENSE ESS</v>
      </c>
      <c r="B126" s="33">
        <f t="shared" si="13"/>
        <v>46121</v>
      </c>
      <c r="C126" s="33">
        <f t="shared" si="13"/>
        <v>46127</v>
      </c>
      <c r="D126" s="32">
        <v>3287</v>
      </c>
      <c r="E126" s="32">
        <v>338</v>
      </c>
      <c r="F126" s="32">
        <v>4</v>
      </c>
      <c r="G126" s="23">
        <v>2</v>
      </c>
      <c r="H126" s="23">
        <v>81462</v>
      </c>
      <c r="I126" s="32" t="s">
        <v>17</v>
      </c>
      <c r="J126" s="23">
        <v>52340902</v>
      </c>
      <c r="K126" s="23" t="s">
        <v>4806</v>
      </c>
      <c r="L126" s="43" t="s">
        <v>4808</v>
      </c>
      <c r="M126" s="24">
        <v>219900</v>
      </c>
      <c r="N126" s="20">
        <f t="shared" si="9"/>
        <v>0.75</v>
      </c>
      <c r="O126" s="83">
        <f t="shared" si="7"/>
        <v>54975</v>
      </c>
      <c r="P126" s="20" t="str">
        <f t="shared" si="10"/>
        <v>PERCENTAGE</v>
      </c>
    </row>
    <row r="127" spans="1:16" x14ac:dyDescent="0.35">
      <c r="A127" s="32" t="str">
        <f t="shared" si="13"/>
        <v>2025 JAN-JUN DISC 75% LICENSE ESS</v>
      </c>
      <c r="B127" s="33">
        <f t="shared" si="13"/>
        <v>46121</v>
      </c>
      <c r="C127" s="33">
        <f t="shared" si="13"/>
        <v>46127</v>
      </c>
      <c r="D127" s="32">
        <v>3287</v>
      </c>
      <c r="E127" s="32">
        <v>338</v>
      </c>
      <c r="F127" s="32">
        <v>4</v>
      </c>
      <c r="G127" s="23">
        <v>2</v>
      </c>
      <c r="H127" s="23">
        <v>81462</v>
      </c>
      <c r="I127" s="32" t="s">
        <v>17</v>
      </c>
      <c r="J127" s="23">
        <v>52340911</v>
      </c>
      <c r="K127" s="23" t="s">
        <v>4806</v>
      </c>
      <c r="L127" s="43" t="s">
        <v>4807</v>
      </c>
      <c r="M127" s="24">
        <v>219900</v>
      </c>
      <c r="N127" s="20">
        <f t="shared" si="9"/>
        <v>0.75</v>
      </c>
      <c r="O127" s="83">
        <f t="shared" si="7"/>
        <v>54975</v>
      </c>
      <c r="P127" s="20" t="str">
        <f t="shared" si="10"/>
        <v>PERCENTAGE</v>
      </c>
    </row>
    <row r="128" spans="1:16" x14ac:dyDescent="0.35">
      <c r="A128" s="32" t="str">
        <f t="shared" si="13"/>
        <v>2025 JAN-JUN DISC 75% LICENSE ESS</v>
      </c>
      <c r="B128" s="33">
        <f t="shared" si="13"/>
        <v>46121</v>
      </c>
      <c r="C128" s="33">
        <f t="shared" si="13"/>
        <v>46127</v>
      </c>
      <c r="D128" s="32">
        <v>3287</v>
      </c>
      <c r="E128" s="32">
        <v>338</v>
      </c>
      <c r="F128" s="32">
        <v>4</v>
      </c>
      <c r="G128" s="23">
        <v>2</v>
      </c>
      <c r="H128" s="23">
        <v>81462</v>
      </c>
      <c r="I128" s="32" t="s">
        <v>17</v>
      </c>
      <c r="J128" s="23">
        <v>52340920</v>
      </c>
      <c r="K128" s="23" t="s">
        <v>4806</v>
      </c>
      <c r="L128" s="43" t="s">
        <v>4814</v>
      </c>
      <c r="M128" s="24">
        <v>219900</v>
      </c>
      <c r="N128" s="20">
        <f t="shared" si="9"/>
        <v>0.75</v>
      </c>
      <c r="O128" s="83">
        <f t="shared" si="7"/>
        <v>54975</v>
      </c>
      <c r="P128" s="20" t="str">
        <f t="shared" si="10"/>
        <v>PERCENTAGE</v>
      </c>
    </row>
    <row r="129" spans="1:16" x14ac:dyDescent="0.35">
      <c r="A129" s="32" t="str">
        <f t="shared" si="13"/>
        <v>2025 JAN-JUN DISC 75% LICENSE ESS</v>
      </c>
      <c r="B129" s="33">
        <f t="shared" si="13"/>
        <v>46121</v>
      </c>
      <c r="C129" s="33">
        <f t="shared" si="13"/>
        <v>46127</v>
      </c>
      <c r="D129" s="32">
        <v>3287</v>
      </c>
      <c r="E129" s="32">
        <v>338</v>
      </c>
      <c r="F129" s="32">
        <v>4</v>
      </c>
      <c r="G129" s="23">
        <v>2</v>
      </c>
      <c r="H129" s="23">
        <v>81462</v>
      </c>
      <c r="I129" s="32" t="s">
        <v>17</v>
      </c>
      <c r="J129" s="23">
        <v>52340939</v>
      </c>
      <c r="K129" s="23" t="s">
        <v>4806</v>
      </c>
      <c r="L129" s="43" t="s">
        <v>4813</v>
      </c>
      <c r="M129" s="24">
        <v>219900</v>
      </c>
      <c r="N129" s="20">
        <f t="shared" si="9"/>
        <v>0.75</v>
      </c>
      <c r="O129" s="83">
        <f t="shared" si="7"/>
        <v>54975</v>
      </c>
      <c r="P129" s="20" t="str">
        <f t="shared" si="10"/>
        <v>PERCENTAGE</v>
      </c>
    </row>
    <row r="130" spans="1:16" x14ac:dyDescent="0.35">
      <c r="A130" s="32" t="str">
        <f t="shared" si="13"/>
        <v>2025 JAN-JUN DISC 75% LICENSE ESS</v>
      </c>
      <c r="B130" s="33">
        <f t="shared" si="13"/>
        <v>46121</v>
      </c>
      <c r="C130" s="33">
        <f t="shared" si="13"/>
        <v>46127</v>
      </c>
      <c r="D130" s="32">
        <v>3287</v>
      </c>
      <c r="E130" s="32">
        <v>338</v>
      </c>
      <c r="F130" s="32">
        <v>4</v>
      </c>
      <c r="G130" s="23">
        <v>2</v>
      </c>
      <c r="H130" s="23">
        <v>81462</v>
      </c>
      <c r="I130" s="32" t="s">
        <v>17</v>
      </c>
      <c r="J130" s="23">
        <v>52340948</v>
      </c>
      <c r="K130" s="23" t="s">
        <v>4806</v>
      </c>
      <c r="L130" s="43" t="s">
        <v>4810</v>
      </c>
      <c r="M130" s="24">
        <v>219900</v>
      </c>
      <c r="N130" s="20">
        <f t="shared" si="9"/>
        <v>0.75</v>
      </c>
      <c r="O130" s="83">
        <f t="shared" si="7"/>
        <v>54975</v>
      </c>
      <c r="P130" s="20" t="str">
        <f t="shared" si="10"/>
        <v>PERCENTAGE</v>
      </c>
    </row>
    <row r="131" spans="1:16" x14ac:dyDescent="0.35">
      <c r="A131" s="32" t="str">
        <f t="shared" si="13"/>
        <v>2025 JAN-JUN DISC 75% LICENSE ESS</v>
      </c>
      <c r="B131" s="33">
        <f t="shared" si="13"/>
        <v>46121</v>
      </c>
      <c r="C131" s="33">
        <f t="shared" si="13"/>
        <v>46127</v>
      </c>
      <c r="D131" s="32">
        <v>3287</v>
      </c>
      <c r="E131" s="32">
        <v>338</v>
      </c>
      <c r="F131" s="32">
        <v>4</v>
      </c>
      <c r="G131" s="23">
        <v>2</v>
      </c>
      <c r="H131" s="23">
        <v>81462</v>
      </c>
      <c r="I131" s="32" t="s">
        <v>17</v>
      </c>
      <c r="J131" s="23">
        <v>52340957</v>
      </c>
      <c r="K131" s="23" t="s">
        <v>4806</v>
      </c>
      <c r="L131" s="43" t="s">
        <v>4811</v>
      </c>
      <c r="M131" s="24">
        <v>219900</v>
      </c>
      <c r="N131" s="20">
        <f t="shared" si="9"/>
        <v>0.75</v>
      </c>
      <c r="O131" s="83">
        <f t="shared" ref="O131:O194" si="14">M131-((75*M131)/100)</f>
        <v>54975</v>
      </c>
      <c r="P131" s="20" t="str">
        <f t="shared" si="10"/>
        <v>PERCENTAGE</v>
      </c>
    </row>
    <row r="132" spans="1:16" x14ac:dyDescent="0.35">
      <c r="A132" s="32" t="str">
        <f t="shared" ref="A132:C147" si="15">A131</f>
        <v>2025 JAN-JUN DISC 75% LICENSE ESS</v>
      </c>
      <c r="B132" s="33">
        <f t="shared" si="15"/>
        <v>46121</v>
      </c>
      <c r="C132" s="33">
        <f t="shared" si="15"/>
        <v>46127</v>
      </c>
      <c r="D132" s="32">
        <v>3287</v>
      </c>
      <c r="E132" s="32">
        <v>338</v>
      </c>
      <c r="F132" s="32">
        <v>4</v>
      </c>
      <c r="G132" s="23">
        <v>8</v>
      </c>
      <c r="H132" s="23">
        <v>81462</v>
      </c>
      <c r="I132" s="32" t="s">
        <v>17</v>
      </c>
      <c r="J132" s="23">
        <v>52544773</v>
      </c>
      <c r="K132" s="23" t="s">
        <v>4903</v>
      </c>
      <c r="L132" s="43" t="s">
        <v>4907</v>
      </c>
      <c r="M132" s="24">
        <v>119900</v>
      </c>
      <c r="N132" s="20">
        <f t="shared" ref="N132:N195" si="16">N131</f>
        <v>0.75</v>
      </c>
      <c r="O132" s="83">
        <f t="shared" si="14"/>
        <v>29975</v>
      </c>
      <c r="P132" s="20" t="str">
        <f t="shared" ref="P132:P195" si="17">P131</f>
        <v>PERCENTAGE</v>
      </c>
    </row>
    <row r="133" spans="1:16" x14ac:dyDescent="0.35">
      <c r="A133" s="32" t="str">
        <f t="shared" si="15"/>
        <v>2025 JAN-JUN DISC 75% LICENSE ESS</v>
      </c>
      <c r="B133" s="33">
        <f t="shared" si="15"/>
        <v>46121</v>
      </c>
      <c r="C133" s="33">
        <f t="shared" si="15"/>
        <v>46127</v>
      </c>
      <c r="D133" s="32">
        <v>3287</v>
      </c>
      <c r="E133" s="32">
        <v>338</v>
      </c>
      <c r="F133" s="32">
        <v>4</v>
      </c>
      <c r="G133" s="23">
        <v>8</v>
      </c>
      <c r="H133" s="23">
        <v>81462</v>
      </c>
      <c r="I133" s="32" t="s">
        <v>17</v>
      </c>
      <c r="J133" s="23">
        <v>52547805</v>
      </c>
      <c r="K133" s="23" t="s">
        <v>4903</v>
      </c>
      <c r="L133" s="43" t="s">
        <v>4905</v>
      </c>
      <c r="M133" s="24">
        <v>119900</v>
      </c>
      <c r="N133" s="20">
        <f t="shared" si="16"/>
        <v>0.75</v>
      </c>
      <c r="O133" s="83">
        <f t="shared" si="14"/>
        <v>29975</v>
      </c>
      <c r="P133" s="20" t="str">
        <f t="shared" si="17"/>
        <v>PERCENTAGE</v>
      </c>
    </row>
    <row r="134" spans="1:16" x14ac:dyDescent="0.35">
      <c r="A134" s="32" t="str">
        <f t="shared" si="15"/>
        <v>2025 JAN-JUN DISC 75% LICENSE ESS</v>
      </c>
      <c r="B134" s="33">
        <f t="shared" si="15"/>
        <v>46121</v>
      </c>
      <c r="C134" s="33">
        <f t="shared" si="15"/>
        <v>46127</v>
      </c>
      <c r="D134" s="32">
        <v>3287</v>
      </c>
      <c r="E134" s="32">
        <v>338</v>
      </c>
      <c r="F134" s="32">
        <v>4</v>
      </c>
      <c r="G134" s="23">
        <v>8</v>
      </c>
      <c r="H134" s="23">
        <v>81462</v>
      </c>
      <c r="I134" s="32" t="s">
        <v>17</v>
      </c>
      <c r="J134" s="23">
        <v>52547814</v>
      </c>
      <c r="K134" s="23" t="s">
        <v>4903</v>
      </c>
      <c r="L134" s="43" t="s">
        <v>4904</v>
      </c>
      <c r="M134" s="24">
        <v>119900</v>
      </c>
      <c r="N134" s="20">
        <f t="shared" si="16"/>
        <v>0.75</v>
      </c>
      <c r="O134" s="83">
        <f t="shared" si="14"/>
        <v>29975</v>
      </c>
      <c r="P134" s="20" t="str">
        <f t="shared" si="17"/>
        <v>PERCENTAGE</v>
      </c>
    </row>
    <row r="135" spans="1:16" x14ac:dyDescent="0.35">
      <c r="A135" s="32" t="str">
        <f t="shared" si="15"/>
        <v>2025 JAN-JUN DISC 75% LICENSE ESS</v>
      </c>
      <c r="B135" s="33">
        <f t="shared" si="15"/>
        <v>46121</v>
      </c>
      <c r="C135" s="33">
        <f t="shared" si="15"/>
        <v>46127</v>
      </c>
      <c r="D135" s="32">
        <v>3287</v>
      </c>
      <c r="E135" s="32">
        <v>338</v>
      </c>
      <c r="F135" s="32">
        <v>4</v>
      </c>
      <c r="G135" s="23">
        <v>8</v>
      </c>
      <c r="H135" s="23">
        <v>81462</v>
      </c>
      <c r="I135" s="32" t="s">
        <v>17</v>
      </c>
      <c r="J135" s="23">
        <v>52547823</v>
      </c>
      <c r="K135" s="23" t="s">
        <v>4903</v>
      </c>
      <c r="L135" s="43" t="s">
        <v>4906</v>
      </c>
      <c r="M135" s="24">
        <v>119900</v>
      </c>
      <c r="N135" s="20">
        <f t="shared" si="16"/>
        <v>0.75</v>
      </c>
      <c r="O135" s="83">
        <f t="shared" si="14"/>
        <v>29975</v>
      </c>
      <c r="P135" s="20" t="str">
        <f t="shared" si="17"/>
        <v>PERCENTAGE</v>
      </c>
    </row>
    <row r="136" spans="1:16" x14ac:dyDescent="0.35">
      <c r="A136" s="32" t="str">
        <f t="shared" si="15"/>
        <v>2025 JAN-JUN DISC 75% LICENSE ESS</v>
      </c>
      <c r="B136" s="33">
        <f t="shared" si="15"/>
        <v>46121</v>
      </c>
      <c r="C136" s="33">
        <f t="shared" si="15"/>
        <v>46127</v>
      </c>
      <c r="D136" s="32">
        <v>3287</v>
      </c>
      <c r="E136" s="32">
        <v>338</v>
      </c>
      <c r="F136" s="32">
        <v>4</v>
      </c>
      <c r="G136" s="23">
        <v>1</v>
      </c>
      <c r="H136" s="23">
        <v>81462</v>
      </c>
      <c r="I136" s="32" t="s">
        <v>17</v>
      </c>
      <c r="J136" s="23">
        <v>51395678</v>
      </c>
      <c r="K136" s="23" t="s">
        <v>4801</v>
      </c>
      <c r="L136" s="43" t="s">
        <v>4803</v>
      </c>
      <c r="M136" s="24">
        <v>119900</v>
      </c>
      <c r="N136" s="20">
        <f t="shared" si="16"/>
        <v>0.75</v>
      </c>
      <c r="O136" s="83">
        <f t="shared" si="14"/>
        <v>29975</v>
      </c>
      <c r="P136" s="20" t="str">
        <f t="shared" si="17"/>
        <v>PERCENTAGE</v>
      </c>
    </row>
    <row r="137" spans="1:16" x14ac:dyDescent="0.35">
      <c r="A137" s="32" t="str">
        <f t="shared" si="15"/>
        <v>2025 JAN-JUN DISC 75% LICENSE ESS</v>
      </c>
      <c r="B137" s="33">
        <f t="shared" si="15"/>
        <v>46121</v>
      </c>
      <c r="C137" s="33">
        <f t="shared" si="15"/>
        <v>46127</v>
      </c>
      <c r="D137" s="32">
        <v>3287</v>
      </c>
      <c r="E137" s="32">
        <v>338</v>
      </c>
      <c r="F137" s="32">
        <v>4</v>
      </c>
      <c r="G137" s="23">
        <v>1</v>
      </c>
      <c r="H137" s="23">
        <v>81462</v>
      </c>
      <c r="I137" s="32" t="s">
        <v>17</v>
      </c>
      <c r="J137" s="23">
        <v>51395687</v>
      </c>
      <c r="K137" s="23" t="s">
        <v>4801</v>
      </c>
      <c r="L137" s="43" t="s">
        <v>4802</v>
      </c>
      <c r="M137" s="24">
        <v>119900</v>
      </c>
      <c r="N137" s="20">
        <f t="shared" si="16"/>
        <v>0.75</v>
      </c>
      <c r="O137" s="83">
        <f t="shared" si="14"/>
        <v>29975</v>
      </c>
      <c r="P137" s="20" t="str">
        <f t="shared" si="17"/>
        <v>PERCENTAGE</v>
      </c>
    </row>
    <row r="138" spans="1:16" x14ac:dyDescent="0.35">
      <c r="A138" s="32" t="str">
        <f t="shared" si="15"/>
        <v>2025 JAN-JUN DISC 75% LICENSE ESS</v>
      </c>
      <c r="B138" s="33">
        <f t="shared" si="15"/>
        <v>46121</v>
      </c>
      <c r="C138" s="33">
        <f t="shared" si="15"/>
        <v>46127</v>
      </c>
      <c r="D138" s="32">
        <v>3287</v>
      </c>
      <c r="E138" s="32">
        <v>338</v>
      </c>
      <c r="F138" s="32">
        <v>4</v>
      </c>
      <c r="G138" s="23">
        <v>1</v>
      </c>
      <c r="H138" s="23">
        <v>81462</v>
      </c>
      <c r="I138" s="32" t="s">
        <v>17</v>
      </c>
      <c r="J138" s="23">
        <v>51395696</v>
      </c>
      <c r="K138" s="23" t="s">
        <v>4801</v>
      </c>
      <c r="L138" s="43" t="s">
        <v>4804</v>
      </c>
      <c r="M138" s="24">
        <v>119900</v>
      </c>
      <c r="N138" s="20">
        <f t="shared" si="16"/>
        <v>0.75</v>
      </c>
      <c r="O138" s="83">
        <f t="shared" si="14"/>
        <v>29975</v>
      </c>
      <c r="P138" s="20" t="str">
        <f t="shared" si="17"/>
        <v>PERCENTAGE</v>
      </c>
    </row>
    <row r="139" spans="1:16" x14ac:dyDescent="0.35">
      <c r="A139" s="32" t="str">
        <f t="shared" si="15"/>
        <v>2025 JAN-JUN DISC 75% LICENSE ESS</v>
      </c>
      <c r="B139" s="33">
        <f t="shared" si="15"/>
        <v>46121</v>
      </c>
      <c r="C139" s="33">
        <f t="shared" si="15"/>
        <v>46127</v>
      </c>
      <c r="D139" s="32">
        <v>3287</v>
      </c>
      <c r="E139" s="32">
        <v>338</v>
      </c>
      <c r="F139" s="32">
        <v>4</v>
      </c>
      <c r="G139" s="23">
        <v>1</v>
      </c>
      <c r="H139" s="23">
        <v>81462</v>
      </c>
      <c r="I139" s="32" t="s">
        <v>17</v>
      </c>
      <c r="J139" s="23">
        <v>51395703</v>
      </c>
      <c r="K139" s="23" t="s">
        <v>4801</v>
      </c>
      <c r="L139" s="43" t="s">
        <v>4805</v>
      </c>
      <c r="M139" s="24">
        <v>119900</v>
      </c>
      <c r="N139" s="20">
        <f t="shared" si="16"/>
        <v>0.75</v>
      </c>
      <c r="O139" s="83">
        <f t="shared" si="14"/>
        <v>29975</v>
      </c>
      <c r="P139" s="20" t="str">
        <f t="shared" si="17"/>
        <v>PERCENTAGE</v>
      </c>
    </row>
    <row r="140" spans="1:16" x14ac:dyDescent="0.35">
      <c r="A140" s="32" t="str">
        <f t="shared" si="15"/>
        <v>2025 JAN-JUN DISC 75% LICENSE ESS</v>
      </c>
      <c r="B140" s="33">
        <f t="shared" si="15"/>
        <v>46121</v>
      </c>
      <c r="C140" s="33">
        <f t="shared" si="15"/>
        <v>46127</v>
      </c>
      <c r="D140" s="32">
        <v>3287</v>
      </c>
      <c r="E140" s="32">
        <v>338</v>
      </c>
      <c r="F140" s="32">
        <v>4</v>
      </c>
      <c r="G140" s="23">
        <v>3</v>
      </c>
      <c r="H140" s="23">
        <v>81462</v>
      </c>
      <c r="I140" s="32" t="s">
        <v>17</v>
      </c>
      <c r="J140" s="23">
        <v>51943076</v>
      </c>
      <c r="K140" s="23" t="s">
        <v>4820</v>
      </c>
      <c r="L140" s="43" t="s">
        <v>4824</v>
      </c>
      <c r="M140" s="24">
        <v>119900</v>
      </c>
      <c r="N140" s="20">
        <f t="shared" si="16"/>
        <v>0.75</v>
      </c>
      <c r="O140" s="83">
        <f t="shared" si="14"/>
        <v>29975</v>
      </c>
      <c r="P140" s="20" t="str">
        <f t="shared" si="17"/>
        <v>PERCENTAGE</v>
      </c>
    </row>
    <row r="141" spans="1:16" x14ac:dyDescent="0.35">
      <c r="A141" s="32" t="str">
        <f t="shared" si="15"/>
        <v>2025 JAN-JUN DISC 75% LICENSE ESS</v>
      </c>
      <c r="B141" s="33">
        <f t="shared" si="15"/>
        <v>46121</v>
      </c>
      <c r="C141" s="33">
        <f t="shared" si="15"/>
        <v>46127</v>
      </c>
      <c r="D141" s="32">
        <v>3287</v>
      </c>
      <c r="E141" s="32">
        <v>338</v>
      </c>
      <c r="F141" s="32">
        <v>4</v>
      </c>
      <c r="G141" s="23">
        <v>3</v>
      </c>
      <c r="H141" s="23">
        <v>81462</v>
      </c>
      <c r="I141" s="32" t="s">
        <v>17</v>
      </c>
      <c r="J141" s="23">
        <v>51943085</v>
      </c>
      <c r="K141" s="23" t="s">
        <v>4820</v>
      </c>
      <c r="L141" s="43" t="s">
        <v>4821</v>
      </c>
      <c r="M141" s="24">
        <v>119900</v>
      </c>
      <c r="N141" s="20">
        <f t="shared" si="16"/>
        <v>0.75</v>
      </c>
      <c r="O141" s="83">
        <f t="shared" si="14"/>
        <v>29975</v>
      </c>
      <c r="P141" s="20" t="str">
        <f t="shared" si="17"/>
        <v>PERCENTAGE</v>
      </c>
    </row>
    <row r="142" spans="1:16" x14ac:dyDescent="0.35">
      <c r="A142" s="32" t="str">
        <f t="shared" si="15"/>
        <v>2025 JAN-JUN DISC 75% LICENSE ESS</v>
      </c>
      <c r="B142" s="33">
        <f t="shared" si="15"/>
        <v>46121</v>
      </c>
      <c r="C142" s="33">
        <f t="shared" si="15"/>
        <v>46127</v>
      </c>
      <c r="D142" s="32">
        <v>3287</v>
      </c>
      <c r="E142" s="32">
        <v>338</v>
      </c>
      <c r="F142" s="32">
        <v>4</v>
      </c>
      <c r="G142" s="23">
        <v>3</v>
      </c>
      <c r="H142" s="23">
        <v>81462</v>
      </c>
      <c r="I142" s="32" t="s">
        <v>17</v>
      </c>
      <c r="J142" s="23">
        <v>51943094</v>
      </c>
      <c r="K142" s="23" t="s">
        <v>4820</v>
      </c>
      <c r="L142" s="43" t="s">
        <v>4822</v>
      </c>
      <c r="M142" s="24">
        <v>119900</v>
      </c>
      <c r="N142" s="20">
        <f t="shared" si="16"/>
        <v>0.75</v>
      </c>
      <c r="O142" s="83">
        <f t="shared" si="14"/>
        <v>29975</v>
      </c>
      <c r="P142" s="20" t="str">
        <f t="shared" si="17"/>
        <v>PERCENTAGE</v>
      </c>
    </row>
    <row r="143" spans="1:16" x14ac:dyDescent="0.35">
      <c r="A143" s="32" t="str">
        <f t="shared" si="15"/>
        <v>2025 JAN-JUN DISC 75% LICENSE ESS</v>
      </c>
      <c r="B143" s="33">
        <f t="shared" si="15"/>
        <v>46121</v>
      </c>
      <c r="C143" s="33">
        <f t="shared" si="15"/>
        <v>46127</v>
      </c>
      <c r="D143" s="32">
        <v>3287</v>
      </c>
      <c r="E143" s="32">
        <v>338</v>
      </c>
      <c r="F143" s="32">
        <v>4</v>
      </c>
      <c r="G143" s="23">
        <v>3</v>
      </c>
      <c r="H143" s="23">
        <v>81462</v>
      </c>
      <c r="I143" s="32" t="s">
        <v>17</v>
      </c>
      <c r="J143" s="23">
        <v>51943101</v>
      </c>
      <c r="K143" s="23" t="s">
        <v>4820</v>
      </c>
      <c r="L143" s="43" t="s">
        <v>4823</v>
      </c>
      <c r="M143" s="24">
        <v>119900</v>
      </c>
      <c r="N143" s="20">
        <f t="shared" si="16"/>
        <v>0.75</v>
      </c>
      <c r="O143" s="83">
        <f t="shared" si="14"/>
        <v>29975</v>
      </c>
      <c r="P143" s="20" t="str">
        <f t="shared" si="17"/>
        <v>PERCENTAGE</v>
      </c>
    </row>
    <row r="144" spans="1:16" x14ac:dyDescent="0.35">
      <c r="A144" s="32" t="str">
        <f t="shared" si="15"/>
        <v>2025 JAN-JUN DISC 75% LICENSE ESS</v>
      </c>
      <c r="B144" s="33">
        <f t="shared" si="15"/>
        <v>46121</v>
      </c>
      <c r="C144" s="33">
        <f t="shared" si="15"/>
        <v>46127</v>
      </c>
      <c r="D144" s="32">
        <v>3287</v>
      </c>
      <c r="E144" s="32">
        <v>338</v>
      </c>
      <c r="F144" s="32">
        <v>4</v>
      </c>
      <c r="G144" s="23">
        <v>3</v>
      </c>
      <c r="H144" s="23">
        <v>81574</v>
      </c>
      <c r="I144" s="32" t="s">
        <v>17</v>
      </c>
      <c r="J144" s="23">
        <v>51395838</v>
      </c>
      <c r="K144" s="23" t="s">
        <v>4815</v>
      </c>
      <c r="L144" s="43" t="s">
        <v>4819</v>
      </c>
      <c r="M144" s="24">
        <v>119900</v>
      </c>
      <c r="N144" s="20">
        <f t="shared" si="16"/>
        <v>0.75</v>
      </c>
      <c r="O144" s="83">
        <f t="shared" si="14"/>
        <v>29975</v>
      </c>
      <c r="P144" s="20" t="str">
        <f t="shared" si="17"/>
        <v>PERCENTAGE</v>
      </c>
    </row>
    <row r="145" spans="1:16" x14ac:dyDescent="0.35">
      <c r="A145" s="32" t="str">
        <f t="shared" si="15"/>
        <v>2025 JAN-JUN DISC 75% LICENSE ESS</v>
      </c>
      <c r="B145" s="33">
        <f t="shared" si="15"/>
        <v>46121</v>
      </c>
      <c r="C145" s="33">
        <f t="shared" si="15"/>
        <v>46127</v>
      </c>
      <c r="D145" s="32">
        <v>3287</v>
      </c>
      <c r="E145" s="32">
        <v>338</v>
      </c>
      <c r="F145" s="32">
        <v>4</v>
      </c>
      <c r="G145" s="23">
        <v>3</v>
      </c>
      <c r="H145" s="23">
        <v>81574</v>
      </c>
      <c r="I145" s="32" t="s">
        <v>17</v>
      </c>
      <c r="J145" s="23">
        <v>51395847</v>
      </c>
      <c r="K145" s="23" t="s">
        <v>4815</v>
      </c>
      <c r="L145" s="43" t="s">
        <v>4816</v>
      </c>
      <c r="M145" s="24">
        <v>119900</v>
      </c>
      <c r="N145" s="20">
        <f t="shared" si="16"/>
        <v>0.75</v>
      </c>
      <c r="O145" s="83">
        <f t="shared" si="14"/>
        <v>29975</v>
      </c>
      <c r="P145" s="20" t="str">
        <f t="shared" si="17"/>
        <v>PERCENTAGE</v>
      </c>
    </row>
    <row r="146" spans="1:16" x14ac:dyDescent="0.35">
      <c r="A146" s="32" t="str">
        <f t="shared" si="15"/>
        <v>2025 JAN-JUN DISC 75% LICENSE ESS</v>
      </c>
      <c r="B146" s="33">
        <f t="shared" si="15"/>
        <v>46121</v>
      </c>
      <c r="C146" s="33">
        <f t="shared" si="15"/>
        <v>46127</v>
      </c>
      <c r="D146" s="32">
        <v>3287</v>
      </c>
      <c r="E146" s="32">
        <v>338</v>
      </c>
      <c r="F146" s="32">
        <v>4</v>
      </c>
      <c r="G146" s="23">
        <v>3</v>
      </c>
      <c r="H146" s="23">
        <v>81574</v>
      </c>
      <c r="I146" s="32" t="s">
        <v>17</v>
      </c>
      <c r="J146" s="23">
        <v>51395856</v>
      </c>
      <c r="K146" s="23" t="s">
        <v>4815</v>
      </c>
      <c r="L146" s="43" t="s">
        <v>4818</v>
      </c>
      <c r="M146" s="24">
        <v>119900</v>
      </c>
      <c r="N146" s="20">
        <f t="shared" si="16"/>
        <v>0.75</v>
      </c>
      <c r="O146" s="83">
        <f t="shared" si="14"/>
        <v>29975</v>
      </c>
      <c r="P146" s="20" t="str">
        <f t="shared" si="17"/>
        <v>PERCENTAGE</v>
      </c>
    </row>
    <row r="147" spans="1:16" x14ac:dyDescent="0.35">
      <c r="A147" s="32" t="str">
        <f t="shared" si="15"/>
        <v>2025 JAN-JUN DISC 75% LICENSE ESS</v>
      </c>
      <c r="B147" s="33">
        <f t="shared" si="15"/>
        <v>46121</v>
      </c>
      <c r="C147" s="33">
        <f t="shared" si="15"/>
        <v>46127</v>
      </c>
      <c r="D147" s="32">
        <v>3287</v>
      </c>
      <c r="E147" s="32">
        <v>338</v>
      </c>
      <c r="F147" s="32">
        <v>4</v>
      </c>
      <c r="G147" s="23">
        <v>3</v>
      </c>
      <c r="H147" s="23">
        <v>81574</v>
      </c>
      <c r="I147" s="32" t="s">
        <v>17</v>
      </c>
      <c r="J147" s="23">
        <v>51395865</v>
      </c>
      <c r="K147" s="23" t="s">
        <v>4815</v>
      </c>
      <c r="L147" s="43" t="s">
        <v>4817</v>
      </c>
      <c r="M147" s="24">
        <v>119900</v>
      </c>
      <c r="N147" s="20">
        <f t="shared" si="16"/>
        <v>0.75</v>
      </c>
      <c r="O147" s="83">
        <f t="shared" si="14"/>
        <v>29975</v>
      </c>
      <c r="P147" s="20" t="str">
        <f t="shared" si="17"/>
        <v>PERCENTAGE</v>
      </c>
    </row>
    <row r="148" spans="1:16" x14ac:dyDescent="0.35">
      <c r="A148" s="32" t="str">
        <f t="shared" ref="A148:C163" si="18">A147</f>
        <v>2025 JAN-JUN DISC 75% LICENSE ESS</v>
      </c>
      <c r="B148" s="33">
        <f t="shared" si="18"/>
        <v>46121</v>
      </c>
      <c r="C148" s="33">
        <f t="shared" si="18"/>
        <v>46127</v>
      </c>
      <c r="D148" s="32">
        <v>3287</v>
      </c>
      <c r="E148" s="32">
        <v>338</v>
      </c>
      <c r="F148" s="32">
        <v>4</v>
      </c>
      <c r="G148" s="23">
        <v>8</v>
      </c>
      <c r="H148" s="23">
        <v>81462</v>
      </c>
      <c r="I148" s="32" t="s">
        <v>17</v>
      </c>
      <c r="J148" s="23">
        <v>52547832</v>
      </c>
      <c r="K148" s="23" t="s">
        <v>4908</v>
      </c>
      <c r="L148" s="43" t="s">
        <v>4912</v>
      </c>
      <c r="M148" s="24">
        <v>119900</v>
      </c>
      <c r="N148" s="20">
        <f t="shared" si="16"/>
        <v>0.75</v>
      </c>
      <c r="O148" s="83">
        <f t="shared" si="14"/>
        <v>29975</v>
      </c>
      <c r="P148" s="20" t="str">
        <f t="shared" si="17"/>
        <v>PERCENTAGE</v>
      </c>
    </row>
    <row r="149" spans="1:16" x14ac:dyDescent="0.35">
      <c r="A149" s="32" t="str">
        <f t="shared" si="18"/>
        <v>2025 JAN-JUN DISC 75% LICENSE ESS</v>
      </c>
      <c r="B149" s="33">
        <f t="shared" si="18"/>
        <v>46121</v>
      </c>
      <c r="C149" s="33">
        <f t="shared" si="18"/>
        <v>46127</v>
      </c>
      <c r="D149" s="32">
        <v>3287</v>
      </c>
      <c r="E149" s="32">
        <v>338</v>
      </c>
      <c r="F149" s="32">
        <v>4</v>
      </c>
      <c r="G149" s="23">
        <v>8</v>
      </c>
      <c r="H149" s="23">
        <v>81462</v>
      </c>
      <c r="I149" s="32" t="s">
        <v>17</v>
      </c>
      <c r="J149" s="23">
        <v>52547841</v>
      </c>
      <c r="K149" s="23" t="s">
        <v>4908</v>
      </c>
      <c r="L149" s="43" t="s">
        <v>4911</v>
      </c>
      <c r="M149" s="24">
        <v>119900</v>
      </c>
      <c r="N149" s="20">
        <f t="shared" si="16"/>
        <v>0.75</v>
      </c>
      <c r="O149" s="83">
        <f t="shared" si="14"/>
        <v>29975</v>
      </c>
      <c r="P149" s="20" t="str">
        <f t="shared" si="17"/>
        <v>PERCENTAGE</v>
      </c>
    </row>
    <row r="150" spans="1:16" x14ac:dyDescent="0.35">
      <c r="A150" s="32" t="str">
        <f t="shared" si="18"/>
        <v>2025 JAN-JUN DISC 75% LICENSE ESS</v>
      </c>
      <c r="B150" s="33">
        <f t="shared" si="18"/>
        <v>46121</v>
      </c>
      <c r="C150" s="33">
        <f t="shared" si="18"/>
        <v>46127</v>
      </c>
      <c r="D150" s="32">
        <v>3287</v>
      </c>
      <c r="E150" s="32">
        <v>338</v>
      </c>
      <c r="F150" s="32">
        <v>4</v>
      </c>
      <c r="G150" s="23">
        <v>8</v>
      </c>
      <c r="H150" s="23">
        <v>81462</v>
      </c>
      <c r="I150" s="32" t="s">
        <v>17</v>
      </c>
      <c r="J150" s="23">
        <v>52547850</v>
      </c>
      <c r="K150" s="23" t="s">
        <v>4908</v>
      </c>
      <c r="L150" s="43" t="s">
        <v>4909</v>
      </c>
      <c r="M150" s="24">
        <v>119900</v>
      </c>
      <c r="N150" s="20">
        <f t="shared" si="16"/>
        <v>0.75</v>
      </c>
      <c r="O150" s="83">
        <f t="shared" si="14"/>
        <v>29975</v>
      </c>
      <c r="P150" s="20" t="str">
        <f t="shared" si="17"/>
        <v>PERCENTAGE</v>
      </c>
    </row>
    <row r="151" spans="1:16" x14ac:dyDescent="0.35">
      <c r="A151" s="32" t="str">
        <f t="shared" si="18"/>
        <v>2025 JAN-JUN DISC 75% LICENSE ESS</v>
      </c>
      <c r="B151" s="33">
        <f t="shared" si="18"/>
        <v>46121</v>
      </c>
      <c r="C151" s="33">
        <f t="shared" si="18"/>
        <v>46127</v>
      </c>
      <c r="D151" s="32">
        <v>3287</v>
      </c>
      <c r="E151" s="32">
        <v>338</v>
      </c>
      <c r="F151" s="32">
        <v>4</v>
      </c>
      <c r="G151" s="23">
        <v>8</v>
      </c>
      <c r="H151" s="23">
        <v>81462</v>
      </c>
      <c r="I151" s="32" t="s">
        <v>17</v>
      </c>
      <c r="J151" s="23">
        <v>52547869</v>
      </c>
      <c r="K151" s="23" t="s">
        <v>4908</v>
      </c>
      <c r="L151" s="43" t="s">
        <v>4910</v>
      </c>
      <c r="M151" s="24">
        <v>119900</v>
      </c>
      <c r="N151" s="20">
        <f t="shared" si="16"/>
        <v>0.75</v>
      </c>
      <c r="O151" s="83">
        <f t="shared" si="14"/>
        <v>29975</v>
      </c>
      <c r="P151" s="20" t="str">
        <f t="shared" si="17"/>
        <v>PERCENTAGE</v>
      </c>
    </row>
    <row r="152" spans="1:16" x14ac:dyDescent="0.35">
      <c r="A152" s="32" t="str">
        <f t="shared" si="18"/>
        <v>2025 JAN-JUN DISC 75% LICENSE ESS</v>
      </c>
      <c r="B152" s="33">
        <f t="shared" si="18"/>
        <v>46121</v>
      </c>
      <c r="C152" s="33">
        <f t="shared" si="18"/>
        <v>46127</v>
      </c>
      <c r="D152" s="32">
        <v>3287</v>
      </c>
      <c r="E152" s="32">
        <v>338</v>
      </c>
      <c r="F152" s="32">
        <v>4</v>
      </c>
      <c r="G152" s="23">
        <v>7</v>
      </c>
      <c r="H152" s="23">
        <v>81827</v>
      </c>
      <c r="I152" s="32" t="s">
        <v>17</v>
      </c>
      <c r="J152" s="23">
        <v>51630369</v>
      </c>
      <c r="K152" s="23" t="s">
        <v>5492</v>
      </c>
      <c r="L152" s="43" t="s">
        <v>5497</v>
      </c>
      <c r="M152" s="24">
        <v>35900</v>
      </c>
      <c r="N152" s="20">
        <f t="shared" si="16"/>
        <v>0.75</v>
      </c>
      <c r="O152" s="83">
        <f t="shared" si="14"/>
        <v>8975</v>
      </c>
      <c r="P152" s="20" t="str">
        <f t="shared" si="17"/>
        <v>PERCENTAGE</v>
      </c>
    </row>
    <row r="153" spans="1:16" x14ac:dyDescent="0.35">
      <c r="A153" s="32" t="str">
        <f t="shared" si="18"/>
        <v>2025 JAN-JUN DISC 75% LICENSE ESS</v>
      </c>
      <c r="B153" s="33">
        <f t="shared" si="18"/>
        <v>46121</v>
      </c>
      <c r="C153" s="33">
        <f t="shared" si="18"/>
        <v>46127</v>
      </c>
      <c r="D153" s="32">
        <v>3287</v>
      </c>
      <c r="E153" s="32">
        <v>338</v>
      </c>
      <c r="F153" s="32">
        <v>4</v>
      </c>
      <c r="G153" s="23">
        <v>7</v>
      </c>
      <c r="H153" s="23">
        <v>81827</v>
      </c>
      <c r="I153" s="32" t="s">
        <v>17</v>
      </c>
      <c r="J153" s="23">
        <v>51630378</v>
      </c>
      <c r="K153" s="23" t="s">
        <v>5492</v>
      </c>
      <c r="L153" s="43" t="s">
        <v>5493</v>
      </c>
      <c r="M153" s="24">
        <v>35900</v>
      </c>
      <c r="N153" s="20">
        <f t="shared" si="16"/>
        <v>0.75</v>
      </c>
      <c r="O153" s="83">
        <f t="shared" si="14"/>
        <v>8975</v>
      </c>
      <c r="P153" s="20" t="str">
        <f t="shared" si="17"/>
        <v>PERCENTAGE</v>
      </c>
    </row>
    <row r="154" spans="1:16" x14ac:dyDescent="0.35">
      <c r="A154" s="32" t="str">
        <f t="shared" si="18"/>
        <v>2025 JAN-JUN DISC 75% LICENSE ESS</v>
      </c>
      <c r="B154" s="33">
        <f t="shared" si="18"/>
        <v>46121</v>
      </c>
      <c r="C154" s="33">
        <f t="shared" si="18"/>
        <v>46127</v>
      </c>
      <c r="D154" s="32">
        <v>3287</v>
      </c>
      <c r="E154" s="32">
        <v>338</v>
      </c>
      <c r="F154" s="32">
        <v>4</v>
      </c>
      <c r="G154" s="23">
        <v>7</v>
      </c>
      <c r="H154" s="23">
        <v>81827</v>
      </c>
      <c r="I154" s="32" t="s">
        <v>17</v>
      </c>
      <c r="J154" s="23">
        <v>51630387</v>
      </c>
      <c r="K154" s="23" t="s">
        <v>5494</v>
      </c>
      <c r="L154" s="43" t="s">
        <v>5495</v>
      </c>
      <c r="M154" s="24">
        <v>35900</v>
      </c>
      <c r="N154" s="20">
        <f t="shared" si="16"/>
        <v>0.75</v>
      </c>
      <c r="O154" s="83">
        <f t="shared" si="14"/>
        <v>8975</v>
      </c>
      <c r="P154" s="20" t="str">
        <f t="shared" si="17"/>
        <v>PERCENTAGE</v>
      </c>
    </row>
    <row r="155" spans="1:16" x14ac:dyDescent="0.35">
      <c r="A155" s="32" t="str">
        <f t="shared" si="18"/>
        <v>2025 JAN-JUN DISC 75% LICENSE ESS</v>
      </c>
      <c r="B155" s="33">
        <f t="shared" si="18"/>
        <v>46121</v>
      </c>
      <c r="C155" s="33">
        <f t="shared" si="18"/>
        <v>46127</v>
      </c>
      <c r="D155" s="32">
        <v>3287</v>
      </c>
      <c r="E155" s="32">
        <v>338</v>
      </c>
      <c r="F155" s="32">
        <v>4</v>
      </c>
      <c r="G155" s="23">
        <v>7</v>
      </c>
      <c r="H155" s="23">
        <v>81827</v>
      </c>
      <c r="I155" s="32" t="s">
        <v>17</v>
      </c>
      <c r="J155" s="23">
        <v>51630396</v>
      </c>
      <c r="K155" s="23" t="s">
        <v>5494</v>
      </c>
      <c r="L155" s="43" t="s">
        <v>5496</v>
      </c>
      <c r="M155" s="24">
        <v>35900</v>
      </c>
      <c r="N155" s="20">
        <f t="shared" si="16"/>
        <v>0.75</v>
      </c>
      <c r="O155" s="83">
        <f t="shared" si="14"/>
        <v>8975</v>
      </c>
      <c r="P155" s="20" t="str">
        <f t="shared" si="17"/>
        <v>PERCENTAGE</v>
      </c>
    </row>
    <row r="156" spans="1:16" x14ac:dyDescent="0.35">
      <c r="A156" s="32" t="str">
        <f t="shared" si="18"/>
        <v>2025 JAN-JUN DISC 75% LICENSE ESS</v>
      </c>
      <c r="B156" s="33">
        <f t="shared" si="18"/>
        <v>46121</v>
      </c>
      <c r="C156" s="33">
        <f t="shared" si="18"/>
        <v>46127</v>
      </c>
      <c r="D156" s="32">
        <v>3287</v>
      </c>
      <c r="E156" s="32">
        <v>338</v>
      </c>
      <c r="F156" s="32">
        <v>4</v>
      </c>
      <c r="G156" s="23">
        <v>7</v>
      </c>
      <c r="H156" s="23">
        <v>81827</v>
      </c>
      <c r="I156" s="32" t="s">
        <v>17</v>
      </c>
      <c r="J156" s="23">
        <v>51630627</v>
      </c>
      <c r="K156" s="23" t="s">
        <v>5498</v>
      </c>
      <c r="L156" s="43" t="s">
        <v>5511</v>
      </c>
      <c r="M156" s="24">
        <v>35900</v>
      </c>
      <c r="N156" s="20">
        <f t="shared" si="16"/>
        <v>0.75</v>
      </c>
      <c r="O156" s="83">
        <f t="shared" si="14"/>
        <v>8975</v>
      </c>
      <c r="P156" s="20" t="str">
        <f t="shared" si="17"/>
        <v>PERCENTAGE</v>
      </c>
    </row>
    <row r="157" spans="1:16" x14ac:dyDescent="0.35">
      <c r="A157" s="32" t="str">
        <f t="shared" si="18"/>
        <v>2025 JAN-JUN DISC 75% LICENSE ESS</v>
      </c>
      <c r="B157" s="33">
        <f t="shared" si="18"/>
        <v>46121</v>
      </c>
      <c r="C157" s="33">
        <f t="shared" si="18"/>
        <v>46127</v>
      </c>
      <c r="D157" s="32">
        <v>3287</v>
      </c>
      <c r="E157" s="32">
        <v>338</v>
      </c>
      <c r="F157" s="32">
        <v>4</v>
      </c>
      <c r="G157" s="23">
        <v>7</v>
      </c>
      <c r="H157" s="23">
        <v>81827</v>
      </c>
      <c r="I157" s="32" t="s">
        <v>17</v>
      </c>
      <c r="J157" s="23">
        <v>51630636</v>
      </c>
      <c r="K157" s="23" t="s">
        <v>5498</v>
      </c>
      <c r="L157" s="43" t="s">
        <v>5499</v>
      </c>
      <c r="M157" s="24">
        <v>35900</v>
      </c>
      <c r="N157" s="20">
        <f t="shared" si="16"/>
        <v>0.75</v>
      </c>
      <c r="O157" s="83">
        <f t="shared" si="14"/>
        <v>8975</v>
      </c>
      <c r="P157" s="20" t="str">
        <f t="shared" si="17"/>
        <v>PERCENTAGE</v>
      </c>
    </row>
    <row r="158" spans="1:16" x14ac:dyDescent="0.35">
      <c r="A158" s="32" t="str">
        <f t="shared" si="18"/>
        <v>2025 JAN-JUN DISC 75% LICENSE ESS</v>
      </c>
      <c r="B158" s="33">
        <f t="shared" si="18"/>
        <v>46121</v>
      </c>
      <c r="C158" s="33">
        <f t="shared" si="18"/>
        <v>46127</v>
      </c>
      <c r="D158" s="32">
        <v>3287</v>
      </c>
      <c r="E158" s="32">
        <v>338</v>
      </c>
      <c r="F158" s="32">
        <v>4</v>
      </c>
      <c r="G158" s="23">
        <v>7</v>
      </c>
      <c r="H158" s="23">
        <v>81827</v>
      </c>
      <c r="I158" s="32" t="s">
        <v>17</v>
      </c>
      <c r="J158" s="23">
        <v>51630645</v>
      </c>
      <c r="K158" s="23" t="s">
        <v>5500</v>
      </c>
      <c r="L158" s="43" t="s">
        <v>5509</v>
      </c>
      <c r="M158" s="24">
        <v>35900</v>
      </c>
      <c r="N158" s="20">
        <f t="shared" si="16"/>
        <v>0.75</v>
      </c>
      <c r="O158" s="83">
        <f t="shared" si="14"/>
        <v>8975</v>
      </c>
      <c r="P158" s="20" t="str">
        <f t="shared" si="17"/>
        <v>PERCENTAGE</v>
      </c>
    </row>
    <row r="159" spans="1:16" x14ac:dyDescent="0.35">
      <c r="A159" s="32" t="str">
        <f t="shared" si="18"/>
        <v>2025 JAN-JUN DISC 75% LICENSE ESS</v>
      </c>
      <c r="B159" s="33">
        <f t="shared" si="18"/>
        <v>46121</v>
      </c>
      <c r="C159" s="33">
        <f t="shared" si="18"/>
        <v>46127</v>
      </c>
      <c r="D159" s="32">
        <v>3287</v>
      </c>
      <c r="E159" s="32">
        <v>338</v>
      </c>
      <c r="F159" s="32">
        <v>4</v>
      </c>
      <c r="G159" s="23">
        <v>7</v>
      </c>
      <c r="H159" s="23">
        <v>81827</v>
      </c>
      <c r="I159" s="32" t="s">
        <v>17</v>
      </c>
      <c r="J159" s="23">
        <v>51630654</v>
      </c>
      <c r="K159" s="23" t="s">
        <v>5500</v>
      </c>
      <c r="L159" s="43" t="s">
        <v>5501</v>
      </c>
      <c r="M159" s="24">
        <v>35900</v>
      </c>
      <c r="N159" s="20">
        <f t="shared" si="16"/>
        <v>0.75</v>
      </c>
      <c r="O159" s="83">
        <f t="shared" si="14"/>
        <v>8975</v>
      </c>
      <c r="P159" s="20" t="str">
        <f t="shared" si="17"/>
        <v>PERCENTAGE</v>
      </c>
    </row>
    <row r="160" spans="1:16" x14ac:dyDescent="0.35">
      <c r="A160" s="32" t="str">
        <f t="shared" si="18"/>
        <v>2025 JAN-JUN DISC 75% LICENSE ESS</v>
      </c>
      <c r="B160" s="33">
        <f t="shared" si="18"/>
        <v>46121</v>
      </c>
      <c r="C160" s="33">
        <f t="shared" si="18"/>
        <v>46127</v>
      </c>
      <c r="D160" s="32">
        <v>3287</v>
      </c>
      <c r="E160" s="32">
        <v>338</v>
      </c>
      <c r="F160" s="32">
        <v>4</v>
      </c>
      <c r="G160" s="23">
        <v>7</v>
      </c>
      <c r="H160" s="23">
        <v>81827</v>
      </c>
      <c r="I160" s="32" t="s">
        <v>17</v>
      </c>
      <c r="J160" s="23">
        <v>52659499</v>
      </c>
      <c r="K160" s="23" t="s">
        <v>5502</v>
      </c>
      <c r="L160" s="43" t="s">
        <v>5503</v>
      </c>
      <c r="M160" s="24">
        <v>35900</v>
      </c>
      <c r="N160" s="20">
        <f t="shared" si="16"/>
        <v>0.75</v>
      </c>
      <c r="O160" s="83">
        <f t="shared" si="14"/>
        <v>8975</v>
      </c>
      <c r="P160" s="20" t="str">
        <f t="shared" si="17"/>
        <v>PERCENTAGE</v>
      </c>
    </row>
    <row r="161" spans="1:16" x14ac:dyDescent="0.35">
      <c r="A161" s="32" t="str">
        <f t="shared" si="18"/>
        <v>2025 JAN-JUN DISC 75% LICENSE ESS</v>
      </c>
      <c r="B161" s="33">
        <f t="shared" si="18"/>
        <v>46121</v>
      </c>
      <c r="C161" s="33">
        <f t="shared" si="18"/>
        <v>46127</v>
      </c>
      <c r="D161" s="32">
        <v>3287</v>
      </c>
      <c r="E161" s="32">
        <v>338</v>
      </c>
      <c r="F161" s="32">
        <v>4</v>
      </c>
      <c r="G161" s="23">
        <v>7</v>
      </c>
      <c r="H161" s="23">
        <v>81827</v>
      </c>
      <c r="I161" s="32" t="s">
        <v>17</v>
      </c>
      <c r="J161" s="23">
        <v>52659506</v>
      </c>
      <c r="K161" s="23" t="s">
        <v>5502</v>
      </c>
      <c r="L161" s="43" t="s">
        <v>5512</v>
      </c>
      <c r="M161" s="24">
        <v>35900</v>
      </c>
      <c r="N161" s="20">
        <f t="shared" si="16"/>
        <v>0.75</v>
      </c>
      <c r="O161" s="83">
        <f t="shared" si="14"/>
        <v>8975</v>
      </c>
      <c r="P161" s="20" t="str">
        <f t="shared" si="17"/>
        <v>PERCENTAGE</v>
      </c>
    </row>
    <row r="162" spans="1:16" x14ac:dyDescent="0.35">
      <c r="A162" s="32" t="str">
        <f t="shared" si="18"/>
        <v>2025 JAN-JUN DISC 75% LICENSE ESS</v>
      </c>
      <c r="B162" s="33">
        <f t="shared" si="18"/>
        <v>46121</v>
      </c>
      <c r="C162" s="33">
        <f t="shared" si="18"/>
        <v>46127</v>
      </c>
      <c r="D162" s="32">
        <v>3287</v>
      </c>
      <c r="E162" s="32">
        <v>338</v>
      </c>
      <c r="F162" s="32">
        <v>4</v>
      </c>
      <c r="G162" s="23">
        <v>7</v>
      </c>
      <c r="H162" s="23">
        <v>81470</v>
      </c>
      <c r="I162" s="32" t="s">
        <v>17</v>
      </c>
      <c r="J162" s="23">
        <v>52341063</v>
      </c>
      <c r="K162" s="23" t="s">
        <v>5483</v>
      </c>
      <c r="L162" s="43" t="s">
        <v>5484</v>
      </c>
      <c r="M162" s="24">
        <v>35900</v>
      </c>
      <c r="N162" s="20">
        <f t="shared" si="16"/>
        <v>0.75</v>
      </c>
      <c r="O162" s="83">
        <f t="shared" si="14"/>
        <v>8975</v>
      </c>
      <c r="P162" s="20" t="str">
        <f t="shared" si="17"/>
        <v>PERCENTAGE</v>
      </c>
    </row>
    <row r="163" spans="1:16" x14ac:dyDescent="0.35">
      <c r="A163" s="32" t="str">
        <f t="shared" si="18"/>
        <v>2025 JAN-JUN DISC 75% LICENSE ESS</v>
      </c>
      <c r="B163" s="33">
        <f t="shared" si="18"/>
        <v>46121</v>
      </c>
      <c r="C163" s="33">
        <f t="shared" si="18"/>
        <v>46127</v>
      </c>
      <c r="D163" s="32">
        <v>3287</v>
      </c>
      <c r="E163" s="32">
        <v>338</v>
      </c>
      <c r="F163" s="32">
        <v>4</v>
      </c>
      <c r="G163" s="23">
        <v>7</v>
      </c>
      <c r="H163" s="23">
        <v>81470</v>
      </c>
      <c r="I163" s="32" t="s">
        <v>17</v>
      </c>
      <c r="J163" s="23">
        <v>52341072</v>
      </c>
      <c r="K163" s="23" t="s">
        <v>5483</v>
      </c>
      <c r="L163" s="43" t="s">
        <v>5485</v>
      </c>
      <c r="M163" s="24">
        <v>35900</v>
      </c>
      <c r="N163" s="20">
        <f t="shared" si="16"/>
        <v>0.75</v>
      </c>
      <c r="O163" s="83">
        <f t="shared" si="14"/>
        <v>8975</v>
      </c>
      <c r="P163" s="20" t="str">
        <f t="shared" si="17"/>
        <v>PERCENTAGE</v>
      </c>
    </row>
    <row r="164" spans="1:16" x14ac:dyDescent="0.35">
      <c r="A164" s="32" t="str">
        <f t="shared" ref="A164:C179" si="19">A163</f>
        <v>2025 JAN-JUN DISC 75% LICENSE ESS</v>
      </c>
      <c r="B164" s="33">
        <f t="shared" si="19"/>
        <v>46121</v>
      </c>
      <c r="C164" s="33">
        <f t="shared" si="19"/>
        <v>46127</v>
      </c>
      <c r="D164" s="32">
        <v>3287</v>
      </c>
      <c r="E164" s="32">
        <v>338</v>
      </c>
      <c r="F164" s="32">
        <v>4</v>
      </c>
      <c r="G164" s="23">
        <v>7</v>
      </c>
      <c r="H164" s="23">
        <v>81827</v>
      </c>
      <c r="I164" s="32" t="s">
        <v>17</v>
      </c>
      <c r="J164" s="23">
        <v>52659453</v>
      </c>
      <c r="K164" s="23" t="s">
        <v>5513</v>
      </c>
      <c r="L164" s="43" t="s">
        <v>5514</v>
      </c>
      <c r="M164" s="24">
        <v>35900</v>
      </c>
      <c r="N164" s="20">
        <f t="shared" si="16"/>
        <v>0.75</v>
      </c>
      <c r="O164" s="83">
        <f t="shared" si="14"/>
        <v>8975</v>
      </c>
      <c r="P164" s="20" t="str">
        <f t="shared" si="17"/>
        <v>PERCENTAGE</v>
      </c>
    </row>
    <row r="165" spans="1:16" x14ac:dyDescent="0.35">
      <c r="A165" s="32" t="str">
        <f t="shared" si="19"/>
        <v>2025 JAN-JUN DISC 75% LICENSE ESS</v>
      </c>
      <c r="B165" s="33">
        <f t="shared" si="19"/>
        <v>46121</v>
      </c>
      <c r="C165" s="33">
        <f t="shared" si="19"/>
        <v>46127</v>
      </c>
      <c r="D165" s="32">
        <v>3287</v>
      </c>
      <c r="E165" s="32">
        <v>338</v>
      </c>
      <c r="F165" s="32">
        <v>4</v>
      </c>
      <c r="G165" s="23">
        <v>7</v>
      </c>
      <c r="H165" s="23">
        <v>81827</v>
      </c>
      <c r="I165" s="32" t="s">
        <v>17</v>
      </c>
      <c r="J165" s="23">
        <v>52659462</v>
      </c>
      <c r="K165" s="23" t="s">
        <v>5513</v>
      </c>
      <c r="L165" s="43" t="s">
        <v>5515</v>
      </c>
      <c r="M165" s="24">
        <v>35900</v>
      </c>
      <c r="N165" s="20">
        <f t="shared" si="16"/>
        <v>0.75</v>
      </c>
      <c r="O165" s="83">
        <f t="shared" si="14"/>
        <v>8975</v>
      </c>
      <c r="P165" s="20" t="str">
        <f t="shared" si="17"/>
        <v>PERCENTAGE</v>
      </c>
    </row>
    <row r="166" spans="1:16" x14ac:dyDescent="0.35">
      <c r="A166" s="32" t="str">
        <f t="shared" si="19"/>
        <v>2025 JAN-JUN DISC 75% LICENSE ESS</v>
      </c>
      <c r="B166" s="33">
        <f t="shared" si="19"/>
        <v>46121</v>
      </c>
      <c r="C166" s="33">
        <f t="shared" si="19"/>
        <v>46127</v>
      </c>
      <c r="D166" s="32">
        <v>3287</v>
      </c>
      <c r="E166" s="32">
        <v>338</v>
      </c>
      <c r="F166" s="32">
        <v>4</v>
      </c>
      <c r="G166" s="23">
        <v>7</v>
      </c>
      <c r="H166" s="23">
        <v>81470</v>
      </c>
      <c r="I166" s="32" t="s">
        <v>17</v>
      </c>
      <c r="J166" s="23">
        <v>52341045</v>
      </c>
      <c r="K166" s="23" t="s">
        <v>5486</v>
      </c>
      <c r="L166" s="43" t="s">
        <v>5487</v>
      </c>
      <c r="M166" s="24">
        <v>35900</v>
      </c>
      <c r="N166" s="20">
        <f t="shared" si="16"/>
        <v>0.75</v>
      </c>
      <c r="O166" s="83">
        <f t="shared" si="14"/>
        <v>8975</v>
      </c>
      <c r="P166" s="20" t="str">
        <f t="shared" si="17"/>
        <v>PERCENTAGE</v>
      </c>
    </row>
    <row r="167" spans="1:16" x14ac:dyDescent="0.35">
      <c r="A167" s="32" t="str">
        <f t="shared" si="19"/>
        <v>2025 JAN-JUN DISC 75% LICENSE ESS</v>
      </c>
      <c r="B167" s="33">
        <f t="shared" si="19"/>
        <v>46121</v>
      </c>
      <c r="C167" s="33">
        <f t="shared" si="19"/>
        <v>46127</v>
      </c>
      <c r="D167" s="32">
        <v>3287</v>
      </c>
      <c r="E167" s="32">
        <v>338</v>
      </c>
      <c r="F167" s="32">
        <v>4</v>
      </c>
      <c r="G167" s="23">
        <v>7</v>
      </c>
      <c r="H167" s="23">
        <v>81470</v>
      </c>
      <c r="I167" s="32" t="s">
        <v>17</v>
      </c>
      <c r="J167" s="23">
        <v>52341054</v>
      </c>
      <c r="K167" s="23" t="s">
        <v>5486</v>
      </c>
      <c r="L167" s="43" t="s">
        <v>5490</v>
      </c>
      <c r="M167" s="24">
        <v>35900</v>
      </c>
      <c r="N167" s="20">
        <f t="shared" si="16"/>
        <v>0.75</v>
      </c>
      <c r="O167" s="83">
        <f t="shared" si="14"/>
        <v>8975</v>
      </c>
      <c r="P167" s="20" t="str">
        <f t="shared" si="17"/>
        <v>PERCENTAGE</v>
      </c>
    </row>
    <row r="168" spans="1:16" x14ac:dyDescent="0.35">
      <c r="A168" s="32" t="str">
        <f t="shared" si="19"/>
        <v>2025 JAN-JUN DISC 75% LICENSE ESS</v>
      </c>
      <c r="B168" s="33">
        <f t="shared" si="19"/>
        <v>46121</v>
      </c>
      <c r="C168" s="33">
        <f t="shared" si="19"/>
        <v>46127</v>
      </c>
      <c r="D168" s="32">
        <v>3287</v>
      </c>
      <c r="E168" s="32">
        <v>338</v>
      </c>
      <c r="F168" s="32">
        <v>4</v>
      </c>
      <c r="G168" s="23">
        <v>7</v>
      </c>
      <c r="H168" s="23">
        <v>81827</v>
      </c>
      <c r="I168" s="32" t="s">
        <v>17</v>
      </c>
      <c r="J168" s="23">
        <v>51630681</v>
      </c>
      <c r="K168" s="23" t="s">
        <v>5504</v>
      </c>
      <c r="L168" s="43" t="s">
        <v>5505</v>
      </c>
      <c r="M168" s="24">
        <v>35900</v>
      </c>
      <c r="N168" s="20">
        <f t="shared" si="16"/>
        <v>0.75</v>
      </c>
      <c r="O168" s="83">
        <f t="shared" si="14"/>
        <v>8975</v>
      </c>
      <c r="P168" s="20" t="str">
        <f t="shared" si="17"/>
        <v>PERCENTAGE</v>
      </c>
    </row>
    <row r="169" spans="1:16" x14ac:dyDescent="0.35">
      <c r="A169" s="32" t="str">
        <f t="shared" si="19"/>
        <v>2025 JAN-JUN DISC 75% LICENSE ESS</v>
      </c>
      <c r="B169" s="33">
        <f t="shared" si="19"/>
        <v>46121</v>
      </c>
      <c r="C169" s="33">
        <f t="shared" si="19"/>
        <v>46127</v>
      </c>
      <c r="D169" s="32">
        <v>3287</v>
      </c>
      <c r="E169" s="32">
        <v>338</v>
      </c>
      <c r="F169" s="32">
        <v>4</v>
      </c>
      <c r="G169" s="23">
        <v>7</v>
      </c>
      <c r="H169" s="23">
        <v>81827</v>
      </c>
      <c r="I169" s="32" t="s">
        <v>17</v>
      </c>
      <c r="J169" s="23">
        <v>51630690</v>
      </c>
      <c r="K169" s="23" t="s">
        <v>5504</v>
      </c>
      <c r="L169" s="43" t="s">
        <v>5510</v>
      </c>
      <c r="M169" s="24">
        <v>35900</v>
      </c>
      <c r="N169" s="20">
        <f t="shared" si="16"/>
        <v>0.75</v>
      </c>
      <c r="O169" s="83">
        <f t="shared" si="14"/>
        <v>8975</v>
      </c>
      <c r="P169" s="20" t="str">
        <f t="shared" si="17"/>
        <v>PERCENTAGE</v>
      </c>
    </row>
    <row r="170" spans="1:16" x14ac:dyDescent="0.35">
      <c r="A170" s="32" t="str">
        <f t="shared" si="19"/>
        <v>2025 JAN-JUN DISC 75% LICENSE ESS</v>
      </c>
      <c r="B170" s="33">
        <f t="shared" si="19"/>
        <v>46121</v>
      </c>
      <c r="C170" s="33">
        <f t="shared" si="19"/>
        <v>46127</v>
      </c>
      <c r="D170" s="32">
        <v>3287</v>
      </c>
      <c r="E170" s="32">
        <v>338</v>
      </c>
      <c r="F170" s="32">
        <v>4</v>
      </c>
      <c r="G170" s="23">
        <v>7</v>
      </c>
      <c r="H170" s="23">
        <v>81470</v>
      </c>
      <c r="I170" s="32" t="s">
        <v>17</v>
      </c>
      <c r="J170" s="23">
        <v>52341081</v>
      </c>
      <c r="K170" s="23" t="s">
        <v>5488</v>
      </c>
      <c r="L170" s="43" t="s">
        <v>5491</v>
      </c>
      <c r="M170" s="24">
        <v>35900</v>
      </c>
      <c r="N170" s="20">
        <f t="shared" si="16"/>
        <v>0.75</v>
      </c>
      <c r="O170" s="83">
        <f t="shared" si="14"/>
        <v>8975</v>
      </c>
      <c r="P170" s="20" t="str">
        <f t="shared" si="17"/>
        <v>PERCENTAGE</v>
      </c>
    </row>
    <row r="171" spans="1:16" x14ac:dyDescent="0.35">
      <c r="A171" s="32" t="str">
        <f t="shared" si="19"/>
        <v>2025 JAN-JUN DISC 75% LICENSE ESS</v>
      </c>
      <c r="B171" s="33">
        <f t="shared" si="19"/>
        <v>46121</v>
      </c>
      <c r="C171" s="33">
        <f t="shared" si="19"/>
        <v>46127</v>
      </c>
      <c r="D171" s="32">
        <v>3287</v>
      </c>
      <c r="E171" s="32">
        <v>338</v>
      </c>
      <c r="F171" s="32">
        <v>4</v>
      </c>
      <c r="G171" s="23">
        <v>7</v>
      </c>
      <c r="H171" s="23">
        <v>81470</v>
      </c>
      <c r="I171" s="32" t="s">
        <v>17</v>
      </c>
      <c r="J171" s="23">
        <v>52341090</v>
      </c>
      <c r="K171" s="23" t="s">
        <v>5488</v>
      </c>
      <c r="L171" s="43" t="s">
        <v>5489</v>
      </c>
      <c r="M171" s="24">
        <v>35900</v>
      </c>
      <c r="N171" s="20">
        <f t="shared" si="16"/>
        <v>0.75</v>
      </c>
      <c r="O171" s="83">
        <f t="shared" si="14"/>
        <v>8975</v>
      </c>
      <c r="P171" s="20" t="str">
        <f t="shared" si="17"/>
        <v>PERCENTAGE</v>
      </c>
    </row>
    <row r="172" spans="1:16" x14ac:dyDescent="0.35">
      <c r="A172" s="32" t="str">
        <f t="shared" si="19"/>
        <v>2025 JAN-JUN DISC 75% LICENSE ESS</v>
      </c>
      <c r="B172" s="33">
        <f t="shared" si="19"/>
        <v>46121</v>
      </c>
      <c r="C172" s="33">
        <f t="shared" si="19"/>
        <v>46127</v>
      </c>
      <c r="D172" s="32">
        <v>3287</v>
      </c>
      <c r="E172" s="32">
        <v>338</v>
      </c>
      <c r="F172" s="32">
        <v>4</v>
      </c>
      <c r="G172" s="23">
        <v>7</v>
      </c>
      <c r="H172" s="23">
        <v>81827</v>
      </c>
      <c r="I172" s="32" t="s">
        <v>17</v>
      </c>
      <c r="J172" s="23">
        <v>52659471</v>
      </c>
      <c r="K172" s="23" t="s">
        <v>5506</v>
      </c>
      <c r="L172" s="43" t="s">
        <v>5508</v>
      </c>
      <c r="M172" s="24">
        <v>35900</v>
      </c>
      <c r="N172" s="20">
        <f t="shared" si="16"/>
        <v>0.75</v>
      </c>
      <c r="O172" s="83">
        <f t="shared" si="14"/>
        <v>8975</v>
      </c>
      <c r="P172" s="20" t="str">
        <f t="shared" si="17"/>
        <v>PERCENTAGE</v>
      </c>
    </row>
    <row r="173" spans="1:16" x14ac:dyDescent="0.35">
      <c r="A173" s="32" t="str">
        <f t="shared" si="19"/>
        <v>2025 JAN-JUN DISC 75% LICENSE ESS</v>
      </c>
      <c r="B173" s="33">
        <f t="shared" si="19"/>
        <v>46121</v>
      </c>
      <c r="C173" s="33">
        <f t="shared" si="19"/>
        <v>46127</v>
      </c>
      <c r="D173" s="32">
        <v>3287</v>
      </c>
      <c r="E173" s="32">
        <v>338</v>
      </c>
      <c r="F173" s="32">
        <v>4</v>
      </c>
      <c r="G173" s="23">
        <v>7</v>
      </c>
      <c r="H173" s="23">
        <v>81827</v>
      </c>
      <c r="I173" s="32" t="s">
        <v>17</v>
      </c>
      <c r="J173" s="23">
        <v>52659480</v>
      </c>
      <c r="K173" s="23" t="s">
        <v>5506</v>
      </c>
      <c r="L173" s="43" t="s">
        <v>5507</v>
      </c>
      <c r="M173" s="24">
        <v>35900</v>
      </c>
      <c r="N173" s="20">
        <f t="shared" si="16"/>
        <v>0.75</v>
      </c>
      <c r="O173" s="83">
        <f t="shared" si="14"/>
        <v>8975</v>
      </c>
      <c r="P173" s="20" t="str">
        <f t="shared" si="17"/>
        <v>PERCENTAGE</v>
      </c>
    </row>
    <row r="174" spans="1:16" x14ac:dyDescent="0.35">
      <c r="A174" s="32" t="str">
        <f t="shared" si="19"/>
        <v>2025 JAN-JUN DISC 75% LICENSE ESS</v>
      </c>
      <c r="B174" s="33">
        <f t="shared" si="19"/>
        <v>46121</v>
      </c>
      <c r="C174" s="33">
        <f t="shared" si="19"/>
        <v>46127</v>
      </c>
      <c r="D174" s="32">
        <v>3287</v>
      </c>
      <c r="E174" s="32">
        <v>338</v>
      </c>
      <c r="F174" s="32">
        <v>4</v>
      </c>
      <c r="G174" s="23">
        <v>9</v>
      </c>
      <c r="H174" s="23">
        <v>81462</v>
      </c>
      <c r="I174" s="32" t="s">
        <v>17</v>
      </c>
      <c r="J174" s="23">
        <v>53174831</v>
      </c>
      <c r="K174" s="23" t="s">
        <v>5516</v>
      </c>
      <c r="L174" s="43" t="s">
        <v>5520</v>
      </c>
      <c r="M174" s="24">
        <v>239900</v>
      </c>
      <c r="N174" s="20">
        <f t="shared" si="16"/>
        <v>0.75</v>
      </c>
      <c r="O174" s="83">
        <f t="shared" si="14"/>
        <v>59975</v>
      </c>
      <c r="P174" s="20" t="str">
        <f t="shared" si="17"/>
        <v>PERCENTAGE</v>
      </c>
    </row>
    <row r="175" spans="1:16" x14ac:dyDescent="0.35">
      <c r="A175" s="32" t="str">
        <f t="shared" si="19"/>
        <v>2025 JAN-JUN DISC 75% LICENSE ESS</v>
      </c>
      <c r="B175" s="33">
        <f t="shared" si="19"/>
        <v>46121</v>
      </c>
      <c r="C175" s="33">
        <f t="shared" si="19"/>
        <v>46127</v>
      </c>
      <c r="D175" s="32">
        <v>3287</v>
      </c>
      <c r="E175" s="32">
        <v>338</v>
      </c>
      <c r="F175" s="32">
        <v>4</v>
      </c>
      <c r="G175" s="23">
        <v>9</v>
      </c>
      <c r="H175" s="23">
        <v>81462</v>
      </c>
      <c r="I175" s="32" t="s">
        <v>17</v>
      </c>
      <c r="J175" s="23">
        <v>53174840</v>
      </c>
      <c r="K175" s="23" t="s">
        <v>5516</v>
      </c>
      <c r="L175" s="43" t="s">
        <v>5518</v>
      </c>
      <c r="M175" s="24">
        <v>239900</v>
      </c>
      <c r="N175" s="20">
        <f t="shared" si="16"/>
        <v>0.75</v>
      </c>
      <c r="O175" s="83">
        <f t="shared" si="14"/>
        <v>59975</v>
      </c>
      <c r="P175" s="20" t="str">
        <f t="shared" si="17"/>
        <v>PERCENTAGE</v>
      </c>
    </row>
    <row r="176" spans="1:16" x14ac:dyDescent="0.35">
      <c r="A176" s="32" t="str">
        <f t="shared" si="19"/>
        <v>2025 JAN-JUN DISC 75% LICENSE ESS</v>
      </c>
      <c r="B176" s="33">
        <f t="shared" si="19"/>
        <v>46121</v>
      </c>
      <c r="C176" s="33">
        <f t="shared" si="19"/>
        <v>46127</v>
      </c>
      <c r="D176" s="32">
        <v>3287</v>
      </c>
      <c r="E176" s="32">
        <v>338</v>
      </c>
      <c r="F176" s="32">
        <v>4</v>
      </c>
      <c r="G176" s="23">
        <v>9</v>
      </c>
      <c r="H176" s="23">
        <v>81462</v>
      </c>
      <c r="I176" s="32" t="s">
        <v>17</v>
      </c>
      <c r="J176" s="23">
        <v>53174859</v>
      </c>
      <c r="K176" s="23" t="s">
        <v>5516</v>
      </c>
      <c r="L176" s="43" t="s">
        <v>5519</v>
      </c>
      <c r="M176" s="24">
        <v>239900</v>
      </c>
      <c r="N176" s="20">
        <f t="shared" si="16"/>
        <v>0.75</v>
      </c>
      <c r="O176" s="83">
        <f t="shared" si="14"/>
        <v>59975</v>
      </c>
      <c r="P176" s="20" t="str">
        <f t="shared" si="17"/>
        <v>PERCENTAGE</v>
      </c>
    </row>
    <row r="177" spans="1:16" x14ac:dyDescent="0.35">
      <c r="A177" s="32" t="str">
        <f t="shared" si="19"/>
        <v>2025 JAN-JUN DISC 75% LICENSE ESS</v>
      </c>
      <c r="B177" s="33">
        <f t="shared" si="19"/>
        <v>46121</v>
      </c>
      <c r="C177" s="33">
        <f t="shared" si="19"/>
        <v>46127</v>
      </c>
      <c r="D177" s="32">
        <v>3287</v>
      </c>
      <c r="E177" s="32">
        <v>338</v>
      </c>
      <c r="F177" s="32">
        <v>4</v>
      </c>
      <c r="G177" s="23">
        <v>9</v>
      </c>
      <c r="H177" s="23">
        <v>81462</v>
      </c>
      <c r="I177" s="32" t="s">
        <v>17</v>
      </c>
      <c r="J177" s="23">
        <v>53174868</v>
      </c>
      <c r="K177" s="23" t="s">
        <v>5516</v>
      </c>
      <c r="L177" s="43" t="s">
        <v>5517</v>
      </c>
      <c r="M177" s="24">
        <v>239900</v>
      </c>
      <c r="N177" s="20">
        <f t="shared" si="16"/>
        <v>0.75</v>
      </c>
      <c r="O177" s="83">
        <f t="shared" si="14"/>
        <v>59975</v>
      </c>
      <c r="P177" s="20" t="str">
        <f t="shared" si="17"/>
        <v>PERCENTAGE</v>
      </c>
    </row>
    <row r="178" spans="1:16" x14ac:dyDescent="0.35">
      <c r="A178" s="32" t="str">
        <f t="shared" si="19"/>
        <v>2025 JAN-JUN DISC 75% LICENSE ESS</v>
      </c>
      <c r="B178" s="33">
        <f t="shared" si="19"/>
        <v>46121</v>
      </c>
      <c r="C178" s="33">
        <f t="shared" si="19"/>
        <v>46127</v>
      </c>
      <c r="D178" s="32">
        <v>3287</v>
      </c>
      <c r="E178" s="32">
        <v>338</v>
      </c>
      <c r="F178" s="32">
        <v>4</v>
      </c>
      <c r="G178" s="23">
        <v>9</v>
      </c>
      <c r="H178" s="23">
        <v>81462</v>
      </c>
      <c r="I178" s="32" t="s">
        <v>17</v>
      </c>
      <c r="J178" s="23">
        <v>53174877</v>
      </c>
      <c r="K178" s="23" t="s">
        <v>5516</v>
      </c>
      <c r="L178" s="43" t="s">
        <v>6331</v>
      </c>
      <c r="M178" s="24">
        <v>239900</v>
      </c>
      <c r="N178" s="20">
        <f t="shared" si="16"/>
        <v>0.75</v>
      </c>
      <c r="O178" s="83">
        <f t="shared" si="14"/>
        <v>59975</v>
      </c>
      <c r="P178" s="20" t="str">
        <f t="shared" si="17"/>
        <v>PERCENTAGE</v>
      </c>
    </row>
    <row r="179" spans="1:16" x14ac:dyDescent="0.35">
      <c r="A179" s="32" t="str">
        <f t="shared" si="19"/>
        <v>2025 JAN-JUN DISC 75% LICENSE ESS</v>
      </c>
      <c r="B179" s="33">
        <f t="shared" si="19"/>
        <v>46121</v>
      </c>
      <c r="C179" s="33">
        <f t="shared" si="19"/>
        <v>46127</v>
      </c>
      <c r="D179" s="32">
        <v>3287</v>
      </c>
      <c r="E179" s="32">
        <v>338</v>
      </c>
      <c r="F179" s="32">
        <v>4</v>
      </c>
      <c r="G179" s="23">
        <v>9</v>
      </c>
      <c r="H179" s="23">
        <v>81462</v>
      </c>
      <c r="I179" s="32" t="s">
        <v>17</v>
      </c>
      <c r="J179" s="23">
        <v>53174886</v>
      </c>
      <c r="K179" s="23" t="s">
        <v>5516</v>
      </c>
      <c r="L179" s="43" t="s">
        <v>6332</v>
      </c>
      <c r="M179" s="24">
        <v>239900</v>
      </c>
      <c r="N179" s="20">
        <f t="shared" si="16"/>
        <v>0.75</v>
      </c>
      <c r="O179" s="83">
        <f t="shared" si="14"/>
        <v>59975</v>
      </c>
      <c r="P179" s="20" t="str">
        <f t="shared" si="17"/>
        <v>PERCENTAGE</v>
      </c>
    </row>
    <row r="180" spans="1:16" x14ac:dyDescent="0.35">
      <c r="A180" s="32" t="str">
        <f t="shared" ref="A180:C195" si="20">A179</f>
        <v>2025 JAN-JUN DISC 75% LICENSE ESS</v>
      </c>
      <c r="B180" s="33">
        <f t="shared" si="20"/>
        <v>46121</v>
      </c>
      <c r="C180" s="33">
        <f t="shared" si="20"/>
        <v>46127</v>
      </c>
      <c r="D180" s="32">
        <v>3287</v>
      </c>
      <c r="E180" s="32">
        <v>338</v>
      </c>
      <c r="F180" s="32">
        <v>4</v>
      </c>
      <c r="G180" s="23">
        <v>9</v>
      </c>
      <c r="H180" s="23">
        <v>81462</v>
      </c>
      <c r="I180" s="32" t="s">
        <v>17</v>
      </c>
      <c r="J180" s="23">
        <v>53174895</v>
      </c>
      <c r="K180" s="23" t="s">
        <v>5516</v>
      </c>
      <c r="L180" s="43" t="s">
        <v>6333</v>
      </c>
      <c r="M180" s="24">
        <v>239900</v>
      </c>
      <c r="N180" s="20">
        <f t="shared" si="16"/>
        <v>0.75</v>
      </c>
      <c r="O180" s="83">
        <f t="shared" si="14"/>
        <v>59975</v>
      </c>
      <c r="P180" s="20" t="str">
        <f t="shared" si="17"/>
        <v>PERCENTAGE</v>
      </c>
    </row>
    <row r="181" spans="1:16" x14ac:dyDescent="0.35">
      <c r="A181" s="32" t="str">
        <f t="shared" si="20"/>
        <v>2025 JAN-JUN DISC 75% LICENSE ESS</v>
      </c>
      <c r="B181" s="33">
        <f t="shared" si="20"/>
        <v>46121</v>
      </c>
      <c r="C181" s="33">
        <f t="shared" si="20"/>
        <v>46127</v>
      </c>
      <c r="D181" s="32">
        <v>3287</v>
      </c>
      <c r="E181" s="32">
        <v>338</v>
      </c>
      <c r="F181" s="32">
        <v>4</v>
      </c>
      <c r="G181" s="23">
        <v>9</v>
      </c>
      <c r="H181" s="23">
        <v>81462</v>
      </c>
      <c r="I181" s="32" t="s">
        <v>17</v>
      </c>
      <c r="J181" s="23">
        <v>53174902</v>
      </c>
      <c r="K181" s="23" t="s">
        <v>5516</v>
      </c>
      <c r="L181" s="43" t="s">
        <v>6334</v>
      </c>
      <c r="M181" s="24">
        <v>239900</v>
      </c>
      <c r="N181" s="20">
        <f t="shared" si="16"/>
        <v>0.75</v>
      </c>
      <c r="O181" s="83">
        <f t="shared" si="14"/>
        <v>59975</v>
      </c>
      <c r="P181" s="20" t="str">
        <f t="shared" si="17"/>
        <v>PERCENTAGE</v>
      </c>
    </row>
    <row r="182" spans="1:16" x14ac:dyDescent="0.35">
      <c r="A182" s="32" t="str">
        <f t="shared" si="20"/>
        <v>2025 JAN-JUN DISC 75% LICENSE ESS</v>
      </c>
      <c r="B182" s="33">
        <f t="shared" si="20"/>
        <v>46121</v>
      </c>
      <c r="C182" s="33">
        <f t="shared" si="20"/>
        <v>46127</v>
      </c>
      <c r="D182" s="32">
        <v>3287</v>
      </c>
      <c r="E182" s="32">
        <v>338</v>
      </c>
      <c r="F182" s="32">
        <v>4</v>
      </c>
      <c r="G182" s="23">
        <v>8</v>
      </c>
      <c r="H182" s="23">
        <v>81462</v>
      </c>
      <c r="I182" s="32" t="s">
        <v>17</v>
      </c>
      <c r="J182" s="23">
        <v>53160659</v>
      </c>
      <c r="K182" s="23" t="s">
        <v>6335</v>
      </c>
      <c r="L182" s="43" t="s">
        <v>6336</v>
      </c>
      <c r="M182" s="24">
        <v>119900</v>
      </c>
      <c r="N182" s="20">
        <f t="shared" si="16"/>
        <v>0.75</v>
      </c>
      <c r="O182" s="83">
        <f t="shared" si="14"/>
        <v>29975</v>
      </c>
      <c r="P182" s="20" t="str">
        <f t="shared" si="17"/>
        <v>PERCENTAGE</v>
      </c>
    </row>
    <row r="183" spans="1:16" x14ac:dyDescent="0.35">
      <c r="A183" s="32" t="str">
        <f t="shared" si="20"/>
        <v>2025 JAN-JUN DISC 75% LICENSE ESS</v>
      </c>
      <c r="B183" s="33">
        <f t="shared" si="20"/>
        <v>46121</v>
      </c>
      <c r="C183" s="33">
        <f t="shared" si="20"/>
        <v>46127</v>
      </c>
      <c r="D183" s="32">
        <v>3287</v>
      </c>
      <c r="E183" s="32">
        <v>338</v>
      </c>
      <c r="F183" s="32">
        <v>4</v>
      </c>
      <c r="G183" s="23">
        <v>8</v>
      </c>
      <c r="H183" s="23">
        <v>81462</v>
      </c>
      <c r="I183" s="32" t="s">
        <v>17</v>
      </c>
      <c r="J183" s="23">
        <v>53160668</v>
      </c>
      <c r="K183" s="23" t="s">
        <v>6335</v>
      </c>
      <c r="L183" s="43" t="s">
        <v>6337</v>
      </c>
      <c r="M183" s="24">
        <v>119900</v>
      </c>
      <c r="N183" s="20">
        <f t="shared" si="16"/>
        <v>0.75</v>
      </c>
      <c r="O183" s="83">
        <f t="shared" si="14"/>
        <v>29975</v>
      </c>
      <c r="P183" s="20" t="str">
        <f t="shared" si="17"/>
        <v>PERCENTAGE</v>
      </c>
    </row>
    <row r="184" spans="1:16" x14ac:dyDescent="0.35">
      <c r="A184" s="32" t="str">
        <f t="shared" si="20"/>
        <v>2025 JAN-JUN DISC 75% LICENSE ESS</v>
      </c>
      <c r="B184" s="33">
        <f t="shared" si="20"/>
        <v>46121</v>
      </c>
      <c r="C184" s="33">
        <f t="shared" si="20"/>
        <v>46127</v>
      </c>
      <c r="D184" s="32">
        <v>3287</v>
      </c>
      <c r="E184" s="32">
        <v>338</v>
      </c>
      <c r="F184" s="32">
        <v>4</v>
      </c>
      <c r="G184" s="23">
        <v>8</v>
      </c>
      <c r="H184" s="23">
        <v>81462</v>
      </c>
      <c r="I184" s="32" t="s">
        <v>17</v>
      </c>
      <c r="J184" s="23">
        <v>53160677</v>
      </c>
      <c r="K184" s="23" t="s">
        <v>6335</v>
      </c>
      <c r="L184" s="43" t="s">
        <v>6338</v>
      </c>
      <c r="M184" s="24">
        <v>119900</v>
      </c>
      <c r="N184" s="20">
        <f t="shared" si="16"/>
        <v>0.75</v>
      </c>
      <c r="O184" s="83">
        <f t="shared" si="14"/>
        <v>29975</v>
      </c>
      <c r="P184" s="20" t="str">
        <f t="shared" si="17"/>
        <v>PERCENTAGE</v>
      </c>
    </row>
    <row r="185" spans="1:16" x14ac:dyDescent="0.35">
      <c r="A185" s="32" t="str">
        <f t="shared" si="20"/>
        <v>2025 JAN-JUN DISC 75% LICENSE ESS</v>
      </c>
      <c r="B185" s="33">
        <f t="shared" si="20"/>
        <v>46121</v>
      </c>
      <c r="C185" s="33">
        <f t="shared" si="20"/>
        <v>46127</v>
      </c>
      <c r="D185" s="32">
        <v>3287</v>
      </c>
      <c r="E185" s="32">
        <v>338</v>
      </c>
      <c r="F185" s="32">
        <v>4</v>
      </c>
      <c r="G185" s="23">
        <v>8</v>
      </c>
      <c r="H185" s="23">
        <v>81462</v>
      </c>
      <c r="I185" s="32" t="s">
        <v>17</v>
      </c>
      <c r="J185" s="23">
        <v>53160686</v>
      </c>
      <c r="K185" s="23" t="s">
        <v>6335</v>
      </c>
      <c r="L185" s="43" t="s">
        <v>6339</v>
      </c>
      <c r="M185" s="24">
        <v>119900</v>
      </c>
      <c r="N185" s="20">
        <f t="shared" si="16"/>
        <v>0.75</v>
      </c>
      <c r="O185" s="83">
        <f t="shared" si="14"/>
        <v>29975</v>
      </c>
      <c r="P185" s="20" t="str">
        <f t="shared" si="17"/>
        <v>PERCENTAGE</v>
      </c>
    </row>
    <row r="186" spans="1:16" x14ac:dyDescent="0.35">
      <c r="A186" s="32" t="str">
        <f t="shared" si="20"/>
        <v>2025 JAN-JUN DISC 75% LICENSE ESS</v>
      </c>
      <c r="B186" s="33">
        <f t="shared" si="20"/>
        <v>46121</v>
      </c>
      <c r="C186" s="33">
        <f t="shared" si="20"/>
        <v>46127</v>
      </c>
      <c r="D186" s="32">
        <v>3287</v>
      </c>
      <c r="E186" s="32">
        <v>338</v>
      </c>
      <c r="F186" s="32">
        <v>4</v>
      </c>
      <c r="G186" s="23">
        <v>8</v>
      </c>
      <c r="H186" s="23">
        <v>81462</v>
      </c>
      <c r="I186" s="32" t="s">
        <v>17</v>
      </c>
      <c r="J186" s="23">
        <v>52659417</v>
      </c>
      <c r="K186" s="23" t="s">
        <v>5521</v>
      </c>
      <c r="L186" s="43" t="s">
        <v>5522</v>
      </c>
      <c r="M186" s="24">
        <v>119900</v>
      </c>
      <c r="N186" s="20">
        <f t="shared" si="16"/>
        <v>0.75</v>
      </c>
      <c r="O186" s="83">
        <f t="shared" si="14"/>
        <v>29975</v>
      </c>
      <c r="P186" s="20" t="str">
        <f t="shared" si="17"/>
        <v>PERCENTAGE</v>
      </c>
    </row>
    <row r="187" spans="1:16" x14ac:dyDescent="0.35">
      <c r="A187" s="32" t="str">
        <f t="shared" si="20"/>
        <v>2025 JAN-JUN DISC 75% LICENSE ESS</v>
      </c>
      <c r="B187" s="33">
        <f t="shared" si="20"/>
        <v>46121</v>
      </c>
      <c r="C187" s="33">
        <f t="shared" si="20"/>
        <v>46127</v>
      </c>
      <c r="D187" s="32">
        <v>3287</v>
      </c>
      <c r="E187" s="32">
        <v>338</v>
      </c>
      <c r="F187" s="32">
        <v>4</v>
      </c>
      <c r="G187" s="23">
        <v>8</v>
      </c>
      <c r="H187" s="23">
        <v>81462</v>
      </c>
      <c r="I187" s="32" t="s">
        <v>17</v>
      </c>
      <c r="J187" s="23">
        <v>52659426</v>
      </c>
      <c r="K187" s="23" t="s">
        <v>5521</v>
      </c>
      <c r="L187" s="43" t="s">
        <v>5524</v>
      </c>
      <c r="M187" s="24">
        <v>119900</v>
      </c>
      <c r="N187" s="20">
        <f t="shared" si="16"/>
        <v>0.75</v>
      </c>
      <c r="O187" s="83">
        <f t="shared" si="14"/>
        <v>29975</v>
      </c>
      <c r="P187" s="20" t="str">
        <f t="shared" si="17"/>
        <v>PERCENTAGE</v>
      </c>
    </row>
    <row r="188" spans="1:16" x14ac:dyDescent="0.35">
      <c r="A188" s="32" t="str">
        <f t="shared" si="20"/>
        <v>2025 JAN-JUN DISC 75% LICENSE ESS</v>
      </c>
      <c r="B188" s="33">
        <f t="shared" si="20"/>
        <v>46121</v>
      </c>
      <c r="C188" s="33">
        <f t="shared" si="20"/>
        <v>46127</v>
      </c>
      <c r="D188" s="32">
        <v>3287</v>
      </c>
      <c r="E188" s="32">
        <v>338</v>
      </c>
      <c r="F188" s="32">
        <v>4</v>
      </c>
      <c r="G188" s="23">
        <v>8</v>
      </c>
      <c r="H188" s="23">
        <v>81462</v>
      </c>
      <c r="I188" s="32" t="s">
        <v>17</v>
      </c>
      <c r="J188" s="23">
        <v>52659435</v>
      </c>
      <c r="K188" s="23" t="s">
        <v>5521</v>
      </c>
      <c r="L188" s="43" t="s">
        <v>5523</v>
      </c>
      <c r="M188" s="24">
        <v>119900</v>
      </c>
      <c r="N188" s="20">
        <f t="shared" si="16"/>
        <v>0.75</v>
      </c>
      <c r="O188" s="83">
        <f t="shared" si="14"/>
        <v>29975</v>
      </c>
      <c r="P188" s="20" t="str">
        <f t="shared" si="17"/>
        <v>PERCENTAGE</v>
      </c>
    </row>
    <row r="189" spans="1:16" x14ac:dyDescent="0.35">
      <c r="A189" s="32" t="str">
        <f t="shared" si="20"/>
        <v>2025 JAN-JUN DISC 75% LICENSE ESS</v>
      </c>
      <c r="B189" s="33">
        <f t="shared" si="20"/>
        <v>46121</v>
      </c>
      <c r="C189" s="33">
        <f t="shared" si="20"/>
        <v>46127</v>
      </c>
      <c r="D189" s="32">
        <v>3287</v>
      </c>
      <c r="E189" s="32">
        <v>338</v>
      </c>
      <c r="F189" s="32">
        <v>4</v>
      </c>
      <c r="G189" s="23">
        <v>8</v>
      </c>
      <c r="H189" s="23">
        <v>81462</v>
      </c>
      <c r="I189" s="32" t="s">
        <v>17</v>
      </c>
      <c r="J189" s="23">
        <v>52659444</v>
      </c>
      <c r="K189" s="23" t="s">
        <v>5521</v>
      </c>
      <c r="L189" s="43" t="s">
        <v>5525</v>
      </c>
      <c r="M189" s="24">
        <v>119900</v>
      </c>
      <c r="N189" s="20">
        <f t="shared" si="16"/>
        <v>0.75</v>
      </c>
      <c r="O189" s="83">
        <f t="shared" si="14"/>
        <v>29975</v>
      </c>
      <c r="P189" s="20" t="str">
        <f t="shared" si="17"/>
        <v>PERCENTAGE</v>
      </c>
    </row>
    <row r="190" spans="1:16" x14ac:dyDescent="0.35">
      <c r="A190" s="32" t="str">
        <f t="shared" si="20"/>
        <v>2025 JAN-JUN DISC 75% LICENSE ESS</v>
      </c>
      <c r="B190" s="33">
        <f t="shared" si="20"/>
        <v>46121</v>
      </c>
      <c r="C190" s="33">
        <f t="shared" si="20"/>
        <v>46127</v>
      </c>
      <c r="D190" s="32">
        <v>3287</v>
      </c>
      <c r="E190" s="32">
        <v>338</v>
      </c>
      <c r="F190" s="32">
        <v>4</v>
      </c>
      <c r="G190" s="23">
        <v>8</v>
      </c>
      <c r="H190" s="23">
        <v>81462</v>
      </c>
      <c r="I190" s="32" t="s">
        <v>17</v>
      </c>
      <c r="J190" s="23">
        <v>51694596</v>
      </c>
      <c r="K190" s="23" t="s">
        <v>5526</v>
      </c>
      <c r="L190" s="43" t="s">
        <v>5527</v>
      </c>
      <c r="M190" s="24">
        <v>119900</v>
      </c>
      <c r="N190" s="20">
        <f t="shared" si="16"/>
        <v>0.75</v>
      </c>
      <c r="O190" s="83">
        <f t="shared" si="14"/>
        <v>29975</v>
      </c>
      <c r="P190" s="20" t="str">
        <f t="shared" si="17"/>
        <v>PERCENTAGE</v>
      </c>
    </row>
    <row r="191" spans="1:16" x14ac:dyDescent="0.35">
      <c r="A191" s="32" t="str">
        <f t="shared" si="20"/>
        <v>2025 JAN-JUN DISC 75% LICENSE ESS</v>
      </c>
      <c r="B191" s="33">
        <f t="shared" si="20"/>
        <v>46121</v>
      </c>
      <c r="C191" s="33">
        <f t="shared" si="20"/>
        <v>46127</v>
      </c>
      <c r="D191" s="32">
        <v>3287</v>
      </c>
      <c r="E191" s="32">
        <v>338</v>
      </c>
      <c r="F191" s="32">
        <v>4</v>
      </c>
      <c r="G191" s="23">
        <v>8</v>
      </c>
      <c r="H191" s="23">
        <v>81462</v>
      </c>
      <c r="I191" s="32" t="s">
        <v>17</v>
      </c>
      <c r="J191" s="23">
        <v>51694603</v>
      </c>
      <c r="K191" s="23" t="s">
        <v>5526</v>
      </c>
      <c r="L191" s="43" t="s">
        <v>5530</v>
      </c>
      <c r="M191" s="24">
        <v>119900</v>
      </c>
      <c r="N191" s="20">
        <f t="shared" si="16"/>
        <v>0.75</v>
      </c>
      <c r="O191" s="83">
        <f t="shared" si="14"/>
        <v>29975</v>
      </c>
      <c r="P191" s="20" t="str">
        <f t="shared" si="17"/>
        <v>PERCENTAGE</v>
      </c>
    </row>
    <row r="192" spans="1:16" x14ac:dyDescent="0.35">
      <c r="A192" s="32" t="str">
        <f t="shared" si="20"/>
        <v>2025 JAN-JUN DISC 75% LICENSE ESS</v>
      </c>
      <c r="B192" s="33">
        <f t="shared" si="20"/>
        <v>46121</v>
      </c>
      <c r="C192" s="33">
        <f t="shared" si="20"/>
        <v>46127</v>
      </c>
      <c r="D192" s="32">
        <v>3287</v>
      </c>
      <c r="E192" s="32">
        <v>338</v>
      </c>
      <c r="F192" s="32">
        <v>4</v>
      </c>
      <c r="G192" s="23">
        <v>8</v>
      </c>
      <c r="H192" s="23">
        <v>81462</v>
      </c>
      <c r="I192" s="32" t="s">
        <v>17</v>
      </c>
      <c r="J192" s="23">
        <v>51694612</v>
      </c>
      <c r="K192" s="23" t="s">
        <v>5526</v>
      </c>
      <c r="L192" s="43" t="s">
        <v>5529</v>
      </c>
      <c r="M192" s="24">
        <v>119900</v>
      </c>
      <c r="N192" s="20">
        <f t="shared" si="16"/>
        <v>0.75</v>
      </c>
      <c r="O192" s="83">
        <f t="shared" si="14"/>
        <v>29975</v>
      </c>
      <c r="P192" s="20" t="str">
        <f t="shared" si="17"/>
        <v>PERCENTAGE</v>
      </c>
    </row>
    <row r="193" spans="1:16" x14ac:dyDescent="0.35">
      <c r="A193" s="32" t="str">
        <f t="shared" si="20"/>
        <v>2025 JAN-JUN DISC 75% LICENSE ESS</v>
      </c>
      <c r="B193" s="33">
        <f t="shared" si="20"/>
        <v>46121</v>
      </c>
      <c r="C193" s="33">
        <f t="shared" si="20"/>
        <v>46127</v>
      </c>
      <c r="D193" s="32">
        <v>3287</v>
      </c>
      <c r="E193" s="32">
        <v>338</v>
      </c>
      <c r="F193" s="32">
        <v>4</v>
      </c>
      <c r="G193" s="23">
        <v>8</v>
      </c>
      <c r="H193" s="23">
        <v>81462</v>
      </c>
      <c r="I193" s="32" t="s">
        <v>17</v>
      </c>
      <c r="J193" s="23">
        <v>51694621</v>
      </c>
      <c r="K193" s="23" t="s">
        <v>5526</v>
      </c>
      <c r="L193" s="43" t="s">
        <v>5528</v>
      </c>
      <c r="M193" s="24">
        <v>119900</v>
      </c>
      <c r="N193" s="20">
        <f t="shared" si="16"/>
        <v>0.75</v>
      </c>
      <c r="O193" s="83">
        <f t="shared" si="14"/>
        <v>29975</v>
      </c>
      <c r="P193" s="20" t="str">
        <f t="shared" si="17"/>
        <v>PERCENTAGE</v>
      </c>
    </row>
    <row r="194" spans="1:16" x14ac:dyDescent="0.35">
      <c r="A194" s="32" t="str">
        <f t="shared" si="20"/>
        <v>2025 JAN-JUN DISC 75% LICENSE ESS</v>
      </c>
      <c r="B194" s="33">
        <f t="shared" si="20"/>
        <v>46121</v>
      </c>
      <c r="C194" s="33">
        <f t="shared" si="20"/>
        <v>46127</v>
      </c>
      <c r="D194" s="32">
        <v>3287</v>
      </c>
      <c r="E194" s="32">
        <v>338</v>
      </c>
      <c r="F194" s="32">
        <v>4</v>
      </c>
      <c r="G194" s="23">
        <v>4</v>
      </c>
      <c r="H194" s="23">
        <v>81462</v>
      </c>
      <c r="I194" s="32" t="s">
        <v>17</v>
      </c>
      <c r="J194" s="23">
        <v>53160695</v>
      </c>
      <c r="K194" s="23" t="s">
        <v>5531</v>
      </c>
      <c r="L194" s="43" t="s">
        <v>5539</v>
      </c>
      <c r="M194" s="24">
        <v>219900</v>
      </c>
      <c r="N194" s="20">
        <f t="shared" si="16"/>
        <v>0.75</v>
      </c>
      <c r="O194" s="83">
        <f t="shared" si="14"/>
        <v>54975</v>
      </c>
      <c r="P194" s="20" t="str">
        <f t="shared" si="17"/>
        <v>PERCENTAGE</v>
      </c>
    </row>
    <row r="195" spans="1:16" x14ac:dyDescent="0.35">
      <c r="A195" s="32" t="str">
        <f t="shared" si="20"/>
        <v>2025 JAN-JUN DISC 75% LICENSE ESS</v>
      </c>
      <c r="B195" s="33">
        <f t="shared" si="20"/>
        <v>46121</v>
      </c>
      <c r="C195" s="33">
        <f t="shared" si="20"/>
        <v>46127</v>
      </c>
      <c r="D195" s="32">
        <v>3287</v>
      </c>
      <c r="E195" s="32">
        <v>338</v>
      </c>
      <c r="F195" s="32">
        <v>4</v>
      </c>
      <c r="G195" s="23">
        <v>4</v>
      </c>
      <c r="H195" s="23">
        <v>81462</v>
      </c>
      <c r="I195" s="32" t="s">
        <v>17</v>
      </c>
      <c r="J195" s="23">
        <v>53160702</v>
      </c>
      <c r="K195" s="23" t="s">
        <v>5531</v>
      </c>
      <c r="L195" s="43" t="s">
        <v>5536</v>
      </c>
      <c r="M195" s="24">
        <v>219900</v>
      </c>
      <c r="N195" s="20">
        <f t="shared" si="16"/>
        <v>0.75</v>
      </c>
      <c r="O195" s="83">
        <f t="shared" ref="O195:O258" si="21">M195-((75*M195)/100)</f>
        <v>54975</v>
      </c>
      <c r="P195" s="20" t="str">
        <f t="shared" si="17"/>
        <v>PERCENTAGE</v>
      </c>
    </row>
    <row r="196" spans="1:16" x14ac:dyDescent="0.35">
      <c r="A196" s="32" t="str">
        <f t="shared" ref="A196:C211" si="22">A195</f>
        <v>2025 JAN-JUN DISC 75% LICENSE ESS</v>
      </c>
      <c r="B196" s="33">
        <f t="shared" si="22"/>
        <v>46121</v>
      </c>
      <c r="C196" s="33">
        <f t="shared" si="22"/>
        <v>46127</v>
      </c>
      <c r="D196" s="32">
        <v>3287</v>
      </c>
      <c r="E196" s="32">
        <v>338</v>
      </c>
      <c r="F196" s="32">
        <v>4</v>
      </c>
      <c r="G196" s="23">
        <v>4</v>
      </c>
      <c r="H196" s="23">
        <v>81462</v>
      </c>
      <c r="I196" s="32" t="s">
        <v>17</v>
      </c>
      <c r="J196" s="23">
        <v>53160711</v>
      </c>
      <c r="K196" s="23" t="s">
        <v>5531</v>
      </c>
      <c r="L196" s="43" t="s">
        <v>5533</v>
      </c>
      <c r="M196" s="24">
        <v>219900</v>
      </c>
      <c r="N196" s="20">
        <f t="shared" ref="N196:N259" si="23">N195</f>
        <v>0.75</v>
      </c>
      <c r="O196" s="83">
        <f t="shared" si="21"/>
        <v>54975</v>
      </c>
      <c r="P196" s="20" t="str">
        <f t="shared" ref="P196:P259" si="24">P195</f>
        <v>PERCENTAGE</v>
      </c>
    </row>
    <row r="197" spans="1:16" x14ac:dyDescent="0.35">
      <c r="A197" s="32" t="str">
        <f t="shared" si="22"/>
        <v>2025 JAN-JUN DISC 75% LICENSE ESS</v>
      </c>
      <c r="B197" s="33">
        <f t="shared" si="22"/>
        <v>46121</v>
      </c>
      <c r="C197" s="33">
        <f t="shared" si="22"/>
        <v>46127</v>
      </c>
      <c r="D197" s="32">
        <v>3287</v>
      </c>
      <c r="E197" s="32">
        <v>338</v>
      </c>
      <c r="F197" s="32">
        <v>4</v>
      </c>
      <c r="G197" s="23">
        <v>4</v>
      </c>
      <c r="H197" s="23">
        <v>81462</v>
      </c>
      <c r="I197" s="32" t="s">
        <v>17</v>
      </c>
      <c r="J197" s="23">
        <v>53160720</v>
      </c>
      <c r="K197" s="23" t="s">
        <v>5531</v>
      </c>
      <c r="L197" s="43" t="s">
        <v>5532</v>
      </c>
      <c r="M197" s="24">
        <v>219900</v>
      </c>
      <c r="N197" s="20">
        <f t="shared" si="23"/>
        <v>0.75</v>
      </c>
      <c r="O197" s="83">
        <f t="shared" si="21"/>
        <v>54975</v>
      </c>
      <c r="P197" s="20" t="str">
        <f t="shared" si="24"/>
        <v>PERCENTAGE</v>
      </c>
    </row>
    <row r="198" spans="1:16" x14ac:dyDescent="0.35">
      <c r="A198" s="32" t="str">
        <f t="shared" si="22"/>
        <v>2025 JAN-JUN DISC 75% LICENSE ESS</v>
      </c>
      <c r="B198" s="33">
        <f t="shared" si="22"/>
        <v>46121</v>
      </c>
      <c r="C198" s="33">
        <f t="shared" si="22"/>
        <v>46127</v>
      </c>
      <c r="D198" s="32">
        <v>3287</v>
      </c>
      <c r="E198" s="32">
        <v>338</v>
      </c>
      <c r="F198" s="32">
        <v>4</v>
      </c>
      <c r="G198" s="23">
        <v>4</v>
      </c>
      <c r="H198" s="23">
        <v>81462</v>
      </c>
      <c r="I198" s="32" t="s">
        <v>17</v>
      </c>
      <c r="J198" s="23">
        <v>53160739</v>
      </c>
      <c r="K198" s="23" t="s">
        <v>5531</v>
      </c>
      <c r="L198" s="43" t="s">
        <v>5537</v>
      </c>
      <c r="M198" s="24">
        <v>219900</v>
      </c>
      <c r="N198" s="20">
        <f t="shared" si="23"/>
        <v>0.75</v>
      </c>
      <c r="O198" s="83">
        <f t="shared" si="21"/>
        <v>54975</v>
      </c>
      <c r="P198" s="20" t="str">
        <f t="shared" si="24"/>
        <v>PERCENTAGE</v>
      </c>
    </row>
    <row r="199" spans="1:16" x14ac:dyDescent="0.35">
      <c r="A199" s="32" t="str">
        <f t="shared" si="22"/>
        <v>2025 JAN-JUN DISC 75% LICENSE ESS</v>
      </c>
      <c r="B199" s="33">
        <f t="shared" si="22"/>
        <v>46121</v>
      </c>
      <c r="C199" s="33">
        <f t="shared" si="22"/>
        <v>46127</v>
      </c>
      <c r="D199" s="32">
        <v>3287</v>
      </c>
      <c r="E199" s="32">
        <v>338</v>
      </c>
      <c r="F199" s="32">
        <v>4</v>
      </c>
      <c r="G199" s="23">
        <v>4</v>
      </c>
      <c r="H199" s="23">
        <v>81462</v>
      </c>
      <c r="I199" s="32" t="s">
        <v>17</v>
      </c>
      <c r="J199" s="23">
        <v>53160748</v>
      </c>
      <c r="K199" s="23" t="s">
        <v>5531</v>
      </c>
      <c r="L199" s="43" t="s">
        <v>5535</v>
      </c>
      <c r="M199" s="24">
        <v>219900</v>
      </c>
      <c r="N199" s="20">
        <f t="shared" si="23"/>
        <v>0.75</v>
      </c>
      <c r="O199" s="83">
        <f t="shared" si="21"/>
        <v>54975</v>
      </c>
      <c r="P199" s="20" t="str">
        <f t="shared" si="24"/>
        <v>PERCENTAGE</v>
      </c>
    </row>
    <row r="200" spans="1:16" x14ac:dyDescent="0.35">
      <c r="A200" s="32" t="str">
        <f t="shared" si="22"/>
        <v>2025 JAN-JUN DISC 75% LICENSE ESS</v>
      </c>
      <c r="B200" s="33">
        <f t="shared" si="22"/>
        <v>46121</v>
      </c>
      <c r="C200" s="33">
        <f t="shared" si="22"/>
        <v>46127</v>
      </c>
      <c r="D200" s="32">
        <v>3287</v>
      </c>
      <c r="E200" s="32">
        <v>338</v>
      </c>
      <c r="F200" s="32">
        <v>4</v>
      </c>
      <c r="G200" s="23">
        <v>4</v>
      </c>
      <c r="H200" s="23">
        <v>81462</v>
      </c>
      <c r="I200" s="32" t="s">
        <v>17</v>
      </c>
      <c r="J200" s="23">
        <v>53160757</v>
      </c>
      <c r="K200" s="23" t="s">
        <v>5531</v>
      </c>
      <c r="L200" s="43" t="s">
        <v>5538</v>
      </c>
      <c r="M200" s="24">
        <v>219900</v>
      </c>
      <c r="N200" s="20">
        <f t="shared" si="23"/>
        <v>0.75</v>
      </c>
      <c r="O200" s="83">
        <f t="shared" si="21"/>
        <v>54975</v>
      </c>
      <c r="P200" s="20" t="str">
        <f t="shared" si="24"/>
        <v>PERCENTAGE</v>
      </c>
    </row>
    <row r="201" spans="1:16" x14ac:dyDescent="0.35">
      <c r="A201" s="32" t="str">
        <f t="shared" si="22"/>
        <v>2025 JAN-JUN DISC 75% LICENSE ESS</v>
      </c>
      <c r="B201" s="33">
        <f t="shared" si="22"/>
        <v>46121</v>
      </c>
      <c r="C201" s="33">
        <f t="shared" si="22"/>
        <v>46127</v>
      </c>
      <c r="D201" s="32">
        <v>3287</v>
      </c>
      <c r="E201" s="32">
        <v>338</v>
      </c>
      <c r="F201" s="32">
        <v>4</v>
      </c>
      <c r="G201" s="23">
        <v>4</v>
      </c>
      <c r="H201" s="23">
        <v>81462</v>
      </c>
      <c r="I201" s="32" t="s">
        <v>17</v>
      </c>
      <c r="J201" s="23">
        <v>53160766</v>
      </c>
      <c r="K201" s="23" t="s">
        <v>5531</v>
      </c>
      <c r="L201" s="43" t="s">
        <v>5534</v>
      </c>
      <c r="M201" s="24">
        <v>219900</v>
      </c>
      <c r="N201" s="20">
        <f t="shared" si="23"/>
        <v>0.75</v>
      </c>
      <c r="O201" s="83">
        <f t="shared" si="21"/>
        <v>54975</v>
      </c>
      <c r="P201" s="20" t="str">
        <f t="shared" si="24"/>
        <v>PERCENTAGE</v>
      </c>
    </row>
    <row r="202" spans="1:16" x14ac:dyDescent="0.35">
      <c r="A202" s="32" t="str">
        <f t="shared" si="22"/>
        <v>2025 JAN-JUN DISC 75% LICENSE ESS</v>
      </c>
      <c r="B202" s="33">
        <f t="shared" si="22"/>
        <v>46121</v>
      </c>
      <c r="C202" s="33">
        <f t="shared" si="22"/>
        <v>46127</v>
      </c>
      <c r="D202" s="32">
        <v>3287</v>
      </c>
      <c r="E202" s="32">
        <v>338</v>
      </c>
      <c r="F202" s="32">
        <v>4</v>
      </c>
      <c r="G202" s="23">
        <v>7</v>
      </c>
      <c r="H202" s="23">
        <v>81827</v>
      </c>
      <c r="I202" s="32" t="s">
        <v>17</v>
      </c>
      <c r="J202" s="23">
        <v>53160775</v>
      </c>
      <c r="K202" s="23" t="s">
        <v>5549</v>
      </c>
      <c r="L202" s="43" t="s">
        <v>5551</v>
      </c>
      <c r="M202" s="24">
        <v>35900</v>
      </c>
      <c r="N202" s="20">
        <f t="shared" si="23"/>
        <v>0.75</v>
      </c>
      <c r="O202" s="83">
        <f t="shared" si="21"/>
        <v>8975</v>
      </c>
      <c r="P202" s="20" t="str">
        <f t="shared" si="24"/>
        <v>PERCENTAGE</v>
      </c>
    </row>
    <row r="203" spans="1:16" x14ac:dyDescent="0.35">
      <c r="A203" s="32" t="str">
        <f t="shared" si="22"/>
        <v>2025 JAN-JUN DISC 75% LICENSE ESS</v>
      </c>
      <c r="B203" s="33">
        <f t="shared" si="22"/>
        <v>46121</v>
      </c>
      <c r="C203" s="33">
        <f t="shared" si="22"/>
        <v>46127</v>
      </c>
      <c r="D203" s="32">
        <v>3287</v>
      </c>
      <c r="E203" s="32">
        <v>338</v>
      </c>
      <c r="F203" s="32">
        <v>4</v>
      </c>
      <c r="G203" s="23">
        <v>7</v>
      </c>
      <c r="H203" s="23">
        <v>81827</v>
      </c>
      <c r="I203" s="32" t="s">
        <v>17</v>
      </c>
      <c r="J203" s="23">
        <v>53160784</v>
      </c>
      <c r="K203" s="23" t="s">
        <v>5549</v>
      </c>
      <c r="L203" s="43" t="s">
        <v>5550</v>
      </c>
      <c r="M203" s="24">
        <v>35900</v>
      </c>
      <c r="N203" s="20">
        <f t="shared" si="23"/>
        <v>0.75</v>
      </c>
      <c r="O203" s="83">
        <f t="shared" si="21"/>
        <v>8975</v>
      </c>
      <c r="P203" s="20" t="str">
        <f t="shared" si="24"/>
        <v>PERCENTAGE</v>
      </c>
    </row>
    <row r="204" spans="1:16" x14ac:dyDescent="0.35">
      <c r="A204" s="32" t="str">
        <f t="shared" si="22"/>
        <v>2025 JAN-JUN DISC 75% LICENSE ESS</v>
      </c>
      <c r="B204" s="33">
        <f t="shared" si="22"/>
        <v>46121</v>
      </c>
      <c r="C204" s="33">
        <f t="shared" si="22"/>
        <v>46127</v>
      </c>
      <c r="D204" s="32">
        <v>3287</v>
      </c>
      <c r="E204" s="32">
        <v>338</v>
      </c>
      <c r="F204" s="32">
        <v>4</v>
      </c>
      <c r="G204" s="23">
        <v>7</v>
      </c>
      <c r="H204" s="23">
        <v>81827</v>
      </c>
      <c r="I204" s="32" t="s">
        <v>17</v>
      </c>
      <c r="J204" s="23">
        <v>53160793</v>
      </c>
      <c r="K204" s="23" t="s">
        <v>5552</v>
      </c>
      <c r="L204" s="43" t="s">
        <v>5554</v>
      </c>
      <c r="M204" s="24">
        <v>35900</v>
      </c>
      <c r="N204" s="20">
        <f t="shared" si="23"/>
        <v>0.75</v>
      </c>
      <c r="O204" s="83">
        <f t="shared" si="21"/>
        <v>8975</v>
      </c>
      <c r="P204" s="20" t="str">
        <f t="shared" si="24"/>
        <v>PERCENTAGE</v>
      </c>
    </row>
    <row r="205" spans="1:16" x14ac:dyDescent="0.35">
      <c r="A205" s="32" t="str">
        <f t="shared" si="22"/>
        <v>2025 JAN-JUN DISC 75% LICENSE ESS</v>
      </c>
      <c r="B205" s="33">
        <f t="shared" si="22"/>
        <v>46121</v>
      </c>
      <c r="C205" s="33">
        <f t="shared" si="22"/>
        <v>46127</v>
      </c>
      <c r="D205" s="32">
        <v>3287</v>
      </c>
      <c r="E205" s="32">
        <v>338</v>
      </c>
      <c r="F205" s="32">
        <v>4</v>
      </c>
      <c r="G205" s="23">
        <v>7</v>
      </c>
      <c r="H205" s="23">
        <v>81827</v>
      </c>
      <c r="I205" s="32" t="s">
        <v>17</v>
      </c>
      <c r="J205" s="23">
        <v>53160800</v>
      </c>
      <c r="K205" s="23" t="s">
        <v>5552</v>
      </c>
      <c r="L205" s="43" t="s">
        <v>5553</v>
      </c>
      <c r="M205" s="24">
        <v>35900</v>
      </c>
      <c r="N205" s="20">
        <f t="shared" si="23"/>
        <v>0.75</v>
      </c>
      <c r="O205" s="83">
        <f t="shared" si="21"/>
        <v>8975</v>
      </c>
      <c r="P205" s="20" t="str">
        <f t="shared" si="24"/>
        <v>PERCENTAGE</v>
      </c>
    </row>
    <row r="206" spans="1:16" x14ac:dyDescent="0.35">
      <c r="A206" s="32" t="str">
        <f t="shared" si="22"/>
        <v>2025 JAN-JUN DISC 75% LICENSE ESS</v>
      </c>
      <c r="B206" s="33">
        <f t="shared" si="22"/>
        <v>46121</v>
      </c>
      <c r="C206" s="33">
        <f t="shared" si="22"/>
        <v>46127</v>
      </c>
      <c r="D206" s="32">
        <v>3287</v>
      </c>
      <c r="E206" s="32">
        <v>338</v>
      </c>
      <c r="F206" s="32">
        <v>4</v>
      </c>
      <c r="G206" s="23">
        <v>7</v>
      </c>
      <c r="H206" s="23">
        <v>81827</v>
      </c>
      <c r="I206" s="32" t="s">
        <v>17</v>
      </c>
      <c r="J206" s="23">
        <v>51630663</v>
      </c>
      <c r="K206" s="23" t="s">
        <v>5555</v>
      </c>
      <c r="L206" s="43" t="s">
        <v>5556</v>
      </c>
      <c r="M206" s="24">
        <v>35900</v>
      </c>
      <c r="N206" s="20">
        <f t="shared" si="23"/>
        <v>0.75</v>
      </c>
      <c r="O206" s="83">
        <f t="shared" si="21"/>
        <v>8975</v>
      </c>
      <c r="P206" s="20" t="str">
        <f t="shared" si="24"/>
        <v>PERCENTAGE</v>
      </c>
    </row>
    <row r="207" spans="1:16" x14ac:dyDescent="0.35">
      <c r="A207" s="32" t="str">
        <f t="shared" si="22"/>
        <v>2025 JAN-JUN DISC 75% LICENSE ESS</v>
      </c>
      <c r="B207" s="33">
        <f t="shared" si="22"/>
        <v>46121</v>
      </c>
      <c r="C207" s="33">
        <f t="shared" si="22"/>
        <v>46127</v>
      </c>
      <c r="D207" s="32">
        <v>3287</v>
      </c>
      <c r="E207" s="32">
        <v>338</v>
      </c>
      <c r="F207" s="32">
        <v>4</v>
      </c>
      <c r="G207" s="23">
        <v>7</v>
      </c>
      <c r="H207" s="23">
        <v>81827</v>
      </c>
      <c r="I207" s="32" t="s">
        <v>17</v>
      </c>
      <c r="J207" s="23">
        <v>51630672</v>
      </c>
      <c r="K207" s="23" t="s">
        <v>5555</v>
      </c>
      <c r="L207" s="43" t="s">
        <v>5557</v>
      </c>
      <c r="M207" s="24">
        <v>35900</v>
      </c>
      <c r="N207" s="20">
        <f t="shared" si="23"/>
        <v>0.75</v>
      </c>
      <c r="O207" s="83">
        <f t="shared" si="21"/>
        <v>8975</v>
      </c>
      <c r="P207" s="20" t="str">
        <f t="shared" si="24"/>
        <v>PERCENTAGE</v>
      </c>
    </row>
    <row r="208" spans="1:16" x14ac:dyDescent="0.35">
      <c r="A208" s="32" t="str">
        <f t="shared" si="22"/>
        <v>2025 JAN-JUN DISC 75% LICENSE ESS</v>
      </c>
      <c r="B208" s="33">
        <f t="shared" si="22"/>
        <v>46121</v>
      </c>
      <c r="C208" s="33">
        <f t="shared" si="22"/>
        <v>46127</v>
      </c>
      <c r="D208" s="32">
        <v>3287</v>
      </c>
      <c r="E208" s="32">
        <v>338</v>
      </c>
      <c r="F208" s="32">
        <v>4</v>
      </c>
      <c r="G208" s="23">
        <v>9</v>
      </c>
      <c r="H208" s="23">
        <v>81462</v>
      </c>
      <c r="I208" s="32" t="s">
        <v>17</v>
      </c>
      <c r="J208" s="23">
        <v>53174751</v>
      </c>
      <c r="K208" s="23" t="s">
        <v>5540</v>
      </c>
      <c r="L208" s="43" t="s">
        <v>5546</v>
      </c>
      <c r="M208" s="24">
        <v>239900</v>
      </c>
      <c r="N208" s="20">
        <f t="shared" si="23"/>
        <v>0.75</v>
      </c>
      <c r="O208" s="83">
        <f t="shared" si="21"/>
        <v>59975</v>
      </c>
      <c r="P208" s="20" t="str">
        <f t="shared" si="24"/>
        <v>PERCENTAGE</v>
      </c>
    </row>
    <row r="209" spans="1:16" x14ac:dyDescent="0.35">
      <c r="A209" s="32" t="str">
        <f t="shared" si="22"/>
        <v>2025 JAN-JUN DISC 75% LICENSE ESS</v>
      </c>
      <c r="B209" s="33">
        <f t="shared" si="22"/>
        <v>46121</v>
      </c>
      <c r="C209" s="33">
        <f t="shared" si="22"/>
        <v>46127</v>
      </c>
      <c r="D209" s="32">
        <v>3287</v>
      </c>
      <c r="E209" s="32">
        <v>338</v>
      </c>
      <c r="F209" s="32">
        <v>4</v>
      </c>
      <c r="G209" s="23">
        <v>9</v>
      </c>
      <c r="H209" s="23">
        <v>81462</v>
      </c>
      <c r="I209" s="32" t="s">
        <v>17</v>
      </c>
      <c r="J209" s="23">
        <v>53174760</v>
      </c>
      <c r="K209" s="23" t="s">
        <v>5540</v>
      </c>
      <c r="L209" s="43" t="s">
        <v>5545</v>
      </c>
      <c r="M209" s="24">
        <v>239900</v>
      </c>
      <c r="N209" s="20">
        <f t="shared" si="23"/>
        <v>0.75</v>
      </c>
      <c r="O209" s="83">
        <f t="shared" si="21"/>
        <v>59975</v>
      </c>
      <c r="P209" s="20" t="str">
        <f t="shared" si="24"/>
        <v>PERCENTAGE</v>
      </c>
    </row>
    <row r="210" spans="1:16" x14ac:dyDescent="0.35">
      <c r="A210" s="32" t="str">
        <f t="shared" si="22"/>
        <v>2025 JAN-JUN DISC 75% LICENSE ESS</v>
      </c>
      <c r="B210" s="33">
        <f t="shared" si="22"/>
        <v>46121</v>
      </c>
      <c r="C210" s="33">
        <f t="shared" si="22"/>
        <v>46127</v>
      </c>
      <c r="D210" s="32">
        <v>3287</v>
      </c>
      <c r="E210" s="32">
        <v>338</v>
      </c>
      <c r="F210" s="32">
        <v>4</v>
      </c>
      <c r="G210" s="23">
        <v>9</v>
      </c>
      <c r="H210" s="23">
        <v>81462</v>
      </c>
      <c r="I210" s="32" t="s">
        <v>17</v>
      </c>
      <c r="J210" s="23">
        <v>53174779</v>
      </c>
      <c r="K210" s="23" t="s">
        <v>5540</v>
      </c>
      <c r="L210" s="43" t="s">
        <v>5541</v>
      </c>
      <c r="M210" s="24">
        <v>239900</v>
      </c>
      <c r="N210" s="20">
        <f t="shared" si="23"/>
        <v>0.75</v>
      </c>
      <c r="O210" s="83">
        <f t="shared" si="21"/>
        <v>59975</v>
      </c>
      <c r="P210" s="20" t="str">
        <f t="shared" si="24"/>
        <v>PERCENTAGE</v>
      </c>
    </row>
    <row r="211" spans="1:16" x14ac:dyDescent="0.35">
      <c r="A211" s="32" t="str">
        <f t="shared" si="22"/>
        <v>2025 JAN-JUN DISC 75% LICENSE ESS</v>
      </c>
      <c r="B211" s="33">
        <f t="shared" si="22"/>
        <v>46121</v>
      </c>
      <c r="C211" s="33">
        <f t="shared" si="22"/>
        <v>46127</v>
      </c>
      <c r="D211" s="32">
        <v>3287</v>
      </c>
      <c r="E211" s="32">
        <v>338</v>
      </c>
      <c r="F211" s="32">
        <v>4</v>
      </c>
      <c r="G211" s="23">
        <v>9</v>
      </c>
      <c r="H211" s="23">
        <v>81462</v>
      </c>
      <c r="I211" s="32" t="s">
        <v>17</v>
      </c>
      <c r="J211" s="23">
        <v>53174788</v>
      </c>
      <c r="K211" s="23" t="s">
        <v>5540</v>
      </c>
      <c r="L211" s="43" t="s">
        <v>5543</v>
      </c>
      <c r="M211" s="24">
        <v>239900</v>
      </c>
      <c r="N211" s="20">
        <f t="shared" si="23"/>
        <v>0.75</v>
      </c>
      <c r="O211" s="83">
        <f t="shared" si="21"/>
        <v>59975</v>
      </c>
      <c r="P211" s="20" t="str">
        <f t="shared" si="24"/>
        <v>PERCENTAGE</v>
      </c>
    </row>
    <row r="212" spans="1:16" x14ac:dyDescent="0.35">
      <c r="A212" s="32" t="str">
        <f t="shared" ref="A212:C227" si="25">A211</f>
        <v>2025 JAN-JUN DISC 75% LICENSE ESS</v>
      </c>
      <c r="B212" s="33">
        <f t="shared" si="25"/>
        <v>46121</v>
      </c>
      <c r="C212" s="33">
        <f t="shared" si="25"/>
        <v>46127</v>
      </c>
      <c r="D212" s="32">
        <v>3287</v>
      </c>
      <c r="E212" s="32">
        <v>338</v>
      </c>
      <c r="F212" s="32">
        <v>4</v>
      </c>
      <c r="G212" s="23">
        <v>9</v>
      </c>
      <c r="H212" s="23">
        <v>81462</v>
      </c>
      <c r="I212" s="32" t="s">
        <v>17</v>
      </c>
      <c r="J212" s="23">
        <v>53174797</v>
      </c>
      <c r="K212" s="23" t="s">
        <v>5540</v>
      </c>
      <c r="L212" s="43" t="s">
        <v>5548</v>
      </c>
      <c r="M212" s="24">
        <v>239900</v>
      </c>
      <c r="N212" s="20">
        <f t="shared" si="23"/>
        <v>0.75</v>
      </c>
      <c r="O212" s="83">
        <f t="shared" si="21"/>
        <v>59975</v>
      </c>
      <c r="P212" s="20" t="str">
        <f t="shared" si="24"/>
        <v>PERCENTAGE</v>
      </c>
    </row>
    <row r="213" spans="1:16" x14ac:dyDescent="0.35">
      <c r="A213" s="32" t="str">
        <f t="shared" si="25"/>
        <v>2025 JAN-JUN DISC 75% LICENSE ESS</v>
      </c>
      <c r="B213" s="33">
        <f t="shared" si="25"/>
        <v>46121</v>
      </c>
      <c r="C213" s="33">
        <f t="shared" si="25"/>
        <v>46127</v>
      </c>
      <c r="D213" s="32">
        <v>3287</v>
      </c>
      <c r="E213" s="32">
        <v>338</v>
      </c>
      <c r="F213" s="32">
        <v>4</v>
      </c>
      <c r="G213" s="23">
        <v>9</v>
      </c>
      <c r="H213" s="23">
        <v>81462</v>
      </c>
      <c r="I213" s="32" t="s">
        <v>17</v>
      </c>
      <c r="J213" s="23">
        <v>53174804</v>
      </c>
      <c r="K213" s="23" t="s">
        <v>5540</v>
      </c>
      <c r="L213" s="43" t="s">
        <v>5542</v>
      </c>
      <c r="M213" s="24">
        <v>239900</v>
      </c>
      <c r="N213" s="20">
        <f t="shared" si="23"/>
        <v>0.75</v>
      </c>
      <c r="O213" s="83">
        <f t="shared" si="21"/>
        <v>59975</v>
      </c>
      <c r="P213" s="20" t="str">
        <f t="shared" si="24"/>
        <v>PERCENTAGE</v>
      </c>
    </row>
    <row r="214" spans="1:16" x14ac:dyDescent="0.35">
      <c r="A214" s="32" t="str">
        <f t="shared" si="25"/>
        <v>2025 JAN-JUN DISC 75% LICENSE ESS</v>
      </c>
      <c r="B214" s="33">
        <f t="shared" si="25"/>
        <v>46121</v>
      </c>
      <c r="C214" s="33">
        <f t="shared" si="25"/>
        <v>46127</v>
      </c>
      <c r="D214" s="32">
        <v>3287</v>
      </c>
      <c r="E214" s="32">
        <v>338</v>
      </c>
      <c r="F214" s="32">
        <v>4</v>
      </c>
      <c r="G214" s="23">
        <v>9</v>
      </c>
      <c r="H214" s="23">
        <v>81462</v>
      </c>
      <c r="I214" s="32" t="s">
        <v>17</v>
      </c>
      <c r="J214" s="23">
        <v>53174813</v>
      </c>
      <c r="K214" s="23" t="s">
        <v>5540</v>
      </c>
      <c r="L214" s="43" t="s">
        <v>5547</v>
      </c>
      <c r="M214" s="24">
        <v>239900</v>
      </c>
      <c r="N214" s="20">
        <f t="shared" si="23"/>
        <v>0.75</v>
      </c>
      <c r="O214" s="83">
        <f t="shared" si="21"/>
        <v>59975</v>
      </c>
      <c r="P214" s="20" t="str">
        <f t="shared" si="24"/>
        <v>PERCENTAGE</v>
      </c>
    </row>
    <row r="215" spans="1:16" x14ac:dyDescent="0.35">
      <c r="A215" s="32" t="str">
        <f t="shared" si="25"/>
        <v>2025 JAN-JUN DISC 75% LICENSE ESS</v>
      </c>
      <c r="B215" s="33">
        <f t="shared" si="25"/>
        <v>46121</v>
      </c>
      <c r="C215" s="33">
        <f t="shared" si="25"/>
        <v>46127</v>
      </c>
      <c r="D215" s="32">
        <v>3287</v>
      </c>
      <c r="E215" s="32">
        <v>338</v>
      </c>
      <c r="F215" s="32">
        <v>4</v>
      </c>
      <c r="G215" s="23">
        <v>9</v>
      </c>
      <c r="H215" s="23">
        <v>81462</v>
      </c>
      <c r="I215" s="32" t="s">
        <v>17</v>
      </c>
      <c r="J215" s="23">
        <v>53174822</v>
      </c>
      <c r="K215" s="23" t="s">
        <v>5540</v>
      </c>
      <c r="L215" s="43" t="s">
        <v>5544</v>
      </c>
      <c r="M215" s="24">
        <v>239900</v>
      </c>
      <c r="N215" s="20">
        <f t="shared" si="23"/>
        <v>0.75</v>
      </c>
      <c r="O215" s="83">
        <f t="shared" si="21"/>
        <v>59975</v>
      </c>
      <c r="P215" s="20" t="str">
        <f t="shared" si="24"/>
        <v>PERCENTAGE</v>
      </c>
    </row>
    <row r="216" spans="1:16" x14ac:dyDescent="0.35">
      <c r="A216" s="32" t="str">
        <f t="shared" si="25"/>
        <v>2025 JAN-JUN DISC 75% LICENSE ESS</v>
      </c>
      <c r="B216" s="33">
        <f t="shared" si="25"/>
        <v>46121</v>
      </c>
      <c r="C216" s="33">
        <f t="shared" si="25"/>
        <v>46127</v>
      </c>
      <c r="D216" s="32">
        <v>3287</v>
      </c>
      <c r="E216" s="32">
        <v>338</v>
      </c>
      <c r="F216" s="32">
        <v>4</v>
      </c>
      <c r="G216" s="23">
        <v>10</v>
      </c>
      <c r="H216" s="23">
        <v>81827</v>
      </c>
      <c r="I216" s="32" t="s">
        <v>17</v>
      </c>
      <c r="J216" s="23">
        <v>52659551</v>
      </c>
      <c r="K216" s="23" t="s">
        <v>5563</v>
      </c>
      <c r="L216" s="43" t="s">
        <v>5565</v>
      </c>
      <c r="M216" s="24">
        <v>35900</v>
      </c>
      <c r="N216" s="20">
        <f t="shared" si="23"/>
        <v>0.75</v>
      </c>
      <c r="O216" s="83">
        <f t="shared" si="21"/>
        <v>8975</v>
      </c>
      <c r="P216" s="20" t="str">
        <f t="shared" si="24"/>
        <v>PERCENTAGE</v>
      </c>
    </row>
    <row r="217" spans="1:16" x14ac:dyDescent="0.35">
      <c r="A217" s="32" t="str">
        <f t="shared" si="25"/>
        <v>2025 JAN-JUN DISC 75% LICENSE ESS</v>
      </c>
      <c r="B217" s="33">
        <f t="shared" si="25"/>
        <v>46121</v>
      </c>
      <c r="C217" s="33">
        <f t="shared" si="25"/>
        <v>46127</v>
      </c>
      <c r="D217" s="32">
        <v>3287</v>
      </c>
      <c r="E217" s="32">
        <v>338</v>
      </c>
      <c r="F217" s="32">
        <v>4</v>
      </c>
      <c r="G217" s="23">
        <v>10</v>
      </c>
      <c r="H217" s="23">
        <v>81827</v>
      </c>
      <c r="I217" s="32" t="s">
        <v>17</v>
      </c>
      <c r="J217" s="23">
        <v>52659560</v>
      </c>
      <c r="K217" s="23" t="s">
        <v>5563</v>
      </c>
      <c r="L217" s="43" t="s">
        <v>5564</v>
      </c>
      <c r="M217" s="24">
        <v>35900</v>
      </c>
      <c r="N217" s="20">
        <f t="shared" si="23"/>
        <v>0.75</v>
      </c>
      <c r="O217" s="83">
        <f t="shared" si="21"/>
        <v>8975</v>
      </c>
      <c r="P217" s="20" t="str">
        <f t="shared" si="24"/>
        <v>PERCENTAGE</v>
      </c>
    </row>
    <row r="218" spans="1:16" x14ac:dyDescent="0.35">
      <c r="A218" s="32" t="str">
        <f t="shared" si="25"/>
        <v>2025 JAN-JUN DISC 75% LICENSE ESS</v>
      </c>
      <c r="B218" s="33">
        <f t="shared" si="25"/>
        <v>46121</v>
      </c>
      <c r="C218" s="33">
        <f t="shared" si="25"/>
        <v>46127</v>
      </c>
      <c r="D218" s="32">
        <v>3287</v>
      </c>
      <c r="E218" s="32">
        <v>338</v>
      </c>
      <c r="F218" s="32">
        <v>4</v>
      </c>
      <c r="G218" s="23">
        <v>10</v>
      </c>
      <c r="H218" s="23">
        <v>81827</v>
      </c>
      <c r="I218" s="32" t="s">
        <v>17</v>
      </c>
      <c r="J218" s="23">
        <v>52659533</v>
      </c>
      <c r="K218" s="23" t="s">
        <v>5566</v>
      </c>
      <c r="L218" s="43" t="s">
        <v>5567</v>
      </c>
      <c r="M218" s="24">
        <v>35900</v>
      </c>
      <c r="N218" s="20">
        <f t="shared" si="23"/>
        <v>0.75</v>
      </c>
      <c r="O218" s="83">
        <f t="shared" si="21"/>
        <v>8975</v>
      </c>
      <c r="P218" s="20" t="str">
        <f t="shared" si="24"/>
        <v>PERCENTAGE</v>
      </c>
    </row>
    <row r="219" spans="1:16" x14ac:dyDescent="0.35">
      <c r="A219" s="32" t="str">
        <f t="shared" si="25"/>
        <v>2025 JAN-JUN DISC 75% LICENSE ESS</v>
      </c>
      <c r="B219" s="33">
        <f t="shared" si="25"/>
        <v>46121</v>
      </c>
      <c r="C219" s="33">
        <f t="shared" si="25"/>
        <v>46127</v>
      </c>
      <c r="D219" s="32">
        <v>3287</v>
      </c>
      <c r="E219" s="32">
        <v>338</v>
      </c>
      <c r="F219" s="32">
        <v>4</v>
      </c>
      <c r="G219" s="23">
        <v>10</v>
      </c>
      <c r="H219" s="23">
        <v>81827</v>
      </c>
      <c r="I219" s="32" t="s">
        <v>17</v>
      </c>
      <c r="J219" s="23">
        <v>52659542</v>
      </c>
      <c r="K219" s="23" t="s">
        <v>5566</v>
      </c>
      <c r="L219" s="43" t="s">
        <v>5568</v>
      </c>
      <c r="M219" s="24">
        <v>35900</v>
      </c>
      <c r="N219" s="20">
        <f t="shared" si="23"/>
        <v>0.75</v>
      </c>
      <c r="O219" s="83">
        <f t="shared" si="21"/>
        <v>8975</v>
      </c>
      <c r="P219" s="20" t="str">
        <f t="shared" si="24"/>
        <v>PERCENTAGE</v>
      </c>
    </row>
    <row r="220" spans="1:16" x14ac:dyDescent="0.35">
      <c r="A220" s="32" t="str">
        <f t="shared" si="25"/>
        <v>2025 JAN-JUN DISC 75% LICENSE ESS</v>
      </c>
      <c r="B220" s="33">
        <f t="shared" si="25"/>
        <v>46121</v>
      </c>
      <c r="C220" s="33">
        <f t="shared" si="25"/>
        <v>46127</v>
      </c>
      <c r="D220" s="32">
        <v>3287</v>
      </c>
      <c r="E220" s="32">
        <v>338</v>
      </c>
      <c r="F220" s="32">
        <v>4</v>
      </c>
      <c r="G220" s="23">
        <v>8</v>
      </c>
      <c r="H220" s="23">
        <v>81462</v>
      </c>
      <c r="I220" s="32" t="s">
        <v>17</v>
      </c>
      <c r="J220" s="23">
        <v>53220281</v>
      </c>
      <c r="K220" s="23" t="s">
        <v>5558</v>
      </c>
      <c r="L220" s="43" t="s">
        <v>5561</v>
      </c>
      <c r="M220" s="24">
        <v>119900</v>
      </c>
      <c r="N220" s="20">
        <f t="shared" si="23"/>
        <v>0.75</v>
      </c>
      <c r="O220" s="83">
        <f t="shared" si="21"/>
        <v>29975</v>
      </c>
      <c r="P220" s="20" t="str">
        <f t="shared" si="24"/>
        <v>PERCENTAGE</v>
      </c>
    </row>
    <row r="221" spans="1:16" x14ac:dyDescent="0.35">
      <c r="A221" s="32" t="str">
        <f t="shared" si="25"/>
        <v>2025 JAN-JUN DISC 75% LICENSE ESS</v>
      </c>
      <c r="B221" s="33">
        <f t="shared" si="25"/>
        <v>46121</v>
      </c>
      <c r="C221" s="33">
        <f t="shared" si="25"/>
        <v>46127</v>
      </c>
      <c r="D221" s="32">
        <v>3287</v>
      </c>
      <c r="E221" s="32">
        <v>338</v>
      </c>
      <c r="F221" s="32">
        <v>4</v>
      </c>
      <c r="G221" s="23">
        <v>8</v>
      </c>
      <c r="H221" s="23">
        <v>81462</v>
      </c>
      <c r="I221" s="32" t="s">
        <v>17</v>
      </c>
      <c r="J221" s="23">
        <v>53220290</v>
      </c>
      <c r="K221" s="23" t="s">
        <v>5558</v>
      </c>
      <c r="L221" s="43" t="s">
        <v>5560</v>
      </c>
      <c r="M221" s="24">
        <v>119900</v>
      </c>
      <c r="N221" s="20">
        <f t="shared" si="23"/>
        <v>0.75</v>
      </c>
      <c r="O221" s="83">
        <f t="shared" si="21"/>
        <v>29975</v>
      </c>
      <c r="P221" s="20" t="str">
        <f t="shared" si="24"/>
        <v>PERCENTAGE</v>
      </c>
    </row>
    <row r="222" spans="1:16" x14ac:dyDescent="0.35">
      <c r="A222" s="32" t="str">
        <f t="shared" si="25"/>
        <v>2025 JAN-JUN DISC 75% LICENSE ESS</v>
      </c>
      <c r="B222" s="33">
        <f t="shared" si="25"/>
        <v>46121</v>
      </c>
      <c r="C222" s="33">
        <f t="shared" si="25"/>
        <v>46127</v>
      </c>
      <c r="D222" s="32">
        <v>3287</v>
      </c>
      <c r="E222" s="32">
        <v>338</v>
      </c>
      <c r="F222" s="32">
        <v>4</v>
      </c>
      <c r="G222" s="23">
        <v>8</v>
      </c>
      <c r="H222" s="23">
        <v>81462</v>
      </c>
      <c r="I222" s="32" t="s">
        <v>17</v>
      </c>
      <c r="J222" s="23">
        <v>53220307</v>
      </c>
      <c r="K222" s="23" t="s">
        <v>5558</v>
      </c>
      <c r="L222" s="43" t="s">
        <v>5559</v>
      </c>
      <c r="M222" s="24">
        <v>119900</v>
      </c>
      <c r="N222" s="20">
        <f t="shared" si="23"/>
        <v>0.75</v>
      </c>
      <c r="O222" s="83">
        <f t="shared" si="21"/>
        <v>29975</v>
      </c>
      <c r="P222" s="20" t="str">
        <f t="shared" si="24"/>
        <v>PERCENTAGE</v>
      </c>
    </row>
    <row r="223" spans="1:16" x14ac:dyDescent="0.35">
      <c r="A223" s="32" t="str">
        <f t="shared" si="25"/>
        <v>2025 JAN-JUN DISC 75% LICENSE ESS</v>
      </c>
      <c r="B223" s="33">
        <f t="shared" si="25"/>
        <v>46121</v>
      </c>
      <c r="C223" s="33">
        <f t="shared" si="25"/>
        <v>46127</v>
      </c>
      <c r="D223" s="32">
        <v>3287</v>
      </c>
      <c r="E223" s="32">
        <v>338</v>
      </c>
      <c r="F223" s="32">
        <v>4</v>
      </c>
      <c r="G223" s="23">
        <v>8</v>
      </c>
      <c r="H223" s="23">
        <v>81462</v>
      </c>
      <c r="I223" s="32" t="s">
        <v>17</v>
      </c>
      <c r="J223" s="23">
        <v>53220316</v>
      </c>
      <c r="K223" s="23" t="s">
        <v>5558</v>
      </c>
      <c r="L223" s="43" t="s">
        <v>5562</v>
      </c>
      <c r="M223" s="24">
        <v>119900</v>
      </c>
      <c r="N223" s="20">
        <f t="shared" si="23"/>
        <v>0.75</v>
      </c>
      <c r="O223" s="83">
        <f t="shared" si="21"/>
        <v>29975</v>
      </c>
      <c r="P223" s="20" t="str">
        <f t="shared" si="24"/>
        <v>PERCENTAGE</v>
      </c>
    </row>
    <row r="224" spans="1:16" x14ac:dyDescent="0.35">
      <c r="A224" s="32" t="str">
        <f t="shared" si="25"/>
        <v>2025 JAN-JUN DISC 75% LICENSE ESS</v>
      </c>
      <c r="B224" s="33">
        <f t="shared" si="25"/>
        <v>46121</v>
      </c>
      <c r="C224" s="33">
        <f t="shared" si="25"/>
        <v>46127</v>
      </c>
      <c r="D224" s="32">
        <v>3287</v>
      </c>
      <c r="E224" s="32">
        <v>338</v>
      </c>
      <c r="F224" s="32">
        <v>4</v>
      </c>
      <c r="G224" s="32">
        <v>2</v>
      </c>
      <c r="H224" s="32">
        <v>81462</v>
      </c>
      <c r="I224" s="32" t="s">
        <v>17</v>
      </c>
      <c r="J224" s="32">
        <v>53160837</v>
      </c>
      <c r="K224" s="32" t="s">
        <v>5613</v>
      </c>
      <c r="L224" s="38" t="s">
        <v>5615</v>
      </c>
      <c r="M224" s="34">
        <v>239900</v>
      </c>
      <c r="N224" s="20">
        <f t="shared" si="23"/>
        <v>0.75</v>
      </c>
      <c r="O224" s="83">
        <f t="shared" si="21"/>
        <v>59975</v>
      </c>
      <c r="P224" s="20" t="str">
        <f t="shared" si="24"/>
        <v>PERCENTAGE</v>
      </c>
    </row>
    <row r="225" spans="1:16" x14ac:dyDescent="0.35">
      <c r="A225" s="32" t="str">
        <f t="shared" si="25"/>
        <v>2025 JAN-JUN DISC 75% LICENSE ESS</v>
      </c>
      <c r="B225" s="33">
        <f t="shared" si="25"/>
        <v>46121</v>
      </c>
      <c r="C225" s="33">
        <f t="shared" si="25"/>
        <v>46127</v>
      </c>
      <c r="D225" s="32">
        <v>3287</v>
      </c>
      <c r="E225" s="32">
        <v>338</v>
      </c>
      <c r="F225" s="32">
        <v>4</v>
      </c>
      <c r="G225" s="32">
        <v>2</v>
      </c>
      <c r="H225" s="32">
        <v>81462</v>
      </c>
      <c r="I225" s="32" t="s">
        <v>17</v>
      </c>
      <c r="J225" s="32">
        <v>53160846</v>
      </c>
      <c r="K225" s="32" t="s">
        <v>5613</v>
      </c>
      <c r="L225" s="38" t="s">
        <v>5621</v>
      </c>
      <c r="M225" s="34">
        <v>239900</v>
      </c>
      <c r="N225" s="20">
        <f t="shared" si="23"/>
        <v>0.75</v>
      </c>
      <c r="O225" s="83">
        <f t="shared" si="21"/>
        <v>59975</v>
      </c>
      <c r="P225" s="20" t="str">
        <f t="shared" si="24"/>
        <v>PERCENTAGE</v>
      </c>
    </row>
    <row r="226" spans="1:16" x14ac:dyDescent="0.35">
      <c r="A226" s="32" t="str">
        <f t="shared" si="25"/>
        <v>2025 JAN-JUN DISC 75% LICENSE ESS</v>
      </c>
      <c r="B226" s="33">
        <f t="shared" si="25"/>
        <v>46121</v>
      </c>
      <c r="C226" s="33">
        <f t="shared" si="25"/>
        <v>46127</v>
      </c>
      <c r="D226" s="32">
        <v>3287</v>
      </c>
      <c r="E226" s="32">
        <v>338</v>
      </c>
      <c r="F226" s="32">
        <v>4</v>
      </c>
      <c r="G226" s="32">
        <v>2</v>
      </c>
      <c r="H226" s="32">
        <v>81462</v>
      </c>
      <c r="I226" s="32" t="s">
        <v>17</v>
      </c>
      <c r="J226" s="32">
        <v>53160855</v>
      </c>
      <c r="K226" s="32" t="s">
        <v>5613</v>
      </c>
      <c r="L226" s="38" t="s">
        <v>5619</v>
      </c>
      <c r="M226" s="34">
        <v>239900</v>
      </c>
      <c r="N226" s="20">
        <f t="shared" si="23"/>
        <v>0.75</v>
      </c>
      <c r="O226" s="83">
        <f t="shared" si="21"/>
        <v>59975</v>
      </c>
      <c r="P226" s="20" t="str">
        <f t="shared" si="24"/>
        <v>PERCENTAGE</v>
      </c>
    </row>
    <row r="227" spans="1:16" x14ac:dyDescent="0.35">
      <c r="A227" s="32" t="str">
        <f t="shared" si="25"/>
        <v>2025 JAN-JUN DISC 75% LICENSE ESS</v>
      </c>
      <c r="B227" s="33">
        <f t="shared" si="25"/>
        <v>46121</v>
      </c>
      <c r="C227" s="33">
        <f t="shared" si="25"/>
        <v>46127</v>
      </c>
      <c r="D227" s="32">
        <v>3287</v>
      </c>
      <c r="E227" s="32">
        <v>338</v>
      </c>
      <c r="F227" s="32">
        <v>4</v>
      </c>
      <c r="G227" s="32">
        <v>2</v>
      </c>
      <c r="H227" s="32">
        <v>81462</v>
      </c>
      <c r="I227" s="32" t="s">
        <v>17</v>
      </c>
      <c r="J227" s="32">
        <v>53160864</v>
      </c>
      <c r="K227" s="32" t="s">
        <v>5613</v>
      </c>
      <c r="L227" s="38" t="s">
        <v>5617</v>
      </c>
      <c r="M227" s="34">
        <v>239900</v>
      </c>
      <c r="N227" s="20">
        <f t="shared" si="23"/>
        <v>0.75</v>
      </c>
      <c r="O227" s="83">
        <f t="shared" si="21"/>
        <v>59975</v>
      </c>
      <c r="P227" s="20" t="str">
        <f t="shared" si="24"/>
        <v>PERCENTAGE</v>
      </c>
    </row>
    <row r="228" spans="1:16" x14ac:dyDescent="0.35">
      <c r="A228" s="32" t="str">
        <f t="shared" ref="A228:C243" si="26">A227</f>
        <v>2025 JAN-JUN DISC 75% LICENSE ESS</v>
      </c>
      <c r="B228" s="33">
        <f t="shared" si="26"/>
        <v>46121</v>
      </c>
      <c r="C228" s="33">
        <f t="shared" si="26"/>
        <v>46127</v>
      </c>
      <c r="D228" s="32">
        <v>3287</v>
      </c>
      <c r="E228" s="32">
        <v>338</v>
      </c>
      <c r="F228" s="32">
        <v>4</v>
      </c>
      <c r="G228" s="32">
        <v>2</v>
      </c>
      <c r="H228" s="32">
        <v>81462</v>
      </c>
      <c r="I228" s="32" t="s">
        <v>17</v>
      </c>
      <c r="J228" s="32">
        <v>53160873</v>
      </c>
      <c r="K228" s="32" t="s">
        <v>5613</v>
      </c>
      <c r="L228" s="38" t="s">
        <v>5618</v>
      </c>
      <c r="M228" s="34">
        <v>239900</v>
      </c>
      <c r="N228" s="20">
        <f t="shared" si="23"/>
        <v>0.75</v>
      </c>
      <c r="O228" s="83">
        <f t="shared" si="21"/>
        <v>59975</v>
      </c>
      <c r="P228" s="20" t="str">
        <f t="shared" si="24"/>
        <v>PERCENTAGE</v>
      </c>
    </row>
    <row r="229" spans="1:16" x14ac:dyDescent="0.35">
      <c r="A229" s="32" t="str">
        <f t="shared" si="26"/>
        <v>2025 JAN-JUN DISC 75% LICENSE ESS</v>
      </c>
      <c r="B229" s="33">
        <f t="shared" si="26"/>
        <v>46121</v>
      </c>
      <c r="C229" s="33">
        <f t="shared" si="26"/>
        <v>46127</v>
      </c>
      <c r="D229" s="32">
        <v>3287</v>
      </c>
      <c r="E229" s="32">
        <v>338</v>
      </c>
      <c r="F229" s="32">
        <v>4</v>
      </c>
      <c r="G229" s="32">
        <v>2</v>
      </c>
      <c r="H229" s="32">
        <v>81462</v>
      </c>
      <c r="I229" s="32" t="s">
        <v>17</v>
      </c>
      <c r="J229" s="32">
        <v>53160882</v>
      </c>
      <c r="K229" s="32" t="s">
        <v>5613</v>
      </c>
      <c r="L229" s="38" t="s">
        <v>5614</v>
      </c>
      <c r="M229" s="34">
        <v>239900</v>
      </c>
      <c r="N229" s="20">
        <f t="shared" si="23"/>
        <v>0.75</v>
      </c>
      <c r="O229" s="83">
        <f t="shared" si="21"/>
        <v>59975</v>
      </c>
      <c r="P229" s="20" t="str">
        <f t="shared" si="24"/>
        <v>PERCENTAGE</v>
      </c>
    </row>
    <row r="230" spans="1:16" x14ac:dyDescent="0.35">
      <c r="A230" s="32" t="str">
        <f t="shared" si="26"/>
        <v>2025 JAN-JUN DISC 75% LICENSE ESS</v>
      </c>
      <c r="B230" s="33">
        <f t="shared" si="26"/>
        <v>46121</v>
      </c>
      <c r="C230" s="33">
        <f t="shared" si="26"/>
        <v>46127</v>
      </c>
      <c r="D230" s="32">
        <v>3287</v>
      </c>
      <c r="E230" s="32">
        <v>338</v>
      </c>
      <c r="F230" s="32">
        <v>4</v>
      </c>
      <c r="G230" s="32">
        <v>2</v>
      </c>
      <c r="H230" s="32">
        <v>81462</v>
      </c>
      <c r="I230" s="32" t="s">
        <v>17</v>
      </c>
      <c r="J230" s="32">
        <v>53160891</v>
      </c>
      <c r="K230" s="32" t="s">
        <v>5613</v>
      </c>
      <c r="L230" s="38" t="s">
        <v>5616</v>
      </c>
      <c r="M230" s="34">
        <v>239900</v>
      </c>
      <c r="N230" s="20">
        <f t="shared" si="23"/>
        <v>0.75</v>
      </c>
      <c r="O230" s="83">
        <f t="shared" si="21"/>
        <v>59975</v>
      </c>
      <c r="P230" s="20" t="str">
        <f t="shared" si="24"/>
        <v>PERCENTAGE</v>
      </c>
    </row>
    <row r="231" spans="1:16" x14ac:dyDescent="0.35">
      <c r="A231" s="32" t="str">
        <f t="shared" si="26"/>
        <v>2025 JAN-JUN DISC 75% LICENSE ESS</v>
      </c>
      <c r="B231" s="33">
        <f t="shared" si="26"/>
        <v>46121</v>
      </c>
      <c r="C231" s="33">
        <f t="shared" si="26"/>
        <v>46127</v>
      </c>
      <c r="D231" s="32">
        <v>3287</v>
      </c>
      <c r="E231" s="32">
        <v>338</v>
      </c>
      <c r="F231" s="32">
        <v>4</v>
      </c>
      <c r="G231" s="32">
        <v>2</v>
      </c>
      <c r="H231" s="32">
        <v>81462</v>
      </c>
      <c r="I231" s="32" t="s">
        <v>17</v>
      </c>
      <c r="J231" s="32">
        <v>53160908</v>
      </c>
      <c r="K231" s="32" t="s">
        <v>5613</v>
      </c>
      <c r="L231" s="38" t="s">
        <v>5620</v>
      </c>
      <c r="M231" s="34">
        <v>239900</v>
      </c>
      <c r="N231" s="20">
        <f t="shared" si="23"/>
        <v>0.75</v>
      </c>
      <c r="O231" s="83">
        <f t="shared" si="21"/>
        <v>59975</v>
      </c>
      <c r="P231" s="20" t="str">
        <f t="shared" si="24"/>
        <v>PERCENTAGE</v>
      </c>
    </row>
    <row r="232" spans="1:16" x14ac:dyDescent="0.35">
      <c r="A232" s="32" t="str">
        <f t="shared" si="26"/>
        <v>2025 JAN-JUN DISC 75% LICENSE ESS</v>
      </c>
      <c r="B232" s="33">
        <f t="shared" si="26"/>
        <v>46121</v>
      </c>
      <c r="C232" s="33">
        <f t="shared" si="26"/>
        <v>46127</v>
      </c>
      <c r="D232" s="32">
        <v>3287</v>
      </c>
      <c r="E232" s="32">
        <v>338</v>
      </c>
      <c r="F232" s="32">
        <v>4</v>
      </c>
      <c r="G232" s="32">
        <v>7</v>
      </c>
      <c r="H232" s="32">
        <v>81827</v>
      </c>
      <c r="I232" s="32" t="s">
        <v>17</v>
      </c>
      <c r="J232" s="32">
        <v>53582168</v>
      </c>
      <c r="K232" s="32" t="s">
        <v>5635</v>
      </c>
      <c r="L232" s="38" t="s">
        <v>5637</v>
      </c>
      <c r="M232" s="34">
        <v>35900</v>
      </c>
      <c r="N232" s="20">
        <f t="shared" si="23"/>
        <v>0.75</v>
      </c>
      <c r="O232" s="83">
        <f t="shared" si="21"/>
        <v>8975</v>
      </c>
      <c r="P232" s="20" t="str">
        <f t="shared" si="24"/>
        <v>PERCENTAGE</v>
      </c>
    </row>
    <row r="233" spans="1:16" x14ac:dyDescent="0.35">
      <c r="A233" s="32" t="str">
        <f t="shared" si="26"/>
        <v>2025 JAN-JUN DISC 75% LICENSE ESS</v>
      </c>
      <c r="B233" s="33">
        <f t="shared" si="26"/>
        <v>46121</v>
      </c>
      <c r="C233" s="33">
        <f t="shared" si="26"/>
        <v>46127</v>
      </c>
      <c r="D233" s="32">
        <v>3287</v>
      </c>
      <c r="E233" s="32">
        <v>338</v>
      </c>
      <c r="F233" s="32">
        <v>4</v>
      </c>
      <c r="G233" s="32">
        <v>7</v>
      </c>
      <c r="H233" s="32">
        <v>81827</v>
      </c>
      <c r="I233" s="32" t="s">
        <v>17</v>
      </c>
      <c r="J233" s="32">
        <v>53582177</v>
      </c>
      <c r="K233" s="32" t="s">
        <v>5635</v>
      </c>
      <c r="L233" s="38" t="s">
        <v>5636</v>
      </c>
      <c r="M233" s="34">
        <v>35900</v>
      </c>
      <c r="N233" s="20">
        <f t="shared" si="23"/>
        <v>0.75</v>
      </c>
      <c r="O233" s="83">
        <f t="shared" si="21"/>
        <v>8975</v>
      </c>
      <c r="P233" s="20" t="str">
        <f t="shared" si="24"/>
        <v>PERCENTAGE</v>
      </c>
    </row>
    <row r="234" spans="1:16" x14ac:dyDescent="0.35">
      <c r="A234" s="32" t="str">
        <f t="shared" si="26"/>
        <v>2025 JAN-JUN DISC 75% LICENSE ESS</v>
      </c>
      <c r="B234" s="33">
        <f t="shared" si="26"/>
        <v>46121</v>
      </c>
      <c r="C234" s="33">
        <f t="shared" si="26"/>
        <v>46127</v>
      </c>
      <c r="D234" s="32">
        <v>3287</v>
      </c>
      <c r="E234" s="32">
        <v>338</v>
      </c>
      <c r="F234" s="32">
        <v>4</v>
      </c>
      <c r="G234" s="32">
        <v>7</v>
      </c>
      <c r="H234" s="32">
        <v>81827</v>
      </c>
      <c r="I234" s="32" t="s">
        <v>17</v>
      </c>
      <c r="J234" s="32">
        <v>53582186</v>
      </c>
      <c r="K234" s="32" t="s">
        <v>5630</v>
      </c>
      <c r="L234" s="38" t="s">
        <v>5632</v>
      </c>
      <c r="M234" s="34">
        <v>35900</v>
      </c>
      <c r="N234" s="20">
        <f t="shared" si="23"/>
        <v>0.75</v>
      </c>
      <c r="O234" s="83">
        <f t="shared" si="21"/>
        <v>8975</v>
      </c>
      <c r="P234" s="20" t="str">
        <f t="shared" si="24"/>
        <v>PERCENTAGE</v>
      </c>
    </row>
    <row r="235" spans="1:16" x14ac:dyDescent="0.35">
      <c r="A235" s="32" t="str">
        <f t="shared" si="26"/>
        <v>2025 JAN-JUN DISC 75% LICENSE ESS</v>
      </c>
      <c r="B235" s="33">
        <f t="shared" si="26"/>
        <v>46121</v>
      </c>
      <c r="C235" s="33">
        <f t="shared" si="26"/>
        <v>46127</v>
      </c>
      <c r="D235" s="32">
        <v>3287</v>
      </c>
      <c r="E235" s="32">
        <v>338</v>
      </c>
      <c r="F235" s="32">
        <v>4</v>
      </c>
      <c r="G235" s="32">
        <v>7</v>
      </c>
      <c r="H235" s="32">
        <v>81827</v>
      </c>
      <c r="I235" s="32" t="s">
        <v>17</v>
      </c>
      <c r="J235" s="32">
        <v>53582195</v>
      </c>
      <c r="K235" s="32" t="s">
        <v>5630</v>
      </c>
      <c r="L235" s="38" t="s">
        <v>5631</v>
      </c>
      <c r="M235" s="34">
        <v>35900</v>
      </c>
      <c r="N235" s="20">
        <f t="shared" si="23"/>
        <v>0.75</v>
      </c>
      <c r="O235" s="83">
        <f t="shared" si="21"/>
        <v>8975</v>
      </c>
      <c r="P235" s="20" t="str">
        <f t="shared" si="24"/>
        <v>PERCENTAGE</v>
      </c>
    </row>
    <row r="236" spans="1:16" x14ac:dyDescent="0.35">
      <c r="A236" s="32" t="str">
        <f t="shared" si="26"/>
        <v>2025 JAN-JUN DISC 75% LICENSE ESS</v>
      </c>
      <c r="B236" s="33">
        <f t="shared" si="26"/>
        <v>46121</v>
      </c>
      <c r="C236" s="33">
        <f t="shared" si="26"/>
        <v>46127</v>
      </c>
      <c r="D236" s="32">
        <v>3287</v>
      </c>
      <c r="E236" s="32">
        <v>338</v>
      </c>
      <c r="F236" s="32">
        <v>4</v>
      </c>
      <c r="G236" s="32">
        <v>7</v>
      </c>
      <c r="H236" s="32">
        <v>81827</v>
      </c>
      <c r="I236" s="32" t="s">
        <v>17</v>
      </c>
      <c r="J236" s="32">
        <v>53582202</v>
      </c>
      <c r="K236" s="32" t="s">
        <v>5633</v>
      </c>
      <c r="L236" s="38" t="s">
        <v>5634</v>
      </c>
      <c r="M236" s="34">
        <v>35900</v>
      </c>
      <c r="N236" s="20">
        <f t="shared" si="23"/>
        <v>0.75</v>
      </c>
      <c r="O236" s="83">
        <f t="shared" si="21"/>
        <v>8975</v>
      </c>
      <c r="P236" s="20" t="str">
        <f t="shared" si="24"/>
        <v>PERCENTAGE</v>
      </c>
    </row>
    <row r="237" spans="1:16" x14ac:dyDescent="0.35">
      <c r="A237" s="32" t="str">
        <f t="shared" si="26"/>
        <v>2025 JAN-JUN DISC 75% LICENSE ESS</v>
      </c>
      <c r="B237" s="33">
        <f t="shared" si="26"/>
        <v>46121</v>
      </c>
      <c r="C237" s="33">
        <f t="shared" si="26"/>
        <v>46127</v>
      </c>
      <c r="D237" s="32">
        <v>3287</v>
      </c>
      <c r="E237" s="32">
        <v>338</v>
      </c>
      <c r="F237" s="32">
        <v>4</v>
      </c>
      <c r="G237" s="32">
        <v>7</v>
      </c>
      <c r="H237" s="32">
        <v>81827</v>
      </c>
      <c r="I237" s="32" t="s">
        <v>17</v>
      </c>
      <c r="J237" s="32">
        <v>53582211</v>
      </c>
      <c r="K237" s="32" t="s">
        <v>5633</v>
      </c>
      <c r="L237" s="38" t="s">
        <v>5638</v>
      </c>
      <c r="M237" s="34">
        <v>35900</v>
      </c>
      <c r="N237" s="20">
        <f t="shared" si="23"/>
        <v>0.75</v>
      </c>
      <c r="O237" s="83">
        <f t="shared" si="21"/>
        <v>8975</v>
      </c>
      <c r="P237" s="20" t="str">
        <f t="shared" si="24"/>
        <v>PERCENTAGE</v>
      </c>
    </row>
    <row r="238" spans="1:16" x14ac:dyDescent="0.35">
      <c r="A238" s="32" t="str">
        <f t="shared" si="26"/>
        <v>2025 JAN-JUN DISC 75% LICENSE ESS</v>
      </c>
      <c r="B238" s="33">
        <f t="shared" si="26"/>
        <v>46121</v>
      </c>
      <c r="C238" s="33">
        <f t="shared" si="26"/>
        <v>46127</v>
      </c>
      <c r="D238" s="32">
        <v>3287</v>
      </c>
      <c r="E238" s="32">
        <v>338</v>
      </c>
      <c r="F238" s="32">
        <v>4</v>
      </c>
      <c r="G238" s="32">
        <v>1</v>
      </c>
      <c r="H238" s="32">
        <v>850</v>
      </c>
      <c r="I238" s="32" t="s">
        <v>17</v>
      </c>
      <c r="J238" s="32">
        <v>53582220</v>
      </c>
      <c r="K238" s="32" t="s">
        <v>5608</v>
      </c>
      <c r="L238" s="38" t="s">
        <v>5611</v>
      </c>
      <c r="M238" s="34">
        <v>119900</v>
      </c>
      <c r="N238" s="20">
        <f t="shared" si="23"/>
        <v>0.75</v>
      </c>
      <c r="O238" s="83">
        <f t="shared" si="21"/>
        <v>29975</v>
      </c>
      <c r="P238" s="20" t="str">
        <f t="shared" si="24"/>
        <v>PERCENTAGE</v>
      </c>
    </row>
    <row r="239" spans="1:16" x14ac:dyDescent="0.35">
      <c r="A239" s="32" t="str">
        <f t="shared" si="26"/>
        <v>2025 JAN-JUN DISC 75% LICENSE ESS</v>
      </c>
      <c r="B239" s="33">
        <f t="shared" si="26"/>
        <v>46121</v>
      </c>
      <c r="C239" s="33">
        <f t="shared" si="26"/>
        <v>46127</v>
      </c>
      <c r="D239" s="32">
        <v>3287</v>
      </c>
      <c r="E239" s="32">
        <v>338</v>
      </c>
      <c r="F239" s="32">
        <v>4</v>
      </c>
      <c r="G239" s="32">
        <v>1</v>
      </c>
      <c r="H239" s="32">
        <v>850</v>
      </c>
      <c r="I239" s="32" t="s">
        <v>17</v>
      </c>
      <c r="J239" s="32">
        <v>53582239</v>
      </c>
      <c r="K239" s="32" t="s">
        <v>5608</v>
      </c>
      <c r="L239" s="38" t="s">
        <v>5612</v>
      </c>
      <c r="M239" s="34">
        <v>119900</v>
      </c>
      <c r="N239" s="20">
        <f t="shared" si="23"/>
        <v>0.75</v>
      </c>
      <c r="O239" s="83">
        <f t="shared" si="21"/>
        <v>29975</v>
      </c>
      <c r="P239" s="20" t="str">
        <f t="shared" si="24"/>
        <v>PERCENTAGE</v>
      </c>
    </row>
    <row r="240" spans="1:16" x14ac:dyDescent="0.35">
      <c r="A240" s="32" t="str">
        <f t="shared" si="26"/>
        <v>2025 JAN-JUN DISC 75% LICENSE ESS</v>
      </c>
      <c r="B240" s="33">
        <f t="shared" si="26"/>
        <v>46121</v>
      </c>
      <c r="C240" s="33">
        <f t="shared" si="26"/>
        <v>46127</v>
      </c>
      <c r="D240" s="32">
        <v>3287</v>
      </c>
      <c r="E240" s="32">
        <v>338</v>
      </c>
      <c r="F240" s="32">
        <v>4</v>
      </c>
      <c r="G240" s="32">
        <v>1</v>
      </c>
      <c r="H240" s="32">
        <v>850</v>
      </c>
      <c r="I240" s="32" t="s">
        <v>17</v>
      </c>
      <c r="J240" s="32">
        <v>53582248</v>
      </c>
      <c r="K240" s="32" t="s">
        <v>5608</v>
      </c>
      <c r="L240" s="38" t="s">
        <v>5610</v>
      </c>
      <c r="M240" s="34">
        <v>119900</v>
      </c>
      <c r="N240" s="20">
        <f t="shared" si="23"/>
        <v>0.75</v>
      </c>
      <c r="O240" s="83">
        <f t="shared" si="21"/>
        <v>29975</v>
      </c>
      <c r="P240" s="20" t="str">
        <f t="shared" si="24"/>
        <v>PERCENTAGE</v>
      </c>
    </row>
    <row r="241" spans="1:16" x14ac:dyDescent="0.35">
      <c r="A241" s="32" t="str">
        <f t="shared" si="26"/>
        <v>2025 JAN-JUN DISC 75% LICENSE ESS</v>
      </c>
      <c r="B241" s="33">
        <f t="shared" si="26"/>
        <v>46121</v>
      </c>
      <c r="C241" s="33">
        <f t="shared" si="26"/>
        <v>46127</v>
      </c>
      <c r="D241" s="32">
        <v>3287</v>
      </c>
      <c r="E241" s="32">
        <v>338</v>
      </c>
      <c r="F241" s="32">
        <v>4</v>
      </c>
      <c r="G241" s="32">
        <v>1</v>
      </c>
      <c r="H241" s="32">
        <v>850</v>
      </c>
      <c r="I241" s="32" t="s">
        <v>17</v>
      </c>
      <c r="J241" s="32">
        <v>53582257</v>
      </c>
      <c r="K241" s="32" t="s">
        <v>5608</v>
      </c>
      <c r="L241" s="38" t="s">
        <v>5609</v>
      </c>
      <c r="M241" s="34">
        <v>119900</v>
      </c>
      <c r="N241" s="20">
        <f t="shared" si="23"/>
        <v>0.75</v>
      </c>
      <c r="O241" s="83">
        <f t="shared" si="21"/>
        <v>29975</v>
      </c>
      <c r="P241" s="20" t="str">
        <f t="shared" si="24"/>
        <v>PERCENTAGE</v>
      </c>
    </row>
    <row r="242" spans="1:16" x14ac:dyDescent="0.35">
      <c r="A242" s="32" t="str">
        <f t="shared" si="26"/>
        <v>2025 JAN-JUN DISC 75% LICENSE ESS</v>
      </c>
      <c r="B242" s="33">
        <f t="shared" si="26"/>
        <v>46121</v>
      </c>
      <c r="C242" s="33">
        <f t="shared" si="26"/>
        <v>46127</v>
      </c>
      <c r="D242" s="32">
        <v>3287</v>
      </c>
      <c r="E242" s="32">
        <v>338</v>
      </c>
      <c r="F242" s="32">
        <v>4</v>
      </c>
      <c r="G242" s="32">
        <v>2</v>
      </c>
      <c r="H242" s="32">
        <v>81676</v>
      </c>
      <c r="I242" s="32" t="s">
        <v>17</v>
      </c>
      <c r="J242" s="32">
        <v>53582300</v>
      </c>
      <c r="K242" s="32" t="s">
        <v>5607</v>
      </c>
      <c r="L242" s="38" t="s">
        <v>5624</v>
      </c>
      <c r="M242" s="34">
        <v>199900</v>
      </c>
      <c r="N242" s="20">
        <f t="shared" si="23"/>
        <v>0.75</v>
      </c>
      <c r="O242" s="83">
        <f t="shared" si="21"/>
        <v>49975</v>
      </c>
      <c r="P242" s="20" t="str">
        <f t="shared" si="24"/>
        <v>PERCENTAGE</v>
      </c>
    </row>
    <row r="243" spans="1:16" x14ac:dyDescent="0.35">
      <c r="A243" s="32" t="str">
        <f t="shared" si="26"/>
        <v>2025 JAN-JUN DISC 75% LICENSE ESS</v>
      </c>
      <c r="B243" s="33">
        <f t="shared" si="26"/>
        <v>46121</v>
      </c>
      <c r="C243" s="33">
        <f t="shared" si="26"/>
        <v>46127</v>
      </c>
      <c r="D243" s="32">
        <v>3287</v>
      </c>
      <c r="E243" s="32">
        <v>338</v>
      </c>
      <c r="F243" s="32">
        <v>4</v>
      </c>
      <c r="G243" s="32">
        <v>2</v>
      </c>
      <c r="H243" s="32">
        <v>81676</v>
      </c>
      <c r="I243" s="32" t="s">
        <v>17</v>
      </c>
      <c r="J243" s="32">
        <v>53582319</v>
      </c>
      <c r="K243" s="32" t="s">
        <v>5607</v>
      </c>
      <c r="L243" s="38" t="s">
        <v>5629</v>
      </c>
      <c r="M243" s="34">
        <v>199900</v>
      </c>
      <c r="N243" s="20">
        <f t="shared" si="23"/>
        <v>0.75</v>
      </c>
      <c r="O243" s="83">
        <f t="shared" si="21"/>
        <v>49975</v>
      </c>
      <c r="P243" s="20" t="str">
        <f t="shared" si="24"/>
        <v>PERCENTAGE</v>
      </c>
    </row>
    <row r="244" spans="1:16" x14ac:dyDescent="0.35">
      <c r="A244" s="32" t="str">
        <f t="shared" ref="A244:C259" si="27">A243</f>
        <v>2025 JAN-JUN DISC 75% LICENSE ESS</v>
      </c>
      <c r="B244" s="33">
        <f t="shared" si="27"/>
        <v>46121</v>
      </c>
      <c r="C244" s="33">
        <f t="shared" si="27"/>
        <v>46127</v>
      </c>
      <c r="D244" s="32">
        <v>3287</v>
      </c>
      <c r="E244" s="32">
        <v>338</v>
      </c>
      <c r="F244" s="32">
        <v>4</v>
      </c>
      <c r="G244" s="32">
        <v>2</v>
      </c>
      <c r="H244" s="32">
        <v>81676</v>
      </c>
      <c r="I244" s="32" t="s">
        <v>17</v>
      </c>
      <c r="J244" s="32">
        <v>53582328</v>
      </c>
      <c r="K244" s="32" t="s">
        <v>5607</v>
      </c>
      <c r="L244" s="38" t="s">
        <v>5626</v>
      </c>
      <c r="M244" s="34">
        <v>199900</v>
      </c>
      <c r="N244" s="20">
        <f t="shared" si="23"/>
        <v>0.75</v>
      </c>
      <c r="O244" s="83">
        <f t="shared" si="21"/>
        <v>49975</v>
      </c>
      <c r="P244" s="20" t="str">
        <f t="shared" si="24"/>
        <v>PERCENTAGE</v>
      </c>
    </row>
    <row r="245" spans="1:16" x14ac:dyDescent="0.35">
      <c r="A245" s="32" t="str">
        <f t="shared" si="27"/>
        <v>2025 JAN-JUN DISC 75% LICENSE ESS</v>
      </c>
      <c r="B245" s="33">
        <f t="shared" si="27"/>
        <v>46121</v>
      </c>
      <c r="C245" s="33">
        <f t="shared" si="27"/>
        <v>46127</v>
      </c>
      <c r="D245" s="32">
        <v>3287</v>
      </c>
      <c r="E245" s="32">
        <v>338</v>
      </c>
      <c r="F245" s="32">
        <v>4</v>
      </c>
      <c r="G245" s="32">
        <v>2</v>
      </c>
      <c r="H245" s="32">
        <v>81676</v>
      </c>
      <c r="I245" s="32" t="s">
        <v>17</v>
      </c>
      <c r="J245" s="32">
        <v>53582337</v>
      </c>
      <c r="K245" s="32" t="s">
        <v>5607</v>
      </c>
      <c r="L245" s="38" t="s">
        <v>5628</v>
      </c>
      <c r="M245" s="34">
        <v>199900</v>
      </c>
      <c r="N245" s="20">
        <f t="shared" si="23"/>
        <v>0.75</v>
      </c>
      <c r="O245" s="83">
        <f t="shared" si="21"/>
        <v>49975</v>
      </c>
      <c r="P245" s="20" t="str">
        <f t="shared" si="24"/>
        <v>PERCENTAGE</v>
      </c>
    </row>
    <row r="246" spans="1:16" x14ac:dyDescent="0.35">
      <c r="A246" s="32" t="str">
        <f t="shared" si="27"/>
        <v>2025 JAN-JUN DISC 75% LICENSE ESS</v>
      </c>
      <c r="B246" s="33">
        <f t="shared" si="27"/>
        <v>46121</v>
      </c>
      <c r="C246" s="33">
        <f t="shared" si="27"/>
        <v>46127</v>
      </c>
      <c r="D246" s="32">
        <v>3287</v>
      </c>
      <c r="E246" s="32">
        <v>338</v>
      </c>
      <c r="F246" s="32">
        <v>4</v>
      </c>
      <c r="G246" s="32">
        <v>2</v>
      </c>
      <c r="H246" s="32">
        <v>81676</v>
      </c>
      <c r="I246" s="32" t="s">
        <v>17</v>
      </c>
      <c r="J246" s="32">
        <v>53582346</v>
      </c>
      <c r="K246" s="32" t="s">
        <v>5607</v>
      </c>
      <c r="L246" s="38" t="s">
        <v>5627</v>
      </c>
      <c r="M246" s="34">
        <v>199900</v>
      </c>
      <c r="N246" s="20">
        <f t="shared" si="23"/>
        <v>0.75</v>
      </c>
      <c r="O246" s="83">
        <f t="shared" si="21"/>
        <v>49975</v>
      </c>
      <c r="P246" s="20" t="str">
        <f t="shared" si="24"/>
        <v>PERCENTAGE</v>
      </c>
    </row>
    <row r="247" spans="1:16" x14ac:dyDescent="0.35">
      <c r="A247" s="32" t="str">
        <f t="shared" si="27"/>
        <v>2025 JAN-JUN DISC 75% LICENSE ESS</v>
      </c>
      <c r="B247" s="33">
        <f t="shared" si="27"/>
        <v>46121</v>
      </c>
      <c r="C247" s="33">
        <f t="shared" si="27"/>
        <v>46127</v>
      </c>
      <c r="D247" s="32">
        <v>3287</v>
      </c>
      <c r="E247" s="32">
        <v>338</v>
      </c>
      <c r="F247" s="32">
        <v>4</v>
      </c>
      <c r="G247" s="32">
        <v>2</v>
      </c>
      <c r="H247" s="32">
        <v>81676</v>
      </c>
      <c r="I247" s="32" t="s">
        <v>17</v>
      </c>
      <c r="J247" s="32">
        <v>53582355</v>
      </c>
      <c r="K247" s="32" t="s">
        <v>5607</v>
      </c>
      <c r="L247" s="38" t="s">
        <v>5622</v>
      </c>
      <c r="M247" s="34">
        <v>199900</v>
      </c>
      <c r="N247" s="20">
        <f t="shared" si="23"/>
        <v>0.75</v>
      </c>
      <c r="O247" s="83">
        <f t="shared" si="21"/>
        <v>49975</v>
      </c>
      <c r="P247" s="20" t="str">
        <f t="shared" si="24"/>
        <v>PERCENTAGE</v>
      </c>
    </row>
    <row r="248" spans="1:16" x14ac:dyDescent="0.35">
      <c r="A248" s="32" t="str">
        <f t="shared" si="27"/>
        <v>2025 JAN-JUN DISC 75% LICENSE ESS</v>
      </c>
      <c r="B248" s="33">
        <f t="shared" si="27"/>
        <v>46121</v>
      </c>
      <c r="C248" s="33">
        <f t="shared" si="27"/>
        <v>46127</v>
      </c>
      <c r="D248" s="32">
        <v>3287</v>
      </c>
      <c r="E248" s="32">
        <v>338</v>
      </c>
      <c r="F248" s="32">
        <v>4</v>
      </c>
      <c r="G248" s="32">
        <v>2</v>
      </c>
      <c r="H248" s="32">
        <v>81676</v>
      </c>
      <c r="I248" s="32" t="s">
        <v>17</v>
      </c>
      <c r="J248" s="32">
        <v>53582364</v>
      </c>
      <c r="K248" s="32" t="s">
        <v>5607</v>
      </c>
      <c r="L248" s="38" t="s">
        <v>5623</v>
      </c>
      <c r="M248" s="34">
        <v>199900</v>
      </c>
      <c r="N248" s="20">
        <f t="shared" si="23"/>
        <v>0.75</v>
      </c>
      <c r="O248" s="83">
        <f t="shared" si="21"/>
        <v>49975</v>
      </c>
      <c r="P248" s="20" t="str">
        <f t="shared" si="24"/>
        <v>PERCENTAGE</v>
      </c>
    </row>
    <row r="249" spans="1:16" x14ac:dyDescent="0.35">
      <c r="A249" s="32" t="str">
        <f t="shared" si="27"/>
        <v>2025 JAN-JUN DISC 75% LICENSE ESS</v>
      </c>
      <c r="B249" s="33">
        <f t="shared" si="27"/>
        <v>46121</v>
      </c>
      <c r="C249" s="33">
        <f t="shared" si="27"/>
        <v>46127</v>
      </c>
      <c r="D249" s="32">
        <v>3287</v>
      </c>
      <c r="E249" s="32">
        <v>338</v>
      </c>
      <c r="F249" s="32">
        <v>4</v>
      </c>
      <c r="G249" s="32">
        <v>2</v>
      </c>
      <c r="H249" s="32">
        <v>81676</v>
      </c>
      <c r="I249" s="32" t="s">
        <v>17</v>
      </c>
      <c r="J249" s="32">
        <v>53582373</v>
      </c>
      <c r="K249" s="32" t="s">
        <v>5607</v>
      </c>
      <c r="L249" s="38" t="s">
        <v>5625</v>
      </c>
      <c r="M249" s="34">
        <v>199900</v>
      </c>
      <c r="N249" s="20">
        <f t="shared" si="23"/>
        <v>0.75</v>
      </c>
      <c r="O249" s="83">
        <f t="shared" si="21"/>
        <v>49975</v>
      </c>
      <c r="P249" s="20" t="str">
        <f t="shared" si="24"/>
        <v>PERCENTAGE</v>
      </c>
    </row>
    <row r="250" spans="1:16" x14ac:dyDescent="0.35">
      <c r="A250" s="32" t="str">
        <f t="shared" si="27"/>
        <v>2025 JAN-JUN DISC 75% LICENSE ESS</v>
      </c>
      <c r="B250" s="33">
        <f t="shared" si="27"/>
        <v>46121</v>
      </c>
      <c r="C250" s="33">
        <f t="shared" si="27"/>
        <v>46127</v>
      </c>
      <c r="D250" s="32">
        <v>3287</v>
      </c>
      <c r="E250" s="32">
        <v>338</v>
      </c>
      <c r="F250" s="32">
        <v>4</v>
      </c>
      <c r="G250" s="32">
        <v>7</v>
      </c>
      <c r="H250" s="32">
        <v>81827</v>
      </c>
      <c r="I250" s="32" t="s">
        <v>17</v>
      </c>
      <c r="J250" s="32">
        <v>52659515</v>
      </c>
      <c r="K250" s="32" t="s">
        <v>5645</v>
      </c>
      <c r="L250" s="38" t="s">
        <v>5646</v>
      </c>
      <c r="M250" s="34">
        <v>35900</v>
      </c>
      <c r="N250" s="20">
        <f t="shared" si="23"/>
        <v>0.75</v>
      </c>
      <c r="O250" s="83">
        <f t="shared" si="21"/>
        <v>8975</v>
      </c>
      <c r="P250" s="20" t="str">
        <f t="shared" si="24"/>
        <v>PERCENTAGE</v>
      </c>
    </row>
    <row r="251" spans="1:16" x14ac:dyDescent="0.35">
      <c r="A251" s="32" t="str">
        <f t="shared" si="27"/>
        <v>2025 JAN-JUN DISC 75% LICENSE ESS</v>
      </c>
      <c r="B251" s="33">
        <f t="shared" si="27"/>
        <v>46121</v>
      </c>
      <c r="C251" s="33">
        <f t="shared" si="27"/>
        <v>46127</v>
      </c>
      <c r="D251" s="32">
        <v>3287</v>
      </c>
      <c r="E251" s="32">
        <v>338</v>
      </c>
      <c r="F251" s="32">
        <v>4</v>
      </c>
      <c r="G251" s="32">
        <v>7</v>
      </c>
      <c r="H251" s="32">
        <v>81827</v>
      </c>
      <c r="I251" s="32" t="s">
        <v>17</v>
      </c>
      <c r="J251" s="32">
        <v>52659524</v>
      </c>
      <c r="K251" s="32" t="s">
        <v>5645</v>
      </c>
      <c r="L251" s="38" t="s">
        <v>5647</v>
      </c>
      <c r="M251" s="34">
        <v>35900</v>
      </c>
      <c r="N251" s="20">
        <f t="shared" si="23"/>
        <v>0.75</v>
      </c>
      <c r="O251" s="83">
        <f t="shared" si="21"/>
        <v>8975</v>
      </c>
      <c r="P251" s="20" t="str">
        <f t="shared" si="24"/>
        <v>PERCENTAGE</v>
      </c>
    </row>
    <row r="252" spans="1:16" x14ac:dyDescent="0.35">
      <c r="A252" s="32" t="str">
        <f t="shared" si="27"/>
        <v>2025 JAN-JUN DISC 75% LICENSE ESS</v>
      </c>
      <c r="B252" s="33">
        <f t="shared" si="27"/>
        <v>46121</v>
      </c>
      <c r="C252" s="33">
        <f t="shared" si="27"/>
        <v>46127</v>
      </c>
      <c r="D252" s="32">
        <v>3287</v>
      </c>
      <c r="E252" s="32">
        <v>338</v>
      </c>
      <c r="F252" s="32">
        <v>4</v>
      </c>
      <c r="G252" s="32">
        <v>10</v>
      </c>
      <c r="H252" s="32">
        <v>81827</v>
      </c>
      <c r="I252" s="32" t="s">
        <v>17</v>
      </c>
      <c r="J252" s="32">
        <v>52659579</v>
      </c>
      <c r="K252" s="32" t="s">
        <v>5648</v>
      </c>
      <c r="L252" s="38" t="s">
        <v>5649</v>
      </c>
      <c r="M252" s="34">
        <v>35900</v>
      </c>
      <c r="N252" s="20">
        <f t="shared" si="23"/>
        <v>0.75</v>
      </c>
      <c r="O252" s="83">
        <f t="shared" si="21"/>
        <v>8975</v>
      </c>
      <c r="P252" s="20" t="str">
        <f t="shared" si="24"/>
        <v>PERCENTAGE</v>
      </c>
    </row>
    <row r="253" spans="1:16" x14ac:dyDescent="0.35">
      <c r="A253" s="32" t="str">
        <f t="shared" si="27"/>
        <v>2025 JAN-JUN DISC 75% LICENSE ESS</v>
      </c>
      <c r="B253" s="33">
        <f t="shared" si="27"/>
        <v>46121</v>
      </c>
      <c r="C253" s="33">
        <f t="shared" si="27"/>
        <v>46127</v>
      </c>
      <c r="D253" s="32">
        <v>3287</v>
      </c>
      <c r="E253" s="32">
        <v>338</v>
      </c>
      <c r="F253" s="32">
        <v>4</v>
      </c>
      <c r="G253" s="32">
        <v>10</v>
      </c>
      <c r="H253" s="32">
        <v>81827</v>
      </c>
      <c r="I253" s="32" t="s">
        <v>17</v>
      </c>
      <c r="J253" s="32">
        <v>52659588</v>
      </c>
      <c r="K253" s="32" t="s">
        <v>5648</v>
      </c>
      <c r="L253" s="38" t="s">
        <v>5650</v>
      </c>
      <c r="M253" s="34">
        <v>35900</v>
      </c>
      <c r="N253" s="20">
        <f t="shared" si="23"/>
        <v>0.75</v>
      </c>
      <c r="O253" s="83">
        <f t="shared" si="21"/>
        <v>8975</v>
      </c>
      <c r="P253" s="20" t="str">
        <f t="shared" si="24"/>
        <v>PERCENTAGE</v>
      </c>
    </row>
    <row r="254" spans="1:16" x14ac:dyDescent="0.35">
      <c r="A254" s="32" t="str">
        <f t="shared" si="27"/>
        <v>2025 JAN-JUN DISC 75% LICENSE ESS</v>
      </c>
      <c r="B254" s="33">
        <f t="shared" si="27"/>
        <v>46121</v>
      </c>
      <c r="C254" s="33">
        <f t="shared" si="27"/>
        <v>46127</v>
      </c>
      <c r="D254" s="32">
        <v>3287</v>
      </c>
      <c r="E254" s="32">
        <v>338</v>
      </c>
      <c r="F254" s="32">
        <v>4</v>
      </c>
      <c r="G254" s="32">
        <v>7</v>
      </c>
      <c r="H254" s="32">
        <v>81827</v>
      </c>
      <c r="I254" s="32" t="s">
        <v>17</v>
      </c>
      <c r="J254" s="32">
        <v>53160819</v>
      </c>
      <c r="K254" s="32" t="s">
        <v>5639</v>
      </c>
      <c r="L254" s="38" t="s">
        <v>5640</v>
      </c>
      <c r="M254" s="34">
        <v>35900</v>
      </c>
      <c r="N254" s="20">
        <f t="shared" si="23"/>
        <v>0.75</v>
      </c>
      <c r="O254" s="83">
        <f t="shared" si="21"/>
        <v>8975</v>
      </c>
      <c r="P254" s="20" t="str">
        <f t="shared" si="24"/>
        <v>PERCENTAGE</v>
      </c>
    </row>
    <row r="255" spans="1:16" x14ac:dyDescent="0.35">
      <c r="A255" s="32" t="str">
        <f t="shared" si="27"/>
        <v>2025 JAN-JUN DISC 75% LICENSE ESS</v>
      </c>
      <c r="B255" s="33">
        <f t="shared" si="27"/>
        <v>46121</v>
      </c>
      <c r="C255" s="33">
        <f t="shared" si="27"/>
        <v>46127</v>
      </c>
      <c r="D255" s="32">
        <v>3287</v>
      </c>
      <c r="E255" s="32">
        <v>338</v>
      </c>
      <c r="F255" s="32">
        <v>4</v>
      </c>
      <c r="G255" s="32">
        <v>7</v>
      </c>
      <c r="H255" s="32">
        <v>81827</v>
      </c>
      <c r="I255" s="32" t="s">
        <v>17</v>
      </c>
      <c r="J255" s="32">
        <v>53160828</v>
      </c>
      <c r="K255" s="32" t="s">
        <v>5639</v>
      </c>
      <c r="L255" s="38" t="s">
        <v>5644</v>
      </c>
      <c r="M255" s="34">
        <v>35900</v>
      </c>
      <c r="N255" s="20">
        <f t="shared" si="23"/>
        <v>0.75</v>
      </c>
      <c r="O255" s="83">
        <f t="shared" si="21"/>
        <v>8975</v>
      </c>
      <c r="P255" s="20" t="str">
        <f t="shared" si="24"/>
        <v>PERCENTAGE</v>
      </c>
    </row>
    <row r="256" spans="1:16" x14ac:dyDescent="0.35">
      <c r="A256" s="32" t="str">
        <f t="shared" si="27"/>
        <v>2025 JAN-JUN DISC 75% LICENSE ESS</v>
      </c>
      <c r="B256" s="33">
        <f t="shared" si="27"/>
        <v>46121</v>
      </c>
      <c r="C256" s="33">
        <f t="shared" si="27"/>
        <v>46127</v>
      </c>
      <c r="D256" s="32">
        <v>3287</v>
      </c>
      <c r="E256" s="32">
        <v>338</v>
      </c>
      <c r="F256" s="32">
        <v>4</v>
      </c>
      <c r="G256" s="32">
        <v>7</v>
      </c>
      <c r="H256" s="32">
        <v>81827</v>
      </c>
      <c r="I256" s="32" t="s">
        <v>17</v>
      </c>
      <c r="J256" s="32">
        <v>53582266</v>
      </c>
      <c r="K256" s="32" t="s">
        <v>5641</v>
      </c>
      <c r="L256" s="38" t="s">
        <v>5642</v>
      </c>
      <c r="M256" s="34">
        <v>35900</v>
      </c>
      <c r="N256" s="20">
        <f t="shared" si="23"/>
        <v>0.75</v>
      </c>
      <c r="O256" s="83">
        <f t="shared" si="21"/>
        <v>8975</v>
      </c>
      <c r="P256" s="20" t="str">
        <f t="shared" si="24"/>
        <v>PERCENTAGE</v>
      </c>
    </row>
    <row r="257" spans="1:16" x14ac:dyDescent="0.35">
      <c r="A257" s="32" t="str">
        <f t="shared" si="27"/>
        <v>2025 JAN-JUN DISC 75% LICENSE ESS</v>
      </c>
      <c r="B257" s="33">
        <f t="shared" si="27"/>
        <v>46121</v>
      </c>
      <c r="C257" s="33">
        <f t="shared" si="27"/>
        <v>46127</v>
      </c>
      <c r="D257" s="32">
        <v>3287</v>
      </c>
      <c r="E257" s="32">
        <v>338</v>
      </c>
      <c r="F257" s="32">
        <v>4</v>
      </c>
      <c r="G257" s="32">
        <v>7</v>
      </c>
      <c r="H257" s="32">
        <v>81827</v>
      </c>
      <c r="I257" s="32" t="s">
        <v>17</v>
      </c>
      <c r="J257" s="32">
        <v>53582275</v>
      </c>
      <c r="K257" s="32" t="s">
        <v>5641</v>
      </c>
      <c r="L257" s="38" t="s">
        <v>5643</v>
      </c>
      <c r="M257" s="34">
        <v>35900</v>
      </c>
      <c r="N257" s="20">
        <f t="shared" si="23"/>
        <v>0.75</v>
      </c>
      <c r="O257" s="83">
        <f t="shared" si="21"/>
        <v>8975</v>
      </c>
      <c r="P257" s="20" t="str">
        <f t="shared" si="24"/>
        <v>PERCENTAGE</v>
      </c>
    </row>
    <row r="258" spans="1:16" x14ac:dyDescent="0.35">
      <c r="A258" s="32" t="str">
        <f t="shared" si="27"/>
        <v>2025 JAN-JUN DISC 75% LICENSE ESS</v>
      </c>
      <c r="B258" s="33">
        <f t="shared" si="27"/>
        <v>46121</v>
      </c>
      <c r="C258" s="33">
        <f t="shared" si="27"/>
        <v>46127</v>
      </c>
      <c r="D258" s="32">
        <v>3287</v>
      </c>
      <c r="E258" s="32">
        <v>338</v>
      </c>
      <c r="F258" s="32">
        <v>4</v>
      </c>
      <c r="G258" s="32">
        <v>7</v>
      </c>
      <c r="H258" s="32">
        <v>81827</v>
      </c>
      <c r="I258" s="32" t="s">
        <v>17</v>
      </c>
      <c r="J258" s="32">
        <v>53582284</v>
      </c>
      <c r="K258" s="32" t="s">
        <v>5653</v>
      </c>
      <c r="L258" s="38" t="s">
        <v>5654</v>
      </c>
      <c r="M258" s="34">
        <v>35900</v>
      </c>
      <c r="N258" s="20">
        <f t="shared" si="23"/>
        <v>0.75</v>
      </c>
      <c r="O258" s="83">
        <f t="shared" si="21"/>
        <v>8975</v>
      </c>
      <c r="P258" s="20" t="str">
        <f t="shared" si="24"/>
        <v>PERCENTAGE</v>
      </c>
    </row>
    <row r="259" spans="1:16" x14ac:dyDescent="0.35">
      <c r="A259" s="32" t="str">
        <f t="shared" si="27"/>
        <v>2025 JAN-JUN DISC 75% LICENSE ESS</v>
      </c>
      <c r="B259" s="33">
        <f t="shared" si="27"/>
        <v>46121</v>
      </c>
      <c r="C259" s="33">
        <f t="shared" si="27"/>
        <v>46127</v>
      </c>
      <c r="D259" s="32">
        <v>3287</v>
      </c>
      <c r="E259" s="32">
        <v>338</v>
      </c>
      <c r="F259" s="32">
        <v>4</v>
      </c>
      <c r="G259" s="32">
        <v>7</v>
      </c>
      <c r="H259" s="32">
        <v>81827</v>
      </c>
      <c r="I259" s="32" t="s">
        <v>17</v>
      </c>
      <c r="J259" s="32">
        <v>53582293</v>
      </c>
      <c r="K259" s="32" t="s">
        <v>5653</v>
      </c>
      <c r="L259" s="38" t="s">
        <v>5656</v>
      </c>
      <c r="M259" s="34">
        <v>35900</v>
      </c>
      <c r="N259" s="20">
        <f t="shared" si="23"/>
        <v>0.75</v>
      </c>
      <c r="O259" s="83">
        <f t="shared" ref="O259:O303" si="28">M259-((75*M259)/100)</f>
        <v>8975</v>
      </c>
      <c r="P259" s="20" t="str">
        <f t="shared" si="24"/>
        <v>PERCENTAGE</v>
      </c>
    </row>
    <row r="260" spans="1:16" x14ac:dyDescent="0.35">
      <c r="A260" s="32" t="str">
        <f t="shared" ref="A260:C275" si="29">A259</f>
        <v>2025 JAN-JUN DISC 75% LICENSE ESS</v>
      </c>
      <c r="B260" s="33">
        <f t="shared" si="29"/>
        <v>46121</v>
      </c>
      <c r="C260" s="33">
        <f t="shared" si="29"/>
        <v>46127</v>
      </c>
      <c r="D260" s="32">
        <v>3287</v>
      </c>
      <c r="E260" s="32">
        <v>338</v>
      </c>
      <c r="F260" s="32">
        <v>4</v>
      </c>
      <c r="G260" s="32">
        <v>10</v>
      </c>
      <c r="H260" s="32">
        <v>81533</v>
      </c>
      <c r="I260" s="32" t="s">
        <v>17</v>
      </c>
      <c r="J260" s="32">
        <v>54413428</v>
      </c>
      <c r="K260" s="32" t="s">
        <v>5660</v>
      </c>
      <c r="L260" s="38" t="s">
        <v>5661</v>
      </c>
      <c r="M260" s="34">
        <v>35900</v>
      </c>
      <c r="N260" s="20">
        <f t="shared" ref="N260:N303" si="30">N259</f>
        <v>0.75</v>
      </c>
      <c r="O260" s="83">
        <f t="shared" si="28"/>
        <v>8975</v>
      </c>
      <c r="P260" s="20" t="str">
        <f t="shared" ref="P260:P303" si="31">P259</f>
        <v>PERCENTAGE</v>
      </c>
    </row>
    <row r="261" spans="1:16" x14ac:dyDescent="0.35">
      <c r="A261" s="32" t="str">
        <f t="shared" si="29"/>
        <v>2025 JAN-JUN DISC 75% LICENSE ESS</v>
      </c>
      <c r="B261" s="33">
        <f t="shared" si="29"/>
        <v>46121</v>
      </c>
      <c r="C261" s="33">
        <f t="shared" si="29"/>
        <v>46127</v>
      </c>
      <c r="D261" s="32">
        <v>3287</v>
      </c>
      <c r="E261" s="32">
        <v>338</v>
      </c>
      <c r="F261" s="32">
        <v>4</v>
      </c>
      <c r="G261" s="32">
        <v>10</v>
      </c>
      <c r="H261" s="32">
        <v>81533</v>
      </c>
      <c r="I261" s="32" t="s">
        <v>17</v>
      </c>
      <c r="J261" s="32">
        <v>54413437</v>
      </c>
      <c r="K261" s="32" t="s">
        <v>5660</v>
      </c>
      <c r="L261" s="38" t="s">
        <v>5669</v>
      </c>
      <c r="M261" s="34">
        <v>35900</v>
      </c>
      <c r="N261" s="20">
        <f t="shared" si="30"/>
        <v>0.75</v>
      </c>
      <c r="O261" s="83">
        <f t="shared" si="28"/>
        <v>8975</v>
      </c>
      <c r="P261" s="20" t="str">
        <f t="shared" si="31"/>
        <v>PERCENTAGE</v>
      </c>
    </row>
    <row r="262" spans="1:16" x14ac:dyDescent="0.35">
      <c r="A262" s="32" t="str">
        <f t="shared" si="29"/>
        <v>2025 JAN-JUN DISC 75% LICENSE ESS</v>
      </c>
      <c r="B262" s="33">
        <f t="shared" si="29"/>
        <v>46121</v>
      </c>
      <c r="C262" s="33">
        <f t="shared" si="29"/>
        <v>46127</v>
      </c>
      <c r="D262" s="32">
        <v>3287</v>
      </c>
      <c r="E262" s="32">
        <v>338</v>
      </c>
      <c r="F262" s="32">
        <v>4</v>
      </c>
      <c r="G262" s="32">
        <v>10</v>
      </c>
      <c r="H262" s="32">
        <v>81533</v>
      </c>
      <c r="I262" s="32" t="s">
        <v>17</v>
      </c>
      <c r="J262" s="32">
        <v>54413446</v>
      </c>
      <c r="K262" s="32" t="s">
        <v>5666</v>
      </c>
      <c r="L262" s="38" t="s">
        <v>5667</v>
      </c>
      <c r="M262" s="34">
        <v>35900</v>
      </c>
      <c r="N262" s="20">
        <f t="shared" si="30"/>
        <v>0.75</v>
      </c>
      <c r="O262" s="83">
        <f t="shared" si="28"/>
        <v>8975</v>
      </c>
      <c r="P262" s="20" t="str">
        <f t="shared" si="31"/>
        <v>PERCENTAGE</v>
      </c>
    </row>
    <row r="263" spans="1:16" x14ac:dyDescent="0.35">
      <c r="A263" s="32" t="str">
        <f t="shared" si="29"/>
        <v>2025 JAN-JUN DISC 75% LICENSE ESS</v>
      </c>
      <c r="B263" s="33">
        <f t="shared" si="29"/>
        <v>46121</v>
      </c>
      <c r="C263" s="33">
        <f t="shared" si="29"/>
        <v>46127</v>
      </c>
      <c r="D263" s="32">
        <v>3287</v>
      </c>
      <c r="E263" s="32">
        <v>338</v>
      </c>
      <c r="F263" s="32">
        <v>4</v>
      </c>
      <c r="G263" s="32">
        <v>10</v>
      </c>
      <c r="H263" s="32">
        <v>81533</v>
      </c>
      <c r="I263" s="32" t="s">
        <v>17</v>
      </c>
      <c r="J263" s="32">
        <v>54413455</v>
      </c>
      <c r="K263" s="32" t="s">
        <v>5666</v>
      </c>
      <c r="L263" s="38" t="s">
        <v>5670</v>
      </c>
      <c r="M263" s="34">
        <v>35900</v>
      </c>
      <c r="N263" s="20">
        <f t="shared" si="30"/>
        <v>0.75</v>
      </c>
      <c r="O263" s="83">
        <f t="shared" si="28"/>
        <v>8975</v>
      </c>
      <c r="P263" s="20" t="str">
        <f t="shared" si="31"/>
        <v>PERCENTAGE</v>
      </c>
    </row>
    <row r="264" spans="1:16" x14ac:dyDescent="0.35">
      <c r="A264" s="32" t="str">
        <f t="shared" si="29"/>
        <v>2025 JAN-JUN DISC 75% LICENSE ESS</v>
      </c>
      <c r="B264" s="33">
        <f t="shared" si="29"/>
        <v>46121</v>
      </c>
      <c r="C264" s="33">
        <f t="shared" si="29"/>
        <v>46127</v>
      </c>
      <c r="D264" s="32">
        <v>3287</v>
      </c>
      <c r="E264" s="32">
        <v>338</v>
      </c>
      <c r="F264" s="32">
        <v>4</v>
      </c>
      <c r="G264" s="32">
        <v>10</v>
      </c>
      <c r="H264" s="32">
        <v>81533</v>
      </c>
      <c r="I264" s="32" t="s">
        <v>17</v>
      </c>
      <c r="J264" s="32">
        <v>54413464</v>
      </c>
      <c r="K264" s="32" t="s">
        <v>5662</v>
      </c>
      <c r="L264" s="38" t="s">
        <v>5671</v>
      </c>
      <c r="M264" s="34">
        <v>35900</v>
      </c>
      <c r="N264" s="20">
        <f t="shared" si="30"/>
        <v>0.75</v>
      </c>
      <c r="O264" s="83">
        <f t="shared" si="28"/>
        <v>8975</v>
      </c>
      <c r="P264" s="20" t="str">
        <f t="shared" si="31"/>
        <v>PERCENTAGE</v>
      </c>
    </row>
    <row r="265" spans="1:16" x14ac:dyDescent="0.35">
      <c r="A265" s="32" t="str">
        <f t="shared" si="29"/>
        <v>2025 JAN-JUN DISC 75% LICENSE ESS</v>
      </c>
      <c r="B265" s="33">
        <f t="shared" si="29"/>
        <v>46121</v>
      </c>
      <c r="C265" s="33">
        <f t="shared" si="29"/>
        <v>46127</v>
      </c>
      <c r="D265" s="32">
        <v>3287</v>
      </c>
      <c r="E265" s="32">
        <v>338</v>
      </c>
      <c r="F265" s="32">
        <v>4</v>
      </c>
      <c r="G265" s="32">
        <v>10</v>
      </c>
      <c r="H265" s="32">
        <v>81533</v>
      </c>
      <c r="I265" s="32" t="s">
        <v>17</v>
      </c>
      <c r="J265" s="32">
        <v>54413473</v>
      </c>
      <c r="K265" s="32" t="s">
        <v>5662</v>
      </c>
      <c r="L265" s="38" t="s">
        <v>5663</v>
      </c>
      <c r="M265" s="34">
        <v>35900</v>
      </c>
      <c r="N265" s="20">
        <f t="shared" si="30"/>
        <v>0.75</v>
      </c>
      <c r="O265" s="83">
        <f t="shared" si="28"/>
        <v>8975</v>
      </c>
      <c r="P265" s="20" t="str">
        <f t="shared" si="31"/>
        <v>PERCENTAGE</v>
      </c>
    </row>
    <row r="266" spans="1:16" x14ac:dyDescent="0.35">
      <c r="A266" s="32" t="str">
        <f t="shared" si="29"/>
        <v>2025 JAN-JUN DISC 75% LICENSE ESS</v>
      </c>
      <c r="B266" s="33">
        <f t="shared" si="29"/>
        <v>46121</v>
      </c>
      <c r="C266" s="33">
        <f t="shared" si="29"/>
        <v>46127</v>
      </c>
      <c r="D266" s="32">
        <v>3287</v>
      </c>
      <c r="E266" s="32">
        <v>338</v>
      </c>
      <c r="F266" s="32">
        <v>4</v>
      </c>
      <c r="G266" s="32">
        <v>10</v>
      </c>
      <c r="H266" s="32">
        <v>81533</v>
      </c>
      <c r="I266" s="32" t="s">
        <v>17</v>
      </c>
      <c r="J266" s="32">
        <v>54413482</v>
      </c>
      <c r="K266" s="32" t="s">
        <v>5664</v>
      </c>
      <c r="L266" s="38" t="s">
        <v>5665</v>
      </c>
      <c r="M266" s="34">
        <v>35900</v>
      </c>
      <c r="N266" s="20">
        <f t="shared" si="30"/>
        <v>0.75</v>
      </c>
      <c r="O266" s="83">
        <f t="shared" si="28"/>
        <v>8975</v>
      </c>
      <c r="P266" s="20" t="str">
        <f t="shared" si="31"/>
        <v>PERCENTAGE</v>
      </c>
    </row>
    <row r="267" spans="1:16" x14ac:dyDescent="0.35">
      <c r="A267" s="32" t="str">
        <f t="shared" si="29"/>
        <v>2025 JAN-JUN DISC 75% LICENSE ESS</v>
      </c>
      <c r="B267" s="33">
        <f t="shared" si="29"/>
        <v>46121</v>
      </c>
      <c r="C267" s="33">
        <f t="shared" si="29"/>
        <v>46127</v>
      </c>
      <c r="D267" s="32">
        <v>3287</v>
      </c>
      <c r="E267" s="32">
        <v>338</v>
      </c>
      <c r="F267" s="32">
        <v>4</v>
      </c>
      <c r="G267" s="32">
        <v>10</v>
      </c>
      <c r="H267" s="32">
        <v>81533</v>
      </c>
      <c r="I267" s="32" t="s">
        <v>17</v>
      </c>
      <c r="J267" s="32">
        <v>54413491</v>
      </c>
      <c r="K267" s="32" t="s">
        <v>5664</v>
      </c>
      <c r="L267" s="38" t="s">
        <v>5668</v>
      </c>
      <c r="M267" s="34">
        <v>35900</v>
      </c>
      <c r="N267" s="20">
        <f t="shared" si="30"/>
        <v>0.75</v>
      </c>
      <c r="O267" s="83">
        <f t="shared" si="28"/>
        <v>8975</v>
      </c>
      <c r="P267" s="20" t="str">
        <f t="shared" si="31"/>
        <v>PERCENTAGE</v>
      </c>
    </row>
    <row r="268" spans="1:16" x14ac:dyDescent="0.35">
      <c r="A268" s="32" t="str">
        <f t="shared" si="29"/>
        <v>2025 JAN-JUN DISC 75% LICENSE ESS</v>
      </c>
      <c r="B268" s="33">
        <f t="shared" si="29"/>
        <v>46121</v>
      </c>
      <c r="C268" s="33">
        <f t="shared" si="29"/>
        <v>46127</v>
      </c>
      <c r="D268" s="32">
        <v>3287</v>
      </c>
      <c r="E268" s="32">
        <v>338</v>
      </c>
      <c r="F268" s="32">
        <v>4</v>
      </c>
      <c r="G268" s="32">
        <v>1</v>
      </c>
      <c r="H268" s="32">
        <v>81462</v>
      </c>
      <c r="I268" s="32" t="s">
        <v>17</v>
      </c>
      <c r="J268" s="32">
        <v>54413544</v>
      </c>
      <c r="K268" s="32" t="s">
        <v>5750</v>
      </c>
      <c r="L268" s="38" t="s">
        <v>5752</v>
      </c>
      <c r="M268" s="34">
        <v>119900</v>
      </c>
      <c r="N268" s="20">
        <f t="shared" si="30"/>
        <v>0.75</v>
      </c>
      <c r="O268" s="83">
        <f t="shared" si="28"/>
        <v>29975</v>
      </c>
      <c r="P268" s="20" t="str">
        <f t="shared" si="31"/>
        <v>PERCENTAGE</v>
      </c>
    </row>
    <row r="269" spans="1:16" x14ac:dyDescent="0.35">
      <c r="A269" s="32" t="str">
        <f t="shared" si="29"/>
        <v>2025 JAN-JUN DISC 75% LICENSE ESS</v>
      </c>
      <c r="B269" s="33">
        <f t="shared" si="29"/>
        <v>46121</v>
      </c>
      <c r="C269" s="33">
        <f t="shared" si="29"/>
        <v>46127</v>
      </c>
      <c r="D269" s="32">
        <v>3287</v>
      </c>
      <c r="E269" s="32">
        <v>338</v>
      </c>
      <c r="F269" s="32">
        <v>4</v>
      </c>
      <c r="G269" s="32">
        <v>1</v>
      </c>
      <c r="H269" s="32">
        <v>81462</v>
      </c>
      <c r="I269" s="32" t="s">
        <v>17</v>
      </c>
      <c r="J269" s="32">
        <v>54413553</v>
      </c>
      <c r="K269" s="32" t="s">
        <v>5750</v>
      </c>
      <c r="L269" s="38" t="s">
        <v>5753</v>
      </c>
      <c r="M269" s="34">
        <v>119900</v>
      </c>
      <c r="N269" s="20">
        <f t="shared" si="30"/>
        <v>0.75</v>
      </c>
      <c r="O269" s="83">
        <f t="shared" si="28"/>
        <v>29975</v>
      </c>
      <c r="P269" s="20" t="str">
        <f t="shared" si="31"/>
        <v>PERCENTAGE</v>
      </c>
    </row>
    <row r="270" spans="1:16" x14ac:dyDescent="0.35">
      <c r="A270" s="32" t="str">
        <f t="shared" si="29"/>
        <v>2025 JAN-JUN DISC 75% LICENSE ESS</v>
      </c>
      <c r="B270" s="33">
        <f t="shared" si="29"/>
        <v>46121</v>
      </c>
      <c r="C270" s="33">
        <f t="shared" si="29"/>
        <v>46127</v>
      </c>
      <c r="D270" s="32">
        <v>3287</v>
      </c>
      <c r="E270" s="32">
        <v>338</v>
      </c>
      <c r="F270" s="32">
        <v>4</v>
      </c>
      <c r="G270" s="32">
        <v>1</v>
      </c>
      <c r="H270" s="32">
        <v>81462</v>
      </c>
      <c r="I270" s="32" t="s">
        <v>17</v>
      </c>
      <c r="J270" s="32">
        <v>54413562</v>
      </c>
      <c r="K270" s="32" t="s">
        <v>5750</v>
      </c>
      <c r="L270" s="38" t="s">
        <v>5751</v>
      </c>
      <c r="M270" s="34">
        <v>119900</v>
      </c>
      <c r="N270" s="20">
        <f t="shared" si="30"/>
        <v>0.75</v>
      </c>
      <c r="O270" s="83">
        <f t="shared" si="28"/>
        <v>29975</v>
      </c>
      <c r="P270" s="20" t="str">
        <f t="shared" si="31"/>
        <v>PERCENTAGE</v>
      </c>
    </row>
    <row r="271" spans="1:16" x14ac:dyDescent="0.35">
      <c r="A271" s="32" t="str">
        <f t="shared" si="29"/>
        <v>2025 JAN-JUN DISC 75% LICENSE ESS</v>
      </c>
      <c r="B271" s="33">
        <f t="shared" si="29"/>
        <v>46121</v>
      </c>
      <c r="C271" s="33">
        <f t="shared" si="29"/>
        <v>46127</v>
      </c>
      <c r="D271" s="32">
        <v>3287</v>
      </c>
      <c r="E271" s="32">
        <v>338</v>
      </c>
      <c r="F271" s="32">
        <v>4</v>
      </c>
      <c r="G271" s="32">
        <v>1</v>
      </c>
      <c r="H271" s="32">
        <v>81462</v>
      </c>
      <c r="I271" s="32" t="s">
        <v>17</v>
      </c>
      <c r="J271" s="32">
        <v>54413571</v>
      </c>
      <c r="K271" s="32" t="s">
        <v>5750</v>
      </c>
      <c r="L271" s="38" t="s">
        <v>5754</v>
      </c>
      <c r="M271" s="34">
        <v>119900</v>
      </c>
      <c r="N271" s="20">
        <f t="shared" si="30"/>
        <v>0.75</v>
      </c>
      <c r="O271" s="83">
        <f t="shared" si="28"/>
        <v>29975</v>
      </c>
      <c r="P271" s="20" t="str">
        <f t="shared" si="31"/>
        <v>PERCENTAGE</v>
      </c>
    </row>
    <row r="272" spans="1:16" x14ac:dyDescent="0.35">
      <c r="A272" s="32" t="str">
        <f t="shared" si="29"/>
        <v>2025 JAN-JUN DISC 75% LICENSE ESS</v>
      </c>
      <c r="B272" s="33">
        <f t="shared" si="29"/>
        <v>46121</v>
      </c>
      <c r="C272" s="33">
        <f t="shared" si="29"/>
        <v>46127</v>
      </c>
      <c r="D272" s="32">
        <v>3287</v>
      </c>
      <c r="E272" s="32">
        <v>338</v>
      </c>
      <c r="F272" s="32">
        <v>4</v>
      </c>
      <c r="G272" s="32">
        <v>7</v>
      </c>
      <c r="H272" s="32">
        <v>81827</v>
      </c>
      <c r="I272" s="32" t="s">
        <v>17</v>
      </c>
      <c r="J272" s="32">
        <v>54413580</v>
      </c>
      <c r="K272" s="32" t="s">
        <v>5657</v>
      </c>
      <c r="L272" s="38" t="s">
        <v>5659</v>
      </c>
      <c r="M272" s="34">
        <v>35900</v>
      </c>
      <c r="N272" s="20">
        <f t="shared" si="30"/>
        <v>0.75</v>
      </c>
      <c r="O272" s="83">
        <f t="shared" si="28"/>
        <v>8975</v>
      </c>
      <c r="P272" s="20" t="str">
        <f t="shared" si="31"/>
        <v>PERCENTAGE</v>
      </c>
    </row>
    <row r="273" spans="1:16" x14ac:dyDescent="0.35">
      <c r="A273" s="32" t="str">
        <f t="shared" si="29"/>
        <v>2025 JAN-JUN DISC 75% LICENSE ESS</v>
      </c>
      <c r="B273" s="33">
        <f t="shared" si="29"/>
        <v>46121</v>
      </c>
      <c r="C273" s="33">
        <f t="shared" si="29"/>
        <v>46127</v>
      </c>
      <c r="D273" s="32">
        <v>3287</v>
      </c>
      <c r="E273" s="32">
        <v>338</v>
      </c>
      <c r="F273" s="32">
        <v>4</v>
      </c>
      <c r="G273" s="32">
        <v>7</v>
      </c>
      <c r="H273" s="32">
        <v>81827</v>
      </c>
      <c r="I273" s="32" t="s">
        <v>17</v>
      </c>
      <c r="J273" s="32">
        <v>54413599</v>
      </c>
      <c r="K273" s="32" t="s">
        <v>5657</v>
      </c>
      <c r="L273" s="38" t="s">
        <v>5658</v>
      </c>
      <c r="M273" s="34">
        <v>35900</v>
      </c>
      <c r="N273" s="20">
        <f t="shared" si="30"/>
        <v>0.75</v>
      </c>
      <c r="O273" s="83">
        <f t="shared" si="28"/>
        <v>8975</v>
      </c>
      <c r="P273" s="20" t="str">
        <f t="shared" si="31"/>
        <v>PERCENTAGE</v>
      </c>
    </row>
    <row r="274" spans="1:16" x14ac:dyDescent="0.35">
      <c r="A274" s="32" t="str">
        <f t="shared" si="29"/>
        <v>2025 JAN-JUN DISC 75% LICENSE ESS</v>
      </c>
      <c r="B274" s="33">
        <f t="shared" si="29"/>
        <v>46121</v>
      </c>
      <c r="C274" s="33">
        <f t="shared" si="29"/>
        <v>46127</v>
      </c>
      <c r="D274" s="32">
        <v>3287</v>
      </c>
      <c r="E274" s="32">
        <v>338</v>
      </c>
      <c r="F274" s="32">
        <v>4</v>
      </c>
      <c r="G274" s="32">
        <v>7</v>
      </c>
      <c r="H274" s="32">
        <v>81827</v>
      </c>
      <c r="I274" s="32" t="s">
        <v>17</v>
      </c>
      <c r="J274" s="32">
        <v>54413606</v>
      </c>
      <c r="K274" s="32" t="s">
        <v>5651</v>
      </c>
      <c r="L274" s="38" t="s">
        <v>5652</v>
      </c>
      <c r="M274" s="34">
        <v>35900</v>
      </c>
      <c r="N274" s="20">
        <f t="shared" si="30"/>
        <v>0.75</v>
      </c>
      <c r="O274" s="83">
        <f t="shared" si="28"/>
        <v>8975</v>
      </c>
      <c r="P274" s="20" t="str">
        <f t="shared" si="31"/>
        <v>PERCENTAGE</v>
      </c>
    </row>
    <row r="275" spans="1:16" x14ac:dyDescent="0.35">
      <c r="A275" s="32" t="str">
        <f t="shared" si="29"/>
        <v>2025 JAN-JUN DISC 75% LICENSE ESS</v>
      </c>
      <c r="B275" s="33">
        <f t="shared" si="29"/>
        <v>46121</v>
      </c>
      <c r="C275" s="33">
        <f t="shared" si="29"/>
        <v>46127</v>
      </c>
      <c r="D275" s="32">
        <v>3287</v>
      </c>
      <c r="E275" s="32">
        <v>338</v>
      </c>
      <c r="F275" s="32">
        <v>4</v>
      </c>
      <c r="G275" s="32">
        <v>7</v>
      </c>
      <c r="H275" s="32">
        <v>81827</v>
      </c>
      <c r="I275" s="32" t="s">
        <v>17</v>
      </c>
      <c r="J275" s="32">
        <v>54413615</v>
      </c>
      <c r="K275" s="32" t="s">
        <v>5651</v>
      </c>
      <c r="L275" s="38" t="s">
        <v>5655</v>
      </c>
      <c r="M275" s="34">
        <v>35900</v>
      </c>
      <c r="N275" s="20">
        <f t="shared" si="30"/>
        <v>0.75</v>
      </c>
      <c r="O275" s="83">
        <f t="shared" si="28"/>
        <v>8975</v>
      </c>
      <c r="P275" s="20" t="str">
        <f t="shared" si="31"/>
        <v>PERCENTAGE</v>
      </c>
    </row>
    <row r="276" spans="1:16" x14ac:dyDescent="0.35">
      <c r="A276" s="32" t="str">
        <f t="shared" ref="A276:C291" si="32">A275</f>
        <v>2025 JAN-JUN DISC 75% LICENSE ESS</v>
      </c>
      <c r="B276" s="33">
        <f t="shared" si="32"/>
        <v>46121</v>
      </c>
      <c r="C276" s="33">
        <f t="shared" si="32"/>
        <v>46127</v>
      </c>
      <c r="D276" s="32">
        <v>3287</v>
      </c>
      <c r="E276" s="32">
        <v>338</v>
      </c>
      <c r="F276" s="32">
        <v>4</v>
      </c>
      <c r="G276" s="32">
        <v>9</v>
      </c>
      <c r="H276" s="32">
        <v>81462</v>
      </c>
      <c r="I276" s="32" t="s">
        <v>17</v>
      </c>
      <c r="J276" s="32">
        <v>54413624</v>
      </c>
      <c r="K276" s="32" t="s">
        <v>5773</v>
      </c>
      <c r="L276" s="38" t="s">
        <v>5780</v>
      </c>
      <c r="M276" s="34">
        <v>219900</v>
      </c>
      <c r="N276" s="20">
        <f t="shared" si="30"/>
        <v>0.75</v>
      </c>
      <c r="O276" s="83">
        <f t="shared" si="28"/>
        <v>54975</v>
      </c>
      <c r="P276" s="20" t="str">
        <f t="shared" si="31"/>
        <v>PERCENTAGE</v>
      </c>
    </row>
    <row r="277" spans="1:16" x14ac:dyDescent="0.35">
      <c r="A277" s="32" t="str">
        <f t="shared" si="32"/>
        <v>2025 JAN-JUN DISC 75% LICENSE ESS</v>
      </c>
      <c r="B277" s="33">
        <f t="shared" si="32"/>
        <v>46121</v>
      </c>
      <c r="C277" s="33">
        <f t="shared" si="32"/>
        <v>46127</v>
      </c>
      <c r="D277" s="32">
        <v>3287</v>
      </c>
      <c r="E277" s="32">
        <v>338</v>
      </c>
      <c r="F277" s="32">
        <v>4</v>
      </c>
      <c r="G277" s="32">
        <v>9</v>
      </c>
      <c r="H277" s="32">
        <v>81462</v>
      </c>
      <c r="I277" s="32" t="s">
        <v>17</v>
      </c>
      <c r="J277" s="32">
        <v>54413633</v>
      </c>
      <c r="K277" s="32" t="s">
        <v>5773</v>
      </c>
      <c r="L277" s="38" t="s">
        <v>5777</v>
      </c>
      <c r="M277" s="34">
        <v>219900</v>
      </c>
      <c r="N277" s="20">
        <f t="shared" si="30"/>
        <v>0.75</v>
      </c>
      <c r="O277" s="83">
        <f t="shared" si="28"/>
        <v>54975</v>
      </c>
      <c r="P277" s="20" t="str">
        <f t="shared" si="31"/>
        <v>PERCENTAGE</v>
      </c>
    </row>
    <row r="278" spans="1:16" x14ac:dyDescent="0.35">
      <c r="A278" s="32" t="str">
        <f t="shared" si="32"/>
        <v>2025 JAN-JUN DISC 75% LICENSE ESS</v>
      </c>
      <c r="B278" s="33">
        <f t="shared" si="32"/>
        <v>46121</v>
      </c>
      <c r="C278" s="33">
        <f t="shared" si="32"/>
        <v>46127</v>
      </c>
      <c r="D278" s="32">
        <v>3287</v>
      </c>
      <c r="E278" s="32">
        <v>338</v>
      </c>
      <c r="F278" s="32">
        <v>4</v>
      </c>
      <c r="G278" s="32">
        <v>9</v>
      </c>
      <c r="H278" s="32">
        <v>81462</v>
      </c>
      <c r="I278" s="32" t="s">
        <v>17</v>
      </c>
      <c r="J278" s="32">
        <v>54413642</v>
      </c>
      <c r="K278" s="32" t="s">
        <v>5773</v>
      </c>
      <c r="L278" s="38" t="s">
        <v>5775</v>
      </c>
      <c r="M278" s="34">
        <v>219900</v>
      </c>
      <c r="N278" s="20">
        <f t="shared" si="30"/>
        <v>0.75</v>
      </c>
      <c r="O278" s="83">
        <f t="shared" si="28"/>
        <v>54975</v>
      </c>
      <c r="P278" s="20" t="str">
        <f t="shared" si="31"/>
        <v>PERCENTAGE</v>
      </c>
    </row>
    <row r="279" spans="1:16" x14ac:dyDescent="0.35">
      <c r="A279" s="32" t="str">
        <f t="shared" si="32"/>
        <v>2025 JAN-JUN DISC 75% LICENSE ESS</v>
      </c>
      <c r="B279" s="33">
        <f t="shared" si="32"/>
        <v>46121</v>
      </c>
      <c r="C279" s="33">
        <f t="shared" si="32"/>
        <v>46127</v>
      </c>
      <c r="D279" s="32">
        <v>3287</v>
      </c>
      <c r="E279" s="32">
        <v>338</v>
      </c>
      <c r="F279" s="32">
        <v>4</v>
      </c>
      <c r="G279" s="32">
        <v>9</v>
      </c>
      <c r="H279" s="32">
        <v>81462</v>
      </c>
      <c r="I279" s="32" t="s">
        <v>17</v>
      </c>
      <c r="J279" s="32">
        <v>54413651</v>
      </c>
      <c r="K279" s="32" t="s">
        <v>5773</v>
      </c>
      <c r="L279" s="38" t="s">
        <v>5776</v>
      </c>
      <c r="M279" s="34">
        <v>219900</v>
      </c>
      <c r="N279" s="20">
        <f t="shared" si="30"/>
        <v>0.75</v>
      </c>
      <c r="O279" s="83">
        <f t="shared" si="28"/>
        <v>54975</v>
      </c>
      <c r="P279" s="20" t="str">
        <f t="shared" si="31"/>
        <v>PERCENTAGE</v>
      </c>
    </row>
    <row r="280" spans="1:16" x14ac:dyDescent="0.35">
      <c r="A280" s="32" t="str">
        <f t="shared" si="32"/>
        <v>2025 JAN-JUN DISC 75% LICENSE ESS</v>
      </c>
      <c r="B280" s="33">
        <f t="shared" si="32"/>
        <v>46121</v>
      </c>
      <c r="C280" s="33">
        <f t="shared" si="32"/>
        <v>46127</v>
      </c>
      <c r="D280" s="32">
        <v>3287</v>
      </c>
      <c r="E280" s="32">
        <v>338</v>
      </c>
      <c r="F280" s="32">
        <v>4</v>
      </c>
      <c r="G280" s="32">
        <v>9</v>
      </c>
      <c r="H280" s="32">
        <v>81462</v>
      </c>
      <c r="I280" s="32" t="s">
        <v>17</v>
      </c>
      <c r="J280" s="32">
        <v>54413660</v>
      </c>
      <c r="K280" s="32" t="s">
        <v>5773</v>
      </c>
      <c r="L280" s="38" t="s">
        <v>5778</v>
      </c>
      <c r="M280" s="34">
        <v>219900</v>
      </c>
      <c r="N280" s="20">
        <f t="shared" si="30"/>
        <v>0.75</v>
      </c>
      <c r="O280" s="83">
        <f t="shared" si="28"/>
        <v>54975</v>
      </c>
      <c r="P280" s="20" t="str">
        <f t="shared" si="31"/>
        <v>PERCENTAGE</v>
      </c>
    </row>
    <row r="281" spans="1:16" x14ac:dyDescent="0.35">
      <c r="A281" s="32" t="str">
        <f t="shared" si="32"/>
        <v>2025 JAN-JUN DISC 75% LICENSE ESS</v>
      </c>
      <c r="B281" s="33">
        <f t="shared" si="32"/>
        <v>46121</v>
      </c>
      <c r="C281" s="33">
        <f t="shared" si="32"/>
        <v>46127</v>
      </c>
      <c r="D281" s="32">
        <v>3287</v>
      </c>
      <c r="E281" s="32">
        <v>338</v>
      </c>
      <c r="F281" s="32">
        <v>4</v>
      </c>
      <c r="G281" s="32">
        <v>9</v>
      </c>
      <c r="H281" s="32">
        <v>81462</v>
      </c>
      <c r="I281" s="32" t="s">
        <v>17</v>
      </c>
      <c r="J281" s="32">
        <v>54413679</v>
      </c>
      <c r="K281" s="32" t="s">
        <v>5773</v>
      </c>
      <c r="L281" s="38" t="s">
        <v>5774</v>
      </c>
      <c r="M281" s="34">
        <v>219900</v>
      </c>
      <c r="N281" s="20">
        <f t="shared" si="30"/>
        <v>0.75</v>
      </c>
      <c r="O281" s="83">
        <f t="shared" si="28"/>
        <v>54975</v>
      </c>
      <c r="P281" s="20" t="str">
        <f t="shared" si="31"/>
        <v>PERCENTAGE</v>
      </c>
    </row>
    <row r="282" spans="1:16" x14ac:dyDescent="0.35">
      <c r="A282" s="32" t="str">
        <f t="shared" si="32"/>
        <v>2025 JAN-JUN DISC 75% LICENSE ESS</v>
      </c>
      <c r="B282" s="33">
        <f t="shared" si="32"/>
        <v>46121</v>
      </c>
      <c r="C282" s="33">
        <f t="shared" si="32"/>
        <v>46127</v>
      </c>
      <c r="D282" s="32">
        <v>3287</v>
      </c>
      <c r="E282" s="32">
        <v>338</v>
      </c>
      <c r="F282" s="32">
        <v>4</v>
      </c>
      <c r="G282" s="32">
        <v>9</v>
      </c>
      <c r="H282" s="32">
        <v>81462</v>
      </c>
      <c r="I282" s="32" t="s">
        <v>17</v>
      </c>
      <c r="J282" s="32">
        <v>54413688</v>
      </c>
      <c r="K282" s="32" t="s">
        <v>5773</v>
      </c>
      <c r="L282" s="38" t="s">
        <v>5781</v>
      </c>
      <c r="M282" s="34">
        <v>219900</v>
      </c>
      <c r="N282" s="20">
        <f t="shared" si="30"/>
        <v>0.75</v>
      </c>
      <c r="O282" s="83">
        <f t="shared" si="28"/>
        <v>54975</v>
      </c>
      <c r="P282" s="20" t="str">
        <f t="shared" si="31"/>
        <v>PERCENTAGE</v>
      </c>
    </row>
    <row r="283" spans="1:16" x14ac:dyDescent="0.35">
      <c r="A283" s="32" t="str">
        <f t="shared" si="32"/>
        <v>2025 JAN-JUN DISC 75% LICENSE ESS</v>
      </c>
      <c r="B283" s="33">
        <f t="shared" si="32"/>
        <v>46121</v>
      </c>
      <c r="C283" s="33">
        <f t="shared" si="32"/>
        <v>46127</v>
      </c>
      <c r="D283" s="32">
        <v>3287</v>
      </c>
      <c r="E283" s="32">
        <v>338</v>
      </c>
      <c r="F283" s="32">
        <v>4</v>
      </c>
      <c r="G283" s="32">
        <v>9</v>
      </c>
      <c r="H283" s="32">
        <v>81462</v>
      </c>
      <c r="I283" s="32" t="s">
        <v>17</v>
      </c>
      <c r="J283" s="32">
        <v>54413697</v>
      </c>
      <c r="K283" s="32" t="s">
        <v>5773</v>
      </c>
      <c r="L283" s="38" t="s">
        <v>5779</v>
      </c>
      <c r="M283" s="34">
        <v>219900</v>
      </c>
      <c r="N283" s="20">
        <f t="shared" si="30"/>
        <v>0.75</v>
      </c>
      <c r="O283" s="83">
        <f t="shared" si="28"/>
        <v>54975</v>
      </c>
      <c r="P283" s="20" t="str">
        <f t="shared" si="31"/>
        <v>PERCENTAGE</v>
      </c>
    </row>
    <row r="284" spans="1:16" x14ac:dyDescent="0.35">
      <c r="A284" s="32" t="str">
        <f t="shared" si="32"/>
        <v>2025 JAN-JUN DISC 75% LICENSE ESS</v>
      </c>
      <c r="B284" s="33">
        <f t="shared" si="32"/>
        <v>46121</v>
      </c>
      <c r="C284" s="33">
        <f t="shared" si="32"/>
        <v>46127</v>
      </c>
      <c r="D284" s="32">
        <v>3287</v>
      </c>
      <c r="E284" s="32">
        <v>338</v>
      </c>
      <c r="F284" s="32">
        <v>4</v>
      </c>
      <c r="G284" s="32">
        <v>9</v>
      </c>
      <c r="H284" s="32">
        <v>81462</v>
      </c>
      <c r="I284" s="32" t="s">
        <v>17</v>
      </c>
      <c r="J284" s="32">
        <v>54505114</v>
      </c>
      <c r="K284" s="32" t="s">
        <v>5764</v>
      </c>
      <c r="L284" s="38" t="s">
        <v>5767</v>
      </c>
      <c r="M284" s="34">
        <v>219900</v>
      </c>
      <c r="N284" s="20">
        <f t="shared" si="30"/>
        <v>0.75</v>
      </c>
      <c r="O284" s="83">
        <f t="shared" si="28"/>
        <v>54975</v>
      </c>
      <c r="P284" s="20" t="str">
        <f t="shared" si="31"/>
        <v>PERCENTAGE</v>
      </c>
    </row>
    <row r="285" spans="1:16" x14ac:dyDescent="0.35">
      <c r="A285" s="32" t="str">
        <f t="shared" si="32"/>
        <v>2025 JAN-JUN DISC 75% LICENSE ESS</v>
      </c>
      <c r="B285" s="33">
        <f t="shared" si="32"/>
        <v>46121</v>
      </c>
      <c r="C285" s="33">
        <f t="shared" si="32"/>
        <v>46127</v>
      </c>
      <c r="D285" s="32">
        <v>3287</v>
      </c>
      <c r="E285" s="32">
        <v>338</v>
      </c>
      <c r="F285" s="32">
        <v>4</v>
      </c>
      <c r="G285" s="32">
        <v>9</v>
      </c>
      <c r="H285" s="32">
        <v>81462</v>
      </c>
      <c r="I285" s="32" t="s">
        <v>17</v>
      </c>
      <c r="J285" s="32">
        <v>54505123</v>
      </c>
      <c r="K285" s="32" t="s">
        <v>5764</v>
      </c>
      <c r="L285" s="38" t="s">
        <v>5765</v>
      </c>
      <c r="M285" s="34">
        <v>219900</v>
      </c>
      <c r="N285" s="20">
        <f t="shared" si="30"/>
        <v>0.75</v>
      </c>
      <c r="O285" s="83">
        <f t="shared" si="28"/>
        <v>54975</v>
      </c>
      <c r="P285" s="20" t="str">
        <f t="shared" si="31"/>
        <v>PERCENTAGE</v>
      </c>
    </row>
    <row r="286" spans="1:16" x14ac:dyDescent="0.35">
      <c r="A286" s="32" t="str">
        <f t="shared" si="32"/>
        <v>2025 JAN-JUN DISC 75% LICENSE ESS</v>
      </c>
      <c r="B286" s="33">
        <f t="shared" si="32"/>
        <v>46121</v>
      </c>
      <c r="C286" s="33">
        <f t="shared" si="32"/>
        <v>46127</v>
      </c>
      <c r="D286" s="32">
        <v>3287</v>
      </c>
      <c r="E286" s="32">
        <v>338</v>
      </c>
      <c r="F286" s="32">
        <v>4</v>
      </c>
      <c r="G286" s="32">
        <v>9</v>
      </c>
      <c r="H286" s="32">
        <v>81462</v>
      </c>
      <c r="I286" s="32" t="s">
        <v>17</v>
      </c>
      <c r="J286" s="32">
        <v>54505132</v>
      </c>
      <c r="K286" s="32" t="s">
        <v>5764</v>
      </c>
      <c r="L286" s="38" t="s">
        <v>5768</v>
      </c>
      <c r="M286" s="34">
        <v>219900</v>
      </c>
      <c r="N286" s="20">
        <f t="shared" si="30"/>
        <v>0.75</v>
      </c>
      <c r="O286" s="83">
        <f t="shared" si="28"/>
        <v>54975</v>
      </c>
      <c r="P286" s="20" t="str">
        <f t="shared" si="31"/>
        <v>PERCENTAGE</v>
      </c>
    </row>
    <row r="287" spans="1:16" x14ac:dyDescent="0.35">
      <c r="A287" s="32" t="str">
        <f t="shared" si="32"/>
        <v>2025 JAN-JUN DISC 75% LICENSE ESS</v>
      </c>
      <c r="B287" s="33">
        <f t="shared" si="32"/>
        <v>46121</v>
      </c>
      <c r="C287" s="33">
        <f t="shared" si="32"/>
        <v>46127</v>
      </c>
      <c r="D287" s="32">
        <v>3287</v>
      </c>
      <c r="E287" s="32">
        <v>338</v>
      </c>
      <c r="F287" s="32">
        <v>4</v>
      </c>
      <c r="G287" s="32">
        <v>9</v>
      </c>
      <c r="H287" s="32">
        <v>81462</v>
      </c>
      <c r="I287" s="32" t="s">
        <v>17</v>
      </c>
      <c r="J287" s="32">
        <v>54505141</v>
      </c>
      <c r="K287" s="32" t="s">
        <v>5764</v>
      </c>
      <c r="L287" s="38" t="s">
        <v>5766</v>
      </c>
      <c r="M287" s="34">
        <v>219900</v>
      </c>
      <c r="N287" s="20">
        <f t="shared" si="30"/>
        <v>0.75</v>
      </c>
      <c r="O287" s="83">
        <f t="shared" si="28"/>
        <v>54975</v>
      </c>
      <c r="P287" s="20" t="str">
        <f t="shared" si="31"/>
        <v>PERCENTAGE</v>
      </c>
    </row>
    <row r="288" spans="1:16" x14ac:dyDescent="0.35">
      <c r="A288" s="32" t="str">
        <f t="shared" si="32"/>
        <v>2025 JAN-JUN DISC 75% LICENSE ESS</v>
      </c>
      <c r="B288" s="33">
        <f t="shared" si="32"/>
        <v>46121</v>
      </c>
      <c r="C288" s="33">
        <f t="shared" si="32"/>
        <v>46127</v>
      </c>
      <c r="D288" s="32">
        <v>3287</v>
      </c>
      <c r="E288" s="32">
        <v>338</v>
      </c>
      <c r="F288" s="32">
        <v>4</v>
      </c>
      <c r="G288" s="32">
        <v>9</v>
      </c>
      <c r="H288" s="32">
        <v>81462</v>
      </c>
      <c r="I288" s="32" t="s">
        <v>17</v>
      </c>
      <c r="J288" s="32">
        <v>54505150</v>
      </c>
      <c r="K288" s="32" t="s">
        <v>5764</v>
      </c>
      <c r="L288" s="38" t="s">
        <v>5772</v>
      </c>
      <c r="M288" s="34">
        <v>219900</v>
      </c>
      <c r="N288" s="20">
        <f t="shared" si="30"/>
        <v>0.75</v>
      </c>
      <c r="O288" s="83">
        <f t="shared" si="28"/>
        <v>54975</v>
      </c>
      <c r="P288" s="20" t="str">
        <f t="shared" si="31"/>
        <v>PERCENTAGE</v>
      </c>
    </row>
    <row r="289" spans="1:16" x14ac:dyDescent="0.35">
      <c r="A289" s="32" t="str">
        <f t="shared" si="32"/>
        <v>2025 JAN-JUN DISC 75% LICENSE ESS</v>
      </c>
      <c r="B289" s="33">
        <f t="shared" si="32"/>
        <v>46121</v>
      </c>
      <c r="C289" s="33">
        <f t="shared" si="32"/>
        <v>46127</v>
      </c>
      <c r="D289" s="32">
        <v>3287</v>
      </c>
      <c r="E289" s="32">
        <v>338</v>
      </c>
      <c r="F289" s="32">
        <v>4</v>
      </c>
      <c r="G289" s="32">
        <v>9</v>
      </c>
      <c r="H289" s="32">
        <v>81462</v>
      </c>
      <c r="I289" s="32" t="s">
        <v>17</v>
      </c>
      <c r="J289" s="32">
        <v>54505169</v>
      </c>
      <c r="K289" s="32" t="s">
        <v>5764</v>
      </c>
      <c r="L289" s="38" t="s">
        <v>5769</v>
      </c>
      <c r="M289" s="34">
        <v>219900</v>
      </c>
      <c r="N289" s="20">
        <f t="shared" si="30"/>
        <v>0.75</v>
      </c>
      <c r="O289" s="83">
        <f t="shared" si="28"/>
        <v>54975</v>
      </c>
      <c r="P289" s="20" t="str">
        <f t="shared" si="31"/>
        <v>PERCENTAGE</v>
      </c>
    </row>
    <row r="290" spans="1:16" x14ac:dyDescent="0.35">
      <c r="A290" s="32" t="str">
        <f t="shared" si="32"/>
        <v>2025 JAN-JUN DISC 75% LICENSE ESS</v>
      </c>
      <c r="B290" s="33">
        <f t="shared" si="32"/>
        <v>46121</v>
      </c>
      <c r="C290" s="33">
        <f t="shared" si="32"/>
        <v>46127</v>
      </c>
      <c r="D290" s="32">
        <v>3287</v>
      </c>
      <c r="E290" s="32">
        <v>338</v>
      </c>
      <c r="F290" s="32">
        <v>4</v>
      </c>
      <c r="G290" s="32">
        <v>9</v>
      </c>
      <c r="H290" s="32">
        <v>81462</v>
      </c>
      <c r="I290" s="32" t="s">
        <v>17</v>
      </c>
      <c r="J290" s="32">
        <v>54505178</v>
      </c>
      <c r="K290" s="32" t="s">
        <v>5764</v>
      </c>
      <c r="L290" s="38" t="s">
        <v>5771</v>
      </c>
      <c r="M290" s="34">
        <v>219900</v>
      </c>
      <c r="N290" s="20">
        <f t="shared" si="30"/>
        <v>0.75</v>
      </c>
      <c r="O290" s="83">
        <f t="shared" si="28"/>
        <v>54975</v>
      </c>
      <c r="P290" s="20" t="str">
        <f t="shared" si="31"/>
        <v>PERCENTAGE</v>
      </c>
    </row>
    <row r="291" spans="1:16" x14ac:dyDescent="0.35">
      <c r="A291" s="32" t="str">
        <f t="shared" si="32"/>
        <v>2025 JAN-JUN DISC 75% LICENSE ESS</v>
      </c>
      <c r="B291" s="33">
        <f t="shared" si="32"/>
        <v>46121</v>
      </c>
      <c r="C291" s="33">
        <f t="shared" si="32"/>
        <v>46127</v>
      </c>
      <c r="D291" s="32">
        <v>3287</v>
      </c>
      <c r="E291" s="32">
        <v>338</v>
      </c>
      <c r="F291" s="32">
        <v>4</v>
      </c>
      <c r="G291" s="32">
        <v>9</v>
      </c>
      <c r="H291" s="32">
        <v>81462</v>
      </c>
      <c r="I291" s="32" t="s">
        <v>17</v>
      </c>
      <c r="J291" s="32">
        <v>54505187</v>
      </c>
      <c r="K291" s="32" t="s">
        <v>5764</v>
      </c>
      <c r="L291" s="38" t="s">
        <v>5770</v>
      </c>
      <c r="M291" s="34">
        <v>219900</v>
      </c>
      <c r="N291" s="20">
        <f t="shared" si="30"/>
        <v>0.75</v>
      </c>
      <c r="O291" s="83">
        <f t="shared" si="28"/>
        <v>54975</v>
      </c>
      <c r="P291" s="20" t="str">
        <f t="shared" si="31"/>
        <v>PERCENTAGE</v>
      </c>
    </row>
    <row r="292" spans="1:16" x14ac:dyDescent="0.35">
      <c r="A292" s="32" t="str">
        <f t="shared" ref="A292:C303" si="33">A291</f>
        <v>2025 JAN-JUN DISC 75% LICENSE ESS</v>
      </c>
      <c r="B292" s="33">
        <f t="shared" si="33"/>
        <v>46121</v>
      </c>
      <c r="C292" s="33">
        <f t="shared" si="33"/>
        <v>46127</v>
      </c>
      <c r="D292" s="32">
        <v>3287</v>
      </c>
      <c r="E292" s="32">
        <v>338</v>
      </c>
      <c r="F292" s="32">
        <v>4</v>
      </c>
      <c r="G292" s="32">
        <v>4</v>
      </c>
      <c r="H292" s="32">
        <v>81676</v>
      </c>
      <c r="I292" s="32" t="s">
        <v>17</v>
      </c>
      <c r="J292" s="32">
        <v>54509165</v>
      </c>
      <c r="K292" s="32" t="s">
        <v>5755</v>
      </c>
      <c r="L292" s="38" t="s">
        <v>5762</v>
      </c>
      <c r="M292" s="34">
        <v>219900</v>
      </c>
      <c r="N292" s="20">
        <f t="shared" si="30"/>
        <v>0.75</v>
      </c>
      <c r="O292" s="83">
        <f t="shared" si="28"/>
        <v>54975</v>
      </c>
      <c r="P292" s="20" t="str">
        <f t="shared" si="31"/>
        <v>PERCENTAGE</v>
      </c>
    </row>
    <row r="293" spans="1:16" x14ac:dyDescent="0.35">
      <c r="A293" s="32" t="str">
        <f t="shared" si="33"/>
        <v>2025 JAN-JUN DISC 75% LICENSE ESS</v>
      </c>
      <c r="B293" s="33">
        <f t="shared" si="33"/>
        <v>46121</v>
      </c>
      <c r="C293" s="33">
        <f t="shared" si="33"/>
        <v>46127</v>
      </c>
      <c r="D293" s="32">
        <v>3287</v>
      </c>
      <c r="E293" s="32">
        <v>338</v>
      </c>
      <c r="F293" s="32">
        <v>4</v>
      </c>
      <c r="G293" s="32">
        <v>4</v>
      </c>
      <c r="H293" s="32">
        <v>81676</v>
      </c>
      <c r="I293" s="32" t="s">
        <v>17</v>
      </c>
      <c r="J293" s="32">
        <v>54509174</v>
      </c>
      <c r="K293" s="32" t="s">
        <v>5755</v>
      </c>
      <c r="L293" s="38" t="s">
        <v>5763</v>
      </c>
      <c r="M293" s="34">
        <v>219900</v>
      </c>
      <c r="N293" s="20">
        <f t="shared" si="30"/>
        <v>0.75</v>
      </c>
      <c r="O293" s="83">
        <f t="shared" si="28"/>
        <v>54975</v>
      </c>
      <c r="P293" s="20" t="str">
        <f t="shared" si="31"/>
        <v>PERCENTAGE</v>
      </c>
    </row>
    <row r="294" spans="1:16" x14ac:dyDescent="0.35">
      <c r="A294" s="32" t="str">
        <f t="shared" si="33"/>
        <v>2025 JAN-JUN DISC 75% LICENSE ESS</v>
      </c>
      <c r="B294" s="33">
        <f t="shared" si="33"/>
        <v>46121</v>
      </c>
      <c r="C294" s="33">
        <f t="shared" si="33"/>
        <v>46127</v>
      </c>
      <c r="D294" s="32">
        <v>3287</v>
      </c>
      <c r="E294" s="32">
        <v>338</v>
      </c>
      <c r="F294" s="32">
        <v>4</v>
      </c>
      <c r="G294" s="32">
        <v>4</v>
      </c>
      <c r="H294" s="32">
        <v>81676</v>
      </c>
      <c r="I294" s="32" t="s">
        <v>17</v>
      </c>
      <c r="J294" s="32">
        <v>54509183</v>
      </c>
      <c r="K294" s="32" t="s">
        <v>5755</v>
      </c>
      <c r="L294" s="38" t="s">
        <v>5757</v>
      </c>
      <c r="M294" s="34">
        <v>219900</v>
      </c>
      <c r="N294" s="20">
        <f t="shared" si="30"/>
        <v>0.75</v>
      </c>
      <c r="O294" s="83">
        <f t="shared" si="28"/>
        <v>54975</v>
      </c>
      <c r="P294" s="20" t="str">
        <f t="shared" si="31"/>
        <v>PERCENTAGE</v>
      </c>
    </row>
    <row r="295" spans="1:16" x14ac:dyDescent="0.35">
      <c r="A295" s="32" t="str">
        <f t="shared" si="33"/>
        <v>2025 JAN-JUN DISC 75% LICENSE ESS</v>
      </c>
      <c r="B295" s="33">
        <f t="shared" si="33"/>
        <v>46121</v>
      </c>
      <c r="C295" s="33">
        <f t="shared" si="33"/>
        <v>46127</v>
      </c>
      <c r="D295" s="32">
        <v>3287</v>
      </c>
      <c r="E295" s="32">
        <v>338</v>
      </c>
      <c r="F295" s="32">
        <v>4</v>
      </c>
      <c r="G295" s="32">
        <v>4</v>
      </c>
      <c r="H295" s="32">
        <v>81676</v>
      </c>
      <c r="I295" s="32" t="s">
        <v>17</v>
      </c>
      <c r="J295" s="32">
        <v>54509192</v>
      </c>
      <c r="K295" s="32" t="s">
        <v>5755</v>
      </c>
      <c r="L295" s="38" t="s">
        <v>5759</v>
      </c>
      <c r="M295" s="34">
        <v>219900</v>
      </c>
      <c r="N295" s="20">
        <f t="shared" si="30"/>
        <v>0.75</v>
      </c>
      <c r="O295" s="83">
        <f t="shared" si="28"/>
        <v>54975</v>
      </c>
      <c r="P295" s="20" t="str">
        <f t="shared" si="31"/>
        <v>PERCENTAGE</v>
      </c>
    </row>
    <row r="296" spans="1:16" x14ac:dyDescent="0.35">
      <c r="A296" s="32" t="str">
        <f t="shared" si="33"/>
        <v>2025 JAN-JUN DISC 75% LICENSE ESS</v>
      </c>
      <c r="B296" s="33">
        <f t="shared" si="33"/>
        <v>46121</v>
      </c>
      <c r="C296" s="33">
        <f t="shared" si="33"/>
        <v>46127</v>
      </c>
      <c r="D296" s="32">
        <v>3287</v>
      </c>
      <c r="E296" s="32">
        <v>338</v>
      </c>
      <c r="F296" s="32">
        <v>4</v>
      </c>
      <c r="G296" s="32">
        <v>4</v>
      </c>
      <c r="H296" s="32">
        <v>81676</v>
      </c>
      <c r="I296" s="32" t="s">
        <v>17</v>
      </c>
      <c r="J296" s="32">
        <v>54509209</v>
      </c>
      <c r="K296" s="32" t="s">
        <v>5755</v>
      </c>
      <c r="L296" s="38" t="s">
        <v>5756</v>
      </c>
      <c r="M296" s="34">
        <v>219900</v>
      </c>
      <c r="N296" s="20">
        <f t="shared" si="30"/>
        <v>0.75</v>
      </c>
      <c r="O296" s="83">
        <f t="shared" si="28"/>
        <v>54975</v>
      </c>
      <c r="P296" s="20" t="str">
        <f t="shared" si="31"/>
        <v>PERCENTAGE</v>
      </c>
    </row>
    <row r="297" spans="1:16" x14ac:dyDescent="0.35">
      <c r="A297" s="32" t="str">
        <f t="shared" si="33"/>
        <v>2025 JAN-JUN DISC 75% LICENSE ESS</v>
      </c>
      <c r="B297" s="33">
        <f t="shared" si="33"/>
        <v>46121</v>
      </c>
      <c r="C297" s="33">
        <f t="shared" si="33"/>
        <v>46127</v>
      </c>
      <c r="D297" s="32">
        <v>3287</v>
      </c>
      <c r="E297" s="32">
        <v>338</v>
      </c>
      <c r="F297" s="32">
        <v>4</v>
      </c>
      <c r="G297" s="32">
        <v>4</v>
      </c>
      <c r="H297" s="32">
        <v>81676</v>
      </c>
      <c r="I297" s="32" t="s">
        <v>17</v>
      </c>
      <c r="J297" s="32">
        <v>54509218</v>
      </c>
      <c r="K297" s="32" t="s">
        <v>5755</v>
      </c>
      <c r="L297" s="38" t="s">
        <v>5760</v>
      </c>
      <c r="M297" s="34">
        <v>219900</v>
      </c>
      <c r="N297" s="20">
        <f t="shared" si="30"/>
        <v>0.75</v>
      </c>
      <c r="O297" s="83">
        <f t="shared" si="28"/>
        <v>54975</v>
      </c>
      <c r="P297" s="20" t="str">
        <f t="shared" si="31"/>
        <v>PERCENTAGE</v>
      </c>
    </row>
    <row r="298" spans="1:16" x14ac:dyDescent="0.35">
      <c r="A298" s="32" t="str">
        <f t="shared" si="33"/>
        <v>2025 JAN-JUN DISC 75% LICENSE ESS</v>
      </c>
      <c r="B298" s="33">
        <f t="shared" si="33"/>
        <v>46121</v>
      </c>
      <c r="C298" s="33">
        <f t="shared" si="33"/>
        <v>46127</v>
      </c>
      <c r="D298" s="32">
        <v>3287</v>
      </c>
      <c r="E298" s="32">
        <v>338</v>
      </c>
      <c r="F298" s="32">
        <v>4</v>
      </c>
      <c r="G298" s="32">
        <v>4</v>
      </c>
      <c r="H298" s="32">
        <v>81676</v>
      </c>
      <c r="I298" s="32" t="s">
        <v>17</v>
      </c>
      <c r="J298" s="32">
        <v>54509227</v>
      </c>
      <c r="K298" s="32" t="s">
        <v>5755</v>
      </c>
      <c r="L298" s="38" t="s">
        <v>5758</v>
      </c>
      <c r="M298" s="34">
        <v>219900</v>
      </c>
      <c r="N298" s="20">
        <f t="shared" si="30"/>
        <v>0.75</v>
      </c>
      <c r="O298" s="83">
        <f t="shared" si="28"/>
        <v>54975</v>
      </c>
      <c r="P298" s="20" t="str">
        <f t="shared" si="31"/>
        <v>PERCENTAGE</v>
      </c>
    </row>
    <row r="299" spans="1:16" x14ac:dyDescent="0.35">
      <c r="A299" s="32" t="str">
        <f t="shared" si="33"/>
        <v>2025 JAN-JUN DISC 75% LICENSE ESS</v>
      </c>
      <c r="B299" s="33">
        <f t="shared" si="33"/>
        <v>46121</v>
      </c>
      <c r="C299" s="33">
        <f t="shared" si="33"/>
        <v>46127</v>
      </c>
      <c r="D299" s="32">
        <v>3287</v>
      </c>
      <c r="E299" s="32">
        <v>338</v>
      </c>
      <c r="F299" s="32">
        <v>4</v>
      </c>
      <c r="G299" s="32">
        <v>4</v>
      </c>
      <c r="H299" s="32">
        <v>81676</v>
      </c>
      <c r="I299" s="32" t="s">
        <v>17</v>
      </c>
      <c r="J299" s="32">
        <v>54509236</v>
      </c>
      <c r="K299" s="32" t="s">
        <v>5755</v>
      </c>
      <c r="L299" s="38" t="s">
        <v>5761</v>
      </c>
      <c r="M299" s="34">
        <v>219900</v>
      </c>
      <c r="N299" s="20">
        <f t="shared" si="30"/>
        <v>0.75</v>
      </c>
      <c r="O299" s="83">
        <f t="shared" si="28"/>
        <v>54975</v>
      </c>
      <c r="P299" s="20" t="str">
        <f t="shared" si="31"/>
        <v>PERCENTAGE</v>
      </c>
    </row>
    <row r="300" spans="1:16" x14ac:dyDescent="0.35">
      <c r="A300" s="32" t="str">
        <f t="shared" si="33"/>
        <v>2025 JAN-JUN DISC 75% LICENSE ESS</v>
      </c>
      <c r="B300" s="33">
        <f t="shared" si="33"/>
        <v>46121</v>
      </c>
      <c r="C300" s="33">
        <f t="shared" si="33"/>
        <v>46127</v>
      </c>
      <c r="D300" s="32">
        <v>3287</v>
      </c>
      <c r="E300" s="32">
        <v>338</v>
      </c>
      <c r="F300" s="32">
        <v>4</v>
      </c>
      <c r="G300" s="32">
        <v>10</v>
      </c>
      <c r="H300" s="32">
        <v>81533</v>
      </c>
      <c r="I300" s="32" t="s">
        <v>17</v>
      </c>
      <c r="J300" s="32">
        <v>54413508</v>
      </c>
      <c r="K300" s="32" t="s">
        <v>5782</v>
      </c>
      <c r="L300" s="38" t="s">
        <v>5786</v>
      </c>
      <c r="M300" s="34">
        <v>35900</v>
      </c>
      <c r="N300" s="20">
        <f t="shared" si="30"/>
        <v>0.75</v>
      </c>
      <c r="O300" s="83">
        <f t="shared" si="28"/>
        <v>8975</v>
      </c>
      <c r="P300" s="20" t="str">
        <f t="shared" si="31"/>
        <v>PERCENTAGE</v>
      </c>
    </row>
    <row r="301" spans="1:16" x14ac:dyDescent="0.35">
      <c r="A301" s="32" t="str">
        <f t="shared" si="33"/>
        <v>2025 JAN-JUN DISC 75% LICENSE ESS</v>
      </c>
      <c r="B301" s="33">
        <f t="shared" si="33"/>
        <v>46121</v>
      </c>
      <c r="C301" s="33">
        <f t="shared" si="33"/>
        <v>46127</v>
      </c>
      <c r="D301" s="32">
        <v>3287</v>
      </c>
      <c r="E301" s="32">
        <v>338</v>
      </c>
      <c r="F301" s="32">
        <v>4</v>
      </c>
      <c r="G301" s="32">
        <v>10</v>
      </c>
      <c r="H301" s="32">
        <v>81533</v>
      </c>
      <c r="I301" s="32" t="s">
        <v>17</v>
      </c>
      <c r="J301" s="32">
        <v>54413517</v>
      </c>
      <c r="K301" s="32" t="s">
        <v>5782</v>
      </c>
      <c r="L301" s="38" t="s">
        <v>5783</v>
      </c>
      <c r="M301" s="34">
        <v>35900</v>
      </c>
      <c r="N301" s="20">
        <f t="shared" si="30"/>
        <v>0.75</v>
      </c>
      <c r="O301" s="83">
        <f t="shared" si="28"/>
        <v>8975</v>
      </c>
      <c r="P301" s="20" t="str">
        <f t="shared" si="31"/>
        <v>PERCENTAGE</v>
      </c>
    </row>
    <row r="302" spans="1:16" x14ac:dyDescent="0.35">
      <c r="A302" s="32" t="str">
        <f t="shared" si="33"/>
        <v>2025 JAN-JUN DISC 75% LICENSE ESS</v>
      </c>
      <c r="B302" s="33">
        <f t="shared" si="33"/>
        <v>46121</v>
      </c>
      <c r="C302" s="33">
        <f t="shared" si="33"/>
        <v>46127</v>
      </c>
      <c r="D302" s="32">
        <v>3287</v>
      </c>
      <c r="E302" s="32">
        <v>338</v>
      </c>
      <c r="F302" s="32">
        <v>4</v>
      </c>
      <c r="G302" s="32">
        <v>10</v>
      </c>
      <c r="H302" s="32">
        <v>81533</v>
      </c>
      <c r="I302" s="32" t="s">
        <v>17</v>
      </c>
      <c r="J302" s="32">
        <v>54413526</v>
      </c>
      <c r="K302" s="32" t="s">
        <v>5784</v>
      </c>
      <c r="L302" s="38" t="s">
        <v>5785</v>
      </c>
      <c r="M302" s="34">
        <v>35900</v>
      </c>
      <c r="N302" s="20">
        <f t="shared" si="30"/>
        <v>0.75</v>
      </c>
      <c r="O302" s="83">
        <f t="shared" si="28"/>
        <v>8975</v>
      </c>
      <c r="P302" s="20" t="str">
        <f t="shared" si="31"/>
        <v>PERCENTAGE</v>
      </c>
    </row>
    <row r="303" spans="1:16" x14ac:dyDescent="0.35">
      <c r="A303" s="32" t="str">
        <f t="shared" si="33"/>
        <v>2025 JAN-JUN DISC 75% LICENSE ESS</v>
      </c>
      <c r="B303" s="33">
        <f t="shared" si="33"/>
        <v>46121</v>
      </c>
      <c r="C303" s="33">
        <f t="shared" si="33"/>
        <v>46127</v>
      </c>
      <c r="D303" s="32">
        <v>3287</v>
      </c>
      <c r="E303" s="32">
        <v>338</v>
      </c>
      <c r="F303" s="32">
        <v>4</v>
      </c>
      <c r="G303" s="32">
        <v>10</v>
      </c>
      <c r="H303" s="32">
        <v>81533</v>
      </c>
      <c r="I303" s="32" t="s">
        <v>17</v>
      </c>
      <c r="J303" s="32">
        <v>54413535</v>
      </c>
      <c r="K303" s="32" t="s">
        <v>5784</v>
      </c>
      <c r="L303" s="38" t="s">
        <v>5787</v>
      </c>
      <c r="M303" s="34">
        <v>35900</v>
      </c>
      <c r="N303" s="20">
        <f t="shared" si="30"/>
        <v>0.75</v>
      </c>
      <c r="O303" s="83">
        <f t="shared" si="28"/>
        <v>8975</v>
      </c>
      <c r="P303" s="20" t="str">
        <f t="shared" si="31"/>
        <v>PERCENTAGE</v>
      </c>
    </row>
  </sheetData>
  <autoFilter ref="A1:P1" xr:uid="{82A851BA-8A87-4180-B8E2-B542244E3F63}">
    <sortState xmlns:xlrd2="http://schemas.microsoft.com/office/spreadsheetml/2017/richdata2" ref="A2:P22">
      <sortCondition ref="J1"/>
    </sortState>
  </autoFilter>
  <phoneticPr fontId="8" type="noConversion"/>
  <conditionalFormatting sqref="J2:J303">
    <cfRule type="duplicateValues" dxfId="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EDF9-A877-4ED4-8299-D7C69C23F7CB}">
  <dimension ref="A1:P388"/>
  <sheetViews>
    <sheetView zoomScale="70" zoomScaleNormal="70" workbookViewId="0">
      <pane ySplit="1" topLeftCell="A2" activePane="bottomLeft" state="frozen"/>
      <selection activeCell="I19" sqref="I19"/>
      <selection pane="bottomLeft" activeCell="B3" sqref="B3"/>
    </sheetView>
  </sheetViews>
  <sheetFormatPr defaultColWidth="8.6328125" defaultRowHeight="14.5" x14ac:dyDescent="0.35"/>
  <cols>
    <col min="1" max="1" width="34.54296875" style="41" customWidth="1"/>
    <col min="2" max="2" width="16.08984375" style="42" bestFit="1" customWidth="1"/>
    <col min="3" max="3" width="13.36328125" style="42" bestFit="1" customWidth="1"/>
    <col min="4" max="4" width="10" style="41" bestFit="1" customWidth="1"/>
    <col min="5" max="5" width="12.36328125" style="41" bestFit="1" customWidth="1"/>
    <col min="6" max="6" width="13.6328125" style="41" bestFit="1" customWidth="1"/>
    <col min="7" max="7" width="10.90625" style="41" bestFit="1" customWidth="1"/>
    <col min="8" max="8" width="13.90625" style="41" bestFit="1" customWidth="1"/>
    <col min="9" max="9" width="16.54296875" style="41" bestFit="1" customWidth="1"/>
    <col min="10" max="10" width="9.54296875" style="41" bestFit="1" customWidth="1"/>
    <col min="11" max="11" width="12.54296875" style="41" bestFit="1" customWidth="1"/>
    <col min="12" max="12" width="78.81640625" style="41" customWidth="1"/>
    <col min="13" max="13" width="20.90625" style="41" bestFit="1" customWidth="1"/>
    <col min="14" max="14" width="18.08984375" style="41" customWidth="1"/>
    <col min="15" max="16" width="19.90625" style="41" bestFit="1" customWidth="1"/>
    <col min="17" max="16384" width="8.6328125" style="41"/>
  </cols>
  <sheetData>
    <row r="1" spans="1:16" s="2" customFormat="1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s="2" customFormat="1" x14ac:dyDescent="0.35">
      <c r="A2" s="32" t="s">
        <v>7163</v>
      </c>
      <c r="B2" s="33">
        <f>'2025 HILITE D80 - 3321'!B2</f>
        <v>46121</v>
      </c>
      <c r="C2" s="33">
        <f>'2025 HILITE D80 - 3321'!C2</f>
        <v>46127</v>
      </c>
      <c r="D2" s="32">
        <v>3287</v>
      </c>
      <c r="E2" s="32">
        <v>338</v>
      </c>
      <c r="F2" s="32">
        <v>4</v>
      </c>
      <c r="G2" s="23">
        <v>9</v>
      </c>
      <c r="H2" s="23">
        <v>81676</v>
      </c>
      <c r="I2" s="23" t="s">
        <v>17</v>
      </c>
      <c r="J2" s="22">
        <v>10721427</v>
      </c>
      <c r="K2" s="22" t="s">
        <v>4957</v>
      </c>
      <c r="L2" s="22" t="s">
        <v>4958</v>
      </c>
      <c r="M2" s="24">
        <v>229900</v>
      </c>
      <c r="N2" s="35">
        <v>0.75</v>
      </c>
      <c r="O2" s="34">
        <f>M2-((75*M2)/100)</f>
        <v>57475</v>
      </c>
      <c r="P2" s="32" t="s">
        <v>16</v>
      </c>
    </row>
    <row r="3" spans="1:16" s="2" customFormat="1" x14ac:dyDescent="0.35">
      <c r="A3" s="32" t="str">
        <f>A2</f>
        <v>2024 JAN-DEC DISC 75 LICENSE ESS</v>
      </c>
      <c r="B3" s="33">
        <f>B2</f>
        <v>46121</v>
      </c>
      <c r="C3" s="33">
        <f>C2</f>
        <v>46127</v>
      </c>
      <c r="D3" s="32">
        <v>3287</v>
      </c>
      <c r="E3" s="32">
        <v>338</v>
      </c>
      <c r="F3" s="32">
        <v>4</v>
      </c>
      <c r="G3" s="23">
        <v>9</v>
      </c>
      <c r="H3" s="23">
        <v>81676</v>
      </c>
      <c r="I3" s="23" t="s">
        <v>17</v>
      </c>
      <c r="J3" s="22">
        <v>10721436</v>
      </c>
      <c r="K3" s="22" t="s">
        <v>4957</v>
      </c>
      <c r="L3" s="22" t="s">
        <v>4959</v>
      </c>
      <c r="M3" s="24">
        <v>229900</v>
      </c>
      <c r="N3" s="35">
        <f>N2</f>
        <v>0.75</v>
      </c>
      <c r="O3" s="34">
        <f t="shared" ref="O3:O66" si="0">M3-((75*M3)/100)</f>
        <v>57475</v>
      </c>
      <c r="P3" s="32" t="s">
        <v>16</v>
      </c>
    </row>
    <row r="4" spans="1:16" s="2" customFormat="1" x14ac:dyDescent="0.35">
      <c r="A4" s="32" t="str">
        <f t="shared" ref="A4:C19" si="1">A3</f>
        <v>2024 JAN-DEC DISC 75 LICENSE ESS</v>
      </c>
      <c r="B4" s="33">
        <f t="shared" si="1"/>
        <v>46121</v>
      </c>
      <c r="C4" s="33">
        <f t="shared" si="1"/>
        <v>46127</v>
      </c>
      <c r="D4" s="32">
        <v>3287</v>
      </c>
      <c r="E4" s="32">
        <v>338</v>
      </c>
      <c r="F4" s="32">
        <v>4</v>
      </c>
      <c r="G4" s="23">
        <v>9</v>
      </c>
      <c r="H4" s="23">
        <v>81676</v>
      </c>
      <c r="I4" s="23" t="s">
        <v>17</v>
      </c>
      <c r="J4" s="22">
        <v>10721445</v>
      </c>
      <c r="K4" s="22" t="s">
        <v>4957</v>
      </c>
      <c r="L4" s="22" t="s">
        <v>4960</v>
      </c>
      <c r="M4" s="24">
        <v>229900</v>
      </c>
      <c r="N4" s="35">
        <f t="shared" ref="N4:N67" si="2">N3</f>
        <v>0.75</v>
      </c>
      <c r="O4" s="34">
        <f t="shared" si="0"/>
        <v>57475</v>
      </c>
      <c r="P4" s="32" t="s">
        <v>16</v>
      </c>
    </row>
    <row r="5" spans="1:16" s="2" customFormat="1" x14ac:dyDescent="0.35">
      <c r="A5" s="32" t="str">
        <f t="shared" si="1"/>
        <v>2024 JAN-DEC DISC 75 LICENSE ESS</v>
      </c>
      <c r="B5" s="33">
        <f t="shared" si="1"/>
        <v>46121</v>
      </c>
      <c r="C5" s="33">
        <f t="shared" si="1"/>
        <v>46127</v>
      </c>
      <c r="D5" s="32">
        <v>3287</v>
      </c>
      <c r="E5" s="32">
        <v>338</v>
      </c>
      <c r="F5" s="32">
        <v>4</v>
      </c>
      <c r="G5" s="23">
        <v>9</v>
      </c>
      <c r="H5" s="23">
        <v>81676</v>
      </c>
      <c r="I5" s="23" t="s">
        <v>17</v>
      </c>
      <c r="J5" s="22">
        <v>10721454</v>
      </c>
      <c r="K5" s="22" t="s">
        <v>4957</v>
      </c>
      <c r="L5" s="22" t="s">
        <v>4961</v>
      </c>
      <c r="M5" s="24">
        <v>229900</v>
      </c>
      <c r="N5" s="35">
        <f t="shared" si="2"/>
        <v>0.75</v>
      </c>
      <c r="O5" s="34">
        <f t="shared" si="0"/>
        <v>57475</v>
      </c>
      <c r="P5" s="32" t="s">
        <v>16</v>
      </c>
    </row>
    <row r="6" spans="1:16" s="2" customFormat="1" x14ac:dyDescent="0.35">
      <c r="A6" s="32" t="str">
        <f t="shared" si="1"/>
        <v>2024 JAN-DEC DISC 75 LICENSE ESS</v>
      </c>
      <c r="B6" s="33">
        <f t="shared" si="1"/>
        <v>46121</v>
      </c>
      <c r="C6" s="33">
        <f t="shared" si="1"/>
        <v>46127</v>
      </c>
      <c r="D6" s="32">
        <v>3287</v>
      </c>
      <c r="E6" s="32">
        <v>338</v>
      </c>
      <c r="F6" s="32">
        <v>4</v>
      </c>
      <c r="G6" s="23">
        <v>4</v>
      </c>
      <c r="H6" s="23">
        <v>81676</v>
      </c>
      <c r="I6" s="23" t="s">
        <v>17</v>
      </c>
      <c r="J6" s="22">
        <v>14832336</v>
      </c>
      <c r="K6" s="22" t="s">
        <v>3091</v>
      </c>
      <c r="L6" s="22" t="s">
        <v>3092</v>
      </c>
      <c r="M6" s="24">
        <v>229900</v>
      </c>
      <c r="N6" s="35">
        <f t="shared" si="2"/>
        <v>0.75</v>
      </c>
      <c r="O6" s="34">
        <f t="shared" si="0"/>
        <v>57475</v>
      </c>
      <c r="P6" s="32" t="s">
        <v>16</v>
      </c>
    </row>
    <row r="7" spans="1:16" s="2" customFormat="1" x14ac:dyDescent="0.35">
      <c r="A7" s="32" t="str">
        <f t="shared" si="1"/>
        <v>2024 JAN-DEC DISC 75 LICENSE ESS</v>
      </c>
      <c r="B7" s="33">
        <f t="shared" si="1"/>
        <v>46121</v>
      </c>
      <c r="C7" s="33">
        <f t="shared" si="1"/>
        <v>46127</v>
      </c>
      <c r="D7" s="32">
        <v>3287</v>
      </c>
      <c r="E7" s="32">
        <v>338</v>
      </c>
      <c r="F7" s="32">
        <v>4</v>
      </c>
      <c r="G7" s="23">
        <v>4</v>
      </c>
      <c r="H7" s="23">
        <v>81676</v>
      </c>
      <c r="I7" s="23" t="s">
        <v>17</v>
      </c>
      <c r="J7" s="22">
        <v>14832345</v>
      </c>
      <c r="K7" s="22" t="s">
        <v>3091</v>
      </c>
      <c r="L7" s="22" t="s">
        <v>3093</v>
      </c>
      <c r="M7" s="24">
        <v>229900</v>
      </c>
      <c r="N7" s="35">
        <f t="shared" si="2"/>
        <v>0.75</v>
      </c>
      <c r="O7" s="34">
        <f t="shared" si="0"/>
        <v>57475</v>
      </c>
      <c r="P7" s="32" t="s">
        <v>16</v>
      </c>
    </row>
    <row r="8" spans="1:16" s="2" customFormat="1" x14ac:dyDescent="0.35">
      <c r="A8" s="32" t="str">
        <f t="shared" si="1"/>
        <v>2024 JAN-DEC DISC 75 LICENSE ESS</v>
      </c>
      <c r="B8" s="33">
        <f t="shared" si="1"/>
        <v>46121</v>
      </c>
      <c r="C8" s="33">
        <f t="shared" si="1"/>
        <v>46127</v>
      </c>
      <c r="D8" s="32">
        <v>3287</v>
      </c>
      <c r="E8" s="32">
        <v>338</v>
      </c>
      <c r="F8" s="32">
        <v>4</v>
      </c>
      <c r="G8" s="23">
        <v>4</v>
      </c>
      <c r="H8" s="23">
        <v>81676</v>
      </c>
      <c r="I8" s="23" t="s">
        <v>17</v>
      </c>
      <c r="J8" s="22">
        <v>14832354</v>
      </c>
      <c r="K8" s="22" t="s">
        <v>3091</v>
      </c>
      <c r="L8" s="22" t="s">
        <v>3094</v>
      </c>
      <c r="M8" s="24">
        <v>229900</v>
      </c>
      <c r="N8" s="35">
        <f t="shared" si="2"/>
        <v>0.75</v>
      </c>
      <c r="O8" s="34">
        <f t="shared" si="0"/>
        <v>57475</v>
      </c>
      <c r="P8" s="32" t="s">
        <v>16</v>
      </c>
    </row>
    <row r="9" spans="1:16" s="2" customFormat="1" x14ac:dyDescent="0.35">
      <c r="A9" s="32" t="str">
        <f t="shared" si="1"/>
        <v>2024 JAN-DEC DISC 75 LICENSE ESS</v>
      </c>
      <c r="B9" s="33">
        <f t="shared" si="1"/>
        <v>46121</v>
      </c>
      <c r="C9" s="33">
        <f t="shared" si="1"/>
        <v>46127</v>
      </c>
      <c r="D9" s="32">
        <v>3287</v>
      </c>
      <c r="E9" s="32">
        <v>338</v>
      </c>
      <c r="F9" s="32">
        <v>4</v>
      </c>
      <c r="G9" s="23">
        <v>4</v>
      </c>
      <c r="H9" s="23">
        <v>81676</v>
      </c>
      <c r="I9" s="23" t="s">
        <v>17</v>
      </c>
      <c r="J9" s="22">
        <v>14832363</v>
      </c>
      <c r="K9" s="22" t="s">
        <v>3091</v>
      </c>
      <c r="L9" s="22" t="s">
        <v>3095</v>
      </c>
      <c r="M9" s="24">
        <v>229900</v>
      </c>
      <c r="N9" s="35">
        <f t="shared" si="2"/>
        <v>0.75</v>
      </c>
      <c r="O9" s="34">
        <f t="shared" si="0"/>
        <v>57475</v>
      </c>
      <c r="P9" s="32" t="s">
        <v>16</v>
      </c>
    </row>
    <row r="10" spans="1:16" s="2" customFormat="1" x14ac:dyDescent="0.35">
      <c r="A10" s="32" t="str">
        <f t="shared" si="1"/>
        <v>2024 JAN-DEC DISC 75 LICENSE ESS</v>
      </c>
      <c r="B10" s="33">
        <f t="shared" si="1"/>
        <v>46121</v>
      </c>
      <c r="C10" s="33">
        <f t="shared" si="1"/>
        <v>46127</v>
      </c>
      <c r="D10" s="32">
        <v>3287</v>
      </c>
      <c r="E10" s="32">
        <v>338</v>
      </c>
      <c r="F10" s="32">
        <v>4</v>
      </c>
      <c r="G10" s="23">
        <v>4</v>
      </c>
      <c r="H10" s="23">
        <v>81676</v>
      </c>
      <c r="I10" s="23" t="s">
        <v>17</v>
      </c>
      <c r="J10" s="22">
        <v>14832372</v>
      </c>
      <c r="K10" s="22" t="s">
        <v>3091</v>
      </c>
      <c r="L10" s="22" t="s">
        <v>3096</v>
      </c>
      <c r="M10" s="24">
        <v>239900</v>
      </c>
      <c r="N10" s="35">
        <f t="shared" si="2"/>
        <v>0.75</v>
      </c>
      <c r="O10" s="34">
        <f t="shared" si="0"/>
        <v>59975</v>
      </c>
      <c r="P10" s="32" t="s">
        <v>16</v>
      </c>
    </row>
    <row r="11" spans="1:16" s="2" customFormat="1" x14ac:dyDescent="0.35">
      <c r="A11" s="32" t="str">
        <f t="shared" si="1"/>
        <v>2024 JAN-DEC DISC 75 LICENSE ESS</v>
      </c>
      <c r="B11" s="33">
        <f t="shared" si="1"/>
        <v>46121</v>
      </c>
      <c r="C11" s="33">
        <f t="shared" si="1"/>
        <v>46127</v>
      </c>
      <c r="D11" s="32">
        <v>3287</v>
      </c>
      <c r="E11" s="32">
        <v>338</v>
      </c>
      <c r="F11" s="32">
        <v>4</v>
      </c>
      <c r="G11" s="23">
        <v>4</v>
      </c>
      <c r="H11" s="23">
        <v>81676</v>
      </c>
      <c r="I11" s="23" t="s">
        <v>17</v>
      </c>
      <c r="J11" s="22">
        <v>14832381</v>
      </c>
      <c r="K11" s="22" t="s">
        <v>3091</v>
      </c>
      <c r="L11" s="22" t="s">
        <v>3097</v>
      </c>
      <c r="M11" s="24">
        <v>239900</v>
      </c>
      <c r="N11" s="35">
        <f t="shared" si="2"/>
        <v>0.75</v>
      </c>
      <c r="O11" s="34">
        <f t="shared" si="0"/>
        <v>59975</v>
      </c>
      <c r="P11" s="32" t="s">
        <v>16</v>
      </c>
    </row>
    <row r="12" spans="1:16" s="2" customFormat="1" x14ac:dyDescent="0.35">
      <c r="A12" s="32" t="str">
        <f t="shared" si="1"/>
        <v>2024 JAN-DEC DISC 75 LICENSE ESS</v>
      </c>
      <c r="B12" s="33">
        <f t="shared" si="1"/>
        <v>46121</v>
      </c>
      <c r="C12" s="33">
        <f t="shared" si="1"/>
        <v>46127</v>
      </c>
      <c r="D12" s="32">
        <v>3287</v>
      </c>
      <c r="E12" s="32">
        <v>338</v>
      </c>
      <c r="F12" s="32">
        <v>4</v>
      </c>
      <c r="G12" s="23">
        <v>4</v>
      </c>
      <c r="H12" s="23">
        <v>81676</v>
      </c>
      <c r="I12" s="23" t="s">
        <v>17</v>
      </c>
      <c r="J12" s="22">
        <v>14832390</v>
      </c>
      <c r="K12" s="22" t="s">
        <v>3091</v>
      </c>
      <c r="L12" s="22" t="s">
        <v>3098</v>
      </c>
      <c r="M12" s="24">
        <v>239900</v>
      </c>
      <c r="N12" s="35">
        <f t="shared" si="2"/>
        <v>0.75</v>
      </c>
      <c r="O12" s="34">
        <f t="shared" si="0"/>
        <v>59975</v>
      </c>
      <c r="P12" s="32" t="s">
        <v>16</v>
      </c>
    </row>
    <row r="13" spans="1:16" s="2" customFormat="1" x14ac:dyDescent="0.35">
      <c r="A13" s="32" t="str">
        <f t="shared" si="1"/>
        <v>2024 JAN-DEC DISC 75 LICENSE ESS</v>
      </c>
      <c r="B13" s="33">
        <f t="shared" si="1"/>
        <v>46121</v>
      </c>
      <c r="C13" s="33">
        <f t="shared" si="1"/>
        <v>46127</v>
      </c>
      <c r="D13" s="32">
        <v>3287</v>
      </c>
      <c r="E13" s="32">
        <v>338</v>
      </c>
      <c r="F13" s="32">
        <v>4</v>
      </c>
      <c r="G13" s="23">
        <v>4</v>
      </c>
      <c r="H13" s="23">
        <v>81676</v>
      </c>
      <c r="I13" s="23" t="s">
        <v>17</v>
      </c>
      <c r="J13" s="22">
        <v>14832407</v>
      </c>
      <c r="K13" s="22" t="s">
        <v>3091</v>
      </c>
      <c r="L13" s="22" t="s">
        <v>3099</v>
      </c>
      <c r="M13" s="24">
        <v>239900</v>
      </c>
      <c r="N13" s="35">
        <f t="shared" si="2"/>
        <v>0.75</v>
      </c>
      <c r="O13" s="34">
        <f t="shared" si="0"/>
        <v>59975</v>
      </c>
      <c r="P13" s="32" t="s">
        <v>16</v>
      </c>
    </row>
    <row r="14" spans="1:16" s="2" customFormat="1" x14ac:dyDescent="0.35">
      <c r="A14" s="32" t="str">
        <f t="shared" si="1"/>
        <v>2024 JAN-DEC DISC 75 LICENSE ESS</v>
      </c>
      <c r="B14" s="33">
        <f t="shared" si="1"/>
        <v>46121</v>
      </c>
      <c r="C14" s="33">
        <f t="shared" si="1"/>
        <v>46127</v>
      </c>
      <c r="D14" s="32">
        <v>3287</v>
      </c>
      <c r="E14" s="32">
        <v>338</v>
      </c>
      <c r="F14" s="32">
        <v>4</v>
      </c>
      <c r="G14" s="23">
        <v>7</v>
      </c>
      <c r="H14" s="23">
        <v>81595</v>
      </c>
      <c r="I14" s="23" t="s">
        <v>17</v>
      </c>
      <c r="J14" s="22">
        <v>15646947</v>
      </c>
      <c r="K14" s="22" t="s">
        <v>3050</v>
      </c>
      <c r="L14" s="22" t="s">
        <v>3051</v>
      </c>
      <c r="M14" s="24">
        <v>32900</v>
      </c>
      <c r="N14" s="35">
        <f t="shared" si="2"/>
        <v>0.75</v>
      </c>
      <c r="O14" s="34">
        <f t="shared" si="0"/>
        <v>8225</v>
      </c>
      <c r="P14" s="32" t="s">
        <v>16</v>
      </c>
    </row>
    <row r="15" spans="1:16" s="2" customFormat="1" x14ac:dyDescent="0.35">
      <c r="A15" s="32" t="str">
        <f t="shared" si="1"/>
        <v>2024 JAN-DEC DISC 75 LICENSE ESS</v>
      </c>
      <c r="B15" s="33">
        <f t="shared" si="1"/>
        <v>46121</v>
      </c>
      <c r="C15" s="33">
        <f t="shared" si="1"/>
        <v>46127</v>
      </c>
      <c r="D15" s="32">
        <v>3287</v>
      </c>
      <c r="E15" s="32">
        <v>338</v>
      </c>
      <c r="F15" s="32">
        <v>4</v>
      </c>
      <c r="G15" s="23">
        <v>7</v>
      </c>
      <c r="H15" s="23">
        <v>81595</v>
      </c>
      <c r="I15" s="23" t="s">
        <v>17</v>
      </c>
      <c r="J15" s="22">
        <v>15646956</v>
      </c>
      <c r="K15" s="22" t="s">
        <v>3050</v>
      </c>
      <c r="L15" s="22" t="s">
        <v>3052</v>
      </c>
      <c r="M15" s="24">
        <v>32900</v>
      </c>
      <c r="N15" s="35">
        <f t="shared" si="2"/>
        <v>0.75</v>
      </c>
      <c r="O15" s="34">
        <f t="shared" si="0"/>
        <v>8225</v>
      </c>
      <c r="P15" s="32" t="s">
        <v>16</v>
      </c>
    </row>
    <row r="16" spans="1:16" s="2" customFormat="1" x14ac:dyDescent="0.35">
      <c r="A16" s="32" t="str">
        <f t="shared" si="1"/>
        <v>2024 JAN-DEC DISC 75 LICENSE ESS</v>
      </c>
      <c r="B16" s="33">
        <f t="shared" si="1"/>
        <v>46121</v>
      </c>
      <c r="C16" s="33">
        <f t="shared" si="1"/>
        <v>46127</v>
      </c>
      <c r="D16" s="32">
        <v>3287</v>
      </c>
      <c r="E16" s="32">
        <v>338</v>
      </c>
      <c r="F16" s="32">
        <v>4</v>
      </c>
      <c r="G16" s="23">
        <v>7</v>
      </c>
      <c r="H16" s="23">
        <v>81595</v>
      </c>
      <c r="I16" s="23" t="s">
        <v>17</v>
      </c>
      <c r="J16" s="22">
        <v>15646965</v>
      </c>
      <c r="K16" s="22" t="s">
        <v>3053</v>
      </c>
      <c r="L16" s="22" t="s">
        <v>3054</v>
      </c>
      <c r="M16" s="24">
        <v>32900</v>
      </c>
      <c r="N16" s="35">
        <f t="shared" si="2"/>
        <v>0.75</v>
      </c>
      <c r="O16" s="34">
        <f t="shared" si="0"/>
        <v>8225</v>
      </c>
      <c r="P16" s="32" t="s">
        <v>16</v>
      </c>
    </row>
    <row r="17" spans="1:16" s="2" customFormat="1" x14ac:dyDescent="0.35">
      <c r="A17" s="32" t="str">
        <f t="shared" si="1"/>
        <v>2024 JAN-DEC DISC 75 LICENSE ESS</v>
      </c>
      <c r="B17" s="33">
        <f t="shared" si="1"/>
        <v>46121</v>
      </c>
      <c r="C17" s="33">
        <f t="shared" si="1"/>
        <v>46127</v>
      </c>
      <c r="D17" s="32">
        <v>3287</v>
      </c>
      <c r="E17" s="32">
        <v>338</v>
      </c>
      <c r="F17" s="32">
        <v>4</v>
      </c>
      <c r="G17" s="23">
        <v>7</v>
      </c>
      <c r="H17" s="23">
        <v>81595</v>
      </c>
      <c r="I17" s="23" t="s">
        <v>17</v>
      </c>
      <c r="J17" s="22">
        <v>15646974</v>
      </c>
      <c r="K17" s="22" t="s">
        <v>3053</v>
      </c>
      <c r="L17" s="22" t="s">
        <v>3055</v>
      </c>
      <c r="M17" s="24">
        <v>32900</v>
      </c>
      <c r="N17" s="35">
        <f t="shared" si="2"/>
        <v>0.75</v>
      </c>
      <c r="O17" s="34">
        <f t="shared" si="0"/>
        <v>8225</v>
      </c>
      <c r="P17" s="32" t="s">
        <v>16</v>
      </c>
    </row>
    <row r="18" spans="1:16" s="2" customFormat="1" x14ac:dyDescent="0.35">
      <c r="A18" s="32" t="str">
        <f t="shared" si="1"/>
        <v>2024 JAN-DEC DISC 75 LICENSE ESS</v>
      </c>
      <c r="B18" s="33">
        <f t="shared" si="1"/>
        <v>46121</v>
      </c>
      <c r="C18" s="33">
        <f t="shared" si="1"/>
        <v>46127</v>
      </c>
      <c r="D18" s="32">
        <v>3287</v>
      </c>
      <c r="E18" s="32">
        <v>338</v>
      </c>
      <c r="F18" s="32">
        <v>4</v>
      </c>
      <c r="G18" s="23">
        <v>7</v>
      </c>
      <c r="H18" s="23">
        <v>81595</v>
      </c>
      <c r="I18" s="23" t="s">
        <v>17</v>
      </c>
      <c r="J18" s="22">
        <v>15646983</v>
      </c>
      <c r="K18" s="22" t="s">
        <v>3056</v>
      </c>
      <c r="L18" s="22" t="s">
        <v>3057</v>
      </c>
      <c r="M18" s="24">
        <v>32900</v>
      </c>
      <c r="N18" s="35">
        <f t="shared" si="2"/>
        <v>0.75</v>
      </c>
      <c r="O18" s="34">
        <f t="shared" si="0"/>
        <v>8225</v>
      </c>
      <c r="P18" s="32" t="s">
        <v>16</v>
      </c>
    </row>
    <row r="19" spans="1:16" s="2" customFormat="1" x14ac:dyDescent="0.35">
      <c r="A19" s="32" t="str">
        <f t="shared" si="1"/>
        <v>2024 JAN-DEC DISC 75 LICENSE ESS</v>
      </c>
      <c r="B19" s="33">
        <f t="shared" si="1"/>
        <v>46121</v>
      </c>
      <c r="C19" s="33">
        <f t="shared" si="1"/>
        <v>46127</v>
      </c>
      <c r="D19" s="32">
        <v>3287</v>
      </c>
      <c r="E19" s="32">
        <v>338</v>
      </c>
      <c r="F19" s="32">
        <v>4</v>
      </c>
      <c r="G19" s="23">
        <v>7</v>
      </c>
      <c r="H19" s="23">
        <v>81595</v>
      </c>
      <c r="I19" s="23" t="s">
        <v>17</v>
      </c>
      <c r="J19" s="22">
        <v>15646992</v>
      </c>
      <c r="K19" s="22" t="s">
        <v>3056</v>
      </c>
      <c r="L19" s="22" t="s">
        <v>3058</v>
      </c>
      <c r="M19" s="24">
        <v>32900</v>
      </c>
      <c r="N19" s="35">
        <f t="shared" si="2"/>
        <v>0.75</v>
      </c>
      <c r="O19" s="34">
        <f t="shared" si="0"/>
        <v>8225</v>
      </c>
      <c r="P19" s="32" t="s">
        <v>16</v>
      </c>
    </row>
    <row r="20" spans="1:16" s="2" customFormat="1" x14ac:dyDescent="0.35">
      <c r="A20" s="32" t="str">
        <f t="shared" ref="A20:C35" si="3">A19</f>
        <v>2024 JAN-DEC DISC 75 LICENSE ESS</v>
      </c>
      <c r="B20" s="33">
        <f t="shared" si="3"/>
        <v>46121</v>
      </c>
      <c r="C20" s="33">
        <f t="shared" si="3"/>
        <v>46127</v>
      </c>
      <c r="D20" s="32">
        <v>3287</v>
      </c>
      <c r="E20" s="32">
        <v>338</v>
      </c>
      <c r="F20" s="32">
        <v>4</v>
      </c>
      <c r="G20" s="23">
        <v>7</v>
      </c>
      <c r="H20" s="23">
        <v>81595</v>
      </c>
      <c r="I20" s="23" t="s">
        <v>17</v>
      </c>
      <c r="J20" s="22">
        <v>15647008</v>
      </c>
      <c r="K20" s="22" t="s">
        <v>3059</v>
      </c>
      <c r="L20" s="22" t="s">
        <v>3060</v>
      </c>
      <c r="M20" s="24">
        <v>32900</v>
      </c>
      <c r="N20" s="35">
        <f t="shared" si="2"/>
        <v>0.75</v>
      </c>
      <c r="O20" s="34">
        <f t="shared" si="0"/>
        <v>8225</v>
      </c>
      <c r="P20" s="32" t="s">
        <v>16</v>
      </c>
    </row>
    <row r="21" spans="1:16" s="2" customFormat="1" x14ac:dyDescent="0.35">
      <c r="A21" s="32" t="str">
        <f t="shared" si="3"/>
        <v>2024 JAN-DEC DISC 75 LICENSE ESS</v>
      </c>
      <c r="B21" s="33">
        <f t="shared" si="3"/>
        <v>46121</v>
      </c>
      <c r="C21" s="33">
        <f t="shared" si="3"/>
        <v>46127</v>
      </c>
      <c r="D21" s="32">
        <v>3287</v>
      </c>
      <c r="E21" s="32">
        <v>338</v>
      </c>
      <c r="F21" s="32">
        <v>4</v>
      </c>
      <c r="G21" s="23">
        <v>7</v>
      </c>
      <c r="H21" s="23">
        <v>81595</v>
      </c>
      <c r="I21" s="23" t="s">
        <v>17</v>
      </c>
      <c r="J21" s="22">
        <v>15647017</v>
      </c>
      <c r="K21" s="22" t="s">
        <v>3059</v>
      </c>
      <c r="L21" s="22" t="s">
        <v>3061</v>
      </c>
      <c r="M21" s="24">
        <v>32900</v>
      </c>
      <c r="N21" s="35">
        <f t="shared" si="2"/>
        <v>0.75</v>
      </c>
      <c r="O21" s="34">
        <f t="shared" si="0"/>
        <v>8225</v>
      </c>
      <c r="P21" s="32" t="s">
        <v>16</v>
      </c>
    </row>
    <row r="22" spans="1:16" s="2" customFormat="1" x14ac:dyDescent="0.35">
      <c r="A22" s="32" t="str">
        <f t="shared" si="3"/>
        <v>2024 JAN-DEC DISC 75 LICENSE ESS</v>
      </c>
      <c r="B22" s="33">
        <f t="shared" si="3"/>
        <v>46121</v>
      </c>
      <c r="C22" s="33">
        <f t="shared" si="3"/>
        <v>46127</v>
      </c>
      <c r="D22" s="32">
        <v>3287</v>
      </c>
      <c r="E22" s="32">
        <v>338</v>
      </c>
      <c r="F22" s="32">
        <v>4</v>
      </c>
      <c r="G22" s="23">
        <v>7</v>
      </c>
      <c r="H22" s="23">
        <v>81595</v>
      </c>
      <c r="I22" s="23" t="s">
        <v>17</v>
      </c>
      <c r="J22" s="22">
        <v>15647026</v>
      </c>
      <c r="K22" s="22" t="s">
        <v>3022</v>
      </c>
      <c r="L22" s="22" t="s">
        <v>3023</v>
      </c>
      <c r="M22" s="24">
        <v>32900</v>
      </c>
      <c r="N22" s="35">
        <f t="shared" si="2"/>
        <v>0.75</v>
      </c>
      <c r="O22" s="34">
        <f t="shared" si="0"/>
        <v>8225</v>
      </c>
      <c r="P22" s="32" t="s">
        <v>16</v>
      </c>
    </row>
    <row r="23" spans="1:16" s="2" customFormat="1" x14ac:dyDescent="0.35">
      <c r="A23" s="32" t="str">
        <f t="shared" si="3"/>
        <v>2024 JAN-DEC DISC 75 LICENSE ESS</v>
      </c>
      <c r="B23" s="33">
        <f t="shared" si="3"/>
        <v>46121</v>
      </c>
      <c r="C23" s="33">
        <f t="shared" si="3"/>
        <v>46127</v>
      </c>
      <c r="D23" s="32">
        <v>3287</v>
      </c>
      <c r="E23" s="32">
        <v>338</v>
      </c>
      <c r="F23" s="32">
        <v>4</v>
      </c>
      <c r="G23" s="23">
        <v>7</v>
      </c>
      <c r="H23" s="23">
        <v>81595</v>
      </c>
      <c r="I23" s="23" t="s">
        <v>17</v>
      </c>
      <c r="J23" s="22">
        <v>15647035</v>
      </c>
      <c r="K23" s="22" t="s">
        <v>3022</v>
      </c>
      <c r="L23" s="22" t="s">
        <v>3024</v>
      </c>
      <c r="M23" s="24">
        <v>32900</v>
      </c>
      <c r="N23" s="35">
        <f t="shared" si="2"/>
        <v>0.75</v>
      </c>
      <c r="O23" s="34">
        <f t="shared" si="0"/>
        <v>8225</v>
      </c>
      <c r="P23" s="32" t="s">
        <v>16</v>
      </c>
    </row>
    <row r="24" spans="1:16" s="2" customFormat="1" x14ac:dyDescent="0.35">
      <c r="A24" s="32" t="str">
        <f t="shared" si="3"/>
        <v>2024 JAN-DEC DISC 75 LICENSE ESS</v>
      </c>
      <c r="B24" s="33">
        <f t="shared" si="3"/>
        <v>46121</v>
      </c>
      <c r="C24" s="33">
        <f t="shared" si="3"/>
        <v>46127</v>
      </c>
      <c r="D24" s="32">
        <v>3287</v>
      </c>
      <c r="E24" s="32">
        <v>338</v>
      </c>
      <c r="F24" s="32">
        <v>4</v>
      </c>
      <c r="G24" s="23">
        <v>7</v>
      </c>
      <c r="H24" s="23">
        <v>81595</v>
      </c>
      <c r="I24" s="23" t="s">
        <v>17</v>
      </c>
      <c r="J24" s="22">
        <v>15647044</v>
      </c>
      <c r="K24" s="22" t="s">
        <v>3062</v>
      </c>
      <c r="L24" s="22" t="s">
        <v>3063</v>
      </c>
      <c r="M24" s="24">
        <v>32900</v>
      </c>
      <c r="N24" s="35">
        <f t="shared" si="2"/>
        <v>0.75</v>
      </c>
      <c r="O24" s="34">
        <f t="shared" si="0"/>
        <v>8225</v>
      </c>
      <c r="P24" s="32" t="s">
        <v>16</v>
      </c>
    </row>
    <row r="25" spans="1:16" s="2" customFormat="1" x14ac:dyDescent="0.35">
      <c r="A25" s="32" t="str">
        <f t="shared" si="3"/>
        <v>2024 JAN-DEC DISC 75 LICENSE ESS</v>
      </c>
      <c r="B25" s="33">
        <f t="shared" si="3"/>
        <v>46121</v>
      </c>
      <c r="C25" s="33">
        <f t="shared" si="3"/>
        <v>46127</v>
      </c>
      <c r="D25" s="32">
        <v>3287</v>
      </c>
      <c r="E25" s="32">
        <v>338</v>
      </c>
      <c r="F25" s="32">
        <v>4</v>
      </c>
      <c r="G25" s="23">
        <v>7</v>
      </c>
      <c r="H25" s="23">
        <v>81595</v>
      </c>
      <c r="I25" s="23" t="s">
        <v>17</v>
      </c>
      <c r="J25" s="22">
        <v>15647053</v>
      </c>
      <c r="K25" s="22" t="s">
        <v>3062</v>
      </c>
      <c r="L25" s="22" t="s">
        <v>3064</v>
      </c>
      <c r="M25" s="24">
        <v>32900</v>
      </c>
      <c r="N25" s="35">
        <f t="shared" si="2"/>
        <v>0.75</v>
      </c>
      <c r="O25" s="34">
        <f t="shared" si="0"/>
        <v>8225</v>
      </c>
      <c r="P25" s="32" t="s">
        <v>16</v>
      </c>
    </row>
    <row r="26" spans="1:16" s="2" customFormat="1" x14ac:dyDescent="0.35">
      <c r="A26" s="32" t="str">
        <f t="shared" si="3"/>
        <v>2024 JAN-DEC DISC 75 LICENSE ESS</v>
      </c>
      <c r="B26" s="33">
        <f t="shared" si="3"/>
        <v>46121</v>
      </c>
      <c r="C26" s="33">
        <f t="shared" si="3"/>
        <v>46127</v>
      </c>
      <c r="D26" s="32">
        <v>3287</v>
      </c>
      <c r="E26" s="32">
        <v>338</v>
      </c>
      <c r="F26" s="32">
        <v>4</v>
      </c>
      <c r="G26" s="23">
        <v>7</v>
      </c>
      <c r="H26" s="23">
        <v>81595</v>
      </c>
      <c r="I26" s="23" t="s">
        <v>17</v>
      </c>
      <c r="J26" s="22">
        <v>15647080</v>
      </c>
      <c r="K26" s="22" t="s">
        <v>3068</v>
      </c>
      <c r="L26" s="22" t="s">
        <v>3069</v>
      </c>
      <c r="M26" s="24">
        <v>32900</v>
      </c>
      <c r="N26" s="35">
        <f t="shared" si="2"/>
        <v>0.75</v>
      </c>
      <c r="O26" s="34">
        <f t="shared" si="0"/>
        <v>8225</v>
      </c>
      <c r="P26" s="32" t="s">
        <v>16</v>
      </c>
    </row>
    <row r="27" spans="1:16" s="2" customFormat="1" x14ac:dyDescent="0.35">
      <c r="A27" s="32" t="str">
        <f t="shared" si="3"/>
        <v>2024 JAN-DEC DISC 75 LICENSE ESS</v>
      </c>
      <c r="B27" s="33">
        <f t="shared" si="3"/>
        <v>46121</v>
      </c>
      <c r="C27" s="33">
        <f t="shared" si="3"/>
        <v>46127</v>
      </c>
      <c r="D27" s="32">
        <v>3287</v>
      </c>
      <c r="E27" s="32">
        <v>338</v>
      </c>
      <c r="F27" s="32">
        <v>4</v>
      </c>
      <c r="G27" s="23">
        <v>7</v>
      </c>
      <c r="H27" s="23">
        <v>81595</v>
      </c>
      <c r="I27" s="23" t="s">
        <v>17</v>
      </c>
      <c r="J27" s="22">
        <v>15647099</v>
      </c>
      <c r="K27" s="22" t="s">
        <v>3068</v>
      </c>
      <c r="L27" s="22" t="s">
        <v>3070</v>
      </c>
      <c r="M27" s="24">
        <v>32900</v>
      </c>
      <c r="N27" s="35">
        <f t="shared" si="2"/>
        <v>0.75</v>
      </c>
      <c r="O27" s="34">
        <f t="shared" si="0"/>
        <v>8225</v>
      </c>
      <c r="P27" s="32" t="s">
        <v>16</v>
      </c>
    </row>
    <row r="28" spans="1:16" s="2" customFormat="1" x14ac:dyDescent="0.35">
      <c r="A28" s="32" t="str">
        <f t="shared" si="3"/>
        <v>2024 JAN-DEC DISC 75 LICENSE ESS</v>
      </c>
      <c r="B28" s="33">
        <f t="shared" si="3"/>
        <v>46121</v>
      </c>
      <c r="C28" s="33">
        <f t="shared" si="3"/>
        <v>46127</v>
      </c>
      <c r="D28" s="32">
        <v>3287</v>
      </c>
      <c r="E28" s="32">
        <v>338</v>
      </c>
      <c r="F28" s="32">
        <v>4</v>
      </c>
      <c r="G28" s="23">
        <v>7</v>
      </c>
      <c r="H28" s="23">
        <v>81595</v>
      </c>
      <c r="I28" s="23" t="s">
        <v>17</v>
      </c>
      <c r="J28" s="22">
        <v>15647106</v>
      </c>
      <c r="K28" s="22" t="s">
        <v>3071</v>
      </c>
      <c r="L28" s="22" t="s">
        <v>3072</v>
      </c>
      <c r="M28" s="24">
        <v>32900</v>
      </c>
      <c r="N28" s="35">
        <f t="shared" si="2"/>
        <v>0.75</v>
      </c>
      <c r="O28" s="34">
        <f t="shared" si="0"/>
        <v>8225</v>
      </c>
      <c r="P28" s="32" t="s">
        <v>16</v>
      </c>
    </row>
    <row r="29" spans="1:16" s="2" customFormat="1" x14ac:dyDescent="0.35">
      <c r="A29" s="32" t="str">
        <f t="shared" si="3"/>
        <v>2024 JAN-DEC DISC 75 LICENSE ESS</v>
      </c>
      <c r="B29" s="33">
        <f t="shared" si="3"/>
        <v>46121</v>
      </c>
      <c r="C29" s="33">
        <f t="shared" si="3"/>
        <v>46127</v>
      </c>
      <c r="D29" s="32">
        <v>3287</v>
      </c>
      <c r="E29" s="32">
        <v>338</v>
      </c>
      <c r="F29" s="32">
        <v>4</v>
      </c>
      <c r="G29" s="23">
        <v>7</v>
      </c>
      <c r="H29" s="23">
        <v>81595</v>
      </c>
      <c r="I29" s="23" t="s">
        <v>17</v>
      </c>
      <c r="J29" s="22">
        <v>15647115</v>
      </c>
      <c r="K29" s="22" t="s">
        <v>3071</v>
      </c>
      <c r="L29" s="22" t="s">
        <v>3073</v>
      </c>
      <c r="M29" s="24">
        <v>32900</v>
      </c>
      <c r="N29" s="35">
        <f t="shared" si="2"/>
        <v>0.75</v>
      </c>
      <c r="O29" s="34">
        <f t="shared" si="0"/>
        <v>8225</v>
      </c>
      <c r="P29" s="32" t="s">
        <v>16</v>
      </c>
    </row>
    <row r="30" spans="1:16" s="2" customFormat="1" x14ac:dyDescent="0.35">
      <c r="A30" s="32" t="str">
        <f t="shared" si="3"/>
        <v>2024 JAN-DEC DISC 75 LICENSE ESS</v>
      </c>
      <c r="B30" s="33">
        <f t="shared" si="3"/>
        <v>46121</v>
      </c>
      <c r="C30" s="33">
        <f t="shared" si="3"/>
        <v>46127</v>
      </c>
      <c r="D30" s="32">
        <v>3287</v>
      </c>
      <c r="E30" s="32">
        <v>338</v>
      </c>
      <c r="F30" s="32">
        <v>4</v>
      </c>
      <c r="G30" s="23">
        <v>7</v>
      </c>
      <c r="H30" s="23">
        <v>81595</v>
      </c>
      <c r="I30" s="23" t="s">
        <v>17</v>
      </c>
      <c r="J30" s="22">
        <v>15647124</v>
      </c>
      <c r="K30" s="22" t="s">
        <v>3074</v>
      </c>
      <c r="L30" s="22" t="s">
        <v>3075</v>
      </c>
      <c r="M30" s="24">
        <v>32900</v>
      </c>
      <c r="N30" s="35">
        <f t="shared" si="2"/>
        <v>0.75</v>
      </c>
      <c r="O30" s="34">
        <f t="shared" si="0"/>
        <v>8225</v>
      </c>
      <c r="P30" s="32" t="s">
        <v>16</v>
      </c>
    </row>
    <row r="31" spans="1:16" s="2" customFormat="1" x14ac:dyDescent="0.35">
      <c r="A31" s="32" t="str">
        <f t="shared" si="3"/>
        <v>2024 JAN-DEC DISC 75 LICENSE ESS</v>
      </c>
      <c r="B31" s="33">
        <f t="shared" si="3"/>
        <v>46121</v>
      </c>
      <c r="C31" s="33">
        <f t="shared" si="3"/>
        <v>46127</v>
      </c>
      <c r="D31" s="32">
        <v>3287</v>
      </c>
      <c r="E31" s="32">
        <v>338</v>
      </c>
      <c r="F31" s="32">
        <v>4</v>
      </c>
      <c r="G31" s="23">
        <v>7</v>
      </c>
      <c r="H31" s="23">
        <v>81595</v>
      </c>
      <c r="I31" s="23" t="s">
        <v>17</v>
      </c>
      <c r="J31" s="22">
        <v>15647133</v>
      </c>
      <c r="K31" s="22" t="s">
        <v>3074</v>
      </c>
      <c r="L31" s="22" t="s">
        <v>3076</v>
      </c>
      <c r="M31" s="24">
        <v>32900</v>
      </c>
      <c r="N31" s="35">
        <f t="shared" si="2"/>
        <v>0.75</v>
      </c>
      <c r="O31" s="34">
        <f t="shared" si="0"/>
        <v>8225</v>
      </c>
      <c r="P31" s="32" t="s">
        <v>16</v>
      </c>
    </row>
    <row r="32" spans="1:16" s="2" customFormat="1" x14ac:dyDescent="0.35">
      <c r="A32" s="32" t="str">
        <f t="shared" si="3"/>
        <v>2024 JAN-DEC DISC 75 LICENSE ESS</v>
      </c>
      <c r="B32" s="33">
        <f t="shared" si="3"/>
        <v>46121</v>
      </c>
      <c r="C32" s="33">
        <f t="shared" si="3"/>
        <v>46127</v>
      </c>
      <c r="D32" s="32">
        <v>3287</v>
      </c>
      <c r="E32" s="32">
        <v>338</v>
      </c>
      <c r="F32" s="32">
        <v>4</v>
      </c>
      <c r="G32" s="23">
        <v>4</v>
      </c>
      <c r="H32" s="23">
        <v>81676</v>
      </c>
      <c r="I32" s="23" t="s">
        <v>17</v>
      </c>
      <c r="J32" s="22">
        <v>15647222</v>
      </c>
      <c r="K32" s="22" t="s">
        <v>3100</v>
      </c>
      <c r="L32" s="22" t="s">
        <v>3101</v>
      </c>
      <c r="M32" s="24">
        <v>229900</v>
      </c>
      <c r="N32" s="35">
        <f t="shared" si="2"/>
        <v>0.75</v>
      </c>
      <c r="O32" s="34">
        <f t="shared" si="0"/>
        <v>57475</v>
      </c>
      <c r="P32" s="32" t="s">
        <v>16</v>
      </c>
    </row>
    <row r="33" spans="1:16" s="2" customFormat="1" x14ac:dyDescent="0.35">
      <c r="A33" s="32" t="str">
        <f t="shared" si="3"/>
        <v>2024 JAN-DEC DISC 75 LICENSE ESS</v>
      </c>
      <c r="B33" s="33">
        <f t="shared" si="3"/>
        <v>46121</v>
      </c>
      <c r="C33" s="33">
        <f t="shared" si="3"/>
        <v>46127</v>
      </c>
      <c r="D33" s="32">
        <v>3287</v>
      </c>
      <c r="E33" s="32">
        <v>338</v>
      </c>
      <c r="F33" s="32">
        <v>4</v>
      </c>
      <c r="G33" s="23">
        <v>4</v>
      </c>
      <c r="H33" s="23">
        <v>81676</v>
      </c>
      <c r="I33" s="23" t="s">
        <v>17</v>
      </c>
      <c r="J33" s="22">
        <v>15647231</v>
      </c>
      <c r="K33" s="22" t="s">
        <v>3100</v>
      </c>
      <c r="L33" s="22" t="s">
        <v>3102</v>
      </c>
      <c r="M33" s="24">
        <v>229900</v>
      </c>
      <c r="N33" s="35">
        <f t="shared" si="2"/>
        <v>0.75</v>
      </c>
      <c r="O33" s="34">
        <f t="shared" si="0"/>
        <v>57475</v>
      </c>
      <c r="P33" s="32" t="s">
        <v>16</v>
      </c>
    </row>
    <row r="34" spans="1:16" s="2" customFormat="1" x14ac:dyDescent="0.35">
      <c r="A34" s="32" t="str">
        <f t="shared" si="3"/>
        <v>2024 JAN-DEC DISC 75 LICENSE ESS</v>
      </c>
      <c r="B34" s="33">
        <f t="shared" si="3"/>
        <v>46121</v>
      </c>
      <c r="C34" s="33">
        <f t="shared" si="3"/>
        <v>46127</v>
      </c>
      <c r="D34" s="32">
        <v>3287</v>
      </c>
      <c r="E34" s="32">
        <v>338</v>
      </c>
      <c r="F34" s="32">
        <v>4</v>
      </c>
      <c r="G34" s="23">
        <v>4</v>
      </c>
      <c r="H34" s="23">
        <v>81676</v>
      </c>
      <c r="I34" s="23" t="s">
        <v>17</v>
      </c>
      <c r="J34" s="22">
        <v>15647240</v>
      </c>
      <c r="K34" s="22" t="s">
        <v>3100</v>
      </c>
      <c r="L34" s="22" t="s">
        <v>3103</v>
      </c>
      <c r="M34" s="24">
        <v>229900</v>
      </c>
      <c r="N34" s="35">
        <f t="shared" si="2"/>
        <v>0.75</v>
      </c>
      <c r="O34" s="34">
        <f t="shared" si="0"/>
        <v>57475</v>
      </c>
      <c r="P34" s="32" t="s">
        <v>16</v>
      </c>
    </row>
    <row r="35" spans="1:16" s="2" customFormat="1" x14ac:dyDescent="0.35">
      <c r="A35" s="32" t="str">
        <f t="shared" si="3"/>
        <v>2024 JAN-DEC DISC 75 LICENSE ESS</v>
      </c>
      <c r="B35" s="33">
        <f t="shared" si="3"/>
        <v>46121</v>
      </c>
      <c r="C35" s="33">
        <f t="shared" si="3"/>
        <v>46127</v>
      </c>
      <c r="D35" s="32">
        <v>3287</v>
      </c>
      <c r="E35" s="32">
        <v>338</v>
      </c>
      <c r="F35" s="32">
        <v>4</v>
      </c>
      <c r="G35" s="23">
        <v>4</v>
      </c>
      <c r="H35" s="23">
        <v>81676</v>
      </c>
      <c r="I35" s="23" t="s">
        <v>17</v>
      </c>
      <c r="J35" s="22">
        <v>15647259</v>
      </c>
      <c r="K35" s="22" t="s">
        <v>3100</v>
      </c>
      <c r="L35" s="22" t="s">
        <v>3104</v>
      </c>
      <c r="M35" s="24">
        <v>229900</v>
      </c>
      <c r="N35" s="35">
        <f t="shared" si="2"/>
        <v>0.75</v>
      </c>
      <c r="O35" s="34">
        <f t="shared" si="0"/>
        <v>57475</v>
      </c>
      <c r="P35" s="32" t="s">
        <v>16</v>
      </c>
    </row>
    <row r="36" spans="1:16" s="2" customFormat="1" x14ac:dyDescent="0.35">
      <c r="A36" s="32" t="str">
        <f t="shared" ref="A36:C51" si="4">A35</f>
        <v>2024 JAN-DEC DISC 75 LICENSE ESS</v>
      </c>
      <c r="B36" s="33">
        <f t="shared" si="4"/>
        <v>46121</v>
      </c>
      <c r="C36" s="33">
        <f t="shared" si="4"/>
        <v>46127</v>
      </c>
      <c r="D36" s="32">
        <v>3287</v>
      </c>
      <c r="E36" s="32">
        <v>338</v>
      </c>
      <c r="F36" s="32">
        <v>4</v>
      </c>
      <c r="G36" s="23">
        <v>4</v>
      </c>
      <c r="H36" s="23">
        <v>81676</v>
      </c>
      <c r="I36" s="23" t="s">
        <v>17</v>
      </c>
      <c r="J36" s="22">
        <v>15647268</v>
      </c>
      <c r="K36" s="22" t="s">
        <v>3100</v>
      </c>
      <c r="L36" s="22" t="s">
        <v>3105</v>
      </c>
      <c r="M36" s="24">
        <v>229900</v>
      </c>
      <c r="N36" s="35">
        <f t="shared" si="2"/>
        <v>0.75</v>
      </c>
      <c r="O36" s="34">
        <f t="shared" si="0"/>
        <v>57475</v>
      </c>
      <c r="P36" s="32" t="s">
        <v>16</v>
      </c>
    </row>
    <row r="37" spans="1:16" s="2" customFormat="1" x14ac:dyDescent="0.35">
      <c r="A37" s="32" t="str">
        <f t="shared" si="4"/>
        <v>2024 JAN-DEC DISC 75 LICENSE ESS</v>
      </c>
      <c r="B37" s="33">
        <f t="shared" si="4"/>
        <v>46121</v>
      </c>
      <c r="C37" s="33">
        <f t="shared" si="4"/>
        <v>46127</v>
      </c>
      <c r="D37" s="32">
        <v>3287</v>
      </c>
      <c r="E37" s="32">
        <v>338</v>
      </c>
      <c r="F37" s="32">
        <v>4</v>
      </c>
      <c r="G37" s="23">
        <v>4</v>
      </c>
      <c r="H37" s="23">
        <v>81676</v>
      </c>
      <c r="I37" s="23" t="s">
        <v>17</v>
      </c>
      <c r="J37" s="22">
        <v>15647277</v>
      </c>
      <c r="K37" s="22" t="s">
        <v>3100</v>
      </c>
      <c r="L37" s="22" t="s">
        <v>3106</v>
      </c>
      <c r="M37" s="24">
        <v>229900</v>
      </c>
      <c r="N37" s="35">
        <f t="shared" si="2"/>
        <v>0.75</v>
      </c>
      <c r="O37" s="34">
        <f t="shared" si="0"/>
        <v>57475</v>
      </c>
      <c r="P37" s="32" t="s">
        <v>16</v>
      </c>
    </row>
    <row r="38" spans="1:16" s="2" customFormat="1" x14ac:dyDescent="0.35">
      <c r="A38" s="32" t="str">
        <f t="shared" si="4"/>
        <v>2024 JAN-DEC DISC 75 LICENSE ESS</v>
      </c>
      <c r="B38" s="33">
        <f t="shared" si="4"/>
        <v>46121</v>
      </c>
      <c r="C38" s="33">
        <f t="shared" si="4"/>
        <v>46127</v>
      </c>
      <c r="D38" s="32">
        <v>3287</v>
      </c>
      <c r="E38" s="32">
        <v>338</v>
      </c>
      <c r="F38" s="32">
        <v>4</v>
      </c>
      <c r="G38" s="23">
        <v>4</v>
      </c>
      <c r="H38" s="23">
        <v>81676</v>
      </c>
      <c r="I38" s="23" t="s">
        <v>17</v>
      </c>
      <c r="J38" s="22">
        <v>15647286</v>
      </c>
      <c r="K38" s="22" t="s">
        <v>3100</v>
      </c>
      <c r="L38" s="22" t="s">
        <v>3107</v>
      </c>
      <c r="M38" s="24">
        <v>229900</v>
      </c>
      <c r="N38" s="35">
        <f t="shared" si="2"/>
        <v>0.75</v>
      </c>
      <c r="O38" s="34">
        <f t="shared" si="0"/>
        <v>57475</v>
      </c>
      <c r="P38" s="32" t="s">
        <v>16</v>
      </c>
    </row>
    <row r="39" spans="1:16" s="2" customFormat="1" x14ac:dyDescent="0.35">
      <c r="A39" s="32" t="str">
        <f t="shared" si="4"/>
        <v>2024 JAN-DEC DISC 75 LICENSE ESS</v>
      </c>
      <c r="B39" s="33">
        <f t="shared" si="4"/>
        <v>46121</v>
      </c>
      <c r="C39" s="33">
        <f t="shared" si="4"/>
        <v>46127</v>
      </c>
      <c r="D39" s="32">
        <v>3287</v>
      </c>
      <c r="E39" s="32">
        <v>338</v>
      </c>
      <c r="F39" s="32">
        <v>4</v>
      </c>
      <c r="G39" s="23">
        <v>4</v>
      </c>
      <c r="H39" s="23">
        <v>81676</v>
      </c>
      <c r="I39" s="23" t="s">
        <v>17</v>
      </c>
      <c r="J39" s="22">
        <v>15647295</v>
      </c>
      <c r="K39" s="22" t="s">
        <v>3100</v>
      </c>
      <c r="L39" s="22" t="s">
        <v>3422</v>
      </c>
      <c r="M39" s="24">
        <v>229900</v>
      </c>
      <c r="N39" s="35">
        <f t="shared" si="2"/>
        <v>0.75</v>
      </c>
      <c r="O39" s="34">
        <f t="shared" si="0"/>
        <v>57475</v>
      </c>
      <c r="P39" s="32" t="s">
        <v>16</v>
      </c>
    </row>
    <row r="40" spans="1:16" s="2" customFormat="1" x14ac:dyDescent="0.35">
      <c r="A40" s="32" t="str">
        <f t="shared" si="4"/>
        <v>2024 JAN-DEC DISC 75 LICENSE ESS</v>
      </c>
      <c r="B40" s="33">
        <f t="shared" si="4"/>
        <v>46121</v>
      </c>
      <c r="C40" s="33">
        <f t="shared" si="4"/>
        <v>46127</v>
      </c>
      <c r="D40" s="32">
        <v>3287</v>
      </c>
      <c r="E40" s="32">
        <v>338</v>
      </c>
      <c r="F40" s="32">
        <v>4</v>
      </c>
      <c r="G40" s="23">
        <v>7</v>
      </c>
      <c r="H40" s="23">
        <v>599</v>
      </c>
      <c r="I40" s="23" t="s">
        <v>17</v>
      </c>
      <c r="J40" s="22">
        <v>15780640</v>
      </c>
      <c r="K40" s="22" t="s">
        <v>3047</v>
      </c>
      <c r="L40" s="22" t="s">
        <v>3048</v>
      </c>
      <c r="M40" s="24">
        <v>32900</v>
      </c>
      <c r="N40" s="35">
        <f t="shared" si="2"/>
        <v>0.75</v>
      </c>
      <c r="O40" s="34">
        <f t="shared" si="0"/>
        <v>8225</v>
      </c>
      <c r="P40" s="32" t="s">
        <v>16</v>
      </c>
    </row>
    <row r="41" spans="1:16" s="2" customFormat="1" x14ac:dyDescent="0.35">
      <c r="A41" s="32" t="str">
        <f t="shared" si="4"/>
        <v>2024 JAN-DEC DISC 75 LICENSE ESS</v>
      </c>
      <c r="B41" s="33">
        <f t="shared" si="4"/>
        <v>46121</v>
      </c>
      <c r="C41" s="33">
        <f t="shared" si="4"/>
        <v>46127</v>
      </c>
      <c r="D41" s="32">
        <v>3287</v>
      </c>
      <c r="E41" s="32">
        <v>338</v>
      </c>
      <c r="F41" s="32">
        <v>4</v>
      </c>
      <c r="G41" s="23">
        <v>7</v>
      </c>
      <c r="H41" s="23">
        <v>599</v>
      </c>
      <c r="I41" s="23" t="s">
        <v>17</v>
      </c>
      <c r="J41" s="22">
        <v>15780659</v>
      </c>
      <c r="K41" s="22" t="s">
        <v>3047</v>
      </c>
      <c r="L41" s="22" t="s">
        <v>3049</v>
      </c>
      <c r="M41" s="24">
        <v>32900</v>
      </c>
      <c r="N41" s="35">
        <f t="shared" si="2"/>
        <v>0.75</v>
      </c>
      <c r="O41" s="34">
        <f t="shared" si="0"/>
        <v>8225</v>
      </c>
      <c r="P41" s="32" t="s">
        <v>16</v>
      </c>
    </row>
    <row r="42" spans="1:16" s="2" customFormat="1" x14ac:dyDescent="0.35">
      <c r="A42" s="32" t="str">
        <f t="shared" si="4"/>
        <v>2024 JAN-DEC DISC 75 LICENSE ESS</v>
      </c>
      <c r="B42" s="33">
        <f t="shared" si="4"/>
        <v>46121</v>
      </c>
      <c r="C42" s="33">
        <f t="shared" si="4"/>
        <v>46127</v>
      </c>
      <c r="D42" s="32">
        <v>3287</v>
      </c>
      <c r="E42" s="32">
        <v>338</v>
      </c>
      <c r="F42" s="32">
        <v>4</v>
      </c>
      <c r="G42" s="23">
        <v>7</v>
      </c>
      <c r="H42" s="23">
        <v>599</v>
      </c>
      <c r="I42" s="23" t="s">
        <v>17</v>
      </c>
      <c r="J42" s="22">
        <v>15780668</v>
      </c>
      <c r="K42" s="22" t="s">
        <v>3016</v>
      </c>
      <c r="L42" s="22" t="s">
        <v>3017</v>
      </c>
      <c r="M42" s="24">
        <v>32900</v>
      </c>
      <c r="N42" s="35">
        <f t="shared" si="2"/>
        <v>0.75</v>
      </c>
      <c r="O42" s="34">
        <f t="shared" si="0"/>
        <v>8225</v>
      </c>
      <c r="P42" s="32" t="s">
        <v>16</v>
      </c>
    </row>
    <row r="43" spans="1:16" s="2" customFormat="1" x14ac:dyDescent="0.35">
      <c r="A43" s="32" t="str">
        <f t="shared" si="4"/>
        <v>2024 JAN-DEC DISC 75 LICENSE ESS</v>
      </c>
      <c r="B43" s="33">
        <f t="shared" si="4"/>
        <v>46121</v>
      </c>
      <c r="C43" s="33">
        <f t="shared" si="4"/>
        <v>46127</v>
      </c>
      <c r="D43" s="32">
        <v>3287</v>
      </c>
      <c r="E43" s="32">
        <v>338</v>
      </c>
      <c r="F43" s="32">
        <v>4</v>
      </c>
      <c r="G43" s="23">
        <v>7</v>
      </c>
      <c r="H43" s="23">
        <v>599</v>
      </c>
      <c r="I43" s="23" t="s">
        <v>17</v>
      </c>
      <c r="J43" s="22">
        <v>15780677</v>
      </c>
      <c r="K43" s="22" t="s">
        <v>3016</v>
      </c>
      <c r="L43" s="22" t="s">
        <v>3018</v>
      </c>
      <c r="M43" s="24">
        <v>32900</v>
      </c>
      <c r="N43" s="35">
        <f t="shared" si="2"/>
        <v>0.75</v>
      </c>
      <c r="O43" s="34">
        <f t="shared" si="0"/>
        <v>8225</v>
      </c>
      <c r="P43" s="32" t="s">
        <v>16</v>
      </c>
    </row>
    <row r="44" spans="1:16" s="2" customFormat="1" x14ac:dyDescent="0.35">
      <c r="A44" s="32" t="str">
        <f t="shared" si="4"/>
        <v>2024 JAN-DEC DISC 75 LICENSE ESS</v>
      </c>
      <c r="B44" s="33">
        <f t="shared" si="4"/>
        <v>46121</v>
      </c>
      <c r="C44" s="33">
        <f t="shared" si="4"/>
        <v>46127</v>
      </c>
      <c r="D44" s="32">
        <v>3287</v>
      </c>
      <c r="E44" s="32">
        <v>338</v>
      </c>
      <c r="F44" s="32">
        <v>4</v>
      </c>
      <c r="G44" s="23">
        <v>7</v>
      </c>
      <c r="H44" s="23">
        <v>599</v>
      </c>
      <c r="I44" s="23" t="s">
        <v>17</v>
      </c>
      <c r="J44" s="22">
        <v>15780686</v>
      </c>
      <c r="K44" s="22" t="s">
        <v>3019</v>
      </c>
      <c r="L44" s="22" t="s">
        <v>3020</v>
      </c>
      <c r="M44" s="24">
        <v>32900</v>
      </c>
      <c r="N44" s="35">
        <f t="shared" si="2"/>
        <v>0.75</v>
      </c>
      <c r="O44" s="34">
        <f t="shared" si="0"/>
        <v>8225</v>
      </c>
      <c r="P44" s="32" t="s">
        <v>16</v>
      </c>
    </row>
    <row r="45" spans="1:16" s="2" customFormat="1" x14ac:dyDescent="0.35">
      <c r="A45" s="32" t="str">
        <f t="shared" si="4"/>
        <v>2024 JAN-DEC DISC 75 LICENSE ESS</v>
      </c>
      <c r="B45" s="33">
        <f t="shared" si="4"/>
        <v>46121</v>
      </c>
      <c r="C45" s="33">
        <f t="shared" si="4"/>
        <v>46127</v>
      </c>
      <c r="D45" s="32">
        <v>3287</v>
      </c>
      <c r="E45" s="32">
        <v>338</v>
      </c>
      <c r="F45" s="32">
        <v>4</v>
      </c>
      <c r="G45" s="23">
        <v>7</v>
      </c>
      <c r="H45" s="23">
        <v>599</v>
      </c>
      <c r="I45" s="23" t="s">
        <v>17</v>
      </c>
      <c r="J45" s="22">
        <v>15780695</v>
      </c>
      <c r="K45" s="22" t="s">
        <v>3019</v>
      </c>
      <c r="L45" s="22" t="s">
        <v>3021</v>
      </c>
      <c r="M45" s="24">
        <v>32900</v>
      </c>
      <c r="N45" s="35">
        <f t="shared" si="2"/>
        <v>0.75</v>
      </c>
      <c r="O45" s="34">
        <f t="shared" si="0"/>
        <v>8225</v>
      </c>
      <c r="P45" s="32" t="s">
        <v>16</v>
      </c>
    </row>
    <row r="46" spans="1:16" s="2" customFormat="1" x14ac:dyDescent="0.35">
      <c r="A46" s="32" t="str">
        <f t="shared" si="4"/>
        <v>2024 JAN-DEC DISC 75 LICENSE ESS</v>
      </c>
      <c r="B46" s="33">
        <f t="shared" si="4"/>
        <v>46121</v>
      </c>
      <c r="C46" s="33">
        <f t="shared" si="4"/>
        <v>46127</v>
      </c>
      <c r="D46" s="32">
        <v>3287</v>
      </c>
      <c r="E46" s="32">
        <v>338</v>
      </c>
      <c r="F46" s="32">
        <v>4</v>
      </c>
      <c r="G46" s="23">
        <v>3</v>
      </c>
      <c r="H46" s="23">
        <v>850</v>
      </c>
      <c r="I46" s="23" t="s">
        <v>17</v>
      </c>
      <c r="J46" s="22">
        <v>15780702</v>
      </c>
      <c r="K46" s="22" t="s">
        <v>3765</v>
      </c>
      <c r="L46" s="22" t="s">
        <v>3766</v>
      </c>
      <c r="M46" s="24">
        <v>99900</v>
      </c>
      <c r="N46" s="35">
        <f t="shared" si="2"/>
        <v>0.75</v>
      </c>
      <c r="O46" s="34">
        <f t="shared" si="0"/>
        <v>24975</v>
      </c>
      <c r="P46" s="32" t="s">
        <v>16</v>
      </c>
    </row>
    <row r="47" spans="1:16" s="2" customFormat="1" x14ac:dyDescent="0.35">
      <c r="A47" s="32" t="str">
        <f t="shared" si="4"/>
        <v>2024 JAN-DEC DISC 75 LICENSE ESS</v>
      </c>
      <c r="B47" s="33">
        <f t="shared" si="4"/>
        <v>46121</v>
      </c>
      <c r="C47" s="33">
        <f t="shared" si="4"/>
        <v>46127</v>
      </c>
      <c r="D47" s="32">
        <v>3287</v>
      </c>
      <c r="E47" s="32">
        <v>338</v>
      </c>
      <c r="F47" s="32">
        <v>4</v>
      </c>
      <c r="G47" s="23">
        <v>3</v>
      </c>
      <c r="H47" s="23">
        <v>850</v>
      </c>
      <c r="I47" s="23" t="s">
        <v>17</v>
      </c>
      <c r="J47" s="22">
        <v>15780711</v>
      </c>
      <c r="K47" s="22" t="s">
        <v>3765</v>
      </c>
      <c r="L47" s="22" t="s">
        <v>3767</v>
      </c>
      <c r="M47" s="24">
        <v>99900</v>
      </c>
      <c r="N47" s="35">
        <f t="shared" si="2"/>
        <v>0.75</v>
      </c>
      <c r="O47" s="34">
        <f t="shared" si="0"/>
        <v>24975</v>
      </c>
      <c r="P47" s="32" t="s">
        <v>16</v>
      </c>
    </row>
    <row r="48" spans="1:16" s="2" customFormat="1" x14ac:dyDescent="0.35">
      <c r="A48" s="32" t="str">
        <f t="shared" si="4"/>
        <v>2024 JAN-DEC DISC 75 LICENSE ESS</v>
      </c>
      <c r="B48" s="33">
        <f t="shared" si="4"/>
        <v>46121</v>
      </c>
      <c r="C48" s="33">
        <f t="shared" si="4"/>
        <v>46127</v>
      </c>
      <c r="D48" s="32">
        <v>3287</v>
      </c>
      <c r="E48" s="32">
        <v>338</v>
      </c>
      <c r="F48" s="32">
        <v>4</v>
      </c>
      <c r="G48" s="23">
        <v>3</v>
      </c>
      <c r="H48" s="23">
        <v>850</v>
      </c>
      <c r="I48" s="23" t="s">
        <v>17</v>
      </c>
      <c r="J48" s="22">
        <v>15780720</v>
      </c>
      <c r="K48" s="22" t="s">
        <v>3765</v>
      </c>
      <c r="L48" s="22" t="s">
        <v>3768</v>
      </c>
      <c r="M48" s="24">
        <v>99900</v>
      </c>
      <c r="N48" s="35">
        <f t="shared" si="2"/>
        <v>0.75</v>
      </c>
      <c r="O48" s="34">
        <f t="shared" si="0"/>
        <v>24975</v>
      </c>
      <c r="P48" s="32" t="s">
        <v>16</v>
      </c>
    </row>
    <row r="49" spans="1:16" s="2" customFormat="1" x14ac:dyDescent="0.35">
      <c r="A49" s="32" t="str">
        <f t="shared" si="4"/>
        <v>2024 JAN-DEC DISC 75 LICENSE ESS</v>
      </c>
      <c r="B49" s="33">
        <f t="shared" si="4"/>
        <v>46121</v>
      </c>
      <c r="C49" s="33">
        <f t="shared" si="4"/>
        <v>46127</v>
      </c>
      <c r="D49" s="32">
        <v>3287</v>
      </c>
      <c r="E49" s="32">
        <v>338</v>
      </c>
      <c r="F49" s="32">
        <v>4</v>
      </c>
      <c r="G49" s="23">
        <v>3</v>
      </c>
      <c r="H49" s="23">
        <v>850</v>
      </c>
      <c r="I49" s="23" t="s">
        <v>17</v>
      </c>
      <c r="J49" s="22">
        <v>15780739</v>
      </c>
      <c r="K49" s="22" t="s">
        <v>3765</v>
      </c>
      <c r="L49" s="22" t="s">
        <v>3769</v>
      </c>
      <c r="M49" s="24">
        <v>99900</v>
      </c>
      <c r="N49" s="35">
        <f t="shared" si="2"/>
        <v>0.75</v>
      </c>
      <c r="O49" s="34">
        <f t="shared" si="0"/>
        <v>24975</v>
      </c>
      <c r="P49" s="32" t="s">
        <v>16</v>
      </c>
    </row>
    <row r="50" spans="1:16" s="2" customFormat="1" x14ac:dyDescent="0.35">
      <c r="A50" s="32" t="str">
        <f t="shared" si="4"/>
        <v>2024 JAN-DEC DISC 75 LICENSE ESS</v>
      </c>
      <c r="B50" s="33">
        <f t="shared" si="4"/>
        <v>46121</v>
      </c>
      <c r="C50" s="33">
        <f t="shared" si="4"/>
        <v>46127</v>
      </c>
      <c r="D50" s="32">
        <v>3287</v>
      </c>
      <c r="E50" s="32">
        <v>338</v>
      </c>
      <c r="F50" s="32">
        <v>4</v>
      </c>
      <c r="G50" s="23">
        <v>3</v>
      </c>
      <c r="H50" s="23">
        <v>81574</v>
      </c>
      <c r="I50" s="23" t="s">
        <v>17</v>
      </c>
      <c r="J50" s="22">
        <v>15780748</v>
      </c>
      <c r="K50" s="22" t="s">
        <v>3785</v>
      </c>
      <c r="L50" s="22" t="s">
        <v>3786</v>
      </c>
      <c r="M50" s="24">
        <v>99900</v>
      </c>
      <c r="N50" s="35">
        <f t="shared" si="2"/>
        <v>0.75</v>
      </c>
      <c r="O50" s="34">
        <f t="shared" si="0"/>
        <v>24975</v>
      </c>
      <c r="P50" s="32" t="s">
        <v>16</v>
      </c>
    </row>
    <row r="51" spans="1:16" s="2" customFormat="1" x14ac:dyDescent="0.35">
      <c r="A51" s="32" t="str">
        <f t="shared" si="4"/>
        <v>2024 JAN-DEC DISC 75 LICENSE ESS</v>
      </c>
      <c r="B51" s="33">
        <f t="shared" si="4"/>
        <v>46121</v>
      </c>
      <c r="C51" s="33">
        <f t="shared" si="4"/>
        <v>46127</v>
      </c>
      <c r="D51" s="32">
        <v>3287</v>
      </c>
      <c r="E51" s="32">
        <v>338</v>
      </c>
      <c r="F51" s="32">
        <v>4</v>
      </c>
      <c r="G51" s="23">
        <v>3</v>
      </c>
      <c r="H51" s="23">
        <v>81574</v>
      </c>
      <c r="I51" s="23" t="s">
        <v>17</v>
      </c>
      <c r="J51" s="22">
        <v>15780757</v>
      </c>
      <c r="K51" s="22" t="s">
        <v>3785</v>
      </c>
      <c r="L51" s="22" t="s">
        <v>3787</v>
      </c>
      <c r="M51" s="24">
        <v>99900</v>
      </c>
      <c r="N51" s="35">
        <f t="shared" si="2"/>
        <v>0.75</v>
      </c>
      <c r="O51" s="34">
        <f t="shared" si="0"/>
        <v>24975</v>
      </c>
      <c r="P51" s="32" t="s">
        <v>16</v>
      </c>
    </row>
    <row r="52" spans="1:16" s="2" customFormat="1" x14ac:dyDescent="0.35">
      <c r="A52" s="32" t="str">
        <f t="shared" ref="A52:C67" si="5">A51</f>
        <v>2024 JAN-DEC DISC 75 LICENSE ESS</v>
      </c>
      <c r="B52" s="33">
        <f t="shared" si="5"/>
        <v>46121</v>
      </c>
      <c r="C52" s="33">
        <f t="shared" si="5"/>
        <v>46127</v>
      </c>
      <c r="D52" s="32">
        <v>3287</v>
      </c>
      <c r="E52" s="32">
        <v>338</v>
      </c>
      <c r="F52" s="32">
        <v>4</v>
      </c>
      <c r="G52" s="23">
        <v>3</v>
      </c>
      <c r="H52" s="23">
        <v>81574</v>
      </c>
      <c r="I52" s="23" t="s">
        <v>17</v>
      </c>
      <c r="J52" s="22">
        <v>15780766</v>
      </c>
      <c r="K52" s="22" t="s">
        <v>3785</v>
      </c>
      <c r="L52" s="22" t="s">
        <v>3788</v>
      </c>
      <c r="M52" s="24">
        <v>99900</v>
      </c>
      <c r="N52" s="35">
        <f t="shared" si="2"/>
        <v>0.75</v>
      </c>
      <c r="O52" s="34">
        <f t="shared" si="0"/>
        <v>24975</v>
      </c>
      <c r="P52" s="32" t="s">
        <v>16</v>
      </c>
    </row>
    <row r="53" spans="1:16" s="2" customFormat="1" x14ac:dyDescent="0.35">
      <c r="A53" s="32" t="str">
        <f t="shared" si="5"/>
        <v>2024 JAN-DEC DISC 75 LICENSE ESS</v>
      </c>
      <c r="B53" s="33">
        <f t="shared" si="5"/>
        <v>46121</v>
      </c>
      <c r="C53" s="33">
        <f t="shared" si="5"/>
        <v>46127</v>
      </c>
      <c r="D53" s="32">
        <v>3287</v>
      </c>
      <c r="E53" s="32">
        <v>338</v>
      </c>
      <c r="F53" s="32">
        <v>4</v>
      </c>
      <c r="G53" s="23">
        <v>3</v>
      </c>
      <c r="H53" s="23">
        <v>81574</v>
      </c>
      <c r="I53" s="23" t="s">
        <v>17</v>
      </c>
      <c r="J53" s="22">
        <v>15780784</v>
      </c>
      <c r="K53" s="22" t="s">
        <v>3785</v>
      </c>
      <c r="L53" s="22" t="s">
        <v>3789</v>
      </c>
      <c r="M53" s="24">
        <v>99900</v>
      </c>
      <c r="N53" s="35">
        <f t="shared" si="2"/>
        <v>0.75</v>
      </c>
      <c r="O53" s="34">
        <f t="shared" si="0"/>
        <v>24975</v>
      </c>
      <c r="P53" s="32" t="s">
        <v>16</v>
      </c>
    </row>
    <row r="54" spans="1:16" s="2" customFormat="1" x14ac:dyDescent="0.35">
      <c r="A54" s="32" t="str">
        <f t="shared" si="5"/>
        <v>2024 JAN-DEC DISC 75 LICENSE ESS</v>
      </c>
      <c r="B54" s="33">
        <f t="shared" si="5"/>
        <v>46121</v>
      </c>
      <c r="C54" s="33">
        <f t="shared" si="5"/>
        <v>46127</v>
      </c>
      <c r="D54" s="32">
        <v>3287</v>
      </c>
      <c r="E54" s="32">
        <v>338</v>
      </c>
      <c r="F54" s="32">
        <v>4</v>
      </c>
      <c r="G54" s="23">
        <v>8</v>
      </c>
      <c r="H54" s="23">
        <v>81462</v>
      </c>
      <c r="I54" s="23" t="s">
        <v>17</v>
      </c>
      <c r="J54" s="22">
        <v>15816398</v>
      </c>
      <c r="K54" s="22" t="s">
        <v>4947</v>
      </c>
      <c r="L54" s="22" t="s">
        <v>4948</v>
      </c>
      <c r="M54" s="24">
        <v>89900</v>
      </c>
      <c r="N54" s="35">
        <f t="shared" si="2"/>
        <v>0.75</v>
      </c>
      <c r="O54" s="34">
        <f t="shared" si="0"/>
        <v>22475</v>
      </c>
      <c r="P54" s="32" t="s">
        <v>16</v>
      </c>
    </row>
    <row r="55" spans="1:16" s="2" customFormat="1" x14ac:dyDescent="0.35">
      <c r="A55" s="32" t="str">
        <f t="shared" si="5"/>
        <v>2024 JAN-DEC DISC 75 LICENSE ESS</v>
      </c>
      <c r="B55" s="33">
        <f t="shared" si="5"/>
        <v>46121</v>
      </c>
      <c r="C55" s="33">
        <f t="shared" si="5"/>
        <v>46127</v>
      </c>
      <c r="D55" s="32">
        <v>3287</v>
      </c>
      <c r="E55" s="32">
        <v>338</v>
      </c>
      <c r="F55" s="32">
        <v>4</v>
      </c>
      <c r="G55" s="23">
        <v>8</v>
      </c>
      <c r="H55" s="23">
        <v>81462</v>
      </c>
      <c r="I55" s="23" t="s">
        <v>17</v>
      </c>
      <c r="J55" s="22">
        <v>15816405</v>
      </c>
      <c r="K55" s="22" t="s">
        <v>4947</v>
      </c>
      <c r="L55" s="22" t="s">
        <v>4949</v>
      </c>
      <c r="M55" s="24">
        <v>89900</v>
      </c>
      <c r="N55" s="35">
        <f t="shared" si="2"/>
        <v>0.75</v>
      </c>
      <c r="O55" s="34">
        <f t="shared" si="0"/>
        <v>22475</v>
      </c>
      <c r="P55" s="32" t="s">
        <v>16</v>
      </c>
    </row>
    <row r="56" spans="1:16" s="2" customFormat="1" x14ac:dyDescent="0.35">
      <c r="A56" s="32" t="str">
        <f t="shared" si="5"/>
        <v>2024 JAN-DEC DISC 75 LICENSE ESS</v>
      </c>
      <c r="B56" s="33">
        <f t="shared" si="5"/>
        <v>46121</v>
      </c>
      <c r="C56" s="33">
        <f t="shared" si="5"/>
        <v>46127</v>
      </c>
      <c r="D56" s="32">
        <v>3287</v>
      </c>
      <c r="E56" s="32">
        <v>338</v>
      </c>
      <c r="F56" s="32">
        <v>4</v>
      </c>
      <c r="G56" s="23">
        <v>8</v>
      </c>
      <c r="H56" s="23">
        <v>81462</v>
      </c>
      <c r="I56" s="23" t="s">
        <v>17</v>
      </c>
      <c r="J56" s="22">
        <v>15816414</v>
      </c>
      <c r="K56" s="22" t="s">
        <v>4947</v>
      </c>
      <c r="L56" s="22" t="s">
        <v>4950</v>
      </c>
      <c r="M56" s="24">
        <v>89900</v>
      </c>
      <c r="N56" s="35">
        <f t="shared" si="2"/>
        <v>0.75</v>
      </c>
      <c r="O56" s="34">
        <f t="shared" si="0"/>
        <v>22475</v>
      </c>
      <c r="P56" s="32" t="s">
        <v>16</v>
      </c>
    </row>
    <row r="57" spans="1:16" s="2" customFormat="1" x14ac:dyDescent="0.35">
      <c r="A57" s="32" t="str">
        <f t="shared" si="5"/>
        <v>2024 JAN-DEC DISC 75 LICENSE ESS</v>
      </c>
      <c r="B57" s="33">
        <f t="shared" si="5"/>
        <v>46121</v>
      </c>
      <c r="C57" s="33">
        <f t="shared" si="5"/>
        <v>46127</v>
      </c>
      <c r="D57" s="32">
        <v>3287</v>
      </c>
      <c r="E57" s="32">
        <v>338</v>
      </c>
      <c r="F57" s="32">
        <v>4</v>
      </c>
      <c r="G57" s="23">
        <v>8</v>
      </c>
      <c r="H57" s="23">
        <v>81462</v>
      </c>
      <c r="I57" s="23" t="s">
        <v>17</v>
      </c>
      <c r="J57" s="22">
        <v>15816423</v>
      </c>
      <c r="K57" s="22" t="s">
        <v>4947</v>
      </c>
      <c r="L57" s="22" t="s">
        <v>4951</v>
      </c>
      <c r="M57" s="24">
        <v>89900</v>
      </c>
      <c r="N57" s="35">
        <f t="shared" si="2"/>
        <v>0.75</v>
      </c>
      <c r="O57" s="34">
        <f t="shared" si="0"/>
        <v>22475</v>
      </c>
      <c r="P57" s="32" t="s">
        <v>16</v>
      </c>
    </row>
    <row r="58" spans="1:16" s="2" customFormat="1" x14ac:dyDescent="0.35">
      <c r="A58" s="32" t="str">
        <f t="shared" si="5"/>
        <v>2024 JAN-DEC DISC 75 LICENSE ESS</v>
      </c>
      <c r="B58" s="33">
        <f t="shared" si="5"/>
        <v>46121</v>
      </c>
      <c r="C58" s="33">
        <f t="shared" si="5"/>
        <v>46127</v>
      </c>
      <c r="D58" s="32">
        <v>3287</v>
      </c>
      <c r="E58" s="32">
        <v>338</v>
      </c>
      <c r="F58" s="32">
        <v>4</v>
      </c>
      <c r="G58" s="23">
        <v>1</v>
      </c>
      <c r="H58" s="23">
        <v>850</v>
      </c>
      <c r="I58" s="23" t="s">
        <v>17</v>
      </c>
      <c r="J58" s="22">
        <v>16098770</v>
      </c>
      <c r="K58" s="22" t="s">
        <v>3740</v>
      </c>
      <c r="L58" s="22" t="s">
        <v>3741</v>
      </c>
      <c r="M58" s="24">
        <v>89900</v>
      </c>
      <c r="N58" s="35">
        <f t="shared" si="2"/>
        <v>0.75</v>
      </c>
      <c r="O58" s="34">
        <f t="shared" si="0"/>
        <v>22475</v>
      </c>
      <c r="P58" s="32" t="s">
        <v>16</v>
      </c>
    </row>
    <row r="59" spans="1:16" s="2" customFormat="1" x14ac:dyDescent="0.35">
      <c r="A59" s="32" t="str">
        <f t="shared" si="5"/>
        <v>2024 JAN-DEC DISC 75 LICENSE ESS</v>
      </c>
      <c r="B59" s="33">
        <f t="shared" si="5"/>
        <v>46121</v>
      </c>
      <c r="C59" s="33">
        <f t="shared" si="5"/>
        <v>46127</v>
      </c>
      <c r="D59" s="32">
        <v>3287</v>
      </c>
      <c r="E59" s="32">
        <v>338</v>
      </c>
      <c r="F59" s="32">
        <v>4</v>
      </c>
      <c r="G59" s="23">
        <v>1</v>
      </c>
      <c r="H59" s="23">
        <v>850</v>
      </c>
      <c r="I59" s="23" t="s">
        <v>17</v>
      </c>
      <c r="J59" s="22">
        <v>16098789</v>
      </c>
      <c r="K59" s="22" t="s">
        <v>3740</v>
      </c>
      <c r="L59" s="22" t="s">
        <v>3742</v>
      </c>
      <c r="M59" s="24">
        <v>89900</v>
      </c>
      <c r="N59" s="35">
        <f t="shared" si="2"/>
        <v>0.75</v>
      </c>
      <c r="O59" s="34">
        <f t="shared" si="0"/>
        <v>22475</v>
      </c>
      <c r="P59" s="32" t="s">
        <v>16</v>
      </c>
    </row>
    <row r="60" spans="1:16" s="2" customFormat="1" x14ac:dyDescent="0.35">
      <c r="A60" s="32" t="str">
        <f t="shared" si="5"/>
        <v>2024 JAN-DEC DISC 75 LICENSE ESS</v>
      </c>
      <c r="B60" s="33">
        <f t="shared" si="5"/>
        <v>46121</v>
      </c>
      <c r="C60" s="33">
        <f t="shared" si="5"/>
        <v>46127</v>
      </c>
      <c r="D60" s="32">
        <v>3287</v>
      </c>
      <c r="E60" s="32">
        <v>338</v>
      </c>
      <c r="F60" s="32">
        <v>4</v>
      </c>
      <c r="G60" s="23">
        <v>1</v>
      </c>
      <c r="H60" s="23">
        <v>850</v>
      </c>
      <c r="I60" s="23" t="s">
        <v>17</v>
      </c>
      <c r="J60" s="22">
        <v>16098798</v>
      </c>
      <c r="K60" s="22" t="s">
        <v>3740</v>
      </c>
      <c r="L60" s="22" t="s">
        <v>3743</v>
      </c>
      <c r="M60" s="24">
        <v>89900</v>
      </c>
      <c r="N60" s="35">
        <f t="shared" si="2"/>
        <v>0.75</v>
      </c>
      <c r="O60" s="34">
        <f t="shared" si="0"/>
        <v>22475</v>
      </c>
      <c r="P60" s="32" t="s">
        <v>16</v>
      </c>
    </row>
    <row r="61" spans="1:16" s="2" customFormat="1" x14ac:dyDescent="0.35">
      <c r="A61" s="32" t="str">
        <f t="shared" si="5"/>
        <v>2024 JAN-DEC DISC 75 LICENSE ESS</v>
      </c>
      <c r="B61" s="33">
        <f t="shared" si="5"/>
        <v>46121</v>
      </c>
      <c r="C61" s="33">
        <f t="shared" si="5"/>
        <v>46127</v>
      </c>
      <c r="D61" s="32">
        <v>3287</v>
      </c>
      <c r="E61" s="32">
        <v>338</v>
      </c>
      <c r="F61" s="32">
        <v>4</v>
      </c>
      <c r="G61" s="23">
        <v>1</v>
      </c>
      <c r="H61" s="23">
        <v>850</v>
      </c>
      <c r="I61" s="23" t="s">
        <v>17</v>
      </c>
      <c r="J61" s="22">
        <v>16098805</v>
      </c>
      <c r="K61" s="22" t="s">
        <v>3740</v>
      </c>
      <c r="L61" s="22" t="s">
        <v>3744</v>
      </c>
      <c r="M61" s="24">
        <v>89900</v>
      </c>
      <c r="N61" s="35">
        <f t="shared" si="2"/>
        <v>0.75</v>
      </c>
      <c r="O61" s="34">
        <f t="shared" si="0"/>
        <v>22475</v>
      </c>
      <c r="P61" s="32" t="s">
        <v>16</v>
      </c>
    </row>
    <row r="62" spans="1:16" s="2" customFormat="1" x14ac:dyDescent="0.35">
      <c r="A62" s="32" t="str">
        <f t="shared" si="5"/>
        <v>2024 JAN-DEC DISC 75 LICENSE ESS</v>
      </c>
      <c r="B62" s="33">
        <f t="shared" si="5"/>
        <v>46121</v>
      </c>
      <c r="C62" s="33">
        <f t="shared" si="5"/>
        <v>46127</v>
      </c>
      <c r="D62" s="32">
        <v>3287</v>
      </c>
      <c r="E62" s="32">
        <v>338</v>
      </c>
      <c r="F62" s="32">
        <v>4</v>
      </c>
      <c r="G62" s="23">
        <v>2</v>
      </c>
      <c r="H62" s="23">
        <v>850</v>
      </c>
      <c r="I62" s="23" t="s">
        <v>17</v>
      </c>
      <c r="J62" s="22">
        <v>16622756</v>
      </c>
      <c r="K62" s="22" t="s">
        <v>3025</v>
      </c>
      <c r="L62" s="22" t="s">
        <v>3026</v>
      </c>
      <c r="M62" s="24">
        <v>229900</v>
      </c>
      <c r="N62" s="35">
        <f t="shared" si="2"/>
        <v>0.75</v>
      </c>
      <c r="O62" s="34">
        <f t="shared" si="0"/>
        <v>57475</v>
      </c>
      <c r="P62" s="32" t="s">
        <v>16</v>
      </c>
    </row>
    <row r="63" spans="1:16" s="2" customFormat="1" x14ac:dyDescent="0.35">
      <c r="A63" s="32" t="str">
        <f t="shared" si="5"/>
        <v>2024 JAN-DEC DISC 75 LICENSE ESS</v>
      </c>
      <c r="B63" s="33">
        <f t="shared" si="5"/>
        <v>46121</v>
      </c>
      <c r="C63" s="33">
        <f t="shared" si="5"/>
        <v>46127</v>
      </c>
      <c r="D63" s="32">
        <v>3287</v>
      </c>
      <c r="E63" s="32">
        <v>338</v>
      </c>
      <c r="F63" s="32">
        <v>4</v>
      </c>
      <c r="G63" s="23">
        <v>2</v>
      </c>
      <c r="H63" s="23">
        <v>850</v>
      </c>
      <c r="I63" s="23" t="s">
        <v>17</v>
      </c>
      <c r="J63" s="22">
        <v>16622765</v>
      </c>
      <c r="K63" s="22" t="s">
        <v>3025</v>
      </c>
      <c r="L63" s="22" t="s">
        <v>3027</v>
      </c>
      <c r="M63" s="24">
        <v>229900</v>
      </c>
      <c r="N63" s="35">
        <f t="shared" si="2"/>
        <v>0.75</v>
      </c>
      <c r="O63" s="34">
        <f t="shared" si="0"/>
        <v>57475</v>
      </c>
      <c r="P63" s="32" t="s">
        <v>16</v>
      </c>
    </row>
    <row r="64" spans="1:16" s="2" customFormat="1" x14ac:dyDescent="0.35">
      <c r="A64" s="32" t="str">
        <f t="shared" si="5"/>
        <v>2024 JAN-DEC DISC 75 LICENSE ESS</v>
      </c>
      <c r="B64" s="33">
        <f t="shared" si="5"/>
        <v>46121</v>
      </c>
      <c r="C64" s="33">
        <f t="shared" si="5"/>
        <v>46127</v>
      </c>
      <c r="D64" s="32">
        <v>3287</v>
      </c>
      <c r="E64" s="32">
        <v>338</v>
      </c>
      <c r="F64" s="32">
        <v>4</v>
      </c>
      <c r="G64" s="23">
        <v>2</v>
      </c>
      <c r="H64" s="23">
        <v>850</v>
      </c>
      <c r="I64" s="23" t="s">
        <v>17</v>
      </c>
      <c r="J64" s="22">
        <v>16622774</v>
      </c>
      <c r="K64" s="22" t="s">
        <v>3025</v>
      </c>
      <c r="L64" s="22" t="s">
        <v>3028</v>
      </c>
      <c r="M64" s="24">
        <v>229900</v>
      </c>
      <c r="N64" s="35">
        <f t="shared" si="2"/>
        <v>0.75</v>
      </c>
      <c r="O64" s="34">
        <f t="shared" si="0"/>
        <v>57475</v>
      </c>
      <c r="P64" s="32" t="s">
        <v>16</v>
      </c>
    </row>
    <row r="65" spans="1:16" s="2" customFormat="1" x14ac:dyDescent="0.35">
      <c r="A65" s="32" t="str">
        <f t="shared" si="5"/>
        <v>2024 JAN-DEC DISC 75 LICENSE ESS</v>
      </c>
      <c r="B65" s="33">
        <f t="shared" si="5"/>
        <v>46121</v>
      </c>
      <c r="C65" s="33">
        <f t="shared" si="5"/>
        <v>46127</v>
      </c>
      <c r="D65" s="32">
        <v>3287</v>
      </c>
      <c r="E65" s="32">
        <v>338</v>
      </c>
      <c r="F65" s="32">
        <v>4</v>
      </c>
      <c r="G65" s="23">
        <v>2</v>
      </c>
      <c r="H65" s="23">
        <v>850</v>
      </c>
      <c r="I65" s="23" t="s">
        <v>17</v>
      </c>
      <c r="J65" s="22">
        <v>16622783</v>
      </c>
      <c r="K65" s="22" t="s">
        <v>3025</v>
      </c>
      <c r="L65" s="22" t="s">
        <v>3029</v>
      </c>
      <c r="M65" s="24">
        <v>229900</v>
      </c>
      <c r="N65" s="35">
        <f t="shared" si="2"/>
        <v>0.75</v>
      </c>
      <c r="O65" s="34">
        <f t="shared" si="0"/>
        <v>57475</v>
      </c>
      <c r="P65" s="32" t="s">
        <v>16</v>
      </c>
    </row>
    <row r="66" spans="1:16" s="2" customFormat="1" x14ac:dyDescent="0.35">
      <c r="A66" s="32" t="str">
        <f t="shared" si="5"/>
        <v>2024 JAN-DEC DISC 75 LICENSE ESS</v>
      </c>
      <c r="B66" s="33">
        <f t="shared" si="5"/>
        <v>46121</v>
      </c>
      <c r="C66" s="33">
        <f t="shared" si="5"/>
        <v>46127</v>
      </c>
      <c r="D66" s="32">
        <v>3287</v>
      </c>
      <c r="E66" s="32">
        <v>338</v>
      </c>
      <c r="F66" s="32">
        <v>4</v>
      </c>
      <c r="G66" s="23">
        <v>2</v>
      </c>
      <c r="H66" s="23">
        <v>850</v>
      </c>
      <c r="I66" s="23" t="s">
        <v>17</v>
      </c>
      <c r="J66" s="22">
        <v>16622792</v>
      </c>
      <c r="K66" s="22" t="s">
        <v>3025</v>
      </c>
      <c r="L66" s="22" t="s">
        <v>3030</v>
      </c>
      <c r="M66" s="24">
        <v>239900</v>
      </c>
      <c r="N66" s="35">
        <f t="shared" si="2"/>
        <v>0.75</v>
      </c>
      <c r="O66" s="34">
        <f t="shared" si="0"/>
        <v>59975</v>
      </c>
      <c r="P66" s="32" t="s">
        <v>16</v>
      </c>
    </row>
    <row r="67" spans="1:16" s="2" customFormat="1" x14ac:dyDescent="0.35">
      <c r="A67" s="32" t="str">
        <f t="shared" si="5"/>
        <v>2024 JAN-DEC DISC 75 LICENSE ESS</v>
      </c>
      <c r="B67" s="33">
        <f t="shared" si="5"/>
        <v>46121</v>
      </c>
      <c r="C67" s="33">
        <f t="shared" si="5"/>
        <v>46127</v>
      </c>
      <c r="D67" s="32">
        <v>3287</v>
      </c>
      <c r="E67" s="32">
        <v>338</v>
      </c>
      <c r="F67" s="32">
        <v>4</v>
      </c>
      <c r="G67" s="23">
        <v>2</v>
      </c>
      <c r="H67" s="23">
        <v>850</v>
      </c>
      <c r="I67" s="23" t="s">
        <v>17</v>
      </c>
      <c r="J67" s="22">
        <v>16622809</v>
      </c>
      <c r="K67" s="22" t="s">
        <v>3025</v>
      </c>
      <c r="L67" s="22" t="s">
        <v>3031</v>
      </c>
      <c r="M67" s="24">
        <v>239900</v>
      </c>
      <c r="N67" s="35">
        <f t="shared" si="2"/>
        <v>0.75</v>
      </c>
      <c r="O67" s="34">
        <f t="shared" ref="O67:O130" si="6">M67-((75*M67)/100)</f>
        <v>59975</v>
      </c>
      <c r="P67" s="32" t="s">
        <v>16</v>
      </c>
    </row>
    <row r="68" spans="1:16" s="2" customFormat="1" x14ac:dyDescent="0.35">
      <c r="A68" s="32" t="str">
        <f t="shared" ref="A68:C83" si="7">A67</f>
        <v>2024 JAN-DEC DISC 75 LICENSE ESS</v>
      </c>
      <c r="B68" s="33">
        <f t="shared" si="7"/>
        <v>46121</v>
      </c>
      <c r="C68" s="33">
        <f t="shared" si="7"/>
        <v>46127</v>
      </c>
      <c r="D68" s="32">
        <v>3287</v>
      </c>
      <c r="E68" s="32">
        <v>338</v>
      </c>
      <c r="F68" s="32">
        <v>4</v>
      </c>
      <c r="G68" s="23">
        <v>2</v>
      </c>
      <c r="H68" s="23">
        <v>850</v>
      </c>
      <c r="I68" s="23" t="s">
        <v>17</v>
      </c>
      <c r="J68" s="22">
        <v>16622818</v>
      </c>
      <c r="K68" s="22" t="s">
        <v>3025</v>
      </c>
      <c r="L68" s="22" t="s">
        <v>3032</v>
      </c>
      <c r="M68" s="24">
        <v>239900</v>
      </c>
      <c r="N68" s="35">
        <f t="shared" ref="N68:N131" si="8">N67</f>
        <v>0.75</v>
      </c>
      <c r="O68" s="34">
        <f t="shared" si="6"/>
        <v>59975</v>
      </c>
      <c r="P68" s="32" t="s">
        <v>16</v>
      </c>
    </row>
    <row r="69" spans="1:16" s="2" customFormat="1" x14ac:dyDescent="0.35">
      <c r="A69" s="32" t="str">
        <f t="shared" si="7"/>
        <v>2024 JAN-DEC DISC 75 LICENSE ESS</v>
      </c>
      <c r="B69" s="33">
        <f t="shared" si="7"/>
        <v>46121</v>
      </c>
      <c r="C69" s="33">
        <f t="shared" si="7"/>
        <v>46127</v>
      </c>
      <c r="D69" s="32">
        <v>3287</v>
      </c>
      <c r="E69" s="32">
        <v>338</v>
      </c>
      <c r="F69" s="32">
        <v>4</v>
      </c>
      <c r="G69" s="23">
        <v>2</v>
      </c>
      <c r="H69" s="23">
        <v>850</v>
      </c>
      <c r="I69" s="23" t="s">
        <v>17</v>
      </c>
      <c r="J69" s="22">
        <v>16622827</v>
      </c>
      <c r="K69" s="22" t="s">
        <v>3025</v>
      </c>
      <c r="L69" s="22" t="s">
        <v>3033</v>
      </c>
      <c r="M69" s="24">
        <v>239900</v>
      </c>
      <c r="N69" s="35">
        <f t="shared" si="8"/>
        <v>0.75</v>
      </c>
      <c r="O69" s="34">
        <f t="shared" si="6"/>
        <v>59975</v>
      </c>
      <c r="P69" s="32" t="s">
        <v>16</v>
      </c>
    </row>
    <row r="70" spans="1:16" s="2" customFormat="1" x14ac:dyDescent="0.35">
      <c r="A70" s="32" t="str">
        <f t="shared" si="7"/>
        <v>2024 JAN-DEC DISC 75 LICENSE ESS</v>
      </c>
      <c r="B70" s="33">
        <f t="shared" si="7"/>
        <v>46121</v>
      </c>
      <c r="C70" s="33">
        <f t="shared" si="7"/>
        <v>46127</v>
      </c>
      <c r="D70" s="32">
        <v>3287</v>
      </c>
      <c r="E70" s="32">
        <v>338</v>
      </c>
      <c r="F70" s="32">
        <v>4</v>
      </c>
      <c r="G70" s="23">
        <v>4</v>
      </c>
      <c r="H70" s="23">
        <v>81676</v>
      </c>
      <c r="I70" s="23" t="s">
        <v>17</v>
      </c>
      <c r="J70" s="22">
        <v>81184830</v>
      </c>
      <c r="K70" s="22" t="s">
        <v>3077</v>
      </c>
      <c r="L70" s="22" t="s">
        <v>3078</v>
      </c>
      <c r="M70" s="24">
        <v>229900</v>
      </c>
      <c r="N70" s="35">
        <f t="shared" si="8"/>
        <v>0.75</v>
      </c>
      <c r="O70" s="34">
        <f t="shared" si="6"/>
        <v>57475</v>
      </c>
      <c r="P70" s="32" t="s">
        <v>16</v>
      </c>
    </row>
    <row r="71" spans="1:16" s="2" customFormat="1" x14ac:dyDescent="0.35">
      <c r="A71" s="32" t="str">
        <f t="shared" si="7"/>
        <v>2024 JAN-DEC DISC 75 LICENSE ESS</v>
      </c>
      <c r="B71" s="33">
        <f t="shared" si="7"/>
        <v>46121</v>
      </c>
      <c r="C71" s="33">
        <f t="shared" si="7"/>
        <v>46127</v>
      </c>
      <c r="D71" s="32">
        <v>3287</v>
      </c>
      <c r="E71" s="32">
        <v>338</v>
      </c>
      <c r="F71" s="32">
        <v>4</v>
      </c>
      <c r="G71" s="23">
        <v>4</v>
      </c>
      <c r="H71" s="23">
        <v>81676</v>
      </c>
      <c r="I71" s="23" t="s">
        <v>17</v>
      </c>
      <c r="J71" s="22">
        <v>81184849</v>
      </c>
      <c r="K71" s="22" t="s">
        <v>3077</v>
      </c>
      <c r="L71" s="22" t="s">
        <v>3079</v>
      </c>
      <c r="M71" s="24">
        <v>229900</v>
      </c>
      <c r="N71" s="35">
        <f t="shared" si="8"/>
        <v>0.75</v>
      </c>
      <c r="O71" s="34">
        <f t="shared" si="6"/>
        <v>57475</v>
      </c>
      <c r="P71" s="32" t="s">
        <v>16</v>
      </c>
    </row>
    <row r="72" spans="1:16" s="2" customFormat="1" x14ac:dyDescent="0.35">
      <c r="A72" s="32" t="str">
        <f t="shared" si="7"/>
        <v>2024 JAN-DEC DISC 75 LICENSE ESS</v>
      </c>
      <c r="B72" s="33">
        <f t="shared" si="7"/>
        <v>46121</v>
      </c>
      <c r="C72" s="33">
        <f t="shared" si="7"/>
        <v>46127</v>
      </c>
      <c r="D72" s="32">
        <v>3287</v>
      </c>
      <c r="E72" s="32">
        <v>338</v>
      </c>
      <c r="F72" s="32">
        <v>4</v>
      </c>
      <c r="G72" s="23">
        <v>4</v>
      </c>
      <c r="H72" s="23">
        <v>81676</v>
      </c>
      <c r="I72" s="23" t="s">
        <v>17</v>
      </c>
      <c r="J72" s="22">
        <v>81184858</v>
      </c>
      <c r="K72" s="22" t="s">
        <v>3077</v>
      </c>
      <c r="L72" s="22" t="s">
        <v>3080</v>
      </c>
      <c r="M72" s="24">
        <v>229900</v>
      </c>
      <c r="N72" s="35">
        <f t="shared" si="8"/>
        <v>0.75</v>
      </c>
      <c r="O72" s="34">
        <f t="shared" si="6"/>
        <v>57475</v>
      </c>
      <c r="P72" s="32" t="s">
        <v>16</v>
      </c>
    </row>
    <row r="73" spans="1:16" s="2" customFormat="1" x14ac:dyDescent="0.35">
      <c r="A73" s="32" t="str">
        <f t="shared" si="7"/>
        <v>2024 JAN-DEC DISC 75 LICENSE ESS</v>
      </c>
      <c r="B73" s="33">
        <f t="shared" si="7"/>
        <v>46121</v>
      </c>
      <c r="C73" s="33">
        <f t="shared" si="7"/>
        <v>46127</v>
      </c>
      <c r="D73" s="32">
        <v>3287</v>
      </c>
      <c r="E73" s="32">
        <v>338</v>
      </c>
      <c r="F73" s="32">
        <v>4</v>
      </c>
      <c r="G73" s="23">
        <v>4</v>
      </c>
      <c r="H73" s="23">
        <v>81676</v>
      </c>
      <c r="I73" s="23" t="s">
        <v>17</v>
      </c>
      <c r="J73" s="22">
        <v>81184867</v>
      </c>
      <c r="K73" s="22" t="s">
        <v>3077</v>
      </c>
      <c r="L73" s="22" t="s">
        <v>3423</v>
      </c>
      <c r="M73" s="24">
        <v>229900</v>
      </c>
      <c r="N73" s="35">
        <f t="shared" si="8"/>
        <v>0.75</v>
      </c>
      <c r="O73" s="34">
        <f t="shared" si="6"/>
        <v>57475</v>
      </c>
      <c r="P73" s="32" t="s">
        <v>16</v>
      </c>
    </row>
    <row r="74" spans="1:16" s="2" customFormat="1" x14ac:dyDescent="0.35">
      <c r="A74" s="32" t="str">
        <f t="shared" si="7"/>
        <v>2024 JAN-DEC DISC 75 LICENSE ESS</v>
      </c>
      <c r="B74" s="33">
        <f t="shared" si="7"/>
        <v>46121</v>
      </c>
      <c r="C74" s="33">
        <f t="shared" si="7"/>
        <v>46127</v>
      </c>
      <c r="D74" s="32">
        <v>3287</v>
      </c>
      <c r="E74" s="32">
        <v>338</v>
      </c>
      <c r="F74" s="32">
        <v>4</v>
      </c>
      <c r="G74" s="23">
        <v>3</v>
      </c>
      <c r="H74" s="23">
        <v>850</v>
      </c>
      <c r="I74" s="23" t="s">
        <v>17</v>
      </c>
      <c r="J74" s="22">
        <v>83708289</v>
      </c>
      <c r="K74" s="22" t="s">
        <v>3780</v>
      </c>
      <c r="L74" s="22" t="s">
        <v>3781</v>
      </c>
      <c r="M74" s="24">
        <v>89900</v>
      </c>
      <c r="N74" s="35">
        <f t="shared" si="8"/>
        <v>0.75</v>
      </c>
      <c r="O74" s="34">
        <f t="shared" si="6"/>
        <v>22475</v>
      </c>
      <c r="P74" s="32" t="s">
        <v>16</v>
      </c>
    </row>
    <row r="75" spans="1:16" s="2" customFormat="1" x14ac:dyDescent="0.35">
      <c r="A75" s="32" t="str">
        <f t="shared" si="7"/>
        <v>2024 JAN-DEC DISC 75 LICENSE ESS</v>
      </c>
      <c r="B75" s="33">
        <f t="shared" si="7"/>
        <v>46121</v>
      </c>
      <c r="C75" s="33">
        <f t="shared" si="7"/>
        <v>46127</v>
      </c>
      <c r="D75" s="32">
        <v>3287</v>
      </c>
      <c r="E75" s="32">
        <v>338</v>
      </c>
      <c r="F75" s="32">
        <v>4</v>
      </c>
      <c r="G75" s="23">
        <v>3</v>
      </c>
      <c r="H75" s="23">
        <v>850</v>
      </c>
      <c r="I75" s="23" t="s">
        <v>17</v>
      </c>
      <c r="J75" s="22">
        <v>83708298</v>
      </c>
      <c r="K75" s="22" t="s">
        <v>3780</v>
      </c>
      <c r="L75" s="22" t="s">
        <v>3782</v>
      </c>
      <c r="M75" s="24">
        <v>89900</v>
      </c>
      <c r="N75" s="35">
        <f t="shared" si="8"/>
        <v>0.75</v>
      </c>
      <c r="O75" s="34">
        <f t="shared" si="6"/>
        <v>22475</v>
      </c>
      <c r="P75" s="32" t="s">
        <v>16</v>
      </c>
    </row>
    <row r="76" spans="1:16" s="2" customFormat="1" x14ac:dyDescent="0.35">
      <c r="A76" s="32" t="str">
        <f t="shared" si="7"/>
        <v>2024 JAN-DEC DISC 75 LICENSE ESS</v>
      </c>
      <c r="B76" s="33">
        <f t="shared" si="7"/>
        <v>46121</v>
      </c>
      <c r="C76" s="33">
        <f t="shared" si="7"/>
        <v>46127</v>
      </c>
      <c r="D76" s="32">
        <v>3287</v>
      </c>
      <c r="E76" s="32">
        <v>338</v>
      </c>
      <c r="F76" s="32">
        <v>4</v>
      </c>
      <c r="G76" s="23">
        <v>3</v>
      </c>
      <c r="H76" s="23">
        <v>850</v>
      </c>
      <c r="I76" s="23" t="s">
        <v>17</v>
      </c>
      <c r="J76" s="22">
        <v>83708305</v>
      </c>
      <c r="K76" s="22" t="s">
        <v>3780</v>
      </c>
      <c r="L76" s="22" t="s">
        <v>3783</v>
      </c>
      <c r="M76" s="24">
        <v>89900</v>
      </c>
      <c r="N76" s="35">
        <f t="shared" si="8"/>
        <v>0.75</v>
      </c>
      <c r="O76" s="34">
        <f t="shared" si="6"/>
        <v>22475</v>
      </c>
      <c r="P76" s="32" t="s">
        <v>16</v>
      </c>
    </row>
    <row r="77" spans="1:16" s="2" customFormat="1" x14ac:dyDescent="0.35">
      <c r="A77" s="32" t="str">
        <f t="shared" si="7"/>
        <v>2024 JAN-DEC DISC 75 LICENSE ESS</v>
      </c>
      <c r="B77" s="33">
        <f t="shared" si="7"/>
        <v>46121</v>
      </c>
      <c r="C77" s="33">
        <f t="shared" si="7"/>
        <v>46127</v>
      </c>
      <c r="D77" s="32">
        <v>3287</v>
      </c>
      <c r="E77" s="32">
        <v>338</v>
      </c>
      <c r="F77" s="32">
        <v>4</v>
      </c>
      <c r="G77" s="23">
        <v>3</v>
      </c>
      <c r="H77" s="23">
        <v>850</v>
      </c>
      <c r="I77" s="23" t="s">
        <v>17</v>
      </c>
      <c r="J77" s="22">
        <v>83708314</v>
      </c>
      <c r="K77" s="22" t="s">
        <v>3780</v>
      </c>
      <c r="L77" s="22" t="s">
        <v>3784</v>
      </c>
      <c r="M77" s="24">
        <v>89900</v>
      </c>
      <c r="N77" s="35">
        <f t="shared" si="8"/>
        <v>0.75</v>
      </c>
      <c r="O77" s="34">
        <f t="shared" si="6"/>
        <v>22475</v>
      </c>
      <c r="P77" s="32" t="s">
        <v>16</v>
      </c>
    </row>
    <row r="78" spans="1:16" s="2" customFormat="1" x14ac:dyDescent="0.35">
      <c r="A78" s="32" t="str">
        <f t="shared" si="7"/>
        <v>2024 JAN-DEC DISC 75 LICENSE ESS</v>
      </c>
      <c r="B78" s="33">
        <f t="shared" si="7"/>
        <v>46121</v>
      </c>
      <c r="C78" s="33">
        <f t="shared" si="7"/>
        <v>46127</v>
      </c>
      <c r="D78" s="32">
        <v>3287</v>
      </c>
      <c r="E78" s="32">
        <v>338</v>
      </c>
      <c r="F78" s="32">
        <v>4</v>
      </c>
      <c r="G78" s="23">
        <v>4</v>
      </c>
      <c r="H78" s="23">
        <v>81676</v>
      </c>
      <c r="I78" s="23" t="s">
        <v>17</v>
      </c>
      <c r="J78" s="22">
        <v>86636780</v>
      </c>
      <c r="K78" s="22" t="s">
        <v>3081</v>
      </c>
      <c r="L78" s="22" t="s">
        <v>3082</v>
      </c>
      <c r="M78" s="24">
        <v>229900</v>
      </c>
      <c r="N78" s="35">
        <f t="shared" si="8"/>
        <v>0.75</v>
      </c>
      <c r="O78" s="34">
        <f t="shared" si="6"/>
        <v>57475</v>
      </c>
      <c r="P78" s="32" t="s">
        <v>16</v>
      </c>
    </row>
    <row r="79" spans="1:16" s="2" customFormat="1" x14ac:dyDescent="0.35">
      <c r="A79" s="32" t="str">
        <f t="shared" si="7"/>
        <v>2024 JAN-DEC DISC 75 LICENSE ESS</v>
      </c>
      <c r="B79" s="33">
        <f t="shared" si="7"/>
        <v>46121</v>
      </c>
      <c r="C79" s="33">
        <f t="shared" si="7"/>
        <v>46127</v>
      </c>
      <c r="D79" s="32">
        <v>3287</v>
      </c>
      <c r="E79" s="32">
        <v>338</v>
      </c>
      <c r="F79" s="32">
        <v>4</v>
      </c>
      <c r="G79" s="23">
        <v>4</v>
      </c>
      <c r="H79" s="23">
        <v>81676</v>
      </c>
      <c r="I79" s="23" t="s">
        <v>17</v>
      </c>
      <c r="J79" s="22">
        <v>86636799</v>
      </c>
      <c r="K79" s="22" t="s">
        <v>3081</v>
      </c>
      <c r="L79" s="22" t="s">
        <v>3083</v>
      </c>
      <c r="M79" s="24">
        <v>229900</v>
      </c>
      <c r="N79" s="35">
        <f t="shared" si="8"/>
        <v>0.75</v>
      </c>
      <c r="O79" s="34">
        <f t="shared" si="6"/>
        <v>57475</v>
      </c>
      <c r="P79" s="32" t="s">
        <v>16</v>
      </c>
    </row>
    <row r="80" spans="1:16" s="2" customFormat="1" x14ac:dyDescent="0.35">
      <c r="A80" s="32" t="str">
        <f t="shared" si="7"/>
        <v>2024 JAN-DEC DISC 75 LICENSE ESS</v>
      </c>
      <c r="B80" s="33">
        <f t="shared" si="7"/>
        <v>46121</v>
      </c>
      <c r="C80" s="33">
        <f t="shared" si="7"/>
        <v>46127</v>
      </c>
      <c r="D80" s="32">
        <v>3287</v>
      </c>
      <c r="E80" s="32">
        <v>338</v>
      </c>
      <c r="F80" s="32">
        <v>4</v>
      </c>
      <c r="G80" s="23">
        <v>4</v>
      </c>
      <c r="H80" s="23">
        <v>81676</v>
      </c>
      <c r="I80" s="23" t="s">
        <v>17</v>
      </c>
      <c r="J80" s="22">
        <v>86636806</v>
      </c>
      <c r="K80" s="22" t="s">
        <v>3081</v>
      </c>
      <c r="L80" s="22" t="s">
        <v>3084</v>
      </c>
      <c r="M80" s="24">
        <v>229900</v>
      </c>
      <c r="N80" s="35">
        <f t="shared" si="8"/>
        <v>0.75</v>
      </c>
      <c r="O80" s="34">
        <f t="shared" si="6"/>
        <v>57475</v>
      </c>
      <c r="P80" s="32" t="s">
        <v>16</v>
      </c>
    </row>
    <row r="81" spans="1:16" s="2" customFormat="1" x14ac:dyDescent="0.35">
      <c r="A81" s="32" t="str">
        <f t="shared" si="7"/>
        <v>2024 JAN-DEC DISC 75 LICENSE ESS</v>
      </c>
      <c r="B81" s="33">
        <f t="shared" si="7"/>
        <v>46121</v>
      </c>
      <c r="C81" s="33">
        <f t="shared" si="7"/>
        <v>46127</v>
      </c>
      <c r="D81" s="32">
        <v>3287</v>
      </c>
      <c r="E81" s="32">
        <v>338</v>
      </c>
      <c r="F81" s="32">
        <v>4</v>
      </c>
      <c r="G81" s="23">
        <v>4</v>
      </c>
      <c r="H81" s="23">
        <v>81676</v>
      </c>
      <c r="I81" s="23" t="s">
        <v>17</v>
      </c>
      <c r="J81" s="22">
        <v>86636815</v>
      </c>
      <c r="K81" s="22" t="s">
        <v>3081</v>
      </c>
      <c r="L81" s="22" t="s">
        <v>3085</v>
      </c>
      <c r="M81" s="24">
        <v>229900</v>
      </c>
      <c r="N81" s="35">
        <f t="shared" si="8"/>
        <v>0.75</v>
      </c>
      <c r="O81" s="34">
        <f t="shared" si="6"/>
        <v>57475</v>
      </c>
      <c r="P81" s="32" t="s">
        <v>16</v>
      </c>
    </row>
    <row r="82" spans="1:16" s="2" customFormat="1" x14ac:dyDescent="0.35">
      <c r="A82" s="32" t="str">
        <f t="shared" si="7"/>
        <v>2024 JAN-DEC DISC 75 LICENSE ESS</v>
      </c>
      <c r="B82" s="33">
        <f t="shared" si="7"/>
        <v>46121</v>
      </c>
      <c r="C82" s="33">
        <f t="shared" si="7"/>
        <v>46127</v>
      </c>
      <c r="D82" s="32">
        <v>3287</v>
      </c>
      <c r="E82" s="32">
        <v>338</v>
      </c>
      <c r="F82" s="32">
        <v>4</v>
      </c>
      <c r="G82" s="23">
        <v>2</v>
      </c>
      <c r="H82" s="23">
        <v>81676</v>
      </c>
      <c r="I82" s="23" t="s">
        <v>17</v>
      </c>
      <c r="J82" s="22">
        <v>15647142</v>
      </c>
      <c r="K82" s="22" t="s">
        <v>3039</v>
      </c>
      <c r="L82" s="22" t="s">
        <v>3040</v>
      </c>
      <c r="M82" s="24">
        <v>229900</v>
      </c>
      <c r="N82" s="35">
        <f t="shared" si="8"/>
        <v>0.75</v>
      </c>
      <c r="O82" s="34">
        <f t="shared" si="6"/>
        <v>57475</v>
      </c>
      <c r="P82" s="32" t="s">
        <v>16</v>
      </c>
    </row>
    <row r="83" spans="1:16" s="2" customFormat="1" x14ac:dyDescent="0.35">
      <c r="A83" s="32" t="str">
        <f t="shared" si="7"/>
        <v>2024 JAN-DEC DISC 75 LICENSE ESS</v>
      </c>
      <c r="B83" s="33">
        <f t="shared" si="7"/>
        <v>46121</v>
      </c>
      <c r="C83" s="33">
        <f t="shared" si="7"/>
        <v>46127</v>
      </c>
      <c r="D83" s="32">
        <v>3287</v>
      </c>
      <c r="E83" s="32">
        <v>338</v>
      </c>
      <c r="F83" s="32">
        <v>4</v>
      </c>
      <c r="G83" s="23">
        <v>2</v>
      </c>
      <c r="H83" s="23">
        <v>81676</v>
      </c>
      <c r="I83" s="23" t="s">
        <v>17</v>
      </c>
      <c r="J83" s="22">
        <v>15647151</v>
      </c>
      <c r="K83" s="22" t="s">
        <v>3039</v>
      </c>
      <c r="L83" s="22" t="s">
        <v>3041</v>
      </c>
      <c r="M83" s="24">
        <v>229900</v>
      </c>
      <c r="N83" s="35">
        <f t="shared" si="8"/>
        <v>0.75</v>
      </c>
      <c r="O83" s="34">
        <f t="shared" si="6"/>
        <v>57475</v>
      </c>
      <c r="P83" s="32" t="s">
        <v>16</v>
      </c>
    </row>
    <row r="84" spans="1:16" s="2" customFormat="1" x14ac:dyDescent="0.35">
      <c r="A84" s="32" t="str">
        <f t="shared" ref="A84:C99" si="9">A83</f>
        <v>2024 JAN-DEC DISC 75 LICENSE ESS</v>
      </c>
      <c r="B84" s="33">
        <f t="shared" si="9"/>
        <v>46121</v>
      </c>
      <c r="C84" s="33">
        <f t="shared" si="9"/>
        <v>46127</v>
      </c>
      <c r="D84" s="32">
        <v>3287</v>
      </c>
      <c r="E84" s="32">
        <v>338</v>
      </c>
      <c r="F84" s="32">
        <v>4</v>
      </c>
      <c r="G84" s="23">
        <v>2</v>
      </c>
      <c r="H84" s="23">
        <v>81676</v>
      </c>
      <c r="I84" s="23" t="s">
        <v>17</v>
      </c>
      <c r="J84" s="22">
        <v>15647160</v>
      </c>
      <c r="K84" s="22" t="s">
        <v>3039</v>
      </c>
      <c r="L84" s="22" t="s">
        <v>3042</v>
      </c>
      <c r="M84" s="24">
        <v>229900</v>
      </c>
      <c r="N84" s="35">
        <f t="shared" si="8"/>
        <v>0.75</v>
      </c>
      <c r="O84" s="34">
        <f t="shared" si="6"/>
        <v>57475</v>
      </c>
      <c r="P84" s="32" t="s">
        <v>16</v>
      </c>
    </row>
    <row r="85" spans="1:16" s="2" customFormat="1" x14ac:dyDescent="0.35">
      <c r="A85" s="32" t="str">
        <f t="shared" si="9"/>
        <v>2024 JAN-DEC DISC 75 LICENSE ESS</v>
      </c>
      <c r="B85" s="33">
        <f t="shared" si="9"/>
        <v>46121</v>
      </c>
      <c r="C85" s="33">
        <f t="shared" si="9"/>
        <v>46127</v>
      </c>
      <c r="D85" s="32">
        <v>3287</v>
      </c>
      <c r="E85" s="32">
        <v>338</v>
      </c>
      <c r="F85" s="32">
        <v>4</v>
      </c>
      <c r="G85" s="23">
        <v>2</v>
      </c>
      <c r="H85" s="23">
        <v>81676</v>
      </c>
      <c r="I85" s="23" t="s">
        <v>17</v>
      </c>
      <c r="J85" s="22">
        <v>15647179</v>
      </c>
      <c r="K85" s="22" t="s">
        <v>3039</v>
      </c>
      <c r="L85" s="22" t="s">
        <v>3043</v>
      </c>
      <c r="M85" s="24">
        <v>229900</v>
      </c>
      <c r="N85" s="35">
        <f t="shared" si="8"/>
        <v>0.75</v>
      </c>
      <c r="O85" s="34">
        <f t="shared" si="6"/>
        <v>57475</v>
      </c>
      <c r="P85" s="32" t="s">
        <v>16</v>
      </c>
    </row>
    <row r="86" spans="1:16" s="2" customFormat="1" x14ac:dyDescent="0.35">
      <c r="A86" s="32" t="str">
        <f t="shared" si="9"/>
        <v>2024 JAN-DEC DISC 75 LICENSE ESS</v>
      </c>
      <c r="B86" s="33">
        <f t="shared" si="9"/>
        <v>46121</v>
      </c>
      <c r="C86" s="33">
        <f t="shared" si="9"/>
        <v>46127</v>
      </c>
      <c r="D86" s="32">
        <v>3287</v>
      </c>
      <c r="E86" s="32">
        <v>338</v>
      </c>
      <c r="F86" s="32">
        <v>4</v>
      </c>
      <c r="G86" s="23">
        <v>2</v>
      </c>
      <c r="H86" s="23">
        <v>81676</v>
      </c>
      <c r="I86" s="23" t="s">
        <v>17</v>
      </c>
      <c r="J86" s="22">
        <v>15647188</v>
      </c>
      <c r="K86" s="22" t="s">
        <v>3039</v>
      </c>
      <c r="L86" s="22" t="s">
        <v>3044</v>
      </c>
      <c r="M86" s="24">
        <v>229900</v>
      </c>
      <c r="N86" s="35">
        <f t="shared" si="8"/>
        <v>0.75</v>
      </c>
      <c r="O86" s="34">
        <f t="shared" si="6"/>
        <v>57475</v>
      </c>
      <c r="P86" s="32" t="s">
        <v>16</v>
      </c>
    </row>
    <row r="87" spans="1:16" s="2" customFormat="1" x14ac:dyDescent="0.35">
      <c r="A87" s="32" t="str">
        <f t="shared" si="9"/>
        <v>2024 JAN-DEC DISC 75 LICENSE ESS</v>
      </c>
      <c r="B87" s="33">
        <f t="shared" si="9"/>
        <v>46121</v>
      </c>
      <c r="C87" s="33">
        <f t="shared" si="9"/>
        <v>46127</v>
      </c>
      <c r="D87" s="32">
        <v>3287</v>
      </c>
      <c r="E87" s="32">
        <v>338</v>
      </c>
      <c r="F87" s="32">
        <v>4</v>
      </c>
      <c r="G87" s="23">
        <v>2</v>
      </c>
      <c r="H87" s="23">
        <v>81676</v>
      </c>
      <c r="I87" s="23" t="s">
        <v>17</v>
      </c>
      <c r="J87" s="22">
        <v>15647197</v>
      </c>
      <c r="K87" s="22" t="s">
        <v>3039</v>
      </c>
      <c r="L87" s="22" t="s">
        <v>3045</v>
      </c>
      <c r="M87" s="24">
        <v>229900</v>
      </c>
      <c r="N87" s="35">
        <f t="shared" si="8"/>
        <v>0.75</v>
      </c>
      <c r="O87" s="34">
        <f t="shared" si="6"/>
        <v>57475</v>
      </c>
      <c r="P87" s="32" t="s">
        <v>16</v>
      </c>
    </row>
    <row r="88" spans="1:16" s="2" customFormat="1" x14ac:dyDescent="0.35">
      <c r="A88" s="32" t="str">
        <f t="shared" si="9"/>
        <v>2024 JAN-DEC DISC 75 LICENSE ESS</v>
      </c>
      <c r="B88" s="33">
        <f t="shared" si="9"/>
        <v>46121</v>
      </c>
      <c r="C88" s="33">
        <f t="shared" si="9"/>
        <v>46127</v>
      </c>
      <c r="D88" s="32">
        <v>3287</v>
      </c>
      <c r="E88" s="32">
        <v>338</v>
      </c>
      <c r="F88" s="32">
        <v>4</v>
      </c>
      <c r="G88" s="23">
        <v>2</v>
      </c>
      <c r="H88" s="23">
        <v>81676</v>
      </c>
      <c r="I88" s="23" t="s">
        <v>17</v>
      </c>
      <c r="J88" s="22">
        <v>15647204</v>
      </c>
      <c r="K88" s="22" t="s">
        <v>3039</v>
      </c>
      <c r="L88" s="22" t="s">
        <v>3046</v>
      </c>
      <c r="M88" s="24">
        <v>229900</v>
      </c>
      <c r="N88" s="35">
        <f t="shared" si="8"/>
        <v>0.75</v>
      </c>
      <c r="O88" s="34">
        <f t="shared" si="6"/>
        <v>57475</v>
      </c>
      <c r="P88" s="32" t="s">
        <v>16</v>
      </c>
    </row>
    <row r="89" spans="1:16" s="2" customFormat="1" x14ac:dyDescent="0.35">
      <c r="A89" s="32" t="str">
        <f t="shared" si="9"/>
        <v>2024 JAN-DEC DISC 75 LICENSE ESS</v>
      </c>
      <c r="B89" s="33">
        <f t="shared" si="9"/>
        <v>46121</v>
      </c>
      <c r="C89" s="33">
        <f t="shared" si="9"/>
        <v>46127</v>
      </c>
      <c r="D89" s="32">
        <v>3287</v>
      </c>
      <c r="E89" s="32">
        <v>338</v>
      </c>
      <c r="F89" s="32">
        <v>4</v>
      </c>
      <c r="G89" s="23">
        <v>2</v>
      </c>
      <c r="H89" s="23">
        <v>81676</v>
      </c>
      <c r="I89" s="23" t="s">
        <v>17</v>
      </c>
      <c r="J89" s="22">
        <v>15647213</v>
      </c>
      <c r="K89" s="22" t="s">
        <v>3039</v>
      </c>
      <c r="L89" s="22" t="s">
        <v>3401</v>
      </c>
      <c r="M89" s="24">
        <v>229900</v>
      </c>
      <c r="N89" s="35">
        <f t="shared" si="8"/>
        <v>0.75</v>
      </c>
      <c r="O89" s="34">
        <f t="shared" si="6"/>
        <v>57475</v>
      </c>
      <c r="P89" s="32" t="s">
        <v>16</v>
      </c>
    </row>
    <row r="90" spans="1:16" s="2" customFormat="1" x14ac:dyDescent="0.35">
      <c r="A90" s="32" t="str">
        <f t="shared" si="9"/>
        <v>2024 JAN-DEC DISC 75 LICENSE ESS</v>
      </c>
      <c r="B90" s="33">
        <f t="shared" si="9"/>
        <v>46121</v>
      </c>
      <c r="C90" s="33">
        <f t="shared" si="9"/>
        <v>46127</v>
      </c>
      <c r="D90" s="32">
        <v>3287</v>
      </c>
      <c r="E90" s="32">
        <v>338</v>
      </c>
      <c r="F90" s="32">
        <v>4</v>
      </c>
      <c r="G90" s="23">
        <v>1</v>
      </c>
      <c r="H90" s="23">
        <v>850</v>
      </c>
      <c r="I90" s="23" t="s">
        <v>17</v>
      </c>
      <c r="J90" s="22">
        <v>16098814</v>
      </c>
      <c r="K90" s="22" t="s">
        <v>3745</v>
      </c>
      <c r="L90" s="22" t="s">
        <v>3746</v>
      </c>
      <c r="M90" s="24">
        <v>89900</v>
      </c>
      <c r="N90" s="35">
        <f t="shared" si="8"/>
        <v>0.75</v>
      </c>
      <c r="O90" s="34">
        <f t="shared" si="6"/>
        <v>22475</v>
      </c>
      <c r="P90" s="32" t="s">
        <v>16</v>
      </c>
    </row>
    <row r="91" spans="1:16" s="2" customFormat="1" x14ac:dyDescent="0.35">
      <c r="A91" s="32" t="str">
        <f t="shared" si="9"/>
        <v>2024 JAN-DEC DISC 75 LICENSE ESS</v>
      </c>
      <c r="B91" s="33">
        <f t="shared" si="9"/>
        <v>46121</v>
      </c>
      <c r="C91" s="33">
        <f t="shared" si="9"/>
        <v>46127</v>
      </c>
      <c r="D91" s="32">
        <v>3287</v>
      </c>
      <c r="E91" s="32">
        <v>338</v>
      </c>
      <c r="F91" s="32">
        <v>4</v>
      </c>
      <c r="G91" s="23">
        <v>1</v>
      </c>
      <c r="H91" s="23">
        <v>850</v>
      </c>
      <c r="I91" s="23" t="s">
        <v>17</v>
      </c>
      <c r="J91" s="22">
        <v>16098823</v>
      </c>
      <c r="K91" s="22" t="s">
        <v>3745</v>
      </c>
      <c r="L91" s="22" t="s">
        <v>3747</v>
      </c>
      <c r="M91" s="24">
        <v>89900</v>
      </c>
      <c r="N91" s="35">
        <f t="shared" si="8"/>
        <v>0.75</v>
      </c>
      <c r="O91" s="34">
        <f t="shared" si="6"/>
        <v>22475</v>
      </c>
      <c r="P91" s="32" t="s">
        <v>16</v>
      </c>
    </row>
    <row r="92" spans="1:16" s="2" customFormat="1" x14ac:dyDescent="0.35">
      <c r="A92" s="32" t="str">
        <f t="shared" si="9"/>
        <v>2024 JAN-DEC DISC 75 LICENSE ESS</v>
      </c>
      <c r="B92" s="33">
        <f t="shared" si="9"/>
        <v>46121</v>
      </c>
      <c r="C92" s="33">
        <f t="shared" si="9"/>
        <v>46127</v>
      </c>
      <c r="D92" s="32">
        <v>3287</v>
      </c>
      <c r="E92" s="32">
        <v>338</v>
      </c>
      <c r="F92" s="32">
        <v>4</v>
      </c>
      <c r="G92" s="23">
        <v>1</v>
      </c>
      <c r="H92" s="23">
        <v>850</v>
      </c>
      <c r="I92" s="23" t="s">
        <v>17</v>
      </c>
      <c r="J92" s="22">
        <v>16098832</v>
      </c>
      <c r="K92" s="22" t="s">
        <v>3745</v>
      </c>
      <c r="L92" s="22" t="s">
        <v>3748</v>
      </c>
      <c r="M92" s="24">
        <v>89900</v>
      </c>
      <c r="N92" s="35">
        <f t="shared" si="8"/>
        <v>0.75</v>
      </c>
      <c r="O92" s="34">
        <f t="shared" si="6"/>
        <v>22475</v>
      </c>
      <c r="P92" s="32" t="s">
        <v>16</v>
      </c>
    </row>
    <row r="93" spans="1:16" s="2" customFormat="1" x14ac:dyDescent="0.35">
      <c r="A93" s="32" t="str">
        <f t="shared" si="9"/>
        <v>2024 JAN-DEC DISC 75 LICENSE ESS</v>
      </c>
      <c r="B93" s="33">
        <f t="shared" si="9"/>
        <v>46121</v>
      </c>
      <c r="C93" s="33">
        <f t="shared" si="9"/>
        <v>46127</v>
      </c>
      <c r="D93" s="32">
        <v>3287</v>
      </c>
      <c r="E93" s="32">
        <v>338</v>
      </c>
      <c r="F93" s="32">
        <v>4</v>
      </c>
      <c r="G93" s="23">
        <v>1</v>
      </c>
      <c r="H93" s="23">
        <v>850</v>
      </c>
      <c r="I93" s="23" t="s">
        <v>17</v>
      </c>
      <c r="J93" s="22">
        <v>16098841</v>
      </c>
      <c r="K93" s="22" t="s">
        <v>3745</v>
      </c>
      <c r="L93" s="22" t="s">
        <v>3749</v>
      </c>
      <c r="M93" s="24">
        <v>89900</v>
      </c>
      <c r="N93" s="35">
        <f t="shared" si="8"/>
        <v>0.75</v>
      </c>
      <c r="O93" s="34">
        <f t="shared" si="6"/>
        <v>22475</v>
      </c>
      <c r="P93" s="32" t="s">
        <v>16</v>
      </c>
    </row>
    <row r="94" spans="1:16" s="2" customFormat="1" x14ac:dyDescent="0.35">
      <c r="A94" s="32" t="str">
        <f t="shared" si="9"/>
        <v>2024 JAN-DEC DISC 75 LICENSE ESS</v>
      </c>
      <c r="B94" s="33">
        <f t="shared" si="9"/>
        <v>46121</v>
      </c>
      <c r="C94" s="33">
        <f t="shared" si="9"/>
        <v>46127</v>
      </c>
      <c r="D94" s="32">
        <v>3287</v>
      </c>
      <c r="E94" s="32">
        <v>338</v>
      </c>
      <c r="F94" s="32">
        <v>4</v>
      </c>
      <c r="G94" s="23">
        <v>7</v>
      </c>
      <c r="H94" s="23">
        <v>81595</v>
      </c>
      <c r="I94" s="23" t="s">
        <v>17</v>
      </c>
      <c r="J94" s="22">
        <v>15647062</v>
      </c>
      <c r="K94" s="22" t="s">
        <v>3065</v>
      </c>
      <c r="L94" s="22" t="s">
        <v>3066</v>
      </c>
      <c r="M94" s="24">
        <v>32900</v>
      </c>
      <c r="N94" s="35">
        <f t="shared" si="8"/>
        <v>0.75</v>
      </c>
      <c r="O94" s="34">
        <f t="shared" si="6"/>
        <v>8225</v>
      </c>
      <c r="P94" s="32" t="s">
        <v>16</v>
      </c>
    </row>
    <row r="95" spans="1:16" s="2" customFormat="1" x14ac:dyDescent="0.35">
      <c r="A95" s="32" t="str">
        <f t="shared" si="9"/>
        <v>2024 JAN-DEC DISC 75 LICENSE ESS</v>
      </c>
      <c r="B95" s="33">
        <f t="shared" si="9"/>
        <v>46121</v>
      </c>
      <c r="C95" s="33">
        <f t="shared" si="9"/>
        <v>46127</v>
      </c>
      <c r="D95" s="32">
        <v>3287</v>
      </c>
      <c r="E95" s="32">
        <v>338</v>
      </c>
      <c r="F95" s="32">
        <v>4</v>
      </c>
      <c r="G95" s="23">
        <v>7</v>
      </c>
      <c r="H95" s="23">
        <v>81595</v>
      </c>
      <c r="I95" s="23" t="s">
        <v>17</v>
      </c>
      <c r="J95" s="22">
        <v>15647071</v>
      </c>
      <c r="K95" s="22" t="s">
        <v>3065</v>
      </c>
      <c r="L95" s="22" t="s">
        <v>3067</v>
      </c>
      <c r="M95" s="24">
        <v>32900</v>
      </c>
      <c r="N95" s="35">
        <f t="shared" si="8"/>
        <v>0.75</v>
      </c>
      <c r="O95" s="34">
        <f t="shared" si="6"/>
        <v>8225</v>
      </c>
      <c r="P95" s="32" t="s">
        <v>16</v>
      </c>
    </row>
    <row r="96" spans="1:16" s="2" customFormat="1" x14ac:dyDescent="0.35">
      <c r="A96" s="32" t="str">
        <f t="shared" si="9"/>
        <v>2024 JAN-DEC DISC 75 LICENSE ESS</v>
      </c>
      <c r="B96" s="33">
        <f t="shared" si="9"/>
        <v>46121</v>
      </c>
      <c r="C96" s="33">
        <f t="shared" si="9"/>
        <v>46127</v>
      </c>
      <c r="D96" s="32">
        <v>3287</v>
      </c>
      <c r="E96" s="32">
        <v>338</v>
      </c>
      <c r="F96" s="32">
        <v>4</v>
      </c>
      <c r="G96" s="23">
        <v>1</v>
      </c>
      <c r="H96" s="23">
        <v>850</v>
      </c>
      <c r="I96" s="23" t="s">
        <v>17</v>
      </c>
      <c r="J96" s="22">
        <v>16622710</v>
      </c>
      <c r="K96" s="22" t="s">
        <v>3750</v>
      </c>
      <c r="L96" s="22" t="s">
        <v>3751</v>
      </c>
      <c r="M96" s="24">
        <v>99900</v>
      </c>
      <c r="N96" s="35">
        <f t="shared" si="8"/>
        <v>0.75</v>
      </c>
      <c r="O96" s="34">
        <f t="shared" si="6"/>
        <v>24975</v>
      </c>
      <c r="P96" s="32" t="s">
        <v>16</v>
      </c>
    </row>
    <row r="97" spans="1:16" s="2" customFormat="1" x14ac:dyDescent="0.35">
      <c r="A97" s="32" t="str">
        <f t="shared" si="9"/>
        <v>2024 JAN-DEC DISC 75 LICENSE ESS</v>
      </c>
      <c r="B97" s="33">
        <f t="shared" si="9"/>
        <v>46121</v>
      </c>
      <c r="C97" s="33">
        <f t="shared" si="9"/>
        <v>46127</v>
      </c>
      <c r="D97" s="32">
        <v>3287</v>
      </c>
      <c r="E97" s="32">
        <v>338</v>
      </c>
      <c r="F97" s="32">
        <v>4</v>
      </c>
      <c r="G97" s="23">
        <v>1</v>
      </c>
      <c r="H97" s="23">
        <v>850</v>
      </c>
      <c r="I97" s="23" t="s">
        <v>17</v>
      </c>
      <c r="J97" s="22">
        <v>16622729</v>
      </c>
      <c r="K97" s="22" t="s">
        <v>3750</v>
      </c>
      <c r="L97" s="22" t="s">
        <v>3752</v>
      </c>
      <c r="M97" s="24">
        <v>99900</v>
      </c>
      <c r="N97" s="35">
        <f t="shared" si="8"/>
        <v>0.75</v>
      </c>
      <c r="O97" s="34">
        <f t="shared" si="6"/>
        <v>24975</v>
      </c>
      <c r="P97" s="32" t="s">
        <v>16</v>
      </c>
    </row>
    <row r="98" spans="1:16" s="2" customFormat="1" x14ac:dyDescent="0.35">
      <c r="A98" s="32" t="str">
        <f t="shared" si="9"/>
        <v>2024 JAN-DEC DISC 75 LICENSE ESS</v>
      </c>
      <c r="B98" s="33">
        <f t="shared" si="9"/>
        <v>46121</v>
      </c>
      <c r="C98" s="33">
        <f t="shared" si="9"/>
        <v>46127</v>
      </c>
      <c r="D98" s="32">
        <v>3287</v>
      </c>
      <c r="E98" s="32">
        <v>338</v>
      </c>
      <c r="F98" s="32">
        <v>4</v>
      </c>
      <c r="G98" s="23">
        <v>1</v>
      </c>
      <c r="H98" s="23">
        <v>850</v>
      </c>
      <c r="I98" s="23" t="s">
        <v>17</v>
      </c>
      <c r="J98" s="22">
        <v>16622738</v>
      </c>
      <c r="K98" s="22" t="s">
        <v>3750</v>
      </c>
      <c r="L98" s="22" t="s">
        <v>3753</v>
      </c>
      <c r="M98" s="24">
        <v>99900</v>
      </c>
      <c r="N98" s="35">
        <f t="shared" si="8"/>
        <v>0.75</v>
      </c>
      <c r="O98" s="34">
        <f t="shared" si="6"/>
        <v>24975</v>
      </c>
      <c r="P98" s="32" t="s">
        <v>16</v>
      </c>
    </row>
    <row r="99" spans="1:16" s="2" customFormat="1" x14ac:dyDescent="0.35">
      <c r="A99" s="32" t="str">
        <f t="shared" si="9"/>
        <v>2024 JAN-DEC DISC 75 LICENSE ESS</v>
      </c>
      <c r="B99" s="33">
        <f t="shared" si="9"/>
        <v>46121</v>
      </c>
      <c r="C99" s="33">
        <f t="shared" si="9"/>
        <v>46127</v>
      </c>
      <c r="D99" s="32">
        <v>3287</v>
      </c>
      <c r="E99" s="32">
        <v>338</v>
      </c>
      <c r="F99" s="32">
        <v>4</v>
      </c>
      <c r="G99" s="23">
        <v>1</v>
      </c>
      <c r="H99" s="23">
        <v>850</v>
      </c>
      <c r="I99" s="23" t="s">
        <v>17</v>
      </c>
      <c r="J99" s="22">
        <v>16622747</v>
      </c>
      <c r="K99" s="22" t="s">
        <v>3750</v>
      </c>
      <c r="L99" s="22" t="s">
        <v>3754</v>
      </c>
      <c r="M99" s="24">
        <v>99900</v>
      </c>
      <c r="N99" s="35">
        <f t="shared" si="8"/>
        <v>0.75</v>
      </c>
      <c r="O99" s="34">
        <f t="shared" si="6"/>
        <v>24975</v>
      </c>
      <c r="P99" s="32" t="s">
        <v>16</v>
      </c>
    </row>
    <row r="100" spans="1:16" s="2" customFormat="1" x14ac:dyDescent="0.35">
      <c r="A100" s="32" t="str">
        <f t="shared" ref="A100:C115" si="10">A99</f>
        <v>2024 JAN-DEC DISC 75 LICENSE ESS</v>
      </c>
      <c r="B100" s="33">
        <f t="shared" si="10"/>
        <v>46121</v>
      </c>
      <c r="C100" s="33">
        <f t="shared" si="10"/>
        <v>46127</v>
      </c>
      <c r="D100" s="32">
        <v>3287</v>
      </c>
      <c r="E100" s="32">
        <v>338</v>
      </c>
      <c r="F100" s="32">
        <v>4</v>
      </c>
      <c r="G100" s="23">
        <v>1</v>
      </c>
      <c r="H100" s="23">
        <v>850</v>
      </c>
      <c r="I100" s="23" t="s">
        <v>17</v>
      </c>
      <c r="J100" s="22">
        <v>16098734</v>
      </c>
      <c r="K100" s="22" t="s">
        <v>3735</v>
      </c>
      <c r="L100" s="22" t="s">
        <v>3736</v>
      </c>
      <c r="M100" s="24">
        <v>89900</v>
      </c>
      <c r="N100" s="35">
        <f t="shared" si="8"/>
        <v>0.75</v>
      </c>
      <c r="O100" s="34">
        <f t="shared" si="6"/>
        <v>22475</v>
      </c>
      <c r="P100" s="32" t="s">
        <v>16</v>
      </c>
    </row>
    <row r="101" spans="1:16" s="2" customFormat="1" x14ac:dyDescent="0.35">
      <c r="A101" s="32" t="str">
        <f t="shared" si="10"/>
        <v>2024 JAN-DEC DISC 75 LICENSE ESS</v>
      </c>
      <c r="B101" s="33">
        <f t="shared" si="10"/>
        <v>46121</v>
      </c>
      <c r="C101" s="33">
        <f t="shared" si="10"/>
        <v>46127</v>
      </c>
      <c r="D101" s="32">
        <v>3287</v>
      </c>
      <c r="E101" s="32">
        <v>338</v>
      </c>
      <c r="F101" s="32">
        <v>4</v>
      </c>
      <c r="G101" s="23">
        <v>1</v>
      </c>
      <c r="H101" s="23">
        <v>850</v>
      </c>
      <c r="I101" s="23" t="s">
        <v>17</v>
      </c>
      <c r="J101" s="22">
        <v>16098743</v>
      </c>
      <c r="K101" s="22" t="s">
        <v>3735</v>
      </c>
      <c r="L101" s="22" t="s">
        <v>3737</v>
      </c>
      <c r="M101" s="24">
        <v>89900</v>
      </c>
      <c r="N101" s="35">
        <f t="shared" si="8"/>
        <v>0.75</v>
      </c>
      <c r="O101" s="34">
        <f t="shared" si="6"/>
        <v>22475</v>
      </c>
      <c r="P101" s="32" t="s">
        <v>16</v>
      </c>
    </row>
    <row r="102" spans="1:16" s="2" customFormat="1" x14ac:dyDescent="0.35">
      <c r="A102" s="32" t="str">
        <f t="shared" si="10"/>
        <v>2024 JAN-DEC DISC 75 LICENSE ESS</v>
      </c>
      <c r="B102" s="33">
        <f t="shared" si="10"/>
        <v>46121</v>
      </c>
      <c r="C102" s="33">
        <f t="shared" si="10"/>
        <v>46127</v>
      </c>
      <c r="D102" s="32">
        <v>3287</v>
      </c>
      <c r="E102" s="32">
        <v>338</v>
      </c>
      <c r="F102" s="32">
        <v>4</v>
      </c>
      <c r="G102" s="23">
        <v>1</v>
      </c>
      <c r="H102" s="23">
        <v>850</v>
      </c>
      <c r="I102" s="23" t="s">
        <v>17</v>
      </c>
      <c r="J102" s="22">
        <v>16098752</v>
      </c>
      <c r="K102" s="22" t="s">
        <v>3735</v>
      </c>
      <c r="L102" s="22" t="s">
        <v>3738</v>
      </c>
      <c r="M102" s="24">
        <v>89900</v>
      </c>
      <c r="N102" s="35">
        <f t="shared" si="8"/>
        <v>0.75</v>
      </c>
      <c r="O102" s="34">
        <f t="shared" si="6"/>
        <v>22475</v>
      </c>
      <c r="P102" s="32" t="s">
        <v>16</v>
      </c>
    </row>
    <row r="103" spans="1:16" s="2" customFormat="1" x14ac:dyDescent="0.35">
      <c r="A103" s="32" t="str">
        <f t="shared" si="10"/>
        <v>2024 JAN-DEC DISC 75 LICENSE ESS</v>
      </c>
      <c r="B103" s="33">
        <f t="shared" si="10"/>
        <v>46121</v>
      </c>
      <c r="C103" s="33">
        <f t="shared" si="10"/>
        <v>46127</v>
      </c>
      <c r="D103" s="32">
        <v>3287</v>
      </c>
      <c r="E103" s="32">
        <v>338</v>
      </c>
      <c r="F103" s="32">
        <v>4</v>
      </c>
      <c r="G103" s="23">
        <v>1</v>
      </c>
      <c r="H103" s="23">
        <v>850</v>
      </c>
      <c r="I103" s="23" t="s">
        <v>17</v>
      </c>
      <c r="J103" s="22">
        <v>16098761</v>
      </c>
      <c r="K103" s="22" t="s">
        <v>3735</v>
      </c>
      <c r="L103" s="22" t="s">
        <v>3739</v>
      </c>
      <c r="M103" s="24">
        <v>89900</v>
      </c>
      <c r="N103" s="35">
        <f t="shared" si="8"/>
        <v>0.75</v>
      </c>
      <c r="O103" s="34">
        <f t="shared" si="6"/>
        <v>22475</v>
      </c>
      <c r="P103" s="32" t="s">
        <v>16</v>
      </c>
    </row>
    <row r="104" spans="1:16" s="2" customFormat="1" x14ac:dyDescent="0.35">
      <c r="A104" s="32" t="str">
        <f t="shared" si="10"/>
        <v>2024 JAN-DEC DISC 75 LICENSE ESS</v>
      </c>
      <c r="B104" s="33">
        <f t="shared" si="10"/>
        <v>46121</v>
      </c>
      <c r="C104" s="33">
        <f t="shared" si="10"/>
        <v>46127</v>
      </c>
      <c r="D104" s="32">
        <v>3287</v>
      </c>
      <c r="E104" s="32">
        <v>338</v>
      </c>
      <c r="F104" s="32">
        <v>4</v>
      </c>
      <c r="G104" s="23">
        <v>3</v>
      </c>
      <c r="H104" s="23">
        <v>850</v>
      </c>
      <c r="I104" s="23" t="s">
        <v>17</v>
      </c>
      <c r="J104" s="22">
        <v>16622836</v>
      </c>
      <c r="K104" s="22" t="s">
        <v>3770</v>
      </c>
      <c r="L104" s="22" t="s">
        <v>3771</v>
      </c>
      <c r="M104" s="24">
        <v>99900</v>
      </c>
      <c r="N104" s="35">
        <f t="shared" si="8"/>
        <v>0.75</v>
      </c>
      <c r="O104" s="34">
        <f t="shared" si="6"/>
        <v>24975</v>
      </c>
      <c r="P104" s="32" t="s">
        <v>16</v>
      </c>
    </row>
    <row r="105" spans="1:16" s="2" customFormat="1" x14ac:dyDescent="0.35">
      <c r="A105" s="32" t="str">
        <f t="shared" si="10"/>
        <v>2024 JAN-DEC DISC 75 LICENSE ESS</v>
      </c>
      <c r="B105" s="33">
        <f t="shared" si="10"/>
        <v>46121</v>
      </c>
      <c r="C105" s="33">
        <f t="shared" si="10"/>
        <v>46127</v>
      </c>
      <c r="D105" s="32">
        <v>3287</v>
      </c>
      <c r="E105" s="32">
        <v>338</v>
      </c>
      <c r="F105" s="32">
        <v>4</v>
      </c>
      <c r="G105" s="23">
        <v>3</v>
      </c>
      <c r="H105" s="23">
        <v>850</v>
      </c>
      <c r="I105" s="23" t="s">
        <v>17</v>
      </c>
      <c r="J105" s="22">
        <v>16622845</v>
      </c>
      <c r="K105" s="22" t="s">
        <v>3770</v>
      </c>
      <c r="L105" s="22" t="s">
        <v>3772</v>
      </c>
      <c r="M105" s="24">
        <v>99900</v>
      </c>
      <c r="N105" s="35">
        <f t="shared" si="8"/>
        <v>0.75</v>
      </c>
      <c r="O105" s="34">
        <f t="shared" si="6"/>
        <v>24975</v>
      </c>
      <c r="P105" s="32" t="s">
        <v>16</v>
      </c>
    </row>
    <row r="106" spans="1:16" s="2" customFormat="1" x14ac:dyDescent="0.35">
      <c r="A106" s="32" t="str">
        <f t="shared" si="10"/>
        <v>2024 JAN-DEC DISC 75 LICENSE ESS</v>
      </c>
      <c r="B106" s="33">
        <f t="shared" si="10"/>
        <v>46121</v>
      </c>
      <c r="C106" s="33">
        <f t="shared" si="10"/>
        <v>46127</v>
      </c>
      <c r="D106" s="32">
        <v>3287</v>
      </c>
      <c r="E106" s="32">
        <v>338</v>
      </c>
      <c r="F106" s="32">
        <v>4</v>
      </c>
      <c r="G106" s="23">
        <v>3</v>
      </c>
      <c r="H106" s="23">
        <v>850</v>
      </c>
      <c r="I106" s="23" t="s">
        <v>17</v>
      </c>
      <c r="J106" s="22">
        <v>16622854</v>
      </c>
      <c r="K106" s="22" t="s">
        <v>3770</v>
      </c>
      <c r="L106" s="22" t="s">
        <v>3773</v>
      </c>
      <c r="M106" s="24">
        <v>99900</v>
      </c>
      <c r="N106" s="35">
        <f t="shared" si="8"/>
        <v>0.75</v>
      </c>
      <c r="O106" s="34">
        <f t="shared" si="6"/>
        <v>24975</v>
      </c>
      <c r="P106" s="32" t="s">
        <v>16</v>
      </c>
    </row>
    <row r="107" spans="1:16" s="2" customFormat="1" x14ac:dyDescent="0.35">
      <c r="A107" s="32" t="str">
        <f t="shared" si="10"/>
        <v>2024 JAN-DEC DISC 75 LICENSE ESS</v>
      </c>
      <c r="B107" s="33">
        <f t="shared" si="10"/>
        <v>46121</v>
      </c>
      <c r="C107" s="33">
        <f t="shared" si="10"/>
        <v>46127</v>
      </c>
      <c r="D107" s="32">
        <v>3287</v>
      </c>
      <c r="E107" s="32">
        <v>338</v>
      </c>
      <c r="F107" s="32">
        <v>4</v>
      </c>
      <c r="G107" s="23">
        <v>3</v>
      </c>
      <c r="H107" s="23">
        <v>850</v>
      </c>
      <c r="I107" s="23" t="s">
        <v>17</v>
      </c>
      <c r="J107" s="22">
        <v>16622863</v>
      </c>
      <c r="K107" s="22" t="s">
        <v>3770</v>
      </c>
      <c r="L107" s="22" t="s">
        <v>3774</v>
      </c>
      <c r="M107" s="24">
        <v>99900</v>
      </c>
      <c r="N107" s="35">
        <f t="shared" si="8"/>
        <v>0.75</v>
      </c>
      <c r="O107" s="34">
        <f t="shared" si="6"/>
        <v>24975</v>
      </c>
      <c r="P107" s="32" t="s">
        <v>16</v>
      </c>
    </row>
    <row r="108" spans="1:16" s="2" customFormat="1" x14ac:dyDescent="0.35">
      <c r="A108" s="32" t="str">
        <f t="shared" si="10"/>
        <v>2024 JAN-DEC DISC 75 LICENSE ESS</v>
      </c>
      <c r="B108" s="33">
        <f t="shared" si="10"/>
        <v>46121</v>
      </c>
      <c r="C108" s="33">
        <f t="shared" si="10"/>
        <v>46127</v>
      </c>
      <c r="D108" s="32">
        <v>3287</v>
      </c>
      <c r="E108" s="32">
        <v>338</v>
      </c>
      <c r="F108" s="32">
        <v>4</v>
      </c>
      <c r="G108" s="23">
        <v>2</v>
      </c>
      <c r="H108" s="23">
        <v>81506</v>
      </c>
      <c r="I108" s="23" t="s">
        <v>17</v>
      </c>
      <c r="J108" s="22">
        <v>85654860</v>
      </c>
      <c r="K108" s="22" t="s">
        <v>3034</v>
      </c>
      <c r="L108" s="22" t="s">
        <v>3035</v>
      </c>
      <c r="M108" s="24">
        <v>229900</v>
      </c>
      <c r="N108" s="35">
        <f t="shared" si="8"/>
        <v>0.75</v>
      </c>
      <c r="O108" s="34">
        <f t="shared" si="6"/>
        <v>57475</v>
      </c>
      <c r="P108" s="32" t="s">
        <v>16</v>
      </c>
    </row>
    <row r="109" spans="1:16" s="2" customFormat="1" x14ac:dyDescent="0.35">
      <c r="A109" s="32" t="str">
        <f t="shared" si="10"/>
        <v>2024 JAN-DEC DISC 75 LICENSE ESS</v>
      </c>
      <c r="B109" s="33">
        <f t="shared" si="10"/>
        <v>46121</v>
      </c>
      <c r="C109" s="33">
        <f t="shared" si="10"/>
        <v>46127</v>
      </c>
      <c r="D109" s="32">
        <v>3287</v>
      </c>
      <c r="E109" s="32">
        <v>338</v>
      </c>
      <c r="F109" s="32">
        <v>4</v>
      </c>
      <c r="G109" s="23">
        <v>2</v>
      </c>
      <c r="H109" s="23">
        <v>81506</v>
      </c>
      <c r="I109" s="23" t="s">
        <v>17</v>
      </c>
      <c r="J109" s="22">
        <v>85654879</v>
      </c>
      <c r="K109" s="22" t="s">
        <v>3034</v>
      </c>
      <c r="L109" s="22" t="s">
        <v>3036</v>
      </c>
      <c r="M109" s="24">
        <v>229900</v>
      </c>
      <c r="N109" s="35">
        <f t="shared" si="8"/>
        <v>0.75</v>
      </c>
      <c r="O109" s="34">
        <f t="shared" si="6"/>
        <v>57475</v>
      </c>
      <c r="P109" s="32" t="s">
        <v>16</v>
      </c>
    </row>
    <row r="110" spans="1:16" s="2" customFormat="1" x14ac:dyDescent="0.35">
      <c r="A110" s="32" t="str">
        <f t="shared" si="10"/>
        <v>2024 JAN-DEC DISC 75 LICENSE ESS</v>
      </c>
      <c r="B110" s="33">
        <f t="shared" si="10"/>
        <v>46121</v>
      </c>
      <c r="C110" s="33">
        <f t="shared" si="10"/>
        <v>46127</v>
      </c>
      <c r="D110" s="32">
        <v>3287</v>
      </c>
      <c r="E110" s="32">
        <v>338</v>
      </c>
      <c r="F110" s="32">
        <v>4</v>
      </c>
      <c r="G110" s="23">
        <v>2</v>
      </c>
      <c r="H110" s="23">
        <v>81506</v>
      </c>
      <c r="I110" s="23" t="s">
        <v>17</v>
      </c>
      <c r="J110" s="22">
        <v>85654888</v>
      </c>
      <c r="K110" s="22" t="s">
        <v>3034</v>
      </c>
      <c r="L110" s="22" t="s">
        <v>3037</v>
      </c>
      <c r="M110" s="24">
        <v>229900</v>
      </c>
      <c r="N110" s="35">
        <f t="shared" si="8"/>
        <v>0.75</v>
      </c>
      <c r="O110" s="34">
        <f t="shared" si="6"/>
        <v>57475</v>
      </c>
      <c r="P110" s="32" t="s">
        <v>16</v>
      </c>
    </row>
    <row r="111" spans="1:16" s="2" customFormat="1" x14ac:dyDescent="0.35">
      <c r="A111" s="32" t="str">
        <f t="shared" si="10"/>
        <v>2024 JAN-DEC DISC 75 LICENSE ESS</v>
      </c>
      <c r="B111" s="33">
        <f t="shared" si="10"/>
        <v>46121</v>
      </c>
      <c r="C111" s="33">
        <f t="shared" si="10"/>
        <v>46127</v>
      </c>
      <c r="D111" s="32">
        <v>3287</v>
      </c>
      <c r="E111" s="32">
        <v>338</v>
      </c>
      <c r="F111" s="32">
        <v>4</v>
      </c>
      <c r="G111" s="23">
        <v>2</v>
      </c>
      <c r="H111" s="23">
        <v>81506</v>
      </c>
      <c r="I111" s="23" t="s">
        <v>17</v>
      </c>
      <c r="J111" s="22">
        <v>85654897</v>
      </c>
      <c r="K111" s="22" t="s">
        <v>3034</v>
      </c>
      <c r="L111" s="22" t="s">
        <v>3038</v>
      </c>
      <c r="M111" s="24">
        <v>229900</v>
      </c>
      <c r="N111" s="35">
        <f t="shared" si="8"/>
        <v>0.75</v>
      </c>
      <c r="O111" s="34">
        <f t="shared" si="6"/>
        <v>57475</v>
      </c>
      <c r="P111" s="32" t="s">
        <v>16</v>
      </c>
    </row>
    <row r="112" spans="1:16" s="2" customFormat="1" x14ac:dyDescent="0.35">
      <c r="A112" s="32" t="str">
        <f t="shared" si="10"/>
        <v>2024 JAN-DEC DISC 75 LICENSE ESS</v>
      </c>
      <c r="B112" s="33">
        <f t="shared" si="10"/>
        <v>46121</v>
      </c>
      <c r="C112" s="33">
        <f t="shared" si="10"/>
        <v>46127</v>
      </c>
      <c r="D112" s="32">
        <v>3287</v>
      </c>
      <c r="E112" s="32">
        <v>338</v>
      </c>
      <c r="F112" s="32">
        <v>4</v>
      </c>
      <c r="G112" s="23">
        <v>4</v>
      </c>
      <c r="H112" s="23">
        <v>81676</v>
      </c>
      <c r="I112" s="23" t="s">
        <v>17</v>
      </c>
      <c r="J112" s="22">
        <v>86636824</v>
      </c>
      <c r="K112" s="22" t="s">
        <v>3086</v>
      </c>
      <c r="L112" s="22" t="s">
        <v>3087</v>
      </c>
      <c r="M112" s="24">
        <v>239900</v>
      </c>
      <c r="N112" s="35">
        <f t="shared" si="8"/>
        <v>0.75</v>
      </c>
      <c r="O112" s="34">
        <f t="shared" si="6"/>
        <v>59975</v>
      </c>
      <c r="P112" s="32" t="s">
        <v>16</v>
      </c>
    </row>
    <row r="113" spans="1:16" s="2" customFormat="1" x14ac:dyDescent="0.35">
      <c r="A113" s="32" t="str">
        <f t="shared" si="10"/>
        <v>2024 JAN-DEC DISC 75 LICENSE ESS</v>
      </c>
      <c r="B113" s="33">
        <f t="shared" si="10"/>
        <v>46121</v>
      </c>
      <c r="C113" s="33">
        <f t="shared" si="10"/>
        <v>46127</v>
      </c>
      <c r="D113" s="32">
        <v>3287</v>
      </c>
      <c r="E113" s="32">
        <v>338</v>
      </c>
      <c r="F113" s="32">
        <v>4</v>
      </c>
      <c r="G113" s="23">
        <v>4</v>
      </c>
      <c r="H113" s="23">
        <v>81676</v>
      </c>
      <c r="I113" s="23" t="s">
        <v>17</v>
      </c>
      <c r="J113" s="22">
        <v>86636833</v>
      </c>
      <c r="K113" s="22" t="s">
        <v>3086</v>
      </c>
      <c r="L113" s="22" t="s">
        <v>3088</v>
      </c>
      <c r="M113" s="24">
        <v>239900</v>
      </c>
      <c r="N113" s="35">
        <f t="shared" si="8"/>
        <v>0.75</v>
      </c>
      <c r="O113" s="34">
        <f t="shared" si="6"/>
        <v>59975</v>
      </c>
      <c r="P113" s="32" t="s">
        <v>16</v>
      </c>
    </row>
    <row r="114" spans="1:16" s="2" customFormat="1" x14ac:dyDescent="0.35">
      <c r="A114" s="32" t="str">
        <f t="shared" si="10"/>
        <v>2024 JAN-DEC DISC 75 LICENSE ESS</v>
      </c>
      <c r="B114" s="33">
        <f t="shared" si="10"/>
        <v>46121</v>
      </c>
      <c r="C114" s="33">
        <f t="shared" si="10"/>
        <v>46127</v>
      </c>
      <c r="D114" s="32">
        <v>3287</v>
      </c>
      <c r="E114" s="32">
        <v>338</v>
      </c>
      <c r="F114" s="32">
        <v>4</v>
      </c>
      <c r="G114" s="23">
        <v>4</v>
      </c>
      <c r="H114" s="23">
        <v>81676</v>
      </c>
      <c r="I114" s="23" t="s">
        <v>17</v>
      </c>
      <c r="J114" s="22">
        <v>86636842</v>
      </c>
      <c r="K114" s="22" t="s">
        <v>3086</v>
      </c>
      <c r="L114" s="22" t="s">
        <v>3089</v>
      </c>
      <c r="M114" s="24">
        <v>239900</v>
      </c>
      <c r="N114" s="35">
        <f t="shared" si="8"/>
        <v>0.75</v>
      </c>
      <c r="O114" s="34">
        <f t="shared" si="6"/>
        <v>59975</v>
      </c>
      <c r="P114" s="32" t="s">
        <v>16</v>
      </c>
    </row>
    <row r="115" spans="1:16" s="2" customFormat="1" x14ac:dyDescent="0.35">
      <c r="A115" s="32" t="str">
        <f t="shared" si="10"/>
        <v>2024 JAN-DEC DISC 75 LICENSE ESS</v>
      </c>
      <c r="B115" s="33">
        <f t="shared" si="10"/>
        <v>46121</v>
      </c>
      <c r="C115" s="33">
        <f t="shared" si="10"/>
        <v>46127</v>
      </c>
      <c r="D115" s="32">
        <v>3287</v>
      </c>
      <c r="E115" s="32">
        <v>338</v>
      </c>
      <c r="F115" s="32">
        <v>4</v>
      </c>
      <c r="G115" s="23">
        <v>4</v>
      </c>
      <c r="H115" s="23">
        <v>81676</v>
      </c>
      <c r="I115" s="23" t="s">
        <v>17</v>
      </c>
      <c r="J115" s="22">
        <v>86636851</v>
      </c>
      <c r="K115" s="22" t="s">
        <v>3086</v>
      </c>
      <c r="L115" s="22" t="s">
        <v>3090</v>
      </c>
      <c r="M115" s="24">
        <v>239900</v>
      </c>
      <c r="N115" s="35">
        <f t="shared" si="8"/>
        <v>0.75</v>
      </c>
      <c r="O115" s="34">
        <f t="shared" si="6"/>
        <v>59975</v>
      </c>
      <c r="P115" s="32" t="s">
        <v>16</v>
      </c>
    </row>
    <row r="116" spans="1:16" s="2" customFormat="1" x14ac:dyDescent="0.35">
      <c r="A116" s="32" t="str">
        <f t="shared" ref="A116:C131" si="11">A115</f>
        <v>2024 JAN-DEC DISC 75 LICENSE ESS</v>
      </c>
      <c r="B116" s="33">
        <f t="shared" si="11"/>
        <v>46121</v>
      </c>
      <c r="C116" s="33">
        <f t="shared" si="11"/>
        <v>46127</v>
      </c>
      <c r="D116" s="32">
        <v>3287</v>
      </c>
      <c r="E116" s="32">
        <v>338</v>
      </c>
      <c r="F116" s="32">
        <v>4</v>
      </c>
      <c r="G116" s="23">
        <v>3</v>
      </c>
      <c r="H116" s="23">
        <v>81574</v>
      </c>
      <c r="I116" s="23" t="s">
        <v>17</v>
      </c>
      <c r="J116" s="22">
        <v>15780793</v>
      </c>
      <c r="K116" s="22" t="s">
        <v>3790</v>
      </c>
      <c r="L116" s="22" t="s">
        <v>3791</v>
      </c>
      <c r="M116" s="24">
        <v>99900</v>
      </c>
      <c r="N116" s="35">
        <f t="shared" si="8"/>
        <v>0.75</v>
      </c>
      <c r="O116" s="34">
        <f t="shared" si="6"/>
        <v>24975</v>
      </c>
      <c r="P116" s="32" t="s">
        <v>16</v>
      </c>
    </row>
    <row r="117" spans="1:16" s="2" customFormat="1" x14ac:dyDescent="0.35">
      <c r="A117" s="32" t="str">
        <f t="shared" si="11"/>
        <v>2024 JAN-DEC DISC 75 LICENSE ESS</v>
      </c>
      <c r="B117" s="33">
        <f t="shared" si="11"/>
        <v>46121</v>
      </c>
      <c r="C117" s="33">
        <f t="shared" si="11"/>
        <v>46127</v>
      </c>
      <c r="D117" s="32">
        <v>3287</v>
      </c>
      <c r="E117" s="32">
        <v>338</v>
      </c>
      <c r="F117" s="32">
        <v>4</v>
      </c>
      <c r="G117" s="23">
        <v>3</v>
      </c>
      <c r="H117" s="23">
        <v>81574</v>
      </c>
      <c r="I117" s="23" t="s">
        <v>17</v>
      </c>
      <c r="J117" s="22">
        <v>15780800</v>
      </c>
      <c r="K117" s="22" t="s">
        <v>3790</v>
      </c>
      <c r="L117" s="22" t="s">
        <v>3792</v>
      </c>
      <c r="M117" s="24">
        <v>99900</v>
      </c>
      <c r="N117" s="35">
        <f t="shared" si="8"/>
        <v>0.75</v>
      </c>
      <c r="O117" s="34">
        <f t="shared" si="6"/>
        <v>24975</v>
      </c>
      <c r="P117" s="32" t="s">
        <v>16</v>
      </c>
    </row>
    <row r="118" spans="1:16" s="2" customFormat="1" x14ac:dyDescent="0.35">
      <c r="A118" s="32" t="str">
        <f t="shared" si="11"/>
        <v>2024 JAN-DEC DISC 75 LICENSE ESS</v>
      </c>
      <c r="B118" s="33">
        <f t="shared" si="11"/>
        <v>46121</v>
      </c>
      <c r="C118" s="33">
        <f t="shared" si="11"/>
        <v>46127</v>
      </c>
      <c r="D118" s="32">
        <v>3287</v>
      </c>
      <c r="E118" s="32">
        <v>338</v>
      </c>
      <c r="F118" s="32">
        <v>4</v>
      </c>
      <c r="G118" s="23">
        <v>3</v>
      </c>
      <c r="H118" s="23">
        <v>81574</v>
      </c>
      <c r="I118" s="23" t="s">
        <v>17</v>
      </c>
      <c r="J118" s="22">
        <v>15780819</v>
      </c>
      <c r="K118" s="22" t="s">
        <v>3790</v>
      </c>
      <c r="L118" s="22" t="s">
        <v>3793</v>
      </c>
      <c r="M118" s="24">
        <v>99900</v>
      </c>
      <c r="N118" s="35">
        <f t="shared" si="8"/>
        <v>0.75</v>
      </c>
      <c r="O118" s="34">
        <f t="shared" si="6"/>
        <v>24975</v>
      </c>
      <c r="P118" s="32" t="s">
        <v>16</v>
      </c>
    </row>
    <row r="119" spans="1:16" s="2" customFormat="1" x14ac:dyDescent="0.35">
      <c r="A119" s="32" t="str">
        <f t="shared" si="11"/>
        <v>2024 JAN-DEC DISC 75 LICENSE ESS</v>
      </c>
      <c r="B119" s="33">
        <f t="shared" si="11"/>
        <v>46121</v>
      </c>
      <c r="C119" s="33">
        <f t="shared" si="11"/>
        <v>46127</v>
      </c>
      <c r="D119" s="32">
        <v>3287</v>
      </c>
      <c r="E119" s="32">
        <v>338</v>
      </c>
      <c r="F119" s="32">
        <v>4</v>
      </c>
      <c r="G119" s="23">
        <v>3</v>
      </c>
      <c r="H119" s="23">
        <v>81574</v>
      </c>
      <c r="I119" s="23" t="s">
        <v>17</v>
      </c>
      <c r="J119" s="22">
        <v>15780828</v>
      </c>
      <c r="K119" s="22" t="s">
        <v>3790</v>
      </c>
      <c r="L119" s="22" t="s">
        <v>3794</v>
      </c>
      <c r="M119" s="24">
        <v>119900</v>
      </c>
      <c r="N119" s="35">
        <f t="shared" si="8"/>
        <v>0.75</v>
      </c>
      <c r="O119" s="34">
        <f t="shared" si="6"/>
        <v>29975</v>
      </c>
      <c r="P119" s="32" t="s">
        <v>16</v>
      </c>
    </row>
    <row r="120" spans="1:16" s="2" customFormat="1" x14ac:dyDescent="0.35">
      <c r="A120" s="32" t="str">
        <f t="shared" si="11"/>
        <v>2024 JAN-DEC DISC 75 LICENSE ESS</v>
      </c>
      <c r="B120" s="33">
        <f t="shared" si="11"/>
        <v>46121</v>
      </c>
      <c r="C120" s="33">
        <f t="shared" si="11"/>
        <v>46127</v>
      </c>
      <c r="D120" s="32">
        <v>3287</v>
      </c>
      <c r="E120" s="32">
        <v>338</v>
      </c>
      <c r="F120" s="32">
        <v>4</v>
      </c>
      <c r="G120" s="23">
        <v>1</v>
      </c>
      <c r="H120" s="23">
        <v>850</v>
      </c>
      <c r="I120" s="23" t="s">
        <v>17</v>
      </c>
      <c r="J120" s="22">
        <v>16622872</v>
      </c>
      <c r="K120" s="22" t="s">
        <v>3755</v>
      </c>
      <c r="L120" s="22" t="s">
        <v>3756</v>
      </c>
      <c r="M120" s="24">
        <v>119900</v>
      </c>
      <c r="N120" s="35">
        <f t="shared" si="8"/>
        <v>0.75</v>
      </c>
      <c r="O120" s="34">
        <f t="shared" si="6"/>
        <v>29975</v>
      </c>
      <c r="P120" s="32" t="s">
        <v>16</v>
      </c>
    </row>
    <row r="121" spans="1:16" s="2" customFormat="1" x14ac:dyDescent="0.35">
      <c r="A121" s="32" t="str">
        <f t="shared" si="11"/>
        <v>2024 JAN-DEC DISC 75 LICENSE ESS</v>
      </c>
      <c r="B121" s="33">
        <f t="shared" si="11"/>
        <v>46121</v>
      </c>
      <c r="C121" s="33">
        <f t="shared" si="11"/>
        <v>46127</v>
      </c>
      <c r="D121" s="32">
        <v>3287</v>
      </c>
      <c r="E121" s="32">
        <v>338</v>
      </c>
      <c r="F121" s="32">
        <v>4</v>
      </c>
      <c r="G121" s="23">
        <v>1</v>
      </c>
      <c r="H121" s="23">
        <v>850</v>
      </c>
      <c r="I121" s="23" t="s">
        <v>17</v>
      </c>
      <c r="J121" s="22">
        <v>16622881</v>
      </c>
      <c r="K121" s="22" t="s">
        <v>3755</v>
      </c>
      <c r="L121" s="22" t="s">
        <v>3757</v>
      </c>
      <c r="M121" s="24">
        <v>119900</v>
      </c>
      <c r="N121" s="35">
        <f t="shared" si="8"/>
        <v>0.75</v>
      </c>
      <c r="O121" s="34">
        <f t="shared" si="6"/>
        <v>29975</v>
      </c>
      <c r="P121" s="32" t="s">
        <v>16</v>
      </c>
    </row>
    <row r="122" spans="1:16" s="2" customFormat="1" x14ac:dyDescent="0.35">
      <c r="A122" s="32" t="str">
        <f t="shared" si="11"/>
        <v>2024 JAN-DEC DISC 75 LICENSE ESS</v>
      </c>
      <c r="B122" s="33">
        <f t="shared" si="11"/>
        <v>46121</v>
      </c>
      <c r="C122" s="33">
        <f t="shared" si="11"/>
        <v>46127</v>
      </c>
      <c r="D122" s="32">
        <v>3287</v>
      </c>
      <c r="E122" s="32">
        <v>338</v>
      </c>
      <c r="F122" s="32">
        <v>4</v>
      </c>
      <c r="G122" s="23">
        <v>1</v>
      </c>
      <c r="H122" s="23">
        <v>850</v>
      </c>
      <c r="I122" s="23" t="s">
        <v>17</v>
      </c>
      <c r="J122" s="22">
        <v>16622890</v>
      </c>
      <c r="K122" s="22" t="s">
        <v>3755</v>
      </c>
      <c r="L122" s="22" t="s">
        <v>3758</v>
      </c>
      <c r="M122" s="24">
        <v>119900</v>
      </c>
      <c r="N122" s="35">
        <f t="shared" si="8"/>
        <v>0.75</v>
      </c>
      <c r="O122" s="34">
        <f t="shared" si="6"/>
        <v>29975</v>
      </c>
      <c r="P122" s="32" t="s">
        <v>16</v>
      </c>
    </row>
    <row r="123" spans="1:16" s="2" customFormat="1" x14ac:dyDescent="0.35">
      <c r="A123" s="32" t="str">
        <f t="shared" si="11"/>
        <v>2024 JAN-DEC DISC 75 LICENSE ESS</v>
      </c>
      <c r="B123" s="33">
        <f t="shared" si="11"/>
        <v>46121</v>
      </c>
      <c r="C123" s="33">
        <f t="shared" si="11"/>
        <v>46127</v>
      </c>
      <c r="D123" s="32">
        <v>3287</v>
      </c>
      <c r="E123" s="32">
        <v>338</v>
      </c>
      <c r="F123" s="32">
        <v>4</v>
      </c>
      <c r="G123" s="23">
        <v>1</v>
      </c>
      <c r="H123" s="23">
        <v>850</v>
      </c>
      <c r="I123" s="23" t="s">
        <v>17</v>
      </c>
      <c r="J123" s="22">
        <v>16622907</v>
      </c>
      <c r="K123" s="22" t="s">
        <v>3755</v>
      </c>
      <c r="L123" s="22" t="s">
        <v>3759</v>
      </c>
      <c r="M123" s="24">
        <v>119900</v>
      </c>
      <c r="N123" s="35">
        <f t="shared" si="8"/>
        <v>0.75</v>
      </c>
      <c r="O123" s="34">
        <f t="shared" si="6"/>
        <v>29975</v>
      </c>
      <c r="P123" s="32" t="s">
        <v>16</v>
      </c>
    </row>
    <row r="124" spans="1:16" s="2" customFormat="1" x14ac:dyDescent="0.35">
      <c r="A124" s="32" t="str">
        <f t="shared" si="11"/>
        <v>2024 JAN-DEC DISC 75 LICENSE ESS</v>
      </c>
      <c r="B124" s="33">
        <f t="shared" si="11"/>
        <v>46121</v>
      </c>
      <c r="C124" s="33">
        <f t="shared" si="11"/>
        <v>46127</v>
      </c>
      <c r="D124" s="32">
        <v>3287</v>
      </c>
      <c r="E124" s="32">
        <v>338</v>
      </c>
      <c r="F124" s="32">
        <v>4</v>
      </c>
      <c r="G124" s="23">
        <v>2</v>
      </c>
      <c r="H124" s="23">
        <v>850</v>
      </c>
      <c r="I124" s="23" t="s">
        <v>17</v>
      </c>
      <c r="J124" s="22">
        <v>16622952</v>
      </c>
      <c r="K124" s="22" t="s">
        <v>3392</v>
      </c>
      <c r="L124" s="22" t="s">
        <v>3393</v>
      </c>
      <c r="M124" s="24">
        <v>229900</v>
      </c>
      <c r="N124" s="35">
        <f t="shared" si="8"/>
        <v>0.75</v>
      </c>
      <c r="O124" s="34">
        <f t="shared" si="6"/>
        <v>57475</v>
      </c>
      <c r="P124" s="32" t="s">
        <v>16</v>
      </c>
    </row>
    <row r="125" spans="1:16" s="2" customFormat="1" x14ac:dyDescent="0.35">
      <c r="A125" s="32" t="str">
        <f t="shared" si="11"/>
        <v>2024 JAN-DEC DISC 75 LICENSE ESS</v>
      </c>
      <c r="B125" s="33">
        <f t="shared" si="11"/>
        <v>46121</v>
      </c>
      <c r="C125" s="33">
        <f t="shared" si="11"/>
        <v>46127</v>
      </c>
      <c r="D125" s="32">
        <v>3287</v>
      </c>
      <c r="E125" s="32">
        <v>338</v>
      </c>
      <c r="F125" s="32">
        <v>4</v>
      </c>
      <c r="G125" s="23">
        <v>2</v>
      </c>
      <c r="H125" s="23">
        <v>850</v>
      </c>
      <c r="I125" s="23" t="s">
        <v>17</v>
      </c>
      <c r="J125" s="22">
        <v>16622961</v>
      </c>
      <c r="K125" s="22" t="s">
        <v>3392</v>
      </c>
      <c r="L125" s="22" t="s">
        <v>3394</v>
      </c>
      <c r="M125" s="24">
        <v>229900</v>
      </c>
      <c r="N125" s="35">
        <f t="shared" si="8"/>
        <v>0.75</v>
      </c>
      <c r="O125" s="34">
        <f t="shared" si="6"/>
        <v>57475</v>
      </c>
      <c r="P125" s="32" t="s">
        <v>16</v>
      </c>
    </row>
    <row r="126" spans="1:16" s="2" customFormat="1" x14ac:dyDescent="0.35">
      <c r="A126" s="32" t="str">
        <f t="shared" si="11"/>
        <v>2024 JAN-DEC DISC 75 LICENSE ESS</v>
      </c>
      <c r="B126" s="33">
        <f t="shared" si="11"/>
        <v>46121</v>
      </c>
      <c r="C126" s="33">
        <f t="shared" si="11"/>
        <v>46127</v>
      </c>
      <c r="D126" s="32">
        <v>3287</v>
      </c>
      <c r="E126" s="32">
        <v>338</v>
      </c>
      <c r="F126" s="32">
        <v>4</v>
      </c>
      <c r="G126" s="23">
        <v>2</v>
      </c>
      <c r="H126" s="23">
        <v>850</v>
      </c>
      <c r="I126" s="23" t="s">
        <v>17</v>
      </c>
      <c r="J126" s="22">
        <v>16622970</v>
      </c>
      <c r="K126" s="22" t="s">
        <v>3392</v>
      </c>
      <c r="L126" s="22" t="s">
        <v>3395</v>
      </c>
      <c r="M126" s="24">
        <v>229900</v>
      </c>
      <c r="N126" s="35">
        <f t="shared" si="8"/>
        <v>0.75</v>
      </c>
      <c r="O126" s="34">
        <f t="shared" si="6"/>
        <v>57475</v>
      </c>
      <c r="P126" s="32" t="s">
        <v>16</v>
      </c>
    </row>
    <row r="127" spans="1:16" s="2" customFormat="1" x14ac:dyDescent="0.35">
      <c r="A127" s="32" t="str">
        <f t="shared" si="11"/>
        <v>2024 JAN-DEC DISC 75 LICENSE ESS</v>
      </c>
      <c r="B127" s="33">
        <f t="shared" si="11"/>
        <v>46121</v>
      </c>
      <c r="C127" s="33">
        <f t="shared" si="11"/>
        <v>46127</v>
      </c>
      <c r="D127" s="32">
        <v>3287</v>
      </c>
      <c r="E127" s="32">
        <v>338</v>
      </c>
      <c r="F127" s="32">
        <v>4</v>
      </c>
      <c r="G127" s="23">
        <v>2</v>
      </c>
      <c r="H127" s="23">
        <v>850</v>
      </c>
      <c r="I127" s="23" t="s">
        <v>17</v>
      </c>
      <c r="J127" s="22">
        <v>16622989</v>
      </c>
      <c r="K127" s="22" t="s">
        <v>3392</v>
      </c>
      <c r="L127" s="22" t="s">
        <v>3396</v>
      </c>
      <c r="M127" s="24">
        <v>229900</v>
      </c>
      <c r="N127" s="35">
        <f t="shared" si="8"/>
        <v>0.75</v>
      </c>
      <c r="O127" s="34">
        <f t="shared" si="6"/>
        <v>57475</v>
      </c>
      <c r="P127" s="32" t="s">
        <v>16</v>
      </c>
    </row>
    <row r="128" spans="1:16" s="2" customFormat="1" x14ac:dyDescent="0.35">
      <c r="A128" s="32" t="str">
        <f t="shared" si="11"/>
        <v>2024 JAN-DEC DISC 75 LICENSE ESS</v>
      </c>
      <c r="B128" s="33">
        <f t="shared" si="11"/>
        <v>46121</v>
      </c>
      <c r="C128" s="33">
        <f t="shared" si="11"/>
        <v>46127</v>
      </c>
      <c r="D128" s="32">
        <v>3287</v>
      </c>
      <c r="E128" s="32">
        <v>338</v>
      </c>
      <c r="F128" s="32">
        <v>4</v>
      </c>
      <c r="G128" s="23">
        <v>2</v>
      </c>
      <c r="H128" s="23">
        <v>850</v>
      </c>
      <c r="I128" s="23" t="s">
        <v>17</v>
      </c>
      <c r="J128" s="22">
        <v>16622998</v>
      </c>
      <c r="K128" s="22" t="s">
        <v>3392</v>
      </c>
      <c r="L128" s="22" t="s">
        <v>3397</v>
      </c>
      <c r="M128" s="24">
        <v>239900</v>
      </c>
      <c r="N128" s="35">
        <f t="shared" si="8"/>
        <v>0.75</v>
      </c>
      <c r="O128" s="34">
        <f t="shared" si="6"/>
        <v>59975</v>
      </c>
      <c r="P128" s="32" t="s">
        <v>16</v>
      </c>
    </row>
    <row r="129" spans="1:16" s="2" customFormat="1" x14ac:dyDescent="0.35">
      <c r="A129" s="32" t="str">
        <f t="shared" si="11"/>
        <v>2024 JAN-DEC DISC 75 LICENSE ESS</v>
      </c>
      <c r="B129" s="33">
        <f t="shared" si="11"/>
        <v>46121</v>
      </c>
      <c r="C129" s="33">
        <f t="shared" si="11"/>
        <v>46127</v>
      </c>
      <c r="D129" s="32">
        <v>3287</v>
      </c>
      <c r="E129" s="32">
        <v>338</v>
      </c>
      <c r="F129" s="32">
        <v>4</v>
      </c>
      <c r="G129" s="23">
        <v>2</v>
      </c>
      <c r="H129" s="23">
        <v>850</v>
      </c>
      <c r="I129" s="23" t="s">
        <v>17</v>
      </c>
      <c r="J129" s="22">
        <v>16623004</v>
      </c>
      <c r="K129" s="22" t="s">
        <v>3392</v>
      </c>
      <c r="L129" s="22" t="s">
        <v>3398</v>
      </c>
      <c r="M129" s="24">
        <v>239900</v>
      </c>
      <c r="N129" s="35">
        <f t="shared" si="8"/>
        <v>0.75</v>
      </c>
      <c r="O129" s="34">
        <f t="shared" si="6"/>
        <v>59975</v>
      </c>
      <c r="P129" s="32" t="s">
        <v>16</v>
      </c>
    </row>
    <row r="130" spans="1:16" s="2" customFormat="1" x14ac:dyDescent="0.35">
      <c r="A130" s="32" t="str">
        <f t="shared" si="11"/>
        <v>2024 JAN-DEC DISC 75 LICENSE ESS</v>
      </c>
      <c r="B130" s="33">
        <f t="shared" si="11"/>
        <v>46121</v>
      </c>
      <c r="C130" s="33">
        <f t="shared" si="11"/>
        <v>46127</v>
      </c>
      <c r="D130" s="32">
        <v>3287</v>
      </c>
      <c r="E130" s="32">
        <v>338</v>
      </c>
      <c r="F130" s="32">
        <v>4</v>
      </c>
      <c r="G130" s="23">
        <v>2</v>
      </c>
      <c r="H130" s="23">
        <v>850</v>
      </c>
      <c r="I130" s="23" t="s">
        <v>17</v>
      </c>
      <c r="J130" s="22">
        <v>16623013</v>
      </c>
      <c r="K130" s="22" t="s">
        <v>3392</v>
      </c>
      <c r="L130" s="22" t="s">
        <v>3399</v>
      </c>
      <c r="M130" s="24">
        <v>239900</v>
      </c>
      <c r="N130" s="35">
        <f t="shared" si="8"/>
        <v>0.75</v>
      </c>
      <c r="O130" s="34">
        <f t="shared" si="6"/>
        <v>59975</v>
      </c>
      <c r="P130" s="32" t="s">
        <v>16</v>
      </c>
    </row>
    <row r="131" spans="1:16" s="2" customFormat="1" x14ac:dyDescent="0.35">
      <c r="A131" s="32" t="str">
        <f t="shared" si="11"/>
        <v>2024 JAN-DEC DISC 75 LICENSE ESS</v>
      </c>
      <c r="B131" s="33">
        <f t="shared" si="11"/>
        <v>46121</v>
      </c>
      <c r="C131" s="33">
        <f t="shared" si="11"/>
        <v>46127</v>
      </c>
      <c r="D131" s="32">
        <v>3287</v>
      </c>
      <c r="E131" s="32">
        <v>338</v>
      </c>
      <c r="F131" s="32">
        <v>4</v>
      </c>
      <c r="G131" s="23">
        <v>2</v>
      </c>
      <c r="H131" s="23">
        <v>850</v>
      </c>
      <c r="I131" s="23" t="s">
        <v>17</v>
      </c>
      <c r="J131" s="22">
        <v>16623022</v>
      </c>
      <c r="K131" s="22" t="s">
        <v>3392</v>
      </c>
      <c r="L131" s="22" t="s">
        <v>3400</v>
      </c>
      <c r="M131" s="24">
        <v>239900</v>
      </c>
      <c r="N131" s="35">
        <f t="shared" si="8"/>
        <v>0.75</v>
      </c>
      <c r="O131" s="34">
        <f t="shared" ref="O131:O194" si="12">M131-((75*M131)/100)</f>
        <v>59975</v>
      </c>
      <c r="P131" s="32" t="s">
        <v>16</v>
      </c>
    </row>
    <row r="132" spans="1:16" s="2" customFormat="1" x14ac:dyDescent="0.35">
      <c r="A132" s="32" t="str">
        <f t="shared" ref="A132:C147" si="13">A131</f>
        <v>2024 JAN-DEC DISC 75 LICENSE ESS</v>
      </c>
      <c r="B132" s="33">
        <f t="shared" si="13"/>
        <v>46121</v>
      </c>
      <c r="C132" s="33">
        <f t="shared" si="13"/>
        <v>46127</v>
      </c>
      <c r="D132" s="32">
        <v>3287</v>
      </c>
      <c r="E132" s="32">
        <v>338</v>
      </c>
      <c r="F132" s="32">
        <v>4</v>
      </c>
      <c r="G132" s="23">
        <v>1</v>
      </c>
      <c r="H132" s="23">
        <v>850</v>
      </c>
      <c r="I132" s="23" t="s">
        <v>17</v>
      </c>
      <c r="J132" s="22">
        <v>16622916</v>
      </c>
      <c r="K132" s="22" t="s">
        <v>3760</v>
      </c>
      <c r="L132" s="22" t="s">
        <v>3761</v>
      </c>
      <c r="M132" s="24">
        <v>119900</v>
      </c>
      <c r="N132" s="35">
        <f t="shared" ref="N132:N195" si="14">N131</f>
        <v>0.75</v>
      </c>
      <c r="O132" s="34">
        <f t="shared" si="12"/>
        <v>29975</v>
      </c>
      <c r="P132" s="32" t="s">
        <v>16</v>
      </c>
    </row>
    <row r="133" spans="1:16" s="2" customFormat="1" x14ac:dyDescent="0.35">
      <c r="A133" s="32" t="str">
        <f t="shared" si="13"/>
        <v>2024 JAN-DEC DISC 75 LICENSE ESS</v>
      </c>
      <c r="B133" s="33">
        <f t="shared" si="13"/>
        <v>46121</v>
      </c>
      <c r="C133" s="33">
        <f t="shared" si="13"/>
        <v>46127</v>
      </c>
      <c r="D133" s="32">
        <v>3287</v>
      </c>
      <c r="E133" s="32">
        <v>338</v>
      </c>
      <c r="F133" s="32">
        <v>4</v>
      </c>
      <c r="G133" s="23">
        <v>1</v>
      </c>
      <c r="H133" s="23">
        <v>850</v>
      </c>
      <c r="I133" s="23" t="s">
        <v>17</v>
      </c>
      <c r="J133" s="22">
        <v>16622925</v>
      </c>
      <c r="K133" s="22" t="s">
        <v>3760</v>
      </c>
      <c r="L133" s="22" t="s">
        <v>3762</v>
      </c>
      <c r="M133" s="24">
        <v>119900</v>
      </c>
      <c r="N133" s="35">
        <f t="shared" si="14"/>
        <v>0.75</v>
      </c>
      <c r="O133" s="34">
        <f t="shared" si="12"/>
        <v>29975</v>
      </c>
      <c r="P133" s="32" t="s">
        <v>16</v>
      </c>
    </row>
    <row r="134" spans="1:16" s="2" customFormat="1" x14ac:dyDescent="0.35">
      <c r="A134" s="32" t="str">
        <f t="shared" si="13"/>
        <v>2024 JAN-DEC DISC 75 LICENSE ESS</v>
      </c>
      <c r="B134" s="33">
        <f t="shared" si="13"/>
        <v>46121</v>
      </c>
      <c r="C134" s="33">
        <f t="shared" si="13"/>
        <v>46127</v>
      </c>
      <c r="D134" s="32">
        <v>3287</v>
      </c>
      <c r="E134" s="32">
        <v>338</v>
      </c>
      <c r="F134" s="32">
        <v>4</v>
      </c>
      <c r="G134" s="23">
        <v>1</v>
      </c>
      <c r="H134" s="23">
        <v>850</v>
      </c>
      <c r="I134" s="23" t="s">
        <v>17</v>
      </c>
      <c r="J134" s="22">
        <v>16622934</v>
      </c>
      <c r="K134" s="22" t="s">
        <v>3760</v>
      </c>
      <c r="L134" s="22" t="s">
        <v>3763</v>
      </c>
      <c r="M134" s="24">
        <v>119900</v>
      </c>
      <c r="N134" s="35">
        <f t="shared" si="14"/>
        <v>0.75</v>
      </c>
      <c r="O134" s="34">
        <f t="shared" si="12"/>
        <v>29975</v>
      </c>
      <c r="P134" s="32" t="s">
        <v>16</v>
      </c>
    </row>
    <row r="135" spans="1:16" s="2" customFormat="1" x14ac:dyDescent="0.35">
      <c r="A135" s="32" t="str">
        <f t="shared" si="13"/>
        <v>2024 JAN-DEC DISC 75 LICENSE ESS</v>
      </c>
      <c r="B135" s="33">
        <f t="shared" si="13"/>
        <v>46121</v>
      </c>
      <c r="C135" s="33">
        <f t="shared" si="13"/>
        <v>46127</v>
      </c>
      <c r="D135" s="32">
        <v>3287</v>
      </c>
      <c r="E135" s="32">
        <v>338</v>
      </c>
      <c r="F135" s="32">
        <v>4</v>
      </c>
      <c r="G135" s="23">
        <v>1</v>
      </c>
      <c r="H135" s="23">
        <v>850</v>
      </c>
      <c r="I135" s="23" t="s">
        <v>17</v>
      </c>
      <c r="J135" s="22">
        <v>16622943</v>
      </c>
      <c r="K135" s="22" t="s">
        <v>3760</v>
      </c>
      <c r="L135" s="22" t="s">
        <v>3764</v>
      </c>
      <c r="M135" s="24">
        <v>119900</v>
      </c>
      <c r="N135" s="35">
        <f t="shared" si="14"/>
        <v>0.75</v>
      </c>
      <c r="O135" s="34">
        <f t="shared" si="12"/>
        <v>29975</v>
      </c>
      <c r="P135" s="32" t="s">
        <v>16</v>
      </c>
    </row>
    <row r="136" spans="1:16" s="2" customFormat="1" x14ac:dyDescent="0.35">
      <c r="A136" s="32" t="str">
        <f t="shared" si="13"/>
        <v>2024 JAN-DEC DISC 75 LICENSE ESS</v>
      </c>
      <c r="B136" s="33">
        <f t="shared" si="13"/>
        <v>46121</v>
      </c>
      <c r="C136" s="33">
        <f t="shared" si="13"/>
        <v>46127</v>
      </c>
      <c r="D136" s="32">
        <v>3287</v>
      </c>
      <c r="E136" s="32">
        <v>338</v>
      </c>
      <c r="F136" s="32">
        <v>4</v>
      </c>
      <c r="G136" s="23">
        <v>7</v>
      </c>
      <c r="H136" s="23">
        <v>81595</v>
      </c>
      <c r="I136" s="23" t="s">
        <v>17</v>
      </c>
      <c r="J136" s="22">
        <v>16811275</v>
      </c>
      <c r="K136" s="22" t="s">
        <v>3405</v>
      </c>
      <c r="L136" s="22" t="s">
        <v>3406</v>
      </c>
      <c r="M136" s="24">
        <v>35900</v>
      </c>
      <c r="N136" s="35">
        <f t="shared" si="14"/>
        <v>0.75</v>
      </c>
      <c r="O136" s="34">
        <f t="shared" si="12"/>
        <v>8975</v>
      </c>
      <c r="P136" s="32" t="s">
        <v>16</v>
      </c>
    </row>
    <row r="137" spans="1:16" s="2" customFormat="1" x14ac:dyDescent="0.35">
      <c r="A137" s="32" t="str">
        <f t="shared" si="13"/>
        <v>2024 JAN-DEC DISC 75 LICENSE ESS</v>
      </c>
      <c r="B137" s="33">
        <f t="shared" si="13"/>
        <v>46121</v>
      </c>
      <c r="C137" s="33">
        <f t="shared" si="13"/>
        <v>46127</v>
      </c>
      <c r="D137" s="32">
        <v>3287</v>
      </c>
      <c r="E137" s="32">
        <v>338</v>
      </c>
      <c r="F137" s="32">
        <v>4</v>
      </c>
      <c r="G137" s="23">
        <v>7</v>
      </c>
      <c r="H137" s="23">
        <v>81595</v>
      </c>
      <c r="I137" s="23" t="s">
        <v>17</v>
      </c>
      <c r="J137" s="22">
        <v>16811284</v>
      </c>
      <c r="K137" s="22" t="s">
        <v>3405</v>
      </c>
      <c r="L137" s="22" t="s">
        <v>3407</v>
      </c>
      <c r="M137" s="24">
        <v>35900</v>
      </c>
      <c r="N137" s="35">
        <f t="shared" si="14"/>
        <v>0.75</v>
      </c>
      <c r="O137" s="34">
        <f t="shared" si="12"/>
        <v>8975</v>
      </c>
      <c r="P137" s="32" t="s">
        <v>16</v>
      </c>
    </row>
    <row r="138" spans="1:16" s="2" customFormat="1" x14ac:dyDescent="0.35">
      <c r="A138" s="32" t="str">
        <f t="shared" si="13"/>
        <v>2024 JAN-DEC DISC 75 LICENSE ESS</v>
      </c>
      <c r="B138" s="33">
        <f t="shared" si="13"/>
        <v>46121</v>
      </c>
      <c r="C138" s="33">
        <f t="shared" si="13"/>
        <v>46127</v>
      </c>
      <c r="D138" s="32">
        <v>3287</v>
      </c>
      <c r="E138" s="32">
        <v>338</v>
      </c>
      <c r="F138" s="32">
        <v>4</v>
      </c>
      <c r="G138" s="23">
        <v>4</v>
      </c>
      <c r="H138" s="23">
        <v>81379</v>
      </c>
      <c r="I138" s="23" t="s">
        <v>17</v>
      </c>
      <c r="J138" s="22">
        <v>16660563</v>
      </c>
      <c r="K138" s="22" t="s">
        <v>3417</v>
      </c>
      <c r="L138" s="22" t="s">
        <v>3418</v>
      </c>
      <c r="M138" s="24">
        <v>229900</v>
      </c>
      <c r="N138" s="35">
        <f t="shared" si="14"/>
        <v>0.75</v>
      </c>
      <c r="O138" s="34">
        <f t="shared" si="12"/>
        <v>57475</v>
      </c>
      <c r="P138" s="32" t="s">
        <v>16</v>
      </c>
    </row>
    <row r="139" spans="1:16" s="2" customFormat="1" x14ac:dyDescent="0.35">
      <c r="A139" s="32" t="str">
        <f t="shared" si="13"/>
        <v>2024 JAN-DEC DISC 75 LICENSE ESS</v>
      </c>
      <c r="B139" s="33">
        <f t="shared" si="13"/>
        <v>46121</v>
      </c>
      <c r="C139" s="33">
        <f t="shared" si="13"/>
        <v>46127</v>
      </c>
      <c r="D139" s="32">
        <v>3287</v>
      </c>
      <c r="E139" s="32">
        <v>338</v>
      </c>
      <c r="F139" s="32">
        <v>4</v>
      </c>
      <c r="G139" s="23">
        <v>4</v>
      </c>
      <c r="H139" s="23">
        <v>81379</v>
      </c>
      <c r="I139" s="23" t="s">
        <v>17</v>
      </c>
      <c r="J139" s="22">
        <v>16660572</v>
      </c>
      <c r="K139" s="22" t="s">
        <v>3417</v>
      </c>
      <c r="L139" s="22" t="s">
        <v>3419</v>
      </c>
      <c r="M139" s="24">
        <v>229900</v>
      </c>
      <c r="N139" s="35">
        <f t="shared" si="14"/>
        <v>0.75</v>
      </c>
      <c r="O139" s="34">
        <f t="shared" si="12"/>
        <v>57475</v>
      </c>
      <c r="P139" s="32" t="s">
        <v>16</v>
      </c>
    </row>
    <row r="140" spans="1:16" s="2" customFormat="1" x14ac:dyDescent="0.35">
      <c r="A140" s="32" t="str">
        <f t="shared" si="13"/>
        <v>2024 JAN-DEC DISC 75 LICENSE ESS</v>
      </c>
      <c r="B140" s="33">
        <f t="shared" si="13"/>
        <v>46121</v>
      </c>
      <c r="C140" s="33">
        <f t="shared" si="13"/>
        <v>46127</v>
      </c>
      <c r="D140" s="32">
        <v>3287</v>
      </c>
      <c r="E140" s="32">
        <v>338</v>
      </c>
      <c r="F140" s="32">
        <v>4</v>
      </c>
      <c r="G140" s="23">
        <v>4</v>
      </c>
      <c r="H140" s="23">
        <v>81379</v>
      </c>
      <c r="I140" s="23" t="s">
        <v>17</v>
      </c>
      <c r="J140" s="22">
        <v>16660581</v>
      </c>
      <c r="K140" s="22" t="s">
        <v>3417</v>
      </c>
      <c r="L140" s="22" t="s">
        <v>3420</v>
      </c>
      <c r="M140" s="24">
        <v>229900</v>
      </c>
      <c r="N140" s="35">
        <f t="shared" si="14"/>
        <v>0.75</v>
      </c>
      <c r="O140" s="34">
        <f t="shared" si="12"/>
        <v>57475</v>
      </c>
      <c r="P140" s="32" t="s">
        <v>16</v>
      </c>
    </row>
    <row r="141" spans="1:16" s="2" customFormat="1" x14ac:dyDescent="0.35">
      <c r="A141" s="32" t="str">
        <f t="shared" si="13"/>
        <v>2024 JAN-DEC DISC 75 LICENSE ESS</v>
      </c>
      <c r="B141" s="33">
        <f t="shared" si="13"/>
        <v>46121</v>
      </c>
      <c r="C141" s="33">
        <f t="shared" si="13"/>
        <v>46127</v>
      </c>
      <c r="D141" s="32">
        <v>3287</v>
      </c>
      <c r="E141" s="32">
        <v>338</v>
      </c>
      <c r="F141" s="32">
        <v>4</v>
      </c>
      <c r="G141" s="23">
        <v>4</v>
      </c>
      <c r="H141" s="23">
        <v>81379</v>
      </c>
      <c r="I141" s="23" t="s">
        <v>17</v>
      </c>
      <c r="J141" s="22">
        <v>16660590</v>
      </c>
      <c r="K141" s="22" t="s">
        <v>3417</v>
      </c>
      <c r="L141" s="22" t="s">
        <v>3421</v>
      </c>
      <c r="M141" s="24">
        <v>229900</v>
      </c>
      <c r="N141" s="35">
        <f t="shared" si="14"/>
        <v>0.75</v>
      </c>
      <c r="O141" s="34">
        <f t="shared" si="12"/>
        <v>57475</v>
      </c>
      <c r="P141" s="32" t="s">
        <v>16</v>
      </c>
    </row>
    <row r="142" spans="1:16" s="2" customFormat="1" x14ac:dyDescent="0.35">
      <c r="A142" s="32" t="str">
        <f t="shared" si="13"/>
        <v>2024 JAN-DEC DISC 75 LICENSE ESS</v>
      </c>
      <c r="B142" s="33">
        <f t="shared" si="13"/>
        <v>46121</v>
      </c>
      <c r="C142" s="33">
        <f t="shared" si="13"/>
        <v>46127</v>
      </c>
      <c r="D142" s="32">
        <v>3287</v>
      </c>
      <c r="E142" s="32">
        <v>338</v>
      </c>
      <c r="F142" s="32">
        <v>4</v>
      </c>
      <c r="G142" s="23">
        <v>7</v>
      </c>
      <c r="H142" s="23">
        <v>81595</v>
      </c>
      <c r="I142" s="23" t="s">
        <v>17</v>
      </c>
      <c r="J142" s="22">
        <v>16811293</v>
      </c>
      <c r="K142" s="22" t="s">
        <v>3408</v>
      </c>
      <c r="L142" s="22" t="s">
        <v>3409</v>
      </c>
      <c r="M142" s="24">
        <v>35900</v>
      </c>
      <c r="N142" s="35">
        <f t="shared" si="14"/>
        <v>0.75</v>
      </c>
      <c r="O142" s="34">
        <f t="shared" si="12"/>
        <v>8975</v>
      </c>
      <c r="P142" s="32" t="s">
        <v>16</v>
      </c>
    </row>
    <row r="143" spans="1:16" s="2" customFormat="1" x14ac:dyDescent="0.35">
      <c r="A143" s="32" t="str">
        <f t="shared" si="13"/>
        <v>2024 JAN-DEC DISC 75 LICENSE ESS</v>
      </c>
      <c r="B143" s="33">
        <f t="shared" si="13"/>
        <v>46121</v>
      </c>
      <c r="C143" s="33">
        <f t="shared" si="13"/>
        <v>46127</v>
      </c>
      <c r="D143" s="32">
        <v>3287</v>
      </c>
      <c r="E143" s="32">
        <v>338</v>
      </c>
      <c r="F143" s="32">
        <v>4</v>
      </c>
      <c r="G143" s="23">
        <v>7</v>
      </c>
      <c r="H143" s="23">
        <v>81595</v>
      </c>
      <c r="I143" s="23" t="s">
        <v>17</v>
      </c>
      <c r="J143" s="22">
        <v>16811300</v>
      </c>
      <c r="K143" s="22" t="s">
        <v>3408</v>
      </c>
      <c r="L143" s="22" t="s">
        <v>3410</v>
      </c>
      <c r="M143" s="24">
        <v>35900</v>
      </c>
      <c r="N143" s="35">
        <f t="shared" si="14"/>
        <v>0.75</v>
      </c>
      <c r="O143" s="34">
        <f t="shared" si="12"/>
        <v>8975</v>
      </c>
      <c r="P143" s="32" t="s">
        <v>16</v>
      </c>
    </row>
    <row r="144" spans="1:16" s="2" customFormat="1" x14ac:dyDescent="0.35">
      <c r="A144" s="32" t="str">
        <f t="shared" si="13"/>
        <v>2024 JAN-DEC DISC 75 LICENSE ESS</v>
      </c>
      <c r="B144" s="33">
        <f t="shared" si="13"/>
        <v>46121</v>
      </c>
      <c r="C144" s="33">
        <f t="shared" si="13"/>
        <v>46127</v>
      </c>
      <c r="D144" s="32">
        <v>3287</v>
      </c>
      <c r="E144" s="32">
        <v>338</v>
      </c>
      <c r="F144" s="32">
        <v>4</v>
      </c>
      <c r="G144" s="23">
        <v>7</v>
      </c>
      <c r="H144" s="23">
        <v>81595</v>
      </c>
      <c r="I144" s="23" t="s">
        <v>17</v>
      </c>
      <c r="J144" s="22">
        <v>16811337</v>
      </c>
      <c r="K144" s="22" t="s">
        <v>3411</v>
      </c>
      <c r="L144" s="22" t="s">
        <v>3412</v>
      </c>
      <c r="M144" s="24">
        <v>35900</v>
      </c>
      <c r="N144" s="35">
        <f t="shared" si="14"/>
        <v>0.75</v>
      </c>
      <c r="O144" s="34">
        <f t="shared" si="12"/>
        <v>8975</v>
      </c>
      <c r="P144" s="32" t="s">
        <v>16</v>
      </c>
    </row>
    <row r="145" spans="1:16" s="2" customFormat="1" x14ac:dyDescent="0.35">
      <c r="A145" s="32" t="str">
        <f t="shared" si="13"/>
        <v>2024 JAN-DEC DISC 75 LICENSE ESS</v>
      </c>
      <c r="B145" s="33">
        <f t="shared" si="13"/>
        <v>46121</v>
      </c>
      <c r="C145" s="33">
        <f t="shared" si="13"/>
        <v>46127</v>
      </c>
      <c r="D145" s="32">
        <v>3287</v>
      </c>
      <c r="E145" s="32">
        <v>338</v>
      </c>
      <c r="F145" s="32">
        <v>4</v>
      </c>
      <c r="G145" s="23">
        <v>7</v>
      </c>
      <c r="H145" s="23">
        <v>81595</v>
      </c>
      <c r="I145" s="23" t="s">
        <v>17</v>
      </c>
      <c r="J145" s="22">
        <v>16811346</v>
      </c>
      <c r="K145" s="22" t="s">
        <v>3411</v>
      </c>
      <c r="L145" s="22" t="s">
        <v>3413</v>
      </c>
      <c r="M145" s="24">
        <v>35900</v>
      </c>
      <c r="N145" s="35">
        <f t="shared" si="14"/>
        <v>0.75</v>
      </c>
      <c r="O145" s="34">
        <f t="shared" si="12"/>
        <v>8975</v>
      </c>
      <c r="P145" s="32" t="s">
        <v>16</v>
      </c>
    </row>
    <row r="146" spans="1:16" s="2" customFormat="1" x14ac:dyDescent="0.35">
      <c r="A146" s="32" t="str">
        <f t="shared" si="13"/>
        <v>2024 JAN-DEC DISC 75 LICENSE ESS</v>
      </c>
      <c r="B146" s="33">
        <f t="shared" si="13"/>
        <v>46121</v>
      </c>
      <c r="C146" s="33">
        <f t="shared" si="13"/>
        <v>46127</v>
      </c>
      <c r="D146" s="32">
        <v>3287</v>
      </c>
      <c r="E146" s="32">
        <v>338</v>
      </c>
      <c r="F146" s="32">
        <v>4</v>
      </c>
      <c r="G146" s="23">
        <v>7</v>
      </c>
      <c r="H146" s="23">
        <v>81595</v>
      </c>
      <c r="I146" s="23" t="s">
        <v>17</v>
      </c>
      <c r="J146" s="22">
        <v>16811355</v>
      </c>
      <c r="K146" s="22" t="s">
        <v>3414</v>
      </c>
      <c r="L146" s="22" t="s">
        <v>3415</v>
      </c>
      <c r="M146" s="24">
        <v>35900</v>
      </c>
      <c r="N146" s="35">
        <f t="shared" si="14"/>
        <v>0.75</v>
      </c>
      <c r="O146" s="34">
        <f t="shared" si="12"/>
        <v>8975</v>
      </c>
      <c r="P146" s="32" t="s">
        <v>16</v>
      </c>
    </row>
    <row r="147" spans="1:16" s="2" customFormat="1" x14ac:dyDescent="0.35">
      <c r="A147" s="32" t="str">
        <f t="shared" si="13"/>
        <v>2024 JAN-DEC DISC 75 LICENSE ESS</v>
      </c>
      <c r="B147" s="33">
        <f t="shared" si="13"/>
        <v>46121</v>
      </c>
      <c r="C147" s="33">
        <f t="shared" si="13"/>
        <v>46127</v>
      </c>
      <c r="D147" s="32">
        <v>3287</v>
      </c>
      <c r="E147" s="32">
        <v>338</v>
      </c>
      <c r="F147" s="32">
        <v>4</v>
      </c>
      <c r="G147" s="23">
        <v>7</v>
      </c>
      <c r="H147" s="23">
        <v>81595</v>
      </c>
      <c r="I147" s="23" t="s">
        <v>17</v>
      </c>
      <c r="J147" s="22">
        <v>16811364</v>
      </c>
      <c r="K147" s="22" t="s">
        <v>3414</v>
      </c>
      <c r="L147" s="22" t="s">
        <v>3416</v>
      </c>
      <c r="M147" s="24">
        <v>35900</v>
      </c>
      <c r="N147" s="35">
        <f t="shared" si="14"/>
        <v>0.75</v>
      </c>
      <c r="O147" s="34">
        <f t="shared" si="12"/>
        <v>8975</v>
      </c>
      <c r="P147" s="32" t="s">
        <v>16</v>
      </c>
    </row>
    <row r="148" spans="1:16" s="2" customFormat="1" x14ac:dyDescent="0.35">
      <c r="A148" s="32" t="str">
        <f t="shared" ref="A148:C163" si="15">A147</f>
        <v>2024 JAN-DEC DISC 75 LICENSE ESS</v>
      </c>
      <c r="B148" s="33">
        <f t="shared" si="15"/>
        <v>46121</v>
      </c>
      <c r="C148" s="33">
        <f t="shared" si="15"/>
        <v>46127</v>
      </c>
      <c r="D148" s="32">
        <v>3287</v>
      </c>
      <c r="E148" s="32">
        <v>338</v>
      </c>
      <c r="F148" s="32">
        <v>4</v>
      </c>
      <c r="G148" s="23">
        <v>7</v>
      </c>
      <c r="H148" s="23">
        <v>599</v>
      </c>
      <c r="I148" s="23" t="s">
        <v>17</v>
      </c>
      <c r="J148" s="22">
        <v>16811373</v>
      </c>
      <c r="K148" s="22" t="s">
        <v>3402</v>
      </c>
      <c r="L148" s="22" t="s">
        <v>3403</v>
      </c>
      <c r="M148" s="24">
        <v>35900</v>
      </c>
      <c r="N148" s="35">
        <f t="shared" si="14"/>
        <v>0.75</v>
      </c>
      <c r="O148" s="34">
        <f t="shared" si="12"/>
        <v>8975</v>
      </c>
      <c r="P148" s="32" t="s">
        <v>16</v>
      </c>
    </row>
    <row r="149" spans="1:16" s="2" customFormat="1" x14ac:dyDescent="0.35">
      <c r="A149" s="32" t="str">
        <f t="shared" si="15"/>
        <v>2024 JAN-DEC DISC 75 LICENSE ESS</v>
      </c>
      <c r="B149" s="33">
        <f t="shared" si="15"/>
        <v>46121</v>
      </c>
      <c r="C149" s="33">
        <f t="shared" si="15"/>
        <v>46127</v>
      </c>
      <c r="D149" s="32">
        <v>3287</v>
      </c>
      <c r="E149" s="32">
        <v>338</v>
      </c>
      <c r="F149" s="32">
        <v>4</v>
      </c>
      <c r="G149" s="23">
        <v>7</v>
      </c>
      <c r="H149" s="23">
        <v>599</v>
      </c>
      <c r="I149" s="23" t="s">
        <v>17</v>
      </c>
      <c r="J149" s="22">
        <v>16811382</v>
      </c>
      <c r="K149" s="22" t="s">
        <v>3402</v>
      </c>
      <c r="L149" s="22" t="s">
        <v>3404</v>
      </c>
      <c r="M149" s="24">
        <v>35900</v>
      </c>
      <c r="N149" s="35">
        <f t="shared" si="14"/>
        <v>0.75</v>
      </c>
      <c r="O149" s="34">
        <f t="shared" si="12"/>
        <v>8975</v>
      </c>
      <c r="P149" s="32" t="s">
        <v>16</v>
      </c>
    </row>
    <row r="150" spans="1:16" s="2" customFormat="1" x14ac:dyDescent="0.35">
      <c r="A150" s="32" t="str">
        <f t="shared" si="15"/>
        <v>2024 JAN-DEC DISC 75 LICENSE ESS</v>
      </c>
      <c r="B150" s="33">
        <f t="shared" si="15"/>
        <v>46121</v>
      </c>
      <c r="C150" s="33">
        <f t="shared" si="15"/>
        <v>46127</v>
      </c>
      <c r="D150" s="32">
        <v>3287</v>
      </c>
      <c r="E150" s="32">
        <v>338</v>
      </c>
      <c r="F150" s="32">
        <v>4</v>
      </c>
      <c r="G150" s="23">
        <v>3</v>
      </c>
      <c r="H150" s="23">
        <v>850</v>
      </c>
      <c r="I150" s="23" t="s">
        <v>17</v>
      </c>
      <c r="J150" s="22">
        <v>17059882</v>
      </c>
      <c r="K150" s="22" t="s">
        <v>3775</v>
      </c>
      <c r="L150" s="22" t="s">
        <v>3776</v>
      </c>
      <c r="M150" s="24">
        <v>119900</v>
      </c>
      <c r="N150" s="35">
        <f t="shared" si="14"/>
        <v>0.75</v>
      </c>
      <c r="O150" s="34">
        <f t="shared" si="12"/>
        <v>29975</v>
      </c>
      <c r="P150" s="32" t="s">
        <v>16</v>
      </c>
    </row>
    <row r="151" spans="1:16" s="2" customFormat="1" x14ac:dyDescent="0.35">
      <c r="A151" s="32" t="str">
        <f t="shared" si="15"/>
        <v>2024 JAN-DEC DISC 75 LICENSE ESS</v>
      </c>
      <c r="B151" s="33">
        <f t="shared" si="15"/>
        <v>46121</v>
      </c>
      <c r="C151" s="33">
        <f t="shared" si="15"/>
        <v>46127</v>
      </c>
      <c r="D151" s="32">
        <v>3287</v>
      </c>
      <c r="E151" s="32">
        <v>338</v>
      </c>
      <c r="F151" s="32">
        <v>4</v>
      </c>
      <c r="G151" s="23">
        <v>3</v>
      </c>
      <c r="H151" s="23">
        <v>850</v>
      </c>
      <c r="I151" s="23" t="s">
        <v>17</v>
      </c>
      <c r="J151" s="22">
        <v>17059891</v>
      </c>
      <c r="K151" s="22" t="s">
        <v>3775</v>
      </c>
      <c r="L151" s="22" t="s">
        <v>3777</v>
      </c>
      <c r="M151" s="24">
        <v>119900</v>
      </c>
      <c r="N151" s="35">
        <f t="shared" si="14"/>
        <v>0.75</v>
      </c>
      <c r="O151" s="34">
        <f t="shared" si="12"/>
        <v>29975</v>
      </c>
      <c r="P151" s="32" t="s">
        <v>16</v>
      </c>
    </row>
    <row r="152" spans="1:16" s="2" customFormat="1" x14ac:dyDescent="0.35">
      <c r="A152" s="32" t="str">
        <f t="shared" si="15"/>
        <v>2024 JAN-DEC DISC 75 LICENSE ESS</v>
      </c>
      <c r="B152" s="33">
        <f t="shared" si="15"/>
        <v>46121</v>
      </c>
      <c r="C152" s="33">
        <f t="shared" si="15"/>
        <v>46127</v>
      </c>
      <c r="D152" s="32">
        <v>3287</v>
      </c>
      <c r="E152" s="32">
        <v>338</v>
      </c>
      <c r="F152" s="32">
        <v>4</v>
      </c>
      <c r="G152" s="23">
        <v>3</v>
      </c>
      <c r="H152" s="23">
        <v>850</v>
      </c>
      <c r="I152" s="23" t="s">
        <v>17</v>
      </c>
      <c r="J152" s="22">
        <v>17059908</v>
      </c>
      <c r="K152" s="22" t="s">
        <v>3775</v>
      </c>
      <c r="L152" s="22" t="s">
        <v>3778</v>
      </c>
      <c r="M152" s="24">
        <v>119900</v>
      </c>
      <c r="N152" s="35">
        <f t="shared" si="14"/>
        <v>0.75</v>
      </c>
      <c r="O152" s="34">
        <f t="shared" si="12"/>
        <v>29975</v>
      </c>
      <c r="P152" s="32" t="s">
        <v>16</v>
      </c>
    </row>
    <row r="153" spans="1:16" s="2" customFormat="1" x14ac:dyDescent="0.35">
      <c r="A153" s="32" t="str">
        <f t="shared" si="15"/>
        <v>2024 JAN-DEC DISC 75 LICENSE ESS</v>
      </c>
      <c r="B153" s="33">
        <f t="shared" si="15"/>
        <v>46121</v>
      </c>
      <c r="C153" s="33">
        <f t="shared" si="15"/>
        <v>46127</v>
      </c>
      <c r="D153" s="32">
        <v>3287</v>
      </c>
      <c r="E153" s="32">
        <v>338</v>
      </c>
      <c r="F153" s="32">
        <v>4</v>
      </c>
      <c r="G153" s="23">
        <v>3</v>
      </c>
      <c r="H153" s="23">
        <v>850</v>
      </c>
      <c r="I153" s="23" t="s">
        <v>17</v>
      </c>
      <c r="J153" s="22">
        <v>17059917</v>
      </c>
      <c r="K153" s="22" t="s">
        <v>3775</v>
      </c>
      <c r="L153" s="22" t="s">
        <v>3779</v>
      </c>
      <c r="M153" s="24">
        <v>119900</v>
      </c>
      <c r="N153" s="35">
        <f t="shared" si="14"/>
        <v>0.75</v>
      </c>
      <c r="O153" s="34">
        <f t="shared" si="12"/>
        <v>29975</v>
      </c>
      <c r="P153" s="32" t="s">
        <v>16</v>
      </c>
    </row>
    <row r="154" spans="1:16" s="2" customFormat="1" x14ac:dyDescent="0.35">
      <c r="A154" s="32" t="str">
        <f t="shared" si="15"/>
        <v>2024 JAN-DEC DISC 75 LICENSE ESS</v>
      </c>
      <c r="B154" s="33">
        <f t="shared" si="15"/>
        <v>46121</v>
      </c>
      <c r="C154" s="33">
        <f t="shared" si="15"/>
        <v>46127</v>
      </c>
      <c r="D154" s="32">
        <v>3287</v>
      </c>
      <c r="E154" s="32">
        <v>338</v>
      </c>
      <c r="F154" s="32">
        <v>4</v>
      </c>
      <c r="G154" s="23">
        <v>7</v>
      </c>
      <c r="H154" s="23">
        <v>599</v>
      </c>
      <c r="I154" s="23" t="s">
        <v>17</v>
      </c>
      <c r="J154" s="22">
        <v>16660787</v>
      </c>
      <c r="K154" s="22" t="s">
        <v>3389</v>
      </c>
      <c r="L154" s="22" t="s">
        <v>3390</v>
      </c>
      <c r="M154" s="24">
        <v>35900</v>
      </c>
      <c r="N154" s="35">
        <f t="shared" si="14"/>
        <v>0.75</v>
      </c>
      <c r="O154" s="34">
        <f t="shared" si="12"/>
        <v>8975</v>
      </c>
      <c r="P154" s="32" t="s">
        <v>16</v>
      </c>
    </row>
    <row r="155" spans="1:16" s="2" customFormat="1" x14ac:dyDescent="0.35">
      <c r="A155" s="32" t="str">
        <f t="shared" si="15"/>
        <v>2024 JAN-DEC DISC 75 LICENSE ESS</v>
      </c>
      <c r="B155" s="33">
        <f t="shared" si="15"/>
        <v>46121</v>
      </c>
      <c r="C155" s="33">
        <f t="shared" si="15"/>
        <v>46127</v>
      </c>
      <c r="D155" s="32">
        <v>3287</v>
      </c>
      <c r="E155" s="32">
        <v>338</v>
      </c>
      <c r="F155" s="32">
        <v>4</v>
      </c>
      <c r="G155" s="23">
        <v>7</v>
      </c>
      <c r="H155" s="23">
        <v>599</v>
      </c>
      <c r="I155" s="23" t="s">
        <v>17</v>
      </c>
      <c r="J155" s="22">
        <v>16660796</v>
      </c>
      <c r="K155" s="22" t="s">
        <v>3389</v>
      </c>
      <c r="L155" s="22" t="s">
        <v>3391</v>
      </c>
      <c r="M155" s="24">
        <v>35900</v>
      </c>
      <c r="N155" s="35">
        <f t="shared" si="14"/>
        <v>0.75</v>
      </c>
      <c r="O155" s="34">
        <f t="shared" si="12"/>
        <v>8975</v>
      </c>
      <c r="P155" s="32" t="s">
        <v>16</v>
      </c>
    </row>
    <row r="156" spans="1:16" s="2" customFormat="1" x14ac:dyDescent="0.35">
      <c r="A156" s="32" t="str">
        <f t="shared" si="15"/>
        <v>2024 JAN-DEC DISC 75 LICENSE ESS</v>
      </c>
      <c r="B156" s="33">
        <f t="shared" si="15"/>
        <v>46121</v>
      </c>
      <c r="C156" s="33">
        <f t="shared" si="15"/>
        <v>46127</v>
      </c>
      <c r="D156" s="32">
        <v>3287</v>
      </c>
      <c r="E156" s="32">
        <v>338</v>
      </c>
      <c r="F156" s="32">
        <v>4</v>
      </c>
      <c r="G156" s="23">
        <v>8</v>
      </c>
      <c r="H156" s="23">
        <v>81462</v>
      </c>
      <c r="I156" s="23" t="s">
        <v>17</v>
      </c>
      <c r="J156" s="22">
        <v>18544873</v>
      </c>
      <c r="K156" s="22" t="s">
        <v>4952</v>
      </c>
      <c r="L156" s="22" t="s">
        <v>4953</v>
      </c>
      <c r="M156" s="24">
        <v>119900</v>
      </c>
      <c r="N156" s="35">
        <f t="shared" si="14"/>
        <v>0.75</v>
      </c>
      <c r="O156" s="34">
        <f t="shared" si="12"/>
        <v>29975</v>
      </c>
      <c r="P156" s="32" t="s">
        <v>16</v>
      </c>
    </row>
    <row r="157" spans="1:16" s="2" customFormat="1" x14ac:dyDescent="0.35">
      <c r="A157" s="32" t="str">
        <f t="shared" si="15"/>
        <v>2024 JAN-DEC DISC 75 LICENSE ESS</v>
      </c>
      <c r="B157" s="33">
        <f t="shared" si="15"/>
        <v>46121</v>
      </c>
      <c r="C157" s="33">
        <f t="shared" si="15"/>
        <v>46127</v>
      </c>
      <c r="D157" s="32">
        <v>3287</v>
      </c>
      <c r="E157" s="32">
        <v>338</v>
      </c>
      <c r="F157" s="32">
        <v>4</v>
      </c>
      <c r="G157" s="23">
        <v>8</v>
      </c>
      <c r="H157" s="23">
        <v>81462</v>
      </c>
      <c r="I157" s="23" t="s">
        <v>17</v>
      </c>
      <c r="J157" s="22">
        <v>18544882</v>
      </c>
      <c r="K157" s="22" t="s">
        <v>4952</v>
      </c>
      <c r="L157" s="22" t="s">
        <v>4954</v>
      </c>
      <c r="M157" s="24">
        <v>119900</v>
      </c>
      <c r="N157" s="35">
        <f t="shared" si="14"/>
        <v>0.75</v>
      </c>
      <c r="O157" s="34">
        <f t="shared" si="12"/>
        <v>29975</v>
      </c>
      <c r="P157" s="32" t="s">
        <v>16</v>
      </c>
    </row>
    <row r="158" spans="1:16" s="2" customFormat="1" x14ac:dyDescent="0.35">
      <c r="A158" s="32" t="str">
        <f t="shared" si="15"/>
        <v>2024 JAN-DEC DISC 75 LICENSE ESS</v>
      </c>
      <c r="B158" s="33">
        <f t="shared" si="15"/>
        <v>46121</v>
      </c>
      <c r="C158" s="33">
        <f t="shared" si="15"/>
        <v>46127</v>
      </c>
      <c r="D158" s="32">
        <v>3287</v>
      </c>
      <c r="E158" s="32">
        <v>338</v>
      </c>
      <c r="F158" s="32">
        <v>4</v>
      </c>
      <c r="G158" s="23">
        <v>8</v>
      </c>
      <c r="H158" s="23">
        <v>81462</v>
      </c>
      <c r="I158" s="23" t="s">
        <v>17</v>
      </c>
      <c r="J158" s="22">
        <v>18544917</v>
      </c>
      <c r="K158" s="22" t="s">
        <v>4952</v>
      </c>
      <c r="L158" s="22" t="s">
        <v>4955</v>
      </c>
      <c r="M158" s="24">
        <v>119900</v>
      </c>
      <c r="N158" s="35">
        <f t="shared" si="14"/>
        <v>0.75</v>
      </c>
      <c r="O158" s="34">
        <f t="shared" si="12"/>
        <v>29975</v>
      </c>
      <c r="P158" s="32" t="s">
        <v>16</v>
      </c>
    </row>
    <row r="159" spans="1:16" s="2" customFormat="1" x14ac:dyDescent="0.35">
      <c r="A159" s="32" t="str">
        <f t="shared" si="15"/>
        <v>2024 JAN-DEC DISC 75 LICENSE ESS</v>
      </c>
      <c r="B159" s="33">
        <f t="shared" si="15"/>
        <v>46121</v>
      </c>
      <c r="C159" s="33">
        <f t="shared" si="15"/>
        <v>46127</v>
      </c>
      <c r="D159" s="32">
        <v>3287</v>
      </c>
      <c r="E159" s="32">
        <v>338</v>
      </c>
      <c r="F159" s="32">
        <v>4</v>
      </c>
      <c r="G159" s="23">
        <v>8</v>
      </c>
      <c r="H159" s="23">
        <v>81462</v>
      </c>
      <c r="I159" s="23" t="s">
        <v>17</v>
      </c>
      <c r="J159" s="22">
        <v>18544926</v>
      </c>
      <c r="K159" s="22" t="s">
        <v>4952</v>
      </c>
      <c r="L159" s="22" t="s">
        <v>4956</v>
      </c>
      <c r="M159" s="24">
        <v>119900</v>
      </c>
      <c r="N159" s="35">
        <f t="shared" si="14"/>
        <v>0.75</v>
      </c>
      <c r="O159" s="34">
        <f t="shared" si="12"/>
        <v>29975</v>
      </c>
      <c r="P159" s="32" t="s">
        <v>16</v>
      </c>
    </row>
    <row r="160" spans="1:16" s="2" customFormat="1" x14ac:dyDescent="0.35">
      <c r="A160" s="32" t="str">
        <f t="shared" si="15"/>
        <v>2024 JAN-DEC DISC 75 LICENSE ESS</v>
      </c>
      <c r="B160" s="33">
        <f t="shared" si="15"/>
        <v>46121</v>
      </c>
      <c r="C160" s="33">
        <f t="shared" si="15"/>
        <v>46127</v>
      </c>
      <c r="D160" s="32">
        <v>3287</v>
      </c>
      <c r="E160" s="32">
        <v>338</v>
      </c>
      <c r="F160" s="32">
        <v>4</v>
      </c>
      <c r="G160" s="23">
        <v>3</v>
      </c>
      <c r="H160" s="23">
        <v>81574</v>
      </c>
      <c r="I160" s="23" t="s">
        <v>17</v>
      </c>
      <c r="J160" s="22">
        <v>18292396</v>
      </c>
      <c r="K160" s="22" t="s">
        <v>3726</v>
      </c>
      <c r="L160" s="22" t="s">
        <v>3727</v>
      </c>
      <c r="M160" s="24">
        <v>119900</v>
      </c>
      <c r="N160" s="35">
        <f t="shared" si="14"/>
        <v>0.75</v>
      </c>
      <c r="O160" s="34">
        <f t="shared" si="12"/>
        <v>29975</v>
      </c>
      <c r="P160" s="32" t="s">
        <v>16</v>
      </c>
    </row>
    <row r="161" spans="1:16" s="2" customFormat="1" x14ac:dyDescent="0.35">
      <c r="A161" s="32" t="str">
        <f t="shared" si="15"/>
        <v>2024 JAN-DEC DISC 75 LICENSE ESS</v>
      </c>
      <c r="B161" s="33">
        <f t="shared" si="15"/>
        <v>46121</v>
      </c>
      <c r="C161" s="33">
        <f t="shared" si="15"/>
        <v>46127</v>
      </c>
      <c r="D161" s="32">
        <v>3287</v>
      </c>
      <c r="E161" s="32">
        <v>338</v>
      </c>
      <c r="F161" s="32">
        <v>4</v>
      </c>
      <c r="G161" s="23">
        <v>3</v>
      </c>
      <c r="H161" s="23">
        <v>81574</v>
      </c>
      <c r="I161" s="23" t="s">
        <v>17</v>
      </c>
      <c r="J161" s="22">
        <v>18292403</v>
      </c>
      <c r="K161" s="22" t="s">
        <v>3726</v>
      </c>
      <c r="L161" s="22" t="s">
        <v>3728</v>
      </c>
      <c r="M161" s="24">
        <v>119900</v>
      </c>
      <c r="N161" s="35">
        <f t="shared" si="14"/>
        <v>0.75</v>
      </c>
      <c r="O161" s="34">
        <f t="shared" si="12"/>
        <v>29975</v>
      </c>
      <c r="P161" s="32" t="s">
        <v>16</v>
      </c>
    </row>
    <row r="162" spans="1:16" s="2" customFormat="1" x14ac:dyDescent="0.35">
      <c r="A162" s="32" t="str">
        <f t="shared" si="15"/>
        <v>2024 JAN-DEC DISC 75 LICENSE ESS</v>
      </c>
      <c r="B162" s="33">
        <f t="shared" si="15"/>
        <v>46121</v>
      </c>
      <c r="C162" s="33">
        <f t="shared" si="15"/>
        <v>46127</v>
      </c>
      <c r="D162" s="32">
        <v>3287</v>
      </c>
      <c r="E162" s="32">
        <v>338</v>
      </c>
      <c r="F162" s="32">
        <v>4</v>
      </c>
      <c r="G162" s="23">
        <v>3</v>
      </c>
      <c r="H162" s="23">
        <v>81574</v>
      </c>
      <c r="I162" s="23" t="s">
        <v>17</v>
      </c>
      <c r="J162" s="22">
        <v>18292412</v>
      </c>
      <c r="K162" s="22" t="s">
        <v>3726</v>
      </c>
      <c r="L162" s="22" t="s">
        <v>3729</v>
      </c>
      <c r="M162" s="24">
        <v>119900</v>
      </c>
      <c r="N162" s="35">
        <f t="shared" si="14"/>
        <v>0.75</v>
      </c>
      <c r="O162" s="34">
        <f t="shared" si="12"/>
        <v>29975</v>
      </c>
      <c r="P162" s="32" t="s">
        <v>16</v>
      </c>
    </row>
    <row r="163" spans="1:16" s="2" customFormat="1" x14ac:dyDescent="0.35">
      <c r="A163" s="32" t="str">
        <f t="shared" si="15"/>
        <v>2024 JAN-DEC DISC 75 LICENSE ESS</v>
      </c>
      <c r="B163" s="33">
        <f t="shared" si="15"/>
        <v>46121</v>
      </c>
      <c r="C163" s="33">
        <f t="shared" si="15"/>
        <v>46127</v>
      </c>
      <c r="D163" s="32">
        <v>3287</v>
      </c>
      <c r="E163" s="32">
        <v>338</v>
      </c>
      <c r="F163" s="32">
        <v>4</v>
      </c>
      <c r="G163" s="23">
        <v>3</v>
      </c>
      <c r="H163" s="23">
        <v>81574</v>
      </c>
      <c r="I163" s="23" t="s">
        <v>17</v>
      </c>
      <c r="J163" s="22">
        <v>18292350</v>
      </c>
      <c r="K163" s="22" t="s">
        <v>3723</v>
      </c>
      <c r="L163" s="22" t="s">
        <v>3724</v>
      </c>
      <c r="M163" s="24">
        <v>119900</v>
      </c>
      <c r="N163" s="35">
        <f t="shared" si="14"/>
        <v>0.75</v>
      </c>
      <c r="O163" s="34">
        <f t="shared" si="12"/>
        <v>29975</v>
      </c>
      <c r="P163" s="32" t="s">
        <v>16</v>
      </c>
    </row>
    <row r="164" spans="1:16" s="2" customFormat="1" x14ac:dyDescent="0.35">
      <c r="A164" s="32" t="str">
        <f t="shared" ref="A164:C179" si="16">A163</f>
        <v>2024 JAN-DEC DISC 75 LICENSE ESS</v>
      </c>
      <c r="B164" s="33">
        <f t="shared" si="16"/>
        <v>46121</v>
      </c>
      <c r="C164" s="33">
        <f t="shared" si="16"/>
        <v>46127</v>
      </c>
      <c r="D164" s="32">
        <v>3287</v>
      </c>
      <c r="E164" s="32">
        <v>338</v>
      </c>
      <c r="F164" s="32">
        <v>4</v>
      </c>
      <c r="G164" s="23">
        <v>3</v>
      </c>
      <c r="H164" s="23">
        <v>81574</v>
      </c>
      <c r="I164" s="23" t="s">
        <v>17</v>
      </c>
      <c r="J164" s="22">
        <v>18292378</v>
      </c>
      <c r="K164" s="22" t="s">
        <v>3723</v>
      </c>
      <c r="L164" s="22" t="s">
        <v>3725</v>
      </c>
      <c r="M164" s="24">
        <v>119900</v>
      </c>
      <c r="N164" s="35">
        <f t="shared" si="14"/>
        <v>0.75</v>
      </c>
      <c r="O164" s="34">
        <f t="shared" si="12"/>
        <v>29975</v>
      </c>
      <c r="P164" s="32" t="s">
        <v>16</v>
      </c>
    </row>
    <row r="165" spans="1:16" s="2" customFormat="1" x14ac:dyDescent="0.35">
      <c r="A165" s="32" t="str">
        <f t="shared" si="16"/>
        <v>2024 JAN-DEC DISC 75 LICENSE ESS</v>
      </c>
      <c r="B165" s="33">
        <f t="shared" si="16"/>
        <v>46121</v>
      </c>
      <c r="C165" s="33">
        <f t="shared" si="16"/>
        <v>46127</v>
      </c>
      <c r="D165" s="32">
        <v>3287</v>
      </c>
      <c r="E165" s="32">
        <v>338</v>
      </c>
      <c r="F165" s="32">
        <v>4</v>
      </c>
      <c r="G165" s="23">
        <v>7</v>
      </c>
      <c r="H165" s="23">
        <v>81595</v>
      </c>
      <c r="I165" s="23" t="s">
        <v>17</v>
      </c>
      <c r="J165" s="22">
        <v>18292305</v>
      </c>
      <c r="K165" s="22" t="s">
        <v>3707</v>
      </c>
      <c r="L165" s="22" t="s">
        <v>3708</v>
      </c>
      <c r="M165" s="24">
        <v>35900</v>
      </c>
      <c r="N165" s="35">
        <f t="shared" si="14"/>
        <v>0.75</v>
      </c>
      <c r="O165" s="34">
        <f t="shared" si="12"/>
        <v>8975</v>
      </c>
      <c r="P165" s="32" t="s">
        <v>16</v>
      </c>
    </row>
    <row r="166" spans="1:16" s="2" customFormat="1" x14ac:dyDescent="0.35">
      <c r="A166" s="32" t="str">
        <f t="shared" si="16"/>
        <v>2024 JAN-DEC DISC 75 LICENSE ESS</v>
      </c>
      <c r="B166" s="33">
        <f t="shared" si="16"/>
        <v>46121</v>
      </c>
      <c r="C166" s="33">
        <f t="shared" si="16"/>
        <v>46127</v>
      </c>
      <c r="D166" s="32">
        <v>3287</v>
      </c>
      <c r="E166" s="32">
        <v>338</v>
      </c>
      <c r="F166" s="32">
        <v>4</v>
      </c>
      <c r="G166" s="23">
        <v>7</v>
      </c>
      <c r="H166" s="23">
        <v>81595</v>
      </c>
      <c r="I166" s="23" t="s">
        <v>17</v>
      </c>
      <c r="J166" s="22">
        <v>18292323</v>
      </c>
      <c r="K166" s="22" t="s">
        <v>3709</v>
      </c>
      <c r="L166" s="22" t="s">
        <v>3710</v>
      </c>
      <c r="M166" s="24">
        <v>35900</v>
      </c>
      <c r="N166" s="35">
        <f t="shared" si="14"/>
        <v>0.75</v>
      </c>
      <c r="O166" s="34">
        <f t="shared" si="12"/>
        <v>8975</v>
      </c>
      <c r="P166" s="32" t="s">
        <v>16</v>
      </c>
    </row>
    <row r="167" spans="1:16" s="2" customFormat="1" x14ac:dyDescent="0.35">
      <c r="A167" s="32" t="str">
        <f t="shared" si="16"/>
        <v>2024 JAN-DEC DISC 75 LICENSE ESS</v>
      </c>
      <c r="B167" s="33">
        <f t="shared" si="16"/>
        <v>46121</v>
      </c>
      <c r="C167" s="33">
        <f t="shared" si="16"/>
        <v>46127</v>
      </c>
      <c r="D167" s="32">
        <v>3287</v>
      </c>
      <c r="E167" s="32">
        <v>338</v>
      </c>
      <c r="F167" s="32">
        <v>4</v>
      </c>
      <c r="G167" s="23">
        <v>7</v>
      </c>
      <c r="H167" s="23">
        <v>81595</v>
      </c>
      <c r="I167" s="23" t="s">
        <v>17</v>
      </c>
      <c r="J167" s="22">
        <v>18757750</v>
      </c>
      <c r="K167" s="22" t="s">
        <v>3677</v>
      </c>
      <c r="L167" s="22" t="s">
        <v>3678</v>
      </c>
      <c r="M167" s="24">
        <v>35900</v>
      </c>
      <c r="N167" s="35">
        <f t="shared" si="14"/>
        <v>0.75</v>
      </c>
      <c r="O167" s="34">
        <f t="shared" si="12"/>
        <v>8975</v>
      </c>
      <c r="P167" s="32" t="s">
        <v>16</v>
      </c>
    </row>
    <row r="168" spans="1:16" s="2" customFormat="1" x14ac:dyDescent="0.35">
      <c r="A168" s="32" t="str">
        <f t="shared" si="16"/>
        <v>2024 JAN-DEC DISC 75 LICENSE ESS</v>
      </c>
      <c r="B168" s="33">
        <f t="shared" si="16"/>
        <v>46121</v>
      </c>
      <c r="C168" s="33">
        <f t="shared" si="16"/>
        <v>46127</v>
      </c>
      <c r="D168" s="32">
        <v>3287</v>
      </c>
      <c r="E168" s="32">
        <v>338</v>
      </c>
      <c r="F168" s="32">
        <v>4</v>
      </c>
      <c r="G168" s="23">
        <v>2</v>
      </c>
      <c r="H168" s="23">
        <v>81676</v>
      </c>
      <c r="I168" s="23" t="s">
        <v>17</v>
      </c>
      <c r="J168" s="22">
        <v>18757590</v>
      </c>
      <c r="K168" s="22" t="s">
        <v>3690</v>
      </c>
      <c r="L168" s="22" t="s">
        <v>3691</v>
      </c>
      <c r="M168" s="24">
        <v>229900</v>
      </c>
      <c r="N168" s="35">
        <f t="shared" si="14"/>
        <v>0.75</v>
      </c>
      <c r="O168" s="34">
        <f t="shared" si="12"/>
        <v>57475</v>
      </c>
      <c r="P168" s="32" t="s">
        <v>16</v>
      </c>
    </row>
    <row r="169" spans="1:16" s="2" customFormat="1" x14ac:dyDescent="0.35">
      <c r="A169" s="32" t="str">
        <f t="shared" si="16"/>
        <v>2024 JAN-DEC DISC 75 LICENSE ESS</v>
      </c>
      <c r="B169" s="33">
        <f t="shared" si="16"/>
        <v>46121</v>
      </c>
      <c r="C169" s="33">
        <f t="shared" si="16"/>
        <v>46127</v>
      </c>
      <c r="D169" s="32">
        <v>3287</v>
      </c>
      <c r="E169" s="32">
        <v>338</v>
      </c>
      <c r="F169" s="32">
        <v>4</v>
      </c>
      <c r="G169" s="23">
        <v>2</v>
      </c>
      <c r="H169" s="23">
        <v>81676</v>
      </c>
      <c r="I169" s="23" t="s">
        <v>17</v>
      </c>
      <c r="J169" s="22">
        <v>18757607</v>
      </c>
      <c r="K169" s="22" t="s">
        <v>3690</v>
      </c>
      <c r="L169" s="22" t="s">
        <v>3692</v>
      </c>
      <c r="M169" s="24">
        <v>229900</v>
      </c>
      <c r="N169" s="35">
        <f t="shared" si="14"/>
        <v>0.75</v>
      </c>
      <c r="O169" s="34">
        <f t="shared" si="12"/>
        <v>57475</v>
      </c>
      <c r="P169" s="32" t="s">
        <v>16</v>
      </c>
    </row>
    <row r="170" spans="1:16" s="2" customFormat="1" x14ac:dyDescent="0.35">
      <c r="A170" s="32" t="str">
        <f t="shared" si="16"/>
        <v>2024 JAN-DEC DISC 75 LICENSE ESS</v>
      </c>
      <c r="B170" s="33">
        <f t="shared" si="16"/>
        <v>46121</v>
      </c>
      <c r="C170" s="33">
        <f t="shared" si="16"/>
        <v>46127</v>
      </c>
      <c r="D170" s="32">
        <v>3287</v>
      </c>
      <c r="E170" s="32">
        <v>338</v>
      </c>
      <c r="F170" s="32">
        <v>4</v>
      </c>
      <c r="G170" s="23">
        <v>2</v>
      </c>
      <c r="H170" s="23">
        <v>81676</v>
      </c>
      <c r="I170" s="23" t="s">
        <v>17</v>
      </c>
      <c r="J170" s="22">
        <v>18757705</v>
      </c>
      <c r="K170" s="22" t="s">
        <v>3690</v>
      </c>
      <c r="L170" s="22" t="s">
        <v>3693</v>
      </c>
      <c r="M170" s="24">
        <v>229900</v>
      </c>
      <c r="N170" s="35">
        <f t="shared" si="14"/>
        <v>0.75</v>
      </c>
      <c r="O170" s="34">
        <f t="shared" si="12"/>
        <v>57475</v>
      </c>
      <c r="P170" s="32" t="s">
        <v>16</v>
      </c>
    </row>
    <row r="171" spans="1:16" s="2" customFormat="1" x14ac:dyDescent="0.35">
      <c r="A171" s="32" t="str">
        <f t="shared" si="16"/>
        <v>2024 JAN-DEC DISC 75 LICENSE ESS</v>
      </c>
      <c r="B171" s="33">
        <f t="shared" si="16"/>
        <v>46121</v>
      </c>
      <c r="C171" s="33">
        <f t="shared" si="16"/>
        <v>46127</v>
      </c>
      <c r="D171" s="32">
        <v>3287</v>
      </c>
      <c r="E171" s="32">
        <v>338</v>
      </c>
      <c r="F171" s="32">
        <v>4</v>
      </c>
      <c r="G171" s="23">
        <v>7</v>
      </c>
      <c r="H171" s="23">
        <v>81595</v>
      </c>
      <c r="I171" s="23" t="s">
        <v>17</v>
      </c>
      <c r="J171" s="22">
        <v>18292261</v>
      </c>
      <c r="K171" s="22" t="s">
        <v>3670</v>
      </c>
      <c r="L171" s="22" t="s">
        <v>3671</v>
      </c>
      <c r="M171" s="24">
        <v>35900</v>
      </c>
      <c r="N171" s="35">
        <f t="shared" si="14"/>
        <v>0.75</v>
      </c>
      <c r="O171" s="34">
        <f t="shared" si="12"/>
        <v>8975</v>
      </c>
      <c r="P171" s="32" t="s">
        <v>16</v>
      </c>
    </row>
    <row r="172" spans="1:16" s="2" customFormat="1" x14ac:dyDescent="0.35">
      <c r="A172" s="32" t="str">
        <f t="shared" si="16"/>
        <v>2024 JAN-DEC DISC 75 LICENSE ESS</v>
      </c>
      <c r="B172" s="33">
        <f t="shared" si="16"/>
        <v>46121</v>
      </c>
      <c r="C172" s="33">
        <f t="shared" si="16"/>
        <v>46127</v>
      </c>
      <c r="D172" s="32">
        <v>3287</v>
      </c>
      <c r="E172" s="32">
        <v>338</v>
      </c>
      <c r="F172" s="32">
        <v>4</v>
      </c>
      <c r="G172" s="23">
        <v>7</v>
      </c>
      <c r="H172" s="23">
        <v>81595</v>
      </c>
      <c r="I172" s="23" t="s">
        <v>17</v>
      </c>
      <c r="J172" s="22">
        <v>18549270</v>
      </c>
      <c r="K172" s="22" t="s">
        <v>3674</v>
      </c>
      <c r="L172" s="22" t="s">
        <v>3675</v>
      </c>
      <c r="M172" s="24">
        <v>35900</v>
      </c>
      <c r="N172" s="35">
        <f t="shared" si="14"/>
        <v>0.75</v>
      </c>
      <c r="O172" s="34">
        <f t="shared" si="12"/>
        <v>8975</v>
      </c>
      <c r="P172" s="32" t="s">
        <v>16</v>
      </c>
    </row>
    <row r="173" spans="1:16" s="2" customFormat="1" x14ac:dyDescent="0.35">
      <c r="A173" s="32" t="str">
        <f t="shared" si="16"/>
        <v>2024 JAN-DEC DISC 75 LICENSE ESS</v>
      </c>
      <c r="B173" s="33">
        <f t="shared" si="16"/>
        <v>46121</v>
      </c>
      <c r="C173" s="33">
        <f t="shared" si="16"/>
        <v>46127</v>
      </c>
      <c r="D173" s="32">
        <v>3287</v>
      </c>
      <c r="E173" s="32">
        <v>338</v>
      </c>
      <c r="F173" s="32">
        <v>4</v>
      </c>
      <c r="G173" s="23">
        <v>7</v>
      </c>
      <c r="H173" s="23">
        <v>81595</v>
      </c>
      <c r="I173" s="23" t="s">
        <v>17</v>
      </c>
      <c r="J173" s="22">
        <v>18549289</v>
      </c>
      <c r="K173" s="22" t="s">
        <v>3674</v>
      </c>
      <c r="L173" s="22" t="s">
        <v>3676</v>
      </c>
      <c r="M173" s="24">
        <v>35900</v>
      </c>
      <c r="N173" s="35">
        <f t="shared" si="14"/>
        <v>0.75</v>
      </c>
      <c r="O173" s="34">
        <f t="shared" si="12"/>
        <v>8975</v>
      </c>
      <c r="P173" s="32" t="s">
        <v>16</v>
      </c>
    </row>
    <row r="174" spans="1:16" s="2" customFormat="1" x14ac:dyDescent="0.35">
      <c r="A174" s="32" t="str">
        <f t="shared" si="16"/>
        <v>2024 JAN-DEC DISC 75 LICENSE ESS</v>
      </c>
      <c r="B174" s="33">
        <f t="shared" si="16"/>
        <v>46121</v>
      </c>
      <c r="C174" s="33">
        <f t="shared" si="16"/>
        <v>46127</v>
      </c>
      <c r="D174" s="32">
        <v>3287</v>
      </c>
      <c r="E174" s="32">
        <v>338</v>
      </c>
      <c r="F174" s="32">
        <v>4</v>
      </c>
      <c r="G174" s="23">
        <v>7</v>
      </c>
      <c r="H174" s="23">
        <v>81595</v>
      </c>
      <c r="I174" s="23" t="s">
        <v>17</v>
      </c>
      <c r="J174" s="22">
        <v>18549261</v>
      </c>
      <c r="K174" s="22" t="s">
        <v>3672</v>
      </c>
      <c r="L174" s="22" t="s">
        <v>3673</v>
      </c>
      <c r="M174" s="24">
        <v>35900</v>
      </c>
      <c r="N174" s="35">
        <f t="shared" si="14"/>
        <v>0.75</v>
      </c>
      <c r="O174" s="34">
        <f t="shared" si="12"/>
        <v>8975</v>
      </c>
      <c r="P174" s="32" t="s">
        <v>16</v>
      </c>
    </row>
    <row r="175" spans="1:16" s="2" customFormat="1" x14ac:dyDescent="0.35">
      <c r="A175" s="32" t="str">
        <f t="shared" si="16"/>
        <v>2024 JAN-DEC DISC 75 LICENSE ESS</v>
      </c>
      <c r="B175" s="33">
        <f t="shared" si="16"/>
        <v>46121</v>
      </c>
      <c r="C175" s="33">
        <f t="shared" si="16"/>
        <v>46127</v>
      </c>
      <c r="D175" s="32">
        <v>3287</v>
      </c>
      <c r="E175" s="32">
        <v>338</v>
      </c>
      <c r="F175" s="32">
        <v>4</v>
      </c>
      <c r="G175" s="23">
        <v>7</v>
      </c>
      <c r="H175" s="23">
        <v>81595</v>
      </c>
      <c r="I175" s="23" t="s">
        <v>17</v>
      </c>
      <c r="J175" s="22">
        <v>19028063</v>
      </c>
      <c r="K175" s="22" t="s">
        <v>3711</v>
      </c>
      <c r="L175" s="22" t="s">
        <v>3712</v>
      </c>
      <c r="M175" s="24">
        <v>35900</v>
      </c>
      <c r="N175" s="35">
        <f t="shared" si="14"/>
        <v>0.75</v>
      </c>
      <c r="O175" s="34">
        <f t="shared" si="12"/>
        <v>8975</v>
      </c>
      <c r="P175" s="32" t="s">
        <v>16</v>
      </c>
    </row>
    <row r="176" spans="1:16" s="2" customFormat="1" x14ac:dyDescent="0.35">
      <c r="A176" s="32" t="str">
        <f t="shared" si="16"/>
        <v>2024 JAN-DEC DISC 75 LICENSE ESS</v>
      </c>
      <c r="B176" s="33">
        <f t="shared" si="16"/>
        <v>46121</v>
      </c>
      <c r="C176" s="33">
        <f t="shared" si="16"/>
        <v>46127</v>
      </c>
      <c r="D176" s="32">
        <v>3287</v>
      </c>
      <c r="E176" s="32">
        <v>338</v>
      </c>
      <c r="F176" s="32">
        <v>4</v>
      </c>
      <c r="G176" s="23">
        <v>7</v>
      </c>
      <c r="H176" s="23">
        <v>81595</v>
      </c>
      <c r="I176" s="23" t="s">
        <v>17</v>
      </c>
      <c r="J176" s="22">
        <v>19028081</v>
      </c>
      <c r="K176" s="22" t="s">
        <v>3713</v>
      </c>
      <c r="L176" s="22" t="s">
        <v>3714</v>
      </c>
      <c r="M176" s="24">
        <v>35900</v>
      </c>
      <c r="N176" s="35">
        <f t="shared" si="14"/>
        <v>0.75</v>
      </c>
      <c r="O176" s="34">
        <f t="shared" si="12"/>
        <v>8975</v>
      </c>
      <c r="P176" s="32" t="s">
        <v>16</v>
      </c>
    </row>
    <row r="177" spans="1:16" s="2" customFormat="1" x14ac:dyDescent="0.35">
      <c r="A177" s="32" t="str">
        <f t="shared" si="16"/>
        <v>2024 JAN-DEC DISC 75 LICENSE ESS</v>
      </c>
      <c r="B177" s="33">
        <f t="shared" si="16"/>
        <v>46121</v>
      </c>
      <c r="C177" s="33">
        <f t="shared" si="16"/>
        <v>46127</v>
      </c>
      <c r="D177" s="32">
        <v>3287</v>
      </c>
      <c r="E177" s="32">
        <v>338</v>
      </c>
      <c r="F177" s="32">
        <v>4</v>
      </c>
      <c r="G177" s="23">
        <v>7</v>
      </c>
      <c r="H177" s="23">
        <v>81595</v>
      </c>
      <c r="I177" s="23" t="s">
        <v>17</v>
      </c>
      <c r="J177" s="22">
        <v>19028107</v>
      </c>
      <c r="K177" s="22" t="s">
        <v>3715</v>
      </c>
      <c r="L177" s="22" t="s">
        <v>3716</v>
      </c>
      <c r="M177" s="24">
        <v>35900</v>
      </c>
      <c r="N177" s="35">
        <f t="shared" si="14"/>
        <v>0.75</v>
      </c>
      <c r="O177" s="34">
        <f t="shared" si="12"/>
        <v>8975</v>
      </c>
      <c r="P177" s="32" t="s">
        <v>16</v>
      </c>
    </row>
    <row r="178" spans="1:16" s="2" customFormat="1" x14ac:dyDescent="0.35">
      <c r="A178" s="32" t="str">
        <f t="shared" si="16"/>
        <v>2024 JAN-DEC DISC 75 LICENSE ESS</v>
      </c>
      <c r="B178" s="33">
        <f t="shared" si="16"/>
        <v>46121</v>
      </c>
      <c r="C178" s="33">
        <f t="shared" si="16"/>
        <v>46127</v>
      </c>
      <c r="D178" s="32">
        <v>3287</v>
      </c>
      <c r="E178" s="32">
        <v>338</v>
      </c>
      <c r="F178" s="32">
        <v>4</v>
      </c>
      <c r="G178" s="23">
        <v>3</v>
      </c>
      <c r="H178" s="23">
        <v>850</v>
      </c>
      <c r="I178" s="23" t="s">
        <v>17</v>
      </c>
      <c r="J178" s="22">
        <v>19028116</v>
      </c>
      <c r="K178" s="22" t="s">
        <v>3703</v>
      </c>
      <c r="L178" s="22" t="s">
        <v>3704</v>
      </c>
      <c r="M178" s="24">
        <v>119900</v>
      </c>
      <c r="N178" s="35">
        <f t="shared" si="14"/>
        <v>0.75</v>
      </c>
      <c r="O178" s="34">
        <f t="shared" si="12"/>
        <v>29975</v>
      </c>
      <c r="P178" s="32" t="s">
        <v>16</v>
      </c>
    </row>
    <row r="179" spans="1:16" s="2" customFormat="1" x14ac:dyDescent="0.35">
      <c r="A179" s="32" t="str">
        <f t="shared" si="16"/>
        <v>2024 JAN-DEC DISC 75 LICENSE ESS</v>
      </c>
      <c r="B179" s="33">
        <f t="shared" si="16"/>
        <v>46121</v>
      </c>
      <c r="C179" s="33">
        <f t="shared" si="16"/>
        <v>46127</v>
      </c>
      <c r="D179" s="32">
        <v>3287</v>
      </c>
      <c r="E179" s="32">
        <v>338</v>
      </c>
      <c r="F179" s="32">
        <v>4</v>
      </c>
      <c r="G179" s="23">
        <v>3</v>
      </c>
      <c r="H179" s="23">
        <v>850</v>
      </c>
      <c r="I179" s="23" t="s">
        <v>17</v>
      </c>
      <c r="J179" s="22">
        <v>19028134</v>
      </c>
      <c r="K179" s="22" t="s">
        <v>3703</v>
      </c>
      <c r="L179" s="22" t="s">
        <v>3705</v>
      </c>
      <c r="M179" s="24">
        <v>119900</v>
      </c>
      <c r="N179" s="35">
        <f t="shared" si="14"/>
        <v>0.75</v>
      </c>
      <c r="O179" s="34">
        <f t="shared" si="12"/>
        <v>29975</v>
      </c>
      <c r="P179" s="32" t="s">
        <v>16</v>
      </c>
    </row>
    <row r="180" spans="1:16" s="2" customFormat="1" x14ac:dyDescent="0.35">
      <c r="A180" s="32" t="str">
        <f t="shared" ref="A180:C195" si="17">A179</f>
        <v>2024 JAN-DEC DISC 75 LICENSE ESS</v>
      </c>
      <c r="B180" s="33">
        <f t="shared" si="17"/>
        <v>46121</v>
      </c>
      <c r="C180" s="33">
        <f t="shared" si="17"/>
        <v>46127</v>
      </c>
      <c r="D180" s="32">
        <v>3287</v>
      </c>
      <c r="E180" s="32">
        <v>338</v>
      </c>
      <c r="F180" s="32">
        <v>4</v>
      </c>
      <c r="G180" s="23">
        <v>3</v>
      </c>
      <c r="H180" s="23">
        <v>850</v>
      </c>
      <c r="I180" s="23" t="s">
        <v>17</v>
      </c>
      <c r="J180" s="22">
        <v>19028143</v>
      </c>
      <c r="K180" s="22" t="s">
        <v>3703</v>
      </c>
      <c r="L180" s="22" t="s">
        <v>3706</v>
      </c>
      <c r="M180" s="24">
        <v>119900</v>
      </c>
      <c r="N180" s="35">
        <f t="shared" si="14"/>
        <v>0.75</v>
      </c>
      <c r="O180" s="34">
        <f t="shared" si="12"/>
        <v>29975</v>
      </c>
      <c r="P180" s="32" t="s">
        <v>16</v>
      </c>
    </row>
    <row r="181" spans="1:16" s="2" customFormat="1" x14ac:dyDescent="0.35">
      <c r="A181" s="32" t="str">
        <f t="shared" si="17"/>
        <v>2024 JAN-DEC DISC 75 LICENSE ESS</v>
      </c>
      <c r="B181" s="33">
        <f t="shared" si="17"/>
        <v>46121</v>
      </c>
      <c r="C181" s="33">
        <f t="shared" si="17"/>
        <v>46127</v>
      </c>
      <c r="D181" s="32">
        <v>3287</v>
      </c>
      <c r="E181" s="32">
        <v>338</v>
      </c>
      <c r="F181" s="32">
        <v>4</v>
      </c>
      <c r="G181" s="32">
        <v>2</v>
      </c>
      <c r="H181" s="32">
        <v>850</v>
      </c>
      <c r="I181" s="32" t="s">
        <v>17</v>
      </c>
      <c r="J181" s="32">
        <v>19483848</v>
      </c>
      <c r="K181" s="32" t="s">
        <v>3685</v>
      </c>
      <c r="L181" s="38" t="s">
        <v>3686</v>
      </c>
      <c r="M181" s="34">
        <v>229900</v>
      </c>
      <c r="N181" s="35">
        <f t="shared" si="14"/>
        <v>0.75</v>
      </c>
      <c r="O181" s="34">
        <f t="shared" si="12"/>
        <v>57475</v>
      </c>
      <c r="P181" s="32" t="s">
        <v>16</v>
      </c>
    </row>
    <row r="182" spans="1:16" s="2" customFormat="1" x14ac:dyDescent="0.35">
      <c r="A182" s="32" t="str">
        <f t="shared" si="17"/>
        <v>2024 JAN-DEC DISC 75 LICENSE ESS</v>
      </c>
      <c r="B182" s="33">
        <f t="shared" si="17"/>
        <v>46121</v>
      </c>
      <c r="C182" s="33">
        <f t="shared" si="17"/>
        <v>46127</v>
      </c>
      <c r="D182" s="32">
        <v>3287</v>
      </c>
      <c r="E182" s="32">
        <v>338</v>
      </c>
      <c r="F182" s="32">
        <v>4</v>
      </c>
      <c r="G182" s="32">
        <v>2</v>
      </c>
      <c r="H182" s="32">
        <v>850</v>
      </c>
      <c r="I182" s="32" t="s">
        <v>17</v>
      </c>
      <c r="J182" s="32">
        <v>19483857</v>
      </c>
      <c r="K182" s="32" t="s">
        <v>3685</v>
      </c>
      <c r="L182" s="38" t="s">
        <v>3687</v>
      </c>
      <c r="M182" s="34">
        <v>229900</v>
      </c>
      <c r="N182" s="35">
        <f t="shared" si="14"/>
        <v>0.75</v>
      </c>
      <c r="O182" s="34">
        <f t="shared" si="12"/>
        <v>57475</v>
      </c>
      <c r="P182" s="32" t="s">
        <v>16</v>
      </c>
    </row>
    <row r="183" spans="1:16" s="2" customFormat="1" x14ac:dyDescent="0.35">
      <c r="A183" s="32" t="str">
        <f t="shared" si="17"/>
        <v>2024 JAN-DEC DISC 75 LICENSE ESS</v>
      </c>
      <c r="B183" s="33">
        <f t="shared" si="17"/>
        <v>46121</v>
      </c>
      <c r="C183" s="33">
        <f t="shared" si="17"/>
        <v>46127</v>
      </c>
      <c r="D183" s="32">
        <v>3287</v>
      </c>
      <c r="E183" s="32">
        <v>338</v>
      </c>
      <c r="F183" s="32">
        <v>4</v>
      </c>
      <c r="G183" s="32">
        <v>2</v>
      </c>
      <c r="H183" s="32">
        <v>850</v>
      </c>
      <c r="I183" s="32" t="s">
        <v>17</v>
      </c>
      <c r="J183" s="32">
        <v>19483866</v>
      </c>
      <c r="K183" s="32" t="s">
        <v>3685</v>
      </c>
      <c r="L183" s="38" t="s">
        <v>3688</v>
      </c>
      <c r="M183" s="34">
        <v>229900</v>
      </c>
      <c r="N183" s="35">
        <f t="shared" si="14"/>
        <v>0.75</v>
      </c>
      <c r="O183" s="34">
        <f t="shared" si="12"/>
        <v>57475</v>
      </c>
      <c r="P183" s="32" t="s">
        <v>16</v>
      </c>
    </row>
    <row r="184" spans="1:16" s="2" customFormat="1" x14ac:dyDescent="0.35">
      <c r="A184" s="32" t="str">
        <f t="shared" si="17"/>
        <v>2024 JAN-DEC DISC 75 LICENSE ESS</v>
      </c>
      <c r="B184" s="33">
        <f t="shared" si="17"/>
        <v>46121</v>
      </c>
      <c r="C184" s="33">
        <f t="shared" si="17"/>
        <v>46127</v>
      </c>
      <c r="D184" s="32">
        <v>3287</v>
      </c>
      <c r="E184" s="32">
        <v>338</v>
      </c>
      <c r="F184" s="32">
        <v>4</v>
      </c>
      <c r="G184" s="32">
        <v>2</v>
      </c>
      <c r="H184" s="32">
        <v>850</v>
      </c>
      <c r="I184" s="32" t="s">
        <v>17</v>
      </c>
      <c r="J184" s="32">
        <v>19483875</v>
      </c>
      <c r="K184" s="32" t="s">
        <v>3685</v>
      </c>
      <c r="L184" s="38" t="s">
        <v>3689</v>
      </c>
      <c r="M184" s="34">
        <v>229900</v>
      </c>
      <c r="N184" s="35">
        <f t="shared" si="14"/>
        <v>0.75</v>
      </c>
      <c r="O184" s="34">
        <f t="shared" si="12"/>
        <v>57475</v>
      </c>
      <c r="P184" s="32" t="s">
        <v>16</v>
      </c>
    </row>
    <row r="185" spans="1:16" s="2" customFormat="1" x14ac:dyDescent="0.35">
      <c r="A185" s="32" t="str">
        <f t="shared" si="17"/>
        <v>2024 JAN-DEC DISC 75 LICENSE ESS</v>
      </c>
      <c r="B185" s="33">
        <f t="shared" si="17"/>
        <v>46121</v>
      </c>
      <c r="C185" s="33">
        <f t="shared" si="17"/>
        <v>46127</v>
      </c>
      <c r="D185" s="32">
        <v>3287</v>
      </c>
      <c r="E185" s="32">
        <v>338</v>
      </c>
      <c r="F185" s="32">
        <v>4</v>
      </c>
      <c r="G185" s="32">
        <v>2</v>
      </c>
      <c r="H185" s="32">
        <v>81676</v>
      </c>
      <c r="I185" s="32" t="s">
        <v>17</v>
      </c>
      <c r="J185" s="32">
        <v>19453602</v>
      </c>
      <c r="K185" s="32" t="s">
        <v>3594</v>
      </c>
      <c r="L185" s="38" t="s">
        <v>3694</v>
      </c>
      <c r="M185" s="34">
        <v>229900</v>
      </c>
      <c r="N185" s="35">
        <f t="shared" si="14"/>
        <v>0.75</v>
      </c>
      <c r="O185" s="34">
        <f t="shared" si="12"/>
        <v>57475</v>
      </c>
      <c r="P185" s="32" t="s">
        <v>16</v>
      </c>
    </row>
    <row r="186" spans="1:16" s="2" customFormat="1" x14ac:dyDescent="0.35">
      <c r="A186" s="32" t="str">
        <f t="shared" si="17"/>
        <v>2024 JAN-DEC DISC 75 LICENSE ESS</v>
      </c>
      <c r="B186" s="33">
        <f t="shared" si="17"/>
        <v>46121</v>
      </c>
      <c r="C186" s="33">
        <f t="shared" si="17"/>
        <v>46127</v>
      </c>
      <c r="D186" s="32">
        <v>3287</v>
      </c>
      <c r="E186" s="32">
        <v>338</v>
      </c>
      <c r="F186" s="32">
        <v>4</v>
      </c>
      <c r="G186" s="32">
        <v>2</v>
      </c>
      <c r="H186" s="32">
        <v>81676</v>
      </c>
      <c r="I186" s="32" t="s">
        <v>17</v>
      </c>
      <c r="J186" s="32">
        <v>19453620</v>
      </c>
      <c r="K186" s="32" t="s">
        <v>3594</v>
      </c>
      <c r="L186" s="38" t="s">
        <v>3695</v>
      </c>
      <c r="M186" s="34">
        <v>229900</v>
      </c>
      <c r="N186" s="35">
        <f t="shared" si="14"/>
        <v>0.75</v>
      </c>
      <c r="O186" s="34">
        <f t="shared" si="12"/>
        <v>57475</v>
      </c>
      <c r="P186" s="32" t="s">
        <v>16</v>
      </c>
    </row>
    <row r="187" spans="1:16" s="2" customFormat="1" x14ac:dyDescent="0.35">
      <c r="A187" s="32" t="str">
        <f t="shared" si="17"/>
        <v>2024 JAN-DEC DISC 75 LICENSE ESS</v>
      </c>
      <c r="B187" s="33">
        <f t="shared" si="17"/>
        <v>46121</v>
      </c>
      <c r="C187" s="33">
        <f t="shared" si="17"/>
        <v>46127</v>
      </c>
      <c r="D187" s="32">
        <v>3287</v>
      </c>
      <c r="E187" s="32">
        <v>338</v>
      </c>
      <c r="F187" s="32">
        <v>4</v>
      </c>
      <c r="G187" s="32">
        <v>2</v>
      </c>
      <c r="H187" s="32">
        <v>81676</v>
      </c>
      <c r="I187" s="32" t="s">
        <v>17</v>
      </c>
      <c r="J187" s="32">
        <v>19453666</v>
      </c>
      <c r="K187" s="32" t="s">
        <v>3594</v>
      </c>
      <c r="L187" s="38" t="s">
        <v>3696</v>
      </c>
      <c r="M187" s="34">
        <v>229900</v>
      </c>
      <c r="N187" s="35">
        <f t="shared" si="14"/>
        <v>0.75</v>
      </c>
      <c r="O187" s="34">
        <f t="shared" si="12"/>
        <v>57475</v>
      </c>
      <c r="P187" s="32" t="s">
        <v>16</v>
      </c>
    </row>
    <row r="188" spans="1:16" s="2" customFormat="1" x14ac:dyDescent="0.35">
      <c r="A188" s="32" t="str">
        <f t="shared" si="17"/>
        <v>2024 JAN-DEC DISC 75 LICENSE ESS</v>
      </c>
      <c r="B188" s="33">
        <f t="shared" si="17"/>
        <v>46121</v>
      </c>
      <c r="C188" s="33">
        <f t="shared" si="17"/>
        <v>46127</v>
      </c>
      <c r="D188" s="32">
        <v>3287</v>
      </c>
      <c r="E188" s="32">
        <v>338</v>
      </c>
      <c r="F188" s="32">
        <v>4</v>
      </c>
      <c r="G188" s="32">
        <v>2</v>
      </c>
      <c r="H188" s="32">
        <v>81676</v>
      </c>
      <c r="I188" s="32" t="s">
        <v>17</v>
      </c>
      <c r="J188" s="32">
        <v>19453675</v>
      </c>
      <c r="K188" s="32" t="s">
        <v>3594</v>
      </c>
      <c r="L188" s="38" t="s">
        <v>3697</v>
      </c>
      <c r="M188" s="34">
        <v>229900</v>
      </c>
      <c r="N188" s="35">
        <f t="shared" si="14"/>
        <v>0.75</v>
      </c>
      <c r="O188" s="34">
        <f t="shared" si="12"/>
        <v>57475</v>
      </c>
      <c r="P188" s="32" t="s">
        <v>16</v>
      </c>
    </row>
    <row r="189" spans="1:16" s="2" customFormat="1" x14ac:dyDescent="0.35">
      <c r="A189" s="32" t="str">
        <f t="shared" si="17"/>
        <v>2024 JAN-DEC DISC 75 LICENSE ESS</v>
      </c>
      <c r="B189" s="33">
        <f t="shared" si="17"/>
        <v>46121</v>
      </c>
      <c r="C189" s="33">
        <f t="shared" si="17"/>
        <v>46127</v>
      </c>
      <c r="D189" s="32">
        <v>3287</v>
      </c>
      <c r="E189" s="32">
        <v>338</v>
      </c>
      <c r="F189" s="32">
        <v>4</v>
      </c>
      <c r="G189" s="32">
        <v>2</v>
      </c>
      <c r="H189" s="32">
        <v>81676</v>
      </c>
      <c r="I189" s="32" t="s">
        <v>17</v>
      </c>
      <c r="J189" s="32">
        <v>19483731</v>
      </c>
      <c r="K189" s="32" t="s">
        <v>3698</v>
      </c>
      <c r="L189" s="38" t="s">
        <v>3699</v>
      </c>
      <c r="M189" s="34">
        <v>229900</v>
      </c>
      <c r="N189" s="35">
        <f t="shared" si="14"/>
        <v>0.75</v>
      </c>
      <c r="O189" s="34">
        <f t="shared" si="12"/>
        <v>57475</v>
      </c>
      <c r="P189" s="32" t="s">
        <v>16</v>
      </c>
    </row>
    <row r="190" spans="1:16" s="2" customFormat="1" x14ac:dyDescent="0.35">
      <c r="A190" s="32" t="str">
        <f t="shared" si="17"/>
        <v>2024 JAN-DEC DISC 75 LICENSE ESS</v>
      </c>
      <c r="B190" s="33">
        <f t="shared" si="17"/>
        <v>46121</v>
      </c>
      <c r="C190" s="33">
        <f t="shared" si="17"/>
        <v>46127</v>
      </c>
      <c r="D190" s="32">
        <v>3287</v>
      </c>
      <c r="E190" s="32">
        <v>338</v>
      </c>
      <c r="F190" s="32">
        <v>4</v>
      </c>
      <c r="G190" s="32">
        <v>2</v>
      </c>
      <c r="H190" s="32">
        <v>81676</v>
      </c>
      <c r="I190" s="32" t="s">
        <v>17</v>
      </c>
      <c r="J190" s="32">
        <v>19483777</v>
      </c>
      <c r="K190" s="32" t="s">
        <v>3698</v>
      </c>
      <c r="L190" s="38" t="s">
        <v>3700</v>
      </c>
      <c r="M190" s="34">
        <v>229900</v>
      </c>
      <c r="N190" s="35">
        <f t="shared" si="14"/>
        <v>0.75</v>
      </c>
      <c r="O190" s="34">
        <f t="shared" si="12"/>
        <v>57475</v>
      </c>
      <c r="P190" s="32" t="s">
        <v>16</v>
      </c>
    </row>
    <row r="191" spans="1:16" s="2" customFormat="1" x14ac:dyDescent="0.35">
      <c r="A191" s="32" t="str">
        <f t="shared" si="17"/>
        <v>2024 JAN-DEC DISC 75 LICENSE ESS</v>
      </c>
      <c r="B191" s="33">
        <f t="shared" si="17"/>
        <v>46121</v>
      </c>
      <c r="C191" s="33">
        <f t="shared" si="17"/>
        <v>46127</v>
      </c>
      <c r="D191" s="32">
        <v>3287</v>
      </c>
      <c r="E191" s="32">
        <v>338</v>
      </c>
      <c r="F191" s="32">
        <v>4</v>
      </c>
      <c r="G191" s="32">
        <v>2</v>
      </c>
      <c r="H191" s="32">
        <v>81676</v>
      </c>
      <c r="I191" s="32" t="s">
        <v>17</v>
      </c>
      <c r="J191" s="32">
        <v>19483820</v>
      </c>
      <c r="K191" s="32" t="s">
        <v>3698</v>
      </c>
      <c r="L191" s="38" t="s">
        <v>3701</v>
      </c>
      <c r="M191" s="34">
        <v>229900</v>
      </c>
      <c r="N191" s="35">
        <f t="shared" si="14"/>
        <v>0.75</v>
      </c>
      <c r="O191" s="34">
        <f t="shared" si="12"/>
        <v>57475</v>
      </c>
      <c r="P191" s="32" t="s">
        <v>16</v>
      </c>
    </row>
    <row r="192" spans="1:16" s="2" customFormat="1" x14ac:dyDescent="0.35">
      <c r="A192" s="32" t="str">
        <f t="shared" si="17"/>
        <v>2024 JAN-DEC DISC 75 LICENSE ESS</v>
      </c>
      <c r="B192" s="33">
        <f t="shared" si="17"/>
        <v>46121</v>
      </c>
      <c r="C192" s="33">
        <f t="shared" si="17"/>
        <v>46127</v>
      </c>
      <c r="D192" s="32">
        <v>3287</v>
      </c>
      <c r="E192" s="32">
        <v>338</v>
      </c>
      <c r="F192" s="32">
        <v>4</v>
      </c>
      <c r="G192" s="32">
        <v>2</v>
      </c>
      <c r="H192" s="32">
        <v>81676</v>
      </c>
      <c r="I192" s="32" t="s">
        <v>17</v>
      </c>
      <c r="J192" s="32">
        <v>19483839</v>
      </c>
      <c r="K192" s="32" t="s">
        <v>3698</v>
      </c>
      <c r="L192" s="38" t="s">
        <v>3702</v>
      </c>
      <c r="M192" s="34">
        <v>229900</v>
      </c>
      <c r="N192" s="35">
        <f t="shared" si="14"/>
        <v>0.75</v>
      </c>
      <c r="O192" s="34">
        <f t="shared" si="12"/>
        <v>57475</v>
      </c>
      <c r="P192" s="32" t="s">
        <v>16</v>
      </c>
    </row>
    <row r="193" spans="1:16" s="2" customFormat="1" x14ac:dyDescent="0.35">
      <c r="A193" s="32" t="str">
        <f t="shared" si="17"/>
        <v>2024 JAN-DEC DISC 75 LICENSE ESS</v>
      </c>
      <c r="B193" s="33">
        <f t="shared" si="17"/>
        <v>46121</v>
      </c>
      <c r="C193" s="33">
        <f t="shared" si="17"/>
        <v>46127</v>
      </c>
      <c r="D193" s="32">
        <v>3287</v>
      </c>
      <c r="E193" s="32">
        <v>338</v>
      </c>
      <c r="F193" s="32">
        <v>4</v>
      </c>
      <c r="G193" s="32">
        <v>2</v>
      </c>
      <c r="H193" s="32">
        <v>81676</v>
      </c>
      <c r="I193" s="32" t="s">
        <v>17</v>
      </c>
      <c r="J193" s="32">
        <v>22211983</v>
      </c>
      <c r="K193" s="32" t="s">
        <v>3819</v>
      </c>
      <c r="L193" s="38" t="s">
        <v>3820</v>
      </c>
      <c r="M193" s="34">
        <v>229900</v>
      </c>
      <c r="N193" s="35">
        <f t="shared" si="14"/>
        <v>0.75</v>
      </c>
      <c r="O193" s="34">
        <f t="shared" si="12"/>
        <v>57475</v>
      </c>
      <c r="P193" s="32" t="s">
        <v>16</v>
      </c>
    </row>
    <row r="194" spans="1:16" s="2" customFormat="1" x14ac:dyDescent="0.35">
      <c r="A194" s="32" t="str">
        <f t="shared" si="17"/>
        <v>2024 JAN-DEC DISC 75 LICENSE ESS</v>
      </c>
      <c r="B194" s="33">
        <f t="shared" si="17"/>
        <v>46121</v>
      </c>
      <c r="C194" s="33">
        <f t="shared" si="17"/>
        <v>46127</v>
      </c>
      <c r="D194" s="32">
        <v>3287</v>
      </c>
      <c r="E194" s="32">
        <v>338</v>
      </c>
      <c r="F194" s="32">
        <v>4</v>
      </c>
      <c r="G194" s="32">
        <v>2</v>
      </c>
      <c r="H194" s="32">
        <v>81676</v>
      </c>
      <c r="I194" s="32" t="s">
        <v>17</v>
      </c>
      <c r="J194" s="32">
        <v>22212580</v>
      </c>
      <c r="K194" s="32" t="s">
        <v>3819</v>
      </c>
      <c r="L194" s="38" t="s">
        <v>3822</v>
      </c>
      <c r="M194" s="34">
        <v>229900</v>
      </c>
      <c r="N194" s="35">
        <f t="shared" si="14"/>
        <v>0.75</v>
      </c>
      <c r="O194" s="34">
        <f t="shared" si="12"/>
        <v>57475</v>
      </c>
      <c r="P194" s="32" t="s">
        <v>16</v>
      </c>
    </row>
    <row r="195" spans="1:16" s="2" customFormat="1" x14ac:dyDescent="0.35">
      <c r="A195" s="32" t="str">
        <f t="shared" si="17"/>
        <v>2024 JAN-DEC DISC 75 LICENSE ESS</v>
      </c>
      <c r="B195" s="33">
        <f t="shared" si="17"/>
        <v>46121</v>
      </c>
      <c r="C195" s="33">
        <f t="shared" si="17"/>
        <v>46127</v>
      </c>
      <c r="D195" s="32">
        <v>3287</v>
      </c>
      <c r="E195" s="32">
        <v>338</v>
      </c>
      <c r="F195" s="32">
        <v>4</v>
      </c>
      <c r="G195" s="32">
        <v>2</v>
      </c>
      <c r="H195" s="32">
        <v>81676</v>
      </c>
      <c r="I195" s="32" t="s">
        <v>17</v>
      </c>
      <c r="J195" s="32">
        <v>22212599</v>
      </c>
      <c r="K195" s="32" t="s">
        <v>3819</v>
      </c>
      <c r="L195" s="38" t="s">
        <v>3823</v>
      </c>
      <c r="M195" s="34">
        <v>229900</v>
      </c>
      <c r="N195" s="35">
        <f t="shared" si="14"/>
        <v>0.75</v>
      </c>
      <c r="O195" s="34">
        <f t="shared" ref="O195:O258" si="18">M195-((75*M195)/100)</f>
        <v>57475</v>
      </c>
      <c r="P195" s="32" t="s">
        <v>16</v>
      </c>
    </row>
    <row r="196" spans="1:16" s="2" customFormat="1" x14ac:dyDescent="0.35">
      <c r="A196" s="32" t="str">
        <f t="shared" ref="A196:C211" si="19">A195</f>
        <v>2024 JAN-DEC DISC 75 LICENSE ESS</v>
      </c>
      <c r="B196" s="33">
        <f t="shared" si="19"/>
        <v>46121</v>
      </c>
      <c r="C196" s="33">
        <f t="shared" si="19"/>
        <v>46127</v>
      </c>
      <c r="D196" s="32">
        <v>3287</v>
      </c>
      <c r="E196" s="32">
        <v>338</v>
      </c>
      <c r="F196" s="32">
        <v>4</v>
      </c>
      <c r="G196" s="32">
        <v>3</v>
      </c>
      <c r="H196" s="32">
        <v>81574</v>
      </c>
      <c r="I196" s="32" t="s">
        <v>17</v>
      </c>
      <c r="J196" s="32">
        <v>19447511</v>
      </c>
      <c r="K196" s="32" t="s">
        <v>3730</v>
      </c>
      <c r="L196" s="38" t="s">
        <v>3731</v>
      </c>
      <c r="M196" s="34">
        <v>119900</v>
      </c>
      <c r="N196" s="35">
        <f t="shared" ref="N196:N259" si="20">N195</f>
        <v>0.75</v>
      </c>
      <c r="O196" s="34">
        <f t="shared" si="18"/>
        <v>29975</v>
      </c>
      <c r="P196" s="32" t="s">
        <v>16</v>
      </c>
    </row>
    <row r="197" spans="1:16" s="2" customFormat="1" x14ac:dyDescent="0.35">
      <c r="A197" s="32" t="str">
        <f t="shared" si="19"/>
        <v>2024 JAN-DEC DISC 75 LICENSE ESS</v>
      </c>
      <c r="B197" s="33">
        <f t="shared" si="19"/>
        <v>46121</v>
      </c>
      <c r="C197" s="33">
        <f t="shared" si="19"/>
        <v>46127</v>
      </c>
      <c r="D197" s="32">
        <v>3287</v>
      </c>
      <c r="E197" s="32">
        <v>338</v>
      </c>
      <c r="F197" s="32">
        <v>4</v>
      </c>
      <c r="G197" s="32">
        <v>3</v>
      </c>
      <c r="H197" s="32">
        <v>81574</v>
      </c>
      <c r="I197" s="32" t="s">
        <v>17</v>
      </c>
      <c r="J197" s="32">
        <v>19447520</v>
      </c>
      <c r="K197" s="32" t="s">
        <v>3730</v>
      </c>
      <c r="L197" s="38" t="s">
        <v>3732</v>
      </c>
      <c r="M197" s="34">
        <v>119900</v>
      </c>
      <c r="N197" s="35">
        <f t="shared" si="20"/>
        <v>0.75</v>
      </c>
      <c r="O197" s="34">
        <f t="shared" si="18"/>
        <v>29975</v>
      </c>
      <c r="P197" s="32" t="s">
        <v>16</v>
      </c>
    </row>
    <row r="198" spans="1:16" s="2" customFormat="1" x14ac:dyDescent="0.35">
      <c r="A198" s="32" t="str">
        <f t="shared" si="19"/>
        <v>2024 JAN-DEC DISC 75 LICENSE ESS</v>
      </c>
      <c r="B198" s="33">
        <f t="shared" si="19"/>
        <v>46121</v>
      </c>
      <c r="C198" s="33">
        <f t="shared" si="19"/>
        <v>46127</v>
      </c>
      <c r="D198" s="32">
        <v>3287</v>
      </c>
      <c r="E198" s="32">
        <v>338</v>
      </c>
      <c r="F198" s="32">
        <v>4</v>
      </c>
      <c r="G198" s="32">
        <v>3</v>
      </c>
      <c r="H198" s="32">
        <v>81574</v>
      </c>
      <c r="I198" s="32" t="s">
        <v>17</v>
      </c>
      <c r="J198" s="32">
        <v>19447539</v>
      </c>
      <c r="K198" s="32" t="s">
        <v>3730</v>
      </c>
      <c r="L198" s="38" t="s">
        <v>3733</v>
      </c>
      <c r="M198" s="34">
        <v>119900</v>
      </c>
      <c r="N198" s="35">
        <f t="shared" si="20"/>
        <v>0.75</v>
      </c>
      <c r="O198" s="34">
        <f t="shared" si="18"/>
        <v>29975</v>
      </c>
      <c r="P198" s="32" t="s">
        <v>16</v>
      </c>
    </row>
    <row r="199" spans="1:16" s="2" customFormat="1" x14ac:dyDescent="0.35">
      <c r="A199" s="32" t="str">
        <f t="shared" si="19"/>
        <v>2024 JAN-DEC DISC 75 LICENSE ESS</v>
      </c>
      <c r="B199" s="33">
        <f t="shared" si="19"/>
        <v>46121</v>
      </c>
      <c r="C199" s="33">
        <f t="shared" si="19"/>
        <v>46127</v>
      </c>
      <c r="D199" s="32">
        <v>3287</v>
      </c>
      <c r="E199" s="32">
        <v>338</v>
      </c>
      <c r="F199" s="32">
        <v>4</v>
      </c>
      <c r="G199" s="32">
        <v>3</v>
      </c>
      <c r="H199" s="32">
        <v>81574</v>
      </c>
      <c r="I199" s="32" t="s">
        <v>17</v>
      </c>
      <c r="J199" s="32">
        <v>19447548</v>
      </c>
      <c r="K199" s="32" t="s">
        <v>3730</v>
      </c>
      <c r="L199" s="38" t="s">
        <v>3734</v>
      </c>
      <c r="M199" s="34">
        <v>119900</v>
      </c>
      <c r="N199" s="35">
        <f t="shared" si="20"/>
        <v>0.75</v>
      </c>
      <c r="O199" s="34">
        <f t="shared" si="18"/>
        <v>29975</v>
      </c>
      <c r="P199" s="32" t="s">
        <v>16</v>
      </c>
    </row>
    <row r="200" spans="1:16" s="2" customFormat="1" x14ac:dyDescent="0.35">
      <c r="A200" s="32" t="str">
        <f t="shared" si="19"/>
        <v>2024 JAN-DEC DISC 75 LICENSE ESS</v>
      </c>
      <c r="B200" s="33">
        <f t="shared" si="19"/>
        <v>46121</v>
      </c>
      <c r="C200" s="33">
        <f t="shared" si="19"/>
        <v>46127</v>
      </c>
      <c r="D200" s="32">
        <v>3287</v>
      </c>
      <c r="E200" s="32">
        <v>338</v>
      </c>
      <c r="F200" s="32">
        <v>4</v>
      </c>
      <c r="G200" s="32">
        <v>3</v>
      </c>
      <c r="H200" s="32">
        <v>81574</v>
      </c>
      <c r="I200" s="32" t="s">
        <v>17</v>
      </c>
      <c r="J200" s="32">
        <v>21615923</v>
      </c>
      <c r="K200" s="32" t="s">
        <v>3824</v>
      </c>
      <c r="L200" s="38" t="s">
        <v>3825</v>
      </c>
      <c r="M200" s="34">
        <v>119900</v>
      </c>
      <c r="N200" s="35">
        <f t="shared" si="20"/>
        <v>0.75</v>
      </c>
      <c r="O200" s="34">
        <f t="shared" si="18"/>
        <v>29975</v>
      </c>
      <c r="P200" s="32" t="s">
        <v>16</v>
      </c>
    </row>
    <row r="201" spans="1:16" s="2" customFormat="1" x14ac:dyDescent="0.35">
      <c r="A201" s="32" t="str">
        <f t="shared" si="19"/>
        <v>2024 JAN-DEC DISC 75 LICENSE ESS</v>
      </c>
      <c r="B201" s="33">
        <f t="shared" si="19"/>
        <v>46121</v>
      </c>
      <c r="C201" s="33">
        <f t="shared" si="19"/>
        <v>46127</v>
      </c>
      <c r="D201" s="32">
        <v>3287</v>
      </c>
      <c r="E201" s="32">
        <v>338</v>
      </c>
      <c r="F201" s="32">
        <v>4</v>
      </c>
      <c r="G201" s="32">
        <v>3</v>
      </c>
      <c r="H201" s="32">
        <v>81574</v>
      </c>
      <c r="I201" s="32" t="s">
        <v>17</v>
      </c>
      <c r="J201" s="32">
        <v>21615932</v>
      </c>
      <c r="K201" s="32" t="s">
        <v>3824</v>
      </c>
      <c r="L201" s="38" t="s">
        <v>3826</v>
      </c>
      <c r="M201" s="34">
        <v>119900</v>
      </c>
      <c r="N201" s="35">
        <f t="shared" si="20"/>
        <v>0.75</v>
      </c>
      <c r="O201" s="34">
        <f t="shared" si="18"/>
        <v>29975</v>
      </c>
      <c r="P201" s="32" t="s">
        <v>16</v>
      </c>
    </row>
    <row r="202" spans="1:16" s="2" customFormat="1" x14ac:dyDescent="0.35">
      <c r="A202" s="32" t="str">
        <f t="shared" si="19"/>
        <v>2024 JAN-DEC DISC 75 LICENSE ESS</v>
      </c>
      <c r="B202" s="33">
        <f t="shared" si="19"/>
        <v>46121</v>
      </c>
      <c r="C202" s="33">
        <f t="shared" si="19"/>
        <v>46127</v>
      </c>
      <c r="D202" s="32">
        <v>3287</v>
      </c>
      <c r="E202" s="32">
        <v>338</v>
      </c>
      <c r="F202" s="32">
        <v>4</v>
      </c>
      <c r="G202" s="32">
        <v>3</v>
      </c>
      <c r="H202" s="32">
        <v>81574</v>
      </c>
      <c r="I202" s="32" t="s">
        <v>17</v>
      </c>
      <c r="J202" s="32">
        <v>21615941</v>
      </c>
      <c r="K202" s="32" t="s">
        <v>3824</v>
      </c>
      <c r="L202" s="38" t="s">
        <v>3827</v>
      </c>
      <c r="M202" s="34">
        <v>119900</v>
      </c>
      <c r="N202" s="35">
        <f t="shared" si="20"/>
        <v>0.75</v>
      </c>
      <c r="O202" s="34">
        <f t="shared" si="18"/>
        <v>29975</v>
      </c>
      <c r="P202" s="32" t="s">
        <v>16</v>
      </c>
    </row>
    <row r="203" spans="1:16" s="2" customFormat="1" x14ac:dyDescent="0.35">
      <c r="A203" s="32" t="str">
        <f t="shared" si="19"/>
        <v>2024 JAN-DEC DISC 75 LICENSE ESS</v>
      </c>
      <c r="B203" s="33">
        <f t="shared" si="19"/>
        <v>46121</v>
      </c>
      <c r="C203" s="33">
        <f t="shared" si="19"/>
        <v>46127</v>
      </c>
      <c r="D203" s="32">
        <v>3287</v>
      </c>
      <c r="E203" s="32">
        <v>338</v>
      </c>
      <c r="F203" s="32">
        <v>4</v>
      </c>
      <c r="G203" s="32">
        <v>7</v>
      </c>
      <c r="H203" s="32">
        <v>81595</v>
      </c>
      <c r="I203" s="32" t="s">
        <v>17</v>
      </c>
      <c r="J203" s="32">
        <v>19447477</v>
      </c>
      <c r="K203" s="32" t="s">
        <v>3717</v>
      </c>
      <c r="L203" s="38" t="s">
        <v>3718</v>
      </c>
      <c r="M203" s="34">
        <v>35900</v>
      </c>
      <c r="N203" s="35">
        <f t="shared" si="20"/>
        <v>0.75</v>
      </c>
      <c r="O203" s="34">
        <f t="shared" si="18"/>
        <v>8975</v>
      </c>
      <c r="P203" s="32" t="s">
        <v>16</v>
      </c>
    </row>
    <row r="204" spans="1:16" s="2" customFormat="1" x14ac:dyDescent="0.35">
      <c r="A204" s="32" t="str">
        <f t="shared" si="19"/>
        <v>2024 JAN-DEC DISC 75 LICENSE ESS</v>
      </c>
      <c r="B204" s="33">
        <f t="shared" si="19"/>
        <v>46121</v>
      </c>
      <c r="C204" s="33">
        <f t="shared" si="19"/>
        <v>46127</v>
      </c>
      <c r="D204" s="32">
        <v>3287</v>
      </c>
      <c r="E204" s="32">
        <v>338</v>
      </c>
      <c r="F204" s="32">
        <v>4</v>
      </c>
      <c r="G204" s="32">
        <v>7</v>
      </c>
      <c r="H204" s="32">
        <v>81595</v>
      </c>
      <c r="I204" s="32" t="s">
        <v>17</v>
      </c>
      <c r="J204" s="32">
        <v>19447486</v>
      </c>
      <c r="K204" s="32" t="s">
        <v>3717</v>
      </c>
      <c r="L204" s="38" t="s">
        <v>3719</v>
      </c>
      <c r="M204" s="34">
        <v>35900</v>
      </c>
      <c r="N204" s="35">
        <f t="shared" si="20"/>
        <v>0.75</v>
      </c>
      <c r="O204" s="34">
        <f t="shared" si="18"/>
        <v>8975</v>
      </c>
      <c r="P204" s="32" t="s">
        <v>16</v>
      </c>
    </row>
    <row r="205" spans="1:16" s="2" customFormat="1" x14ac:dyDescent="0.35">
      <c r="A205" s="32" t="str">
        <f t="shared" si="19"/>
        <v>2024 JAN-DEC DISC 75 LICENSE ESS</v>
      </c>
      <c r="B205" s="33">
        <f t="shared" si="19"/>
        <v>46121</v>
      </c>
      <c r="C205" s="33">
        <f t="shared" si="19"/>
        <v>46127</v>
      </c>
      <c r="D205" s="32">
        <v>3287</v>
      </c>
      <c r="E205" s="32">
        <v>338</v>
      </c>
      <c r="F205" s="32">
        <v>4</v>
      </c>
      <c r="G205" s="32">
        <v>7</v>
      </c>
      <c r="H205" s="32">
        <v>81595</v>
      </c>
      <c r="I205" s="32" t="s">
        <v>17</v>
      </c>
      <c r="J205" s="32">
        <v>19447495</v>
      </c>
      <c r="K205" s="32" t="s">
        <v>3720</v>
      </c>
      <c r="L205" s="38" t="s">
        <v>3721</v>
      </c>
      <c r="M205" s="34">
        <v>35900</v>
      </c>
      <c r="N205" s="35">
        <f t="shared" si="20"/>
        <v>0.75</v>
      </c>
      <c r="O205" s="34">
        <f t="shared" si="18"/>
        <v>8975</v>
      </c>
      <c r="P205" s="32" t="s">
        <v>16</v>
      </c>
    </row>
    <row r="206" spans="1:16" s="2" customFormat="1" x14ac:dyDescent="0.35">
      <c r="A206" s="32" t="str">
        <f t="shared" si="19"/>
        <v>2024 JAN-DEC DISC 75 LICENSE ESS</v>
      </c>
      <c r="B206" s="33">
        <f t="shared" si="19"/>
        <v>46121</v>
      </c>
      <c r="C206" s="33">
        <f t="shared" si="19"/>
        <v>46127</v>
      </c>
      <c r="D206" s="32">
        <v>3287</v>
      </c>
      <c r="E206" s="32">
        <v>338</v>
      </c>
      <c r="F206" s="32">
        <v>4</v>
      </c>
      <c r="G206" s="32">
        <v>7</v>
      </c>
      <c r="H206" s="32">
        <v>81595</v>
      </c>
      <c r="I206" s="32" t="s">
        <v>17</v>
      </c>
      <c r="J206" s="32">
        <v>19447502</v>
      </c>
      <c r="K206" s="32" t="s">
        <v>3720</v>
      </c>
      <c r="L206" s="38" t="s">
        <v>3722</v>
      </c>
      <c r="M206" s="34">
        <v>35900</v>
      </c>
      <c r="N206" s="35">
        <f t="shared" si="20"/>
        <v>0.75</v>
      </c>
      <c r="O206" s="34">
        <f t="shared" si="18"/>
        <v>8975</v>
      </c>
      <c r="P206" s="32" t="s">
        <v>16</v>
      </c>
    </row>
    <row r="207" spans="1:16" s="2" customFormat="1" x14ac:dyDescent="0.35">
      <c r="A207" s="32" t="str">
        <f t="shared" si="19"/>
        <v>2024 JAN-DEC DISC 75 LICENSE ESS</v>
      </c>
      <c r="B207" s="33">
        <f t="shared" si="19"/>
        <v>46121</v>
      </c>
      <c r="C207" s="33">
        <f t="shared" si="19"/>
        <v>46127</v>
      </c>
      <c r="D207" s="32">
        <v>3287</v>
      </c>
      <c r="E207" s="32">
        <v>338</v>
      </c>
      <c r="F207" s="32">
        <v>4</v>
      </c>
      <c r="G207" s="32">
        <v>7</v>
      </c>
      <c r="H207" s="32">
        <v>81595</v>
      </c>
      <c r="I207" s="32" t="s">
        <v>17</v>
      </c>
      <c r="J207" s="32">
        <v>19453540</v>
      </c>
      <c r="K207" s="32" t="s">
        <v>3679</v>
      </c>
      <c r="L207" s="38" t="s">
        <v>3680</v>
      </c>
      <c r="M207" s="34">
        <v>35900</v>
      </c>
      <c r="N207" s="35">
        <f t="shared" si="20"/>
        <v>0.75</v>
      </c>
      <c r="O207" s="34">
        <f t="shared" si="18"/>
        <v>8975</v>
      </c>
      <c r="P207" s="32" t="s">
        <v>16</v>
      </c>
    </row>
    <row r="208" spans="1:16" s="2" customFormat="1" x14ac:dyDescent="0.35">
      <c r="A208" s="32" t="str">
        <f t="shared" si="19"/>
        <v>2024 JAN-DEC DISC 75 LICENSE ESS</v>
      </c>
      <c r="B208" s="33">
        <f t="shared" si="19"/>
        <v>46121</v>
      </c>
      <c r="C208" s="33">
        <f t="shared" si="19"/>
        <v>46127</v>
      </c>
      <c r="D208" s="32">
        <v>3287</v>
      </c>
      <c r="E208" s="32">
        <v>338</v>
      </c>
      <c r="F208" s="32">
        <v>4</v>
      </c>
      <c r="G208" s="32">
        <v>7</v>
      </c>
      <c r="H208" s="32">
        <v>81595</v>
      </c>
      <c r="I208" s="32" t="s">
        <v>17</v>
      </c>
      <c r="J208" s="32">
        <v>19453577</v>
      </c>
      <c r="K208" s="32" t="s">
        <v>3679</v>
      </c>
      <c r="L208" s="38" t="s">
        <v>3681</v>
      </c>
      <c r="M208" s="34">
        <v>35900</v>
      </c>
      <c r="N208" s="35">
        <f t="shared" si="20"/>
        <v>0.75</v>
      </c>
      <c r="O208" s="34">
        <f t="shared" si="18"/>
        <v>8975</v>
      </c>
      <c r="P208" s="32" t="s">
        <v>16</v>
      </c>
    </row>
    <row r="209" spans="1:16" s="2" customFormat="1" x14ac:dyDescent="0.35">
      <c r="A209" s="32" t="str">
        <f t="shared" si="19"/>
        <v>2024 JAN-DEC DISC 75 LICENSE ESS</v>
      </c>
      <c r="B209" s="33">
        <f t="shared" si="19"/>
        <v>46121</v>
      </c>
      <c r="C209" s="33">
        <f t="shared" si="19"/>
        <v>46127</v>
      </c>
      <c r="D209" s="32">
        <v>3287</v>
      </c>
      <c r="E209" s="32">
        <v>338</v>
      </c>
      <c r="F209" s="32">
        <v>4</v>
      </c>
      <c r="G209" s="32">
        <v>7</v>
      </c>
      <c r="H209" s="32">
        <v>81595</v>
      </c>
      <c r="I209" s="32" t="s">
        <v>17</v>
      </c>
      <c r="J209" s="32">
        <v>19453586</v>
      </c>
      <c r="K209" s="32" t="s">
        <v>3682</v>
      </c>
      <c r="L209" s="38" t="s">
        <v>3683</v>
      </c>
      <c r="M209" s="34">
        <v>35900</v>
      </c>
      <c r="N209" s="35">
        <f t="shared" si="20"/>
        <v>0.75</v>
      </c>
      <c r="O209" s="34">
        <f t="shared" si="18"/>
        <v>8975</v>
      </c>
      <c r="P209" s="32" t="s">
        <v>16</v>
      </c>
    </row>
    <row r="210" spans="1:16" s="2" customFormat="1" x14ac:dyDescent="0.35">
      <c r="A210" s="32" t="str">
        <f t="shared" si="19"/>
        <v>2024 JAN-DEC DISC 75 LICENSE ESS</v>
      </c>
      <c r="B210" s="33">
        <f t="shared" si="19"/>
        <v>46121</v>
      </c>
      <c r="C210" s="33">
        <f t="shared" si="19"/>
        <v>46127</v>
      </c>
      <c r="D210" s="32">
        <v>3287</v>
      </c>
      <c r="E210" s="32">
        <v>338</v>
      </c>
      <c r="F210" s="32">
        <v>4</v>
      </c>
      <c r="G210" s="32">
        <v>7</v>
      </c>
      <c r="H210" s="32">
        <v>81595</v>
      </c>
      <c r="I210" s="32" t="s">
        <v>17</v>
      </c>
      <c r="J210" s="32">
        <v>19453595</v>
      </c>
      <c r="K210" s="32" t="s">
        <v>3682</v>
      </c>
      <c r="L210" s="38" t="s">
        <v>3684</v>
      </c>
      <c r="M210" s="34">
        <v>35900</v>
      </c>
      <c r="N210" s="35">
        <f t="shared" si="20"/>
        <v>0.75</v>
      </c>
      <c r="O210" s="34">
        <f t="shared" si="18"/>
        <v>8975</v>
      </c>
      <c r="P210" s="32" t="s">
        <v>16</v>
      </c>
    </row>
    <row r="211" spans="1:16" s="2" customFormat="1" x14ac:dyDescent="0.35">
      <c r="A211" s="32" t="str">
        <f t="shared" si="19"/>
        <v>2024 JAN-DEC DISC 75 LICENSE ESS</v>
      </c>
      <c r="B211" s="33">
        <f t="shared" si="19"/>
        <v>46121</v>
      </c>
      <c r="C211" s="33">
        <f t="shared" si="19"/>
        <v>46127</v>
      </c>
      <c r="D211" s="32">
        <v>3287</v>
      </c>
      <c r="E211" s="32">
        <v>338</v>
      </c>
      <c r="F211" s="32">
        <v>4</v>
      </c>
      <c r="G211" s="32">
        <v>7</v>
      </c>
      <c r="H211" s="32">
        <v>81595</v>
      </c>
      <c r="I211" s="32" t="s">
        <v>17</v>
      </c>
      <c r="J211" s="32">
        <v>21615889</v>
      </c>
      <c r="K211" s="32" t="s">
        <v>3829</v>
      </c>
      <c r="L211" s="38" t="s">
        <v>3830</v>
      </c>
      <c r="M211" s="34">
        <v>35900</v>
      </c>
      <c r="N211" s="35">
        <f t="shared" si="20"/>
        <v>0.75</v>
      </c>
      <c r="O211" s="34">
        <f t="shared" si="18"/>
        <v>8975</v>
      </c>
      <c r="P211" s="32" t="s">
        <v>16</v>
      </c>
    </row>
    <row r="212" spans="1:16" s="2" customFormat="1" x14ac:dyDescent="0.35">
      <c r="A212" s="32" t="str">
        <f t="shared" ref="A212:C227" si="21">A211</f>
        <v>2024 JAN-DEC DISC 75 LICENSE ESS</v>
      </c>
      <c r="B212" s="33">
        <f t="shared" si="21"/>
        <v>46121</v>
      </c>
      <c r="C212" s="33">
        <f t="shared" si="21"/>
        <v>46127</v>
      </c>
      <c r="D212" s="32">
        <v>3287</v>
      </c>
      <c r="E212" s="32">
        <v>338</v>
      </c>
      <c r="F212" s="32">
        <v>4</v>
      </c>
      <c r="G212" s="32">
        <v>7</v>
      </c>
      <c r="H212" s="32">
        <v>81595</v>
      </c>
      <c r="I212" s="32" t="s">
        <v>17</v>
      </c>
      <c r="J212" s="32">
        <v>21615905</v>
      </c>
      <c r="K212" s="32" t="s">
        <v>3832</v>
      </c>
      <c r="L212" s="38" t="s">
        <v>3833</v>
      </c>
      <c r="M212" s="34">
        <v>35900</v>
      </c>
      <c r="N212" s="35">
        <f t="shared" si="20"/>
        <v>0.75</v>
      </c>
      <c r="O212" s="34">
        <f t="shared" si="18"/>
        <v>8975</v>
      </c>
      <c r="P212" s="32" t="s">
        <v>16</v>
      </c>
    </row>
    <row r="213" spans="1:16" s="2" customFormat="1" x14ac:dyDescent="0.35">
      <c r="A213" s="32" t="str">
        <f t="shared" si="21"/>
        <v>2024 JAN-DEC DISC 75 LICENSE ESS</v>
      </c>
      <c r="B213" s="33">
        <f t="shared" si="21"/>
        <v>46121</v>
      </c>
      <c r="C213" s="33">
        <f t="shared" si="21"/>
        <v>46127</v>
      </c>
      <c r="D213" s="32">
        <v>3287</v>
      </c>
      <c r="E213" s="32">
        <v>338</v>
      </c>
      <c r="F213" s="32">
        <v>4</v>
      </c>
      <c r="G213" s="32">
        <v>7</v>
      </c>
      <c r="H213" s="32">
        <v>81595</v>
      </c>
      <c r="I213" s="32" t="s">
        <v>17</v>
      </c>
      <c r="J213" s="32">
        <v>22212606</v>
      </c>
      <c r="K213" s="32" t="s">
        <v>3816</v>
      </c>
      <c r="L213" s="38" t="s">
        <v>3817</v>
      </c>
      <c r="M213" s="34">
        <v>35900</v>
      </c>
      <c r="N213" s="35">
        <f t="shared" si="20"/>
        <v>0.75</v>
      </c>
      <c r="O213" s="34">
        <f t="shared" si="18"/>
        <v>8975</v>
      </c>
      <c r="P213" s="32" t="s">
        <v>16</v>
      </c>
    </row>
    <row r="214" spans="1:16" s="2" customFormat="1" x14ac:dyDescent="0.35">
      <c r="A214" s="32" t="str">
        <f t="shared" si="21"/>
        <v>2024 JAN-DEC DISC 75 LICENSE ESS</v>
      </c>
      <c r="B214" s="33">
        <f t="shared" si="21"/>
        <v>46121</v>
      </c>
      <c r="C214" s="33">
        <f t="shared" si="21"/>
        <v>46127</v>
      </c>
      <c r="D214" s="32">
        <v>3287</v>
      </c>
      <c r="E214" s="32">
        <v>338</v>
      </c>
      <c r="F214" s="32">
        <v>4</v>
      </c>
      <c r="G214" s="32">
        <v>8</v>
      </c>
      <c r="H214" s="32">
        <v>81462</v>
      </c>
      <c r="I214" s="32" t="s">
        <v>17</v>
      </c>
      <c r="J214" s="32">
        <v>22250333</v>
      </c>
      <c r="K214" s="32" t="s">
        <v>4913</v>
      </c>
      <c r="L214" s="38" t="s">
        <v>4914</v>
      </c>
      <c r="M214" s="34">
        <v>119900</v>
      </c>
      <c r="N214" s="35">
        <f t="shared" si="20"/>
        <v>0.75</v>
      </c>
      <c r="O214" s="34">
        <f t="shared" si="18"/>
        <v>29975</v>
      </c>
      <c r="P214" s="32" t="s">
        <v>16</v>
      </c>
    </row>
    <row r="215" spans="1:16" s="2" customFormat="1" x14ac:dyDescent="0.35">
      <c r="A215" s="32" t="str">
        <f t="shared" si="21"/>
        <v>2024 JAN-DEC DISC 75 LICENSE ESS</v>
      </c>
      <c r="B215" s="33">
        <f t="shared" si="21"/>
        <v>46121</v>
      </c>
      <c r="C215" s="33">
        <f t="shared" si="21"/>
        <v>46127</v>
      </c>
      <c r="D215" s="32">
        <v>3287</v>
      </c>
      <c r="E215" s="32">
        <v>338</v>
      </c>
      <c r="F215" s="32">
        <v>4</v>
      </c>
      <c r="G215" s="32">
        <v>8</v>
      </c>
      <c r="H215" s="32">
        <v>81462</v>
      </c>
      <c r="I215" s="32" t="s">
        <v>17</v>
      </c>
      <c r="J215" s="32">
        <v>22250388</v>
      </c>
      <c r="K215" s="32" t="s">
        <v>4913</v>
      </c>
      <c r="L215" s="38" t="s">
        <v>4915</v>
      </c>
      <c r="M215" s="34">
        <v>119900</v>
      </c>
      <c r="N215" s="35">
        <f t="shared" si="20"/>
        <v>0.75</v>
      </c>
      <c r="O215" s="34">
        <f t="shared" si="18"/>
        <v>29975</v>
      </c>
      <c r="P215" s="32" t="s">
        <v>16</v>
      </c>
    </row>
    <row r="216" spans="1:16" s="2" customFormat="1" x14ac:dyDescent="0.35">
      <c r="A216" s="32" t="str">
        <f t="shared" si="21"/>
        <v>2024 JAN-DEC DISC 75 LICENSE ESS</v>
      </c>
      <c r="B216" s="33">
        <f t="shared" si="21"/>
        <v>46121</v>
      </c>
      <c r="C216" s="33">
        <f t="shared" si="21"/>
        <v>46127</v>
      </c>
      <c r="D216" s="32">
        <v>3287</v>
      </c>
      <c r="E216" s="32">
        <v>338</v>
      </c>
      <c r="F216" s="32">
        <v>4</v>
      </c>
      <c r="G216" s="32">
        <v>8</v>
      </c>
      <c r="H216" s="32">
        <v>81462</v>
      </c>
      <c r="I216" s="32" t="s">
        <v>17</v>
      </c>
      <c r="J216" s="32">
        <v>22250397</v>
      </c>
      <c r="K216" s="32" t="s">
        <v>4913</v>
      </c>
      <c r="L216" s="38" t="s">
        <v>4916</v>
      </c>
      <c r="M216" s="34">
        <v>119900</v>
      </c>
      <c r="N216" s="35">
        <f t="shared" si="20"/>
        <v>0.75</v>
      </c>
      <c r="O216" s="34">
        <f t="shared" si="18"/>
        <v>29975</v>
      </c>
      <c r="P216" s="32" t="s">
        <v>16</v>
      </c>
    </row>
    <row r="217" spans="1:16" s="2" customFormat="1" x14ac:dyDescent="0.35">
      <c r="A217" s="32" t="str">
        <f t="shared" si="21"/>
        <v>2024 JAN-DEC DISC 75 LICENSE ESS</v>
      </c>
      <c r="B217" s="33">
        <f t="shared" si="21"/>
        <v>46121</v>
      </c>
      <c r="C217" s="33">
        <f t="shared" si="21"/>
        <v>46127</v>
      </c>
      <c r="D217" s="32">
        <v>3287</v>
      </c>
      <c r="E217" s="32">
        <v>338</v>
      </c>
      <c r="F217" s="32">
        <v>4</v>
      </c>
      <c r="G217" s="32">
        <v>8</v>
      </c>
      <c r="H217" s="32">
        <v>81462</v>
      </c>
      <c r="I217" s="32" t="s">
        <v>17</v>
      </c>
      <c r="J217" s="32">
        <v>22250413</v>
      </c>
      <c r="K217" s="32" t="s">
        <v>4913</v>
      </c>
      <c r="L217" s="38" t="s">
        <v>4917</v>
      </c>
      <c r="M217" s="34">
        <v>119900</v>
      </c>
      <c r="N217" s="35">
        <f t="shared" si="20"/>
        <v>0.75</v>
      </c>
      <c r="O217" s="34">
        <f t="shared" si="18"/>
        <v>29975</v>
      </c>
      <c r="P217" s="32" t="s">
        <v>16</v>
      </c>
    </row>
    <row r="218" spans="1:16" s="2" customFormat="1" x14ac:dyDescent="0.35">
      <c r="A218" s="32" t="str">
        <f t="shared" si="21"/>
        <v>2024 JAN-DEC DISC 75 LICENSE ESS</v>
      </c>
      <c r="B218" s="33">
        <f t="shared" si="21"/>
        <v>46121</v>
      </c>
      <c r="C218" s="33">
        <f t="shared" si="21"/>
        <v>46127</v>
      </c>
      <c r="D218" s="32">
        <v>3287</v>
      </c>
      <c r="E218" s="32">
        <v>338</v>
      </c>
      <c r="F218" s="32">
        <v>4</v>
      </c>
      <c r="G218" s="32">
        <v>2</v>
      </c>
      <c r="H218" s="32">
        <v>81676</v>
      </c>
      <c r="I218" s="32" t="s">
        <v>17</v>
      </c>
      <c r="J218" s="32">
        <v>22212571</v>
      </c>
      <c r="K218" s="32" t="s">
        <v>3819</v>
      </c>
      <c r="L218" s="38" t="s">
        <v>3821</v>
      </c>
      <c r="M218" s="34">
        <v>229900</v>
      </c>
      <c r="N218" s="35">
        <f t="shared" si="20"/>
        <v>0.75</v>
      </c>
      <c r="O218" s="34">
        <f t="shared" si="18"/>
        <v>57475</v>
      </c>
      <c r="P218" s="32" t="s">
        <v>16</v>
      </c>
    </row>
    <row r="219" spans="1:16" s="2" customFormat="1" x14ac:dyDescent="0.35">
      <c r="A219" s="32" t="str">
        <f t="shared" si="21"/>
        <v>2024 JAN-DEC DISC 75 LICENSE ESS</v>
      </c>
      <c r="B219" s="33">
        <f t="shared" si="21"/>
        <v>46121</v>
      </c>
      <c r="C219" s="33">
        <f t="shared" si="21"/>
        <v>46127</v>
      </c>
      <c r="D219" s="32">
        <v>3287</v>
      </c>
      <c r="E219" s="32">
        <v>338</v>
      </c>
      <c r="F219" s="32">
        <v>4</v>
      </c>
      <c r="G219" s="32">
        <v>7</v>
      </c>
      <c r="H219" s="32">
        <v>81595</v>
      </c>
      <c r="I219" s="32" t="s">
        <v>17</v>
      </c>
      <c r="J219" s="32">
        <v>21615898</v>
      </c>
      <c r="K219" s="32" t="s">
        <v>3829</v>
      </c>
      <c r="L219" s="38" t="s">
        <v>3831</v>
      </c>
      <c r="M219" s="34">
        <v>35900</v>
      </c>
      <c r="N219" s="35">
        <f t="shared" si="20"/>
        <v>0.75</v>
      </c>
      <c r="O219" s="34">
        <f t="shared" si="18"/>
        <v>8975</v>
      </c>
      <c r="P219" s="32" t="s">
        <v>16</v>
      </c>
    </row>
    <row r="220" spans="1:16" s="2" customFormat="1" x14ac:dyDescent="0.35">
      <c r="A220" s="32" t="str">
        <f t="shared" si="21"/>
        <v>2024 JAN-DEC DISC 75 LICENSE ESS</v>
      </c>
      <c r="B220" s="33">
        <f t="shared" si="21"/>
        <v>46121</v>
      </c>
      <c r="C220" s="33">
        <f t="shared" si="21"/>
        <v>46127</v>
      </c>
      <c r="D220" s="32">
        <v>3287</v>
      </c>
      <c r="E220" s="32">
        <v>338</v>
      </c>
      <c r="F220" s="32">
        <v>4</v>
      </c>
      <c r="G220" s="32">
        <v>7</v>
      </c>
      <c r="H220" s="32">
        <v>81595</v>
      </c>
      <c r="I220" s="32" t="s">
        <v>17</v>
      </c>
      <c r="J220" s="32">
        <v>21615914</v>
      </c>
      <c r="K220" s="32" t="s">
        <v>3832</v>
      </c>
      <c r="L220" s="38" t="s">
        <v>3834</v>
      </c>
      <c r="M220" s="34">
        <v>35900</v>
      </c>
      <c r="N220" s="35">
        <f t="shared" si="20"/>
        <v>0.75</v>
      </c>
      <c r="O220" s="34">
        <f t="shared" si="18"/>
        <v>8975</v>
      </c>
      <c r="P220" s="32" t="s">
        <v>16</v>
      </c>
    </row>
    <row r="221" spans="1:16" s="2" customFormat="1" x14ac:dyDescent="0.35">
      <c r="A221" s="32" t="str">
        <f t="shared" si="21"/>
        <v>2024 JAN-DEC DISC 75 LICENSE ESS</v>
      </c>
      <c r="B221" s="33">
        <f t="shared" si="21"/>
        <v>46121</v>
      </c>
      <c r="C221" s="33">
        <f t="shared" si="21"/>
        <v>46127</v>
      </c>
      <c r="D221" s="32">
        <v>3287</v>
      </c>
      <c r="E221" s="32">
        <v>338</v>
      </c>
      <c r="F221" s="32">
        <v>4</v>
      </c>
      <c r="G221" s="32">
        <v>7</v>
      </c>
      <c r="H221" s="32">
        <v>81595</v>
      </c>
      <c r="I221" s="32" t="s">
        <v>17</v>
      </c>
      <c r="J221" s="32">
        <v>22212679</v>
      </c>
      <c r="K221" s="32" t="s">
        <v>3816</v>
      </c>
      <c r="L221" s="38" t="s">
        <v>3818</v>
      </c>
      <c r="M221" s="34">
        <v>35900</v>
      </c>
      <c r="N221" s="35">
        <f t="shared" si="20"/>
        <v>0.75</v>
      </c>
      <c r="O221" s="34">
        <f t="shared" si="18"/>
        <v>8975</v>
      </c>
      <c r="P221" s="32" t="s">
        <v>16</v>
      </c>
    </row>
    <row r="222" spans="1:16" s="2" customFormat="1" x14ac:dyDescent="0.35">
      <c r="A222" s="32" t="str">
        <f t="shared" si="21"/>
        <v>2024 JAN-DEC DISC 75 LICENSE ESS</v>
      </c>
      <c r="B222" s="33">
        <f t="shared" si="21"/>
        <v>46121</v>
      </c>
      <c r="C222" s="33">
        <f t="shared" si="21"/>
        <v>46127</v>
      </c>
      <c r="D222" s="32">
        <v>3287</v>
      </c>
      <c r="E222" s="32">
        <v>338</v>
      </c>
      <c r="F222" s="32">
        <v>4</v>
      </c>
      <c r="G222" s="32">
        <v>7</v>
      </c>
      <c r="H222" s="32">
        <v>81595</v>
      </c>
      <c r="I222" s="32" t="s">
        <v>17</v>
      </c>
      <c r="J222" s="32">
        <v>18549298</v>
      </c>
      <c r="K222" s="32" t="s">
        <v>3919</v>
      </c>
      <c r="L222" s="38" t="s">
        <v>3920</v>
      </c>
      <c r="M222" s="34">
        <v>35900</v>
      </c>
      <c r="N222" s="35">
        <f t="shared" si="20"/>
        <v>0.75</v>
      </c>
      <c r="O222" s="34">
        <f t="shared" si="18"/>
        <v>8975</v>
      </c>
      <c r="P222" s="32" t="s">
        <v>16</v>
      </c>
    </row>
    <row r="223" spans="1:16" s="2" customFormat="1" x14ac:dyDescent="0.35">
      <c r="A223" s="32" t="str">
        <f t="shared" si="21"/>
        <v>2024 JAN-DEC DISC 75 LICENSE ESS</v>
      </c>
      <c r="B223" s="33">
        <f t="shared" si="21"/>
        <v>46121</v>
      </c>
      <c r="C223" s="33">
        <f t="shared" si="21"/>
        <v>46127</v>
      </c>
      <c r="D223" s="32">
        <v>3287</v>
      </c>
      <c r="E223" s="32">
        <v>338</v>
      </c>
      <c r="F223" s="32">
        <v>4</v>
      </c>
      <c r="G223" s="32">
        <v>7</v>
      </c>
      <c r="H223" s="32">
        <v>81595</v>
      </c>
      <c r="I223" s="32" t="s">
        <v>17</v>
      </c>
      <c r="J223" s="32">
        <v>18549314</v>
      </c>
      <c r="K223" s="32" t="s">
        <v>3919</v>
      </c>
      <c r="L223" s="38" t="s">
        <v>3921</v>
      </c>
      <c r="M223" s="34">
        <v>35900</v>
      </c>
      <c r="N223" s="35">
        <f t="shared" si="20"/>
        <v>0.75</v>
      </c>
      <c r="O223" s="34">
        <f t="shared" si="18"/>
        <v>8975</v>
      </c>
      <c r="P223" s="32" t="s">
        <v>16</v>
      </c>
    </row>
    <row r="224" spans="1:16" x14ac:dyDescent="0.35">
      <c r="A224" s="32" t="str">
        <f t="shared" si="21"/>
        <v>2024 JAN-DEC DISC 75 LICENSE ESS</v>
      </c>
      <c r="B224" s="33">
        <f t="shared" si="21"/>
        <v>46121</v>
      </c>
      <c r="C224" s="33">
        <f t="shared" si="21"/>
        <v>46127</v>
      </c>
      <c r="D224" s="32">
        <v>3287</v>
      </c>
      <c r="E224" s="32">
        <v>338</v>
      </c>
      <c r="F224" s="32">
        <v>4</v>
      </c>
      <c r="G224" s="32">
        <v>7</v>
      </c>
      <c r="H224" s="32">
        <v>81595</v>
      </c>
      <c r="I224" s="32" t="s">
        <v>17</v>
      </c>
      <c r="J224" s="32">
        <v>23107577</v>
      </c>
      <c r="K224" s="32" t="s">
        <v>3916</v>
      </c>
      <c r="L224" s="38" t="s">
        <v>3917</v>
      </c>
      <c r="M224" s="34">
        <v>35900</v>
      </c>
      <c r="N224" s="35">
        <f t="shared" si="20"/>
        <v>0.75</v>
      </c>
      <c r="O224" s="34">
        <f t="shared" si="18"/>
        <v>8975</v>
      </c>
      <c r="P224" s="32" t="s">
        <v>16</v>
      </c>
    </row>
    <row r="225" spans="1:16" x14ac:dyDescent="0.35">
      <c r="A225" s="32" t="str">
        <f t="shared" si="21"/>
        <v>2024 JAN-DEC DISC 75 LICENSE ESS</v>
      </c>
      <c r="B225" s="33">
        <f t="shared" si="21"/>
        <v>46121</v>
      </c>
      <c r="C225" s="33">
        <f t="shared" si="21"/>
        <v>46127</v>
      </c>
      <c r="D225" s="32">
        <v>3287</v>
      </c>
      <c r="E225" s="32">
        <v>338</v>
      </c>
      <c r="F225" s="32">
        <v>4</v>
      </c>
      <c r="G225" s="32">
        <v>7</v>
      </c>
      <c r="H225" s="32">
        <v>81595</v>
      </c>
      <c r="I225" s="32" t="s">
        <v>17</v>
      </c>
      <c r="J225" s="32">
        <v>23107586</v>
      </c>
      <c r="K225" s="32" t="s">
        <v>3916</v>
      </c>
      <c r="L225" s="38" t="s">
        <v>3918</v>
      </c>
      <c r="M225" s="34">
        <v>35900</v>
      </c>
      <c r="N225" s="35">
        <f t="shared" si="20"/>
        <v>0.75</v>
      </c>
      <c r="O225" s="34">
        <f t="shared" si="18"/>
        <v>8975</v>
      </c>
      <c r="P225" s="32" t="s">
        <v>16</v>
      </c>
    </row>
    <row r="226" spans="1:16" x14ac:dyDescent="0.35">
      <c r="A226" s="32" t="str">
        <f t="shared" si="21"/>
        <v>2024 JAN-DEC DISC 75 LICENSE ESS</v>
      </c>
      <c r="B226" s="33">
        <f t="shared" si="21"/>
        <v>46121</v>
      </c>
      <c r="C226" s="33">
        <f t="shared" si="21"/>
        <v>46127</v>
      </c>
      <c r="D226" s="32">
        <v>3287</v>
      </c>
      <c r="E226" s="32">
        <v>338</v>
      </c>
      <c r="F226" s="32">
        <v>4</v>
      </c>
      <c r="G226" s="32">
        <v>1</v>
      </c>
      <c r="H226" s="32">
        <v>81574</v>
      </c>
      <c r="I226" s="32" t="s">
        <v>17</v>
      </c>
      <c r="J226" s="32">
        <v>23107415</v>
      </c>
      <c r="K226" s="32" t="s">
        <v>3906</v>
      </c>
      <c r="L226" s="38" t="s">
        <v>3907</v>
      </c>
      <c r="M226" s="34">
        <v>119900</v>
      </c>
      <c r="N226" s="35">
        <f t="shared" si="20"/>
        <v>0.75</v>
      </c>
      <c r="O226" s="34">
        <f t="shared" si="18"/>
        <v>29975</v>
      </c>
      <c r="P226" s="32" t="s">
        <v>16</v>
      </c>
    </row>
    <row r="227" spans="1:16" x14ac:dyDescent="0.35">
      <c r="A227" s="32" t="str">
        <f t="shared" si="21"/>
        <v>2024 JAN-DEC DISC 75 LICENSE ESS</v>
      </c>
      <c r="B227" s="33">
        <f t="shared" si="21"/>
        <v>46121</v>
      </c>
      <c r="C227" s="33">
        <f t="shared" si="21"/>
        <v>46127</v>
      </c>
      <c r="D227" s="32">
        <v>3287</v>
      </c>
      <c r="E227" s="32">
        <v>338</v>
      </c>
      <c r="F227" s="32">
        <v>4</v>
      </c>
      <c r="G227" s="32">
        <v>1</v>
      </c>
      <c r="H227" s="32">
        <v>81574</v>
      </c>
      <c r="I227" s="32" t="s">
        <v>17</v>
      </c>
      <c r="J227" s="32">
        <v>23107424</v>
      </c>
      <c r="K227" s="32" t="s">
        <v>3906</v>
      </c>
      <c r="L227" s="38" t="s">
        <v>3908</v>
      </c>
      <c r="M227" s="34">
        <v>119900</v>
      </c>
      <c r="N227" s="35">
        <f t="shared" si="20"/>
        <v>0.75</v>
      </c>
      <c r="O227" s="34">
        <f t="shared" si="18"/>
        <v>29975</v>
      </c>
      <c r="P227" s="32" t="s">
        <v>16</v>
      </c>
    </row>
    <row r="228" spans="1:16" x14ac:dyDescent="0.35">
      <c r="A228" s="32" t="str">
        <f t="shared" ref="A228:C243" si="22">A227</f>
        <v>2024 JAN-DEC DISC 75 LICENSE ESS</v>
      </c>
      <c r="B228" s="33">
        <f t="shared" si="22"/>
        <v>46121</v>
      </c>
      <c r="C228" s="33">
        <f t="shared" si="22"/>
        <v>46127</v>
      </c>
      <c r="D228" s="32">
        <v>3287</v>
      </c>
      <c r="E228" s="32">
        <v>338</v>
      </c>
      <c r="F228" s="32">
        <v>4</v>
      </c>
      <c r="G228" s="32">
        <v>1</v>
      </c>
      <c r="H228" s="32">
        <v>81574</v>
      </c>
      <c r="I228" s="32" t="s">
        <v>17</v>
      </c>
      <c r="J228" s="32">
        <v>23107433</v>
      </c>
      <c r="K228" s="32" t="s">
        <v>3906</v>
      </c>
      <c r="L228" s="38" t="s">
        <v>3909</v>
      </c>
      <c r="M228" s="34">
        <v>119900</v>
      </c>
      <c r="N228" s="35">
        <f t="shared" si="20"/>
        <v>0.75</v>
      </c>
      <c r="O228" s="34">
        <f t="shared" si="18"/>
        <v>29975</v>
      </c>
      <c r="P228" s="32" t="s">
        <v>16</v>
      </c>
    </row>
    <row r="229" spans="1:16" x14ac:dyDescent="0.35">
      <c r="A229" s="32" t="str">
        <f t="shared" si="22"/>
        <v>2024 JAN-DEC DISC 75 LICENSE ESS</v>
      </c>
      <c r="B229" s="33">
        <f t="shared" si="22"/>
        <v>46121</v>
      </c>
      <c r="C229" s="33">
        <f t="shared" si="22"/>
        <v>46127</v>
      </c>
      <c r="D229" s="32">
        <v>3287</v>
      </c>
      <c r="E229" s="32">
        <v>338</v>
      </c>
      <c r="F229" s="32">
        <v>4</v>
      </c>
      <c r="G229" s="32">
        <v>1</v>
      </c>
      <c r="H229" s="32">
        <v>81574</v>
      </c>
      <c r="I229" s="32" t="s">
        <v>17</v>
      </c>
      <c r="J229" s="32">
        <v>23107442</v>
      </c>
      <c r="K229" s="32" t="s">
        <v>3906</v>
      </c>
      <c r="L229" s="38" t="s">
        <v>3910</v>
      </c>
      <c r="M229" s="34">
        <v>119900</v>
      </c>
      <c r="N229" s="35">
        <f t="shared" si="20"/>
        <v>0.75</v>
      </c>
      <c r="O229" s="34">
        <f t="shared" si="18"/>
        <v>29975</v>
      </c>
      <c r="P229" s="32" t="s">
        <v>16</v>
      </c>
    </row>
    <row r="230" spans="1:16" x14ac:dyDescent="0.35">
      <c r="A230" s="32" t="str">
        <f t="shared" si="22"/>
        <v>2024 JAN-DEC DISC 75 LICENSE ESS</v>
      </c>
      <c r="B230" s="33">
        <f t="shared" si="22"/>
        <v>46121</v>
      </c>
      <c r="C230" s="33">
        <f t="shared" si="22"/>
        <v>46127</v>
      </c>
      <c r="D230" s="32">
        <v>3287</v>
      </c>
      <c r="E230" s="32">
        <v>338</v>
      </c>
      <c r="F230" s="32">
        <v>4</v>
      </c>
      <c r="G230" s="32">
        <v>3</v>
      </c>
      <c r="H230" s="32">
        <v>81574</v>
      </c>
      <c r="I230" s="32" t="s">
        <v>17</v>
      </c>
      <c r="J230" s="32">
        <v>21615950</v>
      </c>
      <c r="K230" s="32" t="s">
        <v>3824</v>
      </c>
      <c r="L230" s="38" t="s">
        <v>3828</v>
      </c>
      <c r="M230" s="34">
        <v>119900</v>
      </c>
      <c r="N230" s="35">
        <f t="shared" si="20"/>
        <v>0.75</v>
      </c>
      <c r="O230" s="34">
        <f t="shared" si="18"/>
        <v>29975</v>
      </c>
      <c r="P230" s="32" t="s">
        <v>16</v>
      </c>
    </row>
    <row r="231" spans="1:16" x14ac:dyDescent="0.35">
      <c r="A231" s="32" t="str">
        <f t="shared" si="22"/>
        <v>2024 JAN-DEC DISC 75 LICENSE ESS</v>
      </c>
      <c r="B231" s="33">
        <f t="shared" si="22"/>
        <v>46121</v>
      </c>
      <c r="C231" s="33">
        <f t="shared" si="22"/>
        <v>46127</v>
      </c>
      <c r="D231" s="32">
        <v>3287</v>
      </c>
      <c r="E231" s="32">
        <v>338</v>
      </c>
      <c r="F231" s="32">
        <v>4</v>
      </c>
      <c r="G231" s="32">
        <v>1</v>
      </c>
      <c r="H231" s="32">
        <v>850</v>
      </c>
      <c r="I231" s="32" t="s">
        <v>17</v>
      </c>
      <c r="J231" s="32">
        <v>31272221</v>
      </c>
      <c r="K231" s="32" t="s">
        <v>3982</v>
      </c>
      <c r="L231" s="38" t="s">
        <v>3983</v>
      </c>
      <c r="M231" s="34">
        <v>119900</v>
      </c>
      <c r="N231" s="35">
        <f t="shared" si="20"/>
        <v>0.75</v>
      </c>
      <c r="O231" s="34">
        <f t="shared" si="18"/>
        <v>29975</v>
      </c>
      <c r="P231" s="32" t="s">
        <v>16</v>
      </c>
    </row>
    <row r="232" spans="1:16" x14ac:dyDescent="0.35">
      <c r="A232" s="32" t="str">
        <f t="shared" si="22"/>
        <v>2024 JAN-DEC DISC 75 LICENSE ESS</v>
      </c>
      <c r="B232" s="33">
        <f t="shared" si="22"/>
        <v>46121</v>
      </c>
      <c r="C232" s="33">
        <f t="shared" si="22"/>
        <v>46127</v>
      </c>
      <c r="D232" s="32">
        <v>3287</v>
      </c>
      <c r="E232" s="32">
        <v>338</v>
      </c>
      <c r="F232" s="32">
        <v>4</v>
      </c>
      <c r="G232" s="32">
        <v>1</v>
      </c>
      <c r="H232" s="32">
        <v>850</v>
      </c>
      <c r="I232" s="32" t="s">
        <v>17</v>
      </c>
      <c r="J232" s="32">
        <v>31272230</v>
      </c>
      <c r="K232" s="32" t="s">
        <v>3982</v>
      </c>
      <c r="L232" s="38" t="s">
        <v>3984</v>
      </c>
      <c r="M232" s="34">
        <v>119900</v>
      </c>
      <c r="N232" s="35">
        <f t="shared" si="20"/>
        <v>0.75</v>
      </c>
      <c r="O232" s="34">
        <f t="shared" si="18"/>
        <v>29975</v>
      </c>
      <c r="P232" s="32" t="s">
        <v>16</v>
      </c>
    </row>
    <row r="233" spans="1:16" x14ac:dyDescent="0.35">
      <c r="A233" s="32" t="str">
        <f t="shared" si="22"/>
        <v>2024 JAN-DEC DISC 75 LICENSE ESS</v>
      </c>
      <c r="B233" s="33">
        <f t="shared" si="22"/>
        <v>46121</v>
      </c>
      <c r="C233" s="33">
        <f t="shared" si="22"/>
        <v>46127</v>
      </c>
      <c r="D233" s="32">
        <v>3287</v>
      </c>
      <c r="E233" s="32">
        <v>338</v>
      </c>
      <c r="F233" s="32">
        <v>4</v>
      </c>
      <c r="G233" s="32">
        <v>1</v>
      </c>
      <c r="H233" s="32">
        <v>850</v>
      </c>
      <c r="I233" s="32" t="s">
        <v>17</v>
      </c>
      <c r="J233" s="32">
        <v>31272249</v>
      </c>
      <c r="K233" s="32" t="s">
        <v>3982</v>
      </c>
      <c r="L233" s="38" t="s">
        <v>3985</v>
      </c>
      <c r="M233" s="34">
        <v>119900</v>
      </c>
      <c r="N233" s="35">
        <f t="shared" si="20"/>
        <v>0.75</v>
      </c>
      <c r="O233" s="34">
        <f t="shared" si="18"/>
        <v>29975</v>
      </c>
      <c r="P233" s="32" t="s">
        <v>16</v>
      </c>
    </row>
    <row r="234" spans="1:16" x14ac:dyDescent="0.35">
      <c r="A234" s="32" t="str">
        <f t="shared" si="22"/>
        <v>2024 JAN-DEC DISC 75 LICENSE ESS</v>
      </c>
      <c r="B234" s="33">
        <f t="shared" si="22"/>
        <v>46121</v>
      </c>
      <c r="C234" s="33">
        <f t="shared" si="22"/>
        <v>46127</v>
      </c>
      <c r="D234" s="32">
        <v>3287</v>
      </c>
      <c r="E234" s="32">
        <v>338</v>
      </c>
      <c r="F234" s="32">
        <v>4</v>
      </c>
      <c r="G234" s="32">
        <v>1</v>
      </c>
      <c r="H234" s="32">
        <v>850</v>
      </c>
      <c r="I234" s="32" t="s">
        <v>17</v>
      </c>
      <c r="J234" s="32">
        <v>31272258</v>
      </c>
      <c r="K234" s="32" t="s">
        <v>3982</v>
      </c>
      <c r="L234" s="38" t="s">
        <v>3986</v>
      </c>
      <c r="M234" s="34">
        <v>119900</v>
      </c>
      <c r="N234" s="35">
        <f t="shared" si="20"/>
        <v>0.75</v>
      </c>
      <c r="O234" s="34">
        <f t="shared" si="18"/>
        <v>29975</v>
      </c>
      <c r="P234" s="32" t="s">
        <v>16</v>
      </c>
    </row>
    <row r="235" spans="1:16" x14ac:dyDescent="0.35">
      <c r="A235" s="32" t="str">
        <f t="shared" si="22"/>
        <v>2024 JAN-DEC DISC 75 LICENSE ESS</v>
      </c>
      <c r="B235" s="33">
        <f t="shared" si="22"/>
        <v>46121</v>
      </c>
      <c r="C235" s="33">
        <f t="shared" si="22"/>
        <v>46127</v>
      </c>
      <c r="D235" s="32">
        <v>3287</v>
      </c>
      <c r="E235" s="32">
        <v>338</v>
      </c>
      <c r="F235" s="32">
        <v>4</v>
      </c>
      <c r="G235" s="32">
        <v>1</v>
      </c>
      <c r="H235" s="32">
        <v>850</v>
      </c>
      <c r="I235" s="32" t="s">
        <v>17</v>
      </c>
      <c r="J235" s="32">
        <v>31272187</v>
      </c>
      <c r="K235" s="32" t="s">
        <v>3977</v>
      </c>
      <c r="L235" s="38" t="s">
        <v>3978</v>
      </c>
      <c r="M235" s="34">
        <v>119900</v>
      </c>
      <c r="N235" s="35">
        <f t="shared" si="20"/>
        <v>0.75</v>
      </c>
      <c r="O235" s="34">
        <f t="shared" si="18"/>
        <v>29975</v>
      </c>
      <c r="P235" s="32" t="s">
        <v>16</v>
      </c>
    </row>
    <row r="236" spans="1:16" x14ac:dyDescent="0.35">
      <c r="A236" s="32" t="str">
        <f t="shared" si="22"/>
        <v>2024 JAN-DEC DISC 75 LICENSE ESS</v>
      </c>
      <c r="B236" s="33">
        <f t="shared" si="22"/>
        <v>46121</v>
      </c>
      <c r="C236" s="33">
        <f t="shared" si="22"/>
        <v>46127</v>
      </c>
      <c r="D236" s="32">
        <v>3287</v>
      </c>
      <c r="E236" s="32">
        <v>338</v>
      </c>
      <c r="F236" s="32">
        <v>4</v>
      </c>
      <c r="G236" s="32">
        <v>1</v>
      </c>
      <c r="H236" s="32">
        <v>850</v>
      </c>
      <c r="I236" s="32" t="s">
        <v>17</v>
      </c>
      <c r="J236" s="32">
        <v>31272196</v>
      </c>
      <c r="K236" s="32" t="s">
        <v>3977</v>
      </c>
      <c r="L236" s="38" t="s">
        <v>3979</v>
      </c>
      <c r="M236" s="34">
        <v>119900</v>
      </c>
      <c r="N236" s="35">
        <f t="shared" si="20"/>
        <v>0.75</v>
      </c>
      <c r="O236" s="34">
        <f t="shared" si="18"/>
        <v>29975</v>
      </c>
      <c r="P236" s="32" t="s">
        <v>16</v>
      </c>
    </row>
    <row r="237" spans="1:16" x14ac:dyDescent="0.35">
      <c r="A237" s="32" t="str">
        <f t="shared" si="22"/>
        <v>2024 JAN-DEC DISC 75 LICENSE ESS</v>
      </c>
      <c r="B237" s="33">
        <f t="shared" si="22"/>
        <v>46121</v>
      </c>
      <c r="C237" s="33">
        <f t="shared" si="22"/>
        <v>46127</v>
      </c>
      <c r="D237" s="32">
        <v>3287</v>
      </c>
      <c r="E237" s="32">
        <v>338</v>
      </c>
      <c r="F237" s="32">
        <v>4</v>
      </c>
      <c r="G237" s="32">
        <v>1</v>
      </c>
      <c r="H237" s="32">
        <v>850</v>
      </c>
      <c r="I237" s="32" t="s">
        <v>17</v>
      </c>
      <c r="J237" s="32">
        <v>31272203</v>
      </c>
      <c r="K237" s="32" t="s">
        <v>3977</v>
      </c>
      <c r="L237" s="38" t="s">
        <v>3980</v>
      </c>
      <c r="M237" s="34">
        <v>119900</v>
      </c>
      <c r="N237" s="35">
        <f t="shared" si="20"/>
        <v>0.75</v>
      </c>
      <c r="O237" s="34">
        <f t="shared" si="18"/>
        <v>29975</v>
      </c>
      <c r="P237" s="32" t="s">
        <v>16</v>
      </c>
    </row>
    <row r="238" spans="1:16" x14ac:dyDescent="0.35">
      <c r="A238" s="32" t="str">
        <f t="shared" si="22"/>
        <v>2024 JAN-DEC DISC 75 LICENSE ESS</v>
      </c>
      <c r="B238" s="33">
        <f t="shared" si="22"/>
        <v>46121</v>
      </c>
      <c r="C238" s="33">
        <f t="shared" si="22"/>
        <v>46127</v>
      </c>
      <c r="D238" s="32">
        <v>3287</v>
      </c>
      <c r="E238" s="32">
        <v>338</v>
      </c>
      <c r="F238" s="32">
        <v>4</v>
      </c>
      <c r="G238" s="32">
        <v>1</v>
      </c>
      <c r="H238" s="32">
        <v>850</v>
      </c>
      <c r="I238" s="32" t="s">
        <v>17</v>
      </c>
      <c r="J238" s="32">
        <v>31272212</v>
      </c>
      <c r="K238" s="32" t="s">
        <v>3977</v>
      </c>
      <c r="L238" s="38" t="s">
        <v>3981</v>
      </c>
      <c r="M238" s="34">
        <v>119900</v>
      </c>
      <c r="N238" s="35">
        <f t="shared" si="20"/>
        <v>0.75</v>
      </c>
      <c r="O238" s="34">
        <f t="shared" si="18"/>
        <v>29975</v>
      </c>
      <c r="P238" s="32" t="s">
        <v>16</v>
      </c>
    </row>
    <row r="239" spans="1:16" x14ac:dyDescent="0.35">
      <c r="A239" s="32" t="str">
        <f t="shared" si="22"/>
        <v>2024 JAN-DEC DISC 75 LICENSE ESS</v>
      </c>
      <c r="B239" s="33">
        <f t="shared" si="22"/>
        <v>46121</v>
      </c>
      <c r="C239" s="33">
        <f t="shared" si="22"/>
        <v>46127</v>
      </c>
      <c r="D239" s="32">
        <v>3287</v>
      </c>
      <c r="E239" s="32">
        <v>338</v>
      </c>
      <c r="F239" s="32">
        <v>4</v>
      </c>
      <c r="G239" s="32">
        <v>3</v>
      </c>
      <c r="H239" s="32">
        <v>81574</v>
      </c>
      <c r="I239" s="32" t="s">
        <v>17</v>
      </c>
      <c r="J239" s="32">
        <v>23107451</v>
      </c>
      <c r="K239" s="32" t="s">
        <v>3911</v>
      </c>
      <c r="L239" s="38" t="s">
        <v>3912</v>
      </c>
      <c r="M239" s="34">
        <v>119900</v>
      </c>
      <c r="N239" s="35">
        <f t="shared" si="20"/>
        <v>0.75</v>
      </c>
      <c r="O239" s="34">
        <f t="shared" si="18"/>
        <v>29975</v>
      </c>
      <c r="P239" s="32" t="s">
        <v>16</v>
      </c>
    </row>
    <row r="240" spans="1:16" x14ac:dyDescent="0.35">
      <c r="A240" s="32" t="str">
        <f t="shared" si="22"/>
        <v>2024 JAN-DEC DISC 75 LICENSE ESS</v>
      </c>
      <c r="B240" s="33">
        <f t="shared" si="22"/>
        <v>46121</v>
      </c>
      <c r="C240" s="33">
        <f t="shared" si="22"/>
        <v>46127</v>
      </c>
      <c r="D240" s="32">
        <v>3287</v>
      </c>
      <c r="E240" s="32">
        <v>338</v>
      </c>
      <c r="F240" s="32">
        <v>4</v>
      </c>
      <c r="G240" s="32">
        <v>3</v>
      </c>
      <c r="H240" s="32">
        <v>81574</v>
      </c>
      <c r="I240" s="32" t="s">
        <v>17</v>
      </c>
      <c r="J240" s="32">
        <v>23107460</v>
      </c>
      <c r="K240" s="32" t="s">
        <v>3911</v>
      </c>
      <c r="L240" s="38" t="s">
        <v>3913</v>
      </c>
      <c r="M240" s="34">
        <v>119900</v>
      </c>
      <c r="N240" s="35">
        <f t="shared" si="20"/>
        <v>0.75</v>
      </c>
      <c r="O240" s="34">
        <f t="shared" si="18"/>
        <v>29975</v>
      </c>
      <c r="P240" s="32" t="s">
        <v>16</v>
      </c>
    </row>
    <row r="241" spans="1:16" x14ac:dyDescent="0.35">
      <c r="A241" s="32" t="str">
        <f t="shared" si="22"/>
        <v>2024 JAN-DEC DISC 75 LICENSE ESS</v>
      </c>
      <c r="B241" s="33">
        <f t="shared" si="22"/>
        <v>46121</v>
      </c>
      <c r="C241" s="33">
        <f t="shared" si="22"/>
        <v>46127</v>
      </c>
      <c r="D241" s="32">
        <v>3287</v>
      </c>
      <c r="E241" s="32">
        <v>338</v>
      </c>
      <c r="F241" s="32">
        <v>4</v>
      </c>
      <c r="G241" s="32">
        <v>3</v>
      </c>
      <c r="H241" s="32">
        <v>81574</v>
      </c>
      <c r="I241" s="32" t="s">
        <v>17</v>
      </c>
      <c r="J241" s="32">
        <v>23107479</v>
      </c>
      <c r="K241" s="32" t="s">
        <v>3911</v>
      </c>
      <c r="L241" s="38" t="s">
        <v>3914</v>
      </c>
      <c r="M241" s="34">
        <v>119900</v>
      </c>
      <c r="N241" s="35">
        <f t="shared" si="20"/>
        <v>0.75</v>
      </c>
      <c r="O241" s="34">
        <f t="shared" si="18"/>
        <v>29975</v>
      </c>
      <c r="P241" s="32" t="s">
        <v>16</v>
      </c>
    </row>
    <row r="242" spans="1:16" x14ac:dyDescent="0.35">
      <c r="A242" s="32" t="str">
        <f t="shared" si="22"/>
        <v>2024 JAN-DEC DISC 75 LICENSE ESS</v>
      </c>
      <c r="B242" s="33">
        <f t="shared" si="22"/>
        <v>46121</v>
      </c>
      <c r="C242" s="33">
        <f t="shared" si="22"/>
        <v>46127</v>
      </c>
      <c r="D242" s="32">
        <v>3287</v>
      </c>
      <c r="E242" s="32">
        <v>338</v>
      </c>
      <c r="F242" s="32">
        <v>4</v>
      </c>
      <c r="G242" s="32">
        <v>3</v>
      </c>
      <c r="H242" s="32">
        <v>81574</v>
      </c>
      <c r="I242" s="32" t="s">
        <v>17</v>
      </c>
      <c r="J242" s="32">
        <v>23107488</v>
      </c>
      <c r="K242" s="32" t="s">
        <v>3911</v>
      </c>
      <c r="L242" s="38" t="s">
        <v>3915</v>
      </c>
      <c r="M242" s="34">
        <v>119900</v>
      </c>
      <c r="N242" s="35">
        <f t="shared" si="20"/>
        <v>0.75</v>
      </c>
      <c r="O242" s="34">
        <f t="shared" si="18"/>
        <v>29975</v>
      </c>
      <c r="P242" s="32" t="s">
        <v>16</v>
      </c>
    </row>
    <row r="243" spans="1:16" x14ac:dyDescent="0.35">
      <c r="A243" s="32" t="str">
        <f t="shared" si="22"/>
        <v>2024 JAN-DEC DISC 75 LICENSE ESS</v>
      </c>
      <c r="B243" s="33">
        <f t="shared" si="22"/>
        <v>46121</v>
      </c>
      <c r="C243" s="33">
        <f t="shared" si="22"/>
        <v>46127</v>
      </c>
      <c r="D243" s="32">
        <v>3287</v>
      </c>
      <c r="E243" s="32">
        <v>338</v>
      </c>
      <c r="F243" s="32">
        <v>4</v>
      </c>
      <c r="G243" s="32">
        <v>4</v>
      </c>
      <c r="H243" s="32">
        <v>81676</v>
      </c>
      <c r="I243" s="32" t="s">
        <v>17</v>
      </c>
      <c r="J243" s="32">
        <v>23107497</v>
      </c>
      <c r="K243" s="32" t="s">
        <v>3922</v>
      </c>
      <c r="L243" s="38" t="s">
        <v>3923</v>
      </c>
      <c r="M243" s="34">
        <v>219900</v>
      </c>
      <c r="N243" s="35">
        <f t="shared" si="20"/>
        <v>0.75</v>
      </c>
      <c r="O243" s="34">
        <f t="shared" si="18"/>
        <v>54975</v>
      </c>
      <c r="P243" s="32" t="s">
        <v>16</v>
      </c>
    </row>
    <row r="244" spans="1:16" x14ac:dyDescent="0.35">
      <c r="A244" s="32" t="str">
        <f t="shared" ref="A244:C259" si="23">A243</f>
        <v>2024 JAN-DEC DISC 75 LICENSE ESS</v>
      </c>
      <c r="B244" s="33">
        <f t="shared" si="23"/>
        <v>46121</v>
      </c>
      <c r="C244" s="33">
        <f t="shared" si="23"/>
        <v>46127</v>
      </c>
      <c r="D244" s="32">
        <v>3287</v>
      </c>
      <c r="E244" s="32">
        <v>338</v>
      </c>
      <c r="F244" s="32">
        <v>4</v>
      </c>
      <c r="G244" s="32">
        <v>4</v>
      </c>
      <c r="H244" s="32">
        <v>81676</v>
      </c>
      <c r="I244" s="32" t="s">
        <v>17</v>
      </c>
      <c r="J244" s="32">
        <v>23107504</v>
      </c>
      <c r="K244" s="32" t="s">
        <v>3922</v>
      </c>
      <c r="L244" s="38" t="s">
        <v>3924</v>
      </c>
      <c r="M244" s="34">
        <v>219900</v>
      </c>
      <c r="N244" s="35">
        <f t="shared" si="20"/>
        <v>0.75</v>
      </c>
      <c r="O244" s="34">
        <f t="shared" si="18"/>
        <v>54975</v>
      </c>
      <c r="P244" s="32" t="s">
        <v>16</v>
      </c>
    </row>
    <row r="245" spans="1:16" x14ac:dyDescent="0.35">
      <c r="A245" s="32" t="str">
        <f t="shared" si="23"/>
        <v>2024 JAN-DEC DISC 75 LICENSE ESS</v>
      </c>
      <c r="B245" s="33">
        <f t="shared" si="23"/>
        <v>46121</v>
      </c>
      <c r="C245" s="33">
        <f t="shared" si="23"/>
        <v>46127</v>
      </c>
      <c r="D245" s="32">
        <v>3287</v>
      </c>
      <c r="E245" s="32">
        <v>338</v>
      </c>
      <c r="F245" s="32">
        <v>4</v>
      </c>
      <c r="G245" s="32">
        <v>4</v>
      </c>
      <c r="H245" s="32">
        <v>81676</v>
      </c>
      <c r="I245" s="32" t="s">
        <v>17</v>
      </c>
      <c r="J245" s="32">
        <v>23107513</v>
      </c>
      <c r="K245" s="32" t="s">
        <v>3922</v>
      </c>
      <c r="L245" s="38" t="s">
        <v>3925</v>
      </c>
      <c r="M245" s="34">
        <v>219900</v>
      </c>
      <c r="N245" s="35">
        <f t="shared" si="20"/>
        <v>0.75</v>
      </c>
      <c r="O245" s="34">
        <f t="shared" si="18"/>
        <v>54975</v>
      </c>
      <c r="P245" s="32" t="s">
        <v>16</v>
      </c>
    </row>
    <row r="246" spans="1:16" x14ac:dyDescent="0.35">
      <c r="A246" s="32" t="str">
        <f t="shared" si="23"/>
        <v>2024 JAN-DEC DISC 75 LICENSE ESS</v>
      </c>
      <c r="B246" s="33">
        <f t="shared" si="23"/>
        <v>46121</v>
      </c>
      <c r="C246" s="33">
        <f t="shared" si="23"/>
        <v>46127</v>
      </c>
      <c r="D246" s="32">
        <v>3287</v>
      </c>
      <c r="E246" s="32">
        <v>338</v>
      </c>
      <c r="F246" s="32">
        <v>4</v>
      </c>
      <c r="G246" s="32">
        <v>4</v>
      </c>
      <c r="H246" s="32">
        <v>81676</v>
      </c>
      <c r="I246" s="32" t="s">
        <v>17</v>
      </c>
      <c r="J246" s="32">
        <v>23107522</v>
      </c>
      <c r="K246" s="32" t="s">
        <v>3922</v>
      </c>
      <c r="L246" s="38" t="s">
        <v>3926</v>
      </c>
      <c r="M246" s="34">
        <v>219900</v>
      </c>
      <c r="N246" s="35">
        <f t="shared" si="20"/>
        <v>0.75</v>
      </c>
      <c r="O246" s="34">
        <f t="shared" si="18"/>
        <v>54975</v>
      </c>
      <c r="P246" s="32" t="s">
        <v>16</v>
      </c>
    </row>
    <row r="247" spans="1:16" x14ac:dyDescent="0.35">
      <c r="A247" s="32" t="str">
        <f t="shared" si="23"/>
        <v>2024 JAN-DEC DISC 75 LICENSE ESS</v>
      </c>
      <c r="B247" s="33">
        <f t="shared" si="23"/>
        <v>46121</v>
      </c>
      <c r="C247" s="33">
        <f t="shared" si="23"/>
        <v>46127</v>
      </c>
      <c r="D247" s="32">
        <v>3287</v>
      </c>
      <c r="E247" s="32">
        <v>338</v>
      </c>
      <c r="F247" s="32">
        <v>4</v>
      </c>
      <c r="G247" s="32">
        <v>4</v>
      </c>
      <c r="H247" s="32">
        <v>81676</v>
      </c>
      <c r="I247" s="32" t="s">
        <v>17</v>
      </c>
      <c r="J247" s="32">
        <v>23107531</v>
      </c>
      <c r="K247" s="32" t="s">
        <v>3922</v>
      </c>
      <c r="L247" s="38" t="s">
        <v>3927</v>
      </c>
      <c r="M247" s="34">
        <v>229900</v>
      </c>
      <c r="N247" s="35">
        <f t="shared" si="20"/>
        <v>0.75</v>
      </c>
      <c r="O247" s="34">
        <f t="shared" si="18"/>
        <v>57475</v>
      </c>
      <c r="P247" s="32" t="s">
        <v>16</v>
      </c>
    </row>
    <row r="248" spans="1:16" x14ac:dyDescent="0.35">
      <c r="A248" s="32" t="str">
        <f t="shared" si="23"/>
        <v>2024 JAN-DEC DISC 75 LICENSE ESS</v>
      </c>
      <c r="B248" s="33">
        <f t="shared" si="23"/>
        <v>46121</v>
      </c>
      <c r="C248" s="33">
        <f t="shared" si="23"/>
        <v>46127</v>
      </c>
      <c r="D248" s="32">
        <v>3287</v>
      </c>
      <c r="E248" s="32">
        <v>338</v>
      </c>
      <c r="F248" s="32">
        <v>4</v>
      </c>
      <c r="G248" s="32">
        <v>4</v>
      </c>
      <c r="H248" s="32">
        <v>81676</v>
      </c>
      <c r="I248" s="32" t="s">
        <v>17</v>
      </c>
      <c r="J248" s="32">
        <v>23107540</v>
      </c>
      <c r="K248" s="32" t="s">
        <v>3922</v>
      </c>
      <c r="L248" s="38" t="s">
        <v>3928</v>
      </c>
      <c r="M248" s="34">
        <v>229900</v>
      </c>
      <c r="N248" s="35">
        <f t="shared" si="20"/>
        <v>0.75</v>
      </c>
      <c r="O248" s="34">
        <f t="shared" si="18"/>
        <v>57475</v>
      </c>
      <c r="P248" s="32" t="s">
        <v>16</v>
      </c>
    </row>
    <row r="249" spans="1:16" x14ac:dyDescent="0.35">
      <c r="A249" s="32" t="str">
        <f t="shared" si="23"/>
        <v>2024 JAN-DEC DISC 75 LICENSE ESS</v>
      </c>
      <c r="B249" s="33">
        <f t="shared" si="23"/>
        <v>46121</v>
      </c>
      <c r="C249" s="33">
        <f t="shared" si="23"/>
        <v>46127</v>
      </c>
      <c r="D249" s="32">
        <v>3287</v>
      </c>
      <c r="E249" s="32">
        <v>338</v>
      </c>
      <c r="F249" s="32">
        <v>4</v>
      </c>
      <c r="G249" s="32">
        <v>4</v>
      </c>
      <c r="H249" s="32">
        <v>81676</v>
      </c>
      <c r="I249" s="32" t="s">
        <v>17</v>
      </c>
      <c r="J249" s="32">
        <v>23107559</v>
      </c>
      <c r="K249" s="32" t="s">
        <v>3922</v>
      </c>
      <c r="L249" s="38" t="s">
        <v>3929</v>
      </c>
      <c r="M249" s="34">
        <v>229900</v>
      </c>
      <c r="N249" s="35">
        <f t="shared" si="20"/>
        <v>0.75</v>
      </c>
      <c r="O249" s="34">
        <f t="shared" si="18"/>
        <v>57475</v>
      </c>
      <c r="P249" s="32" t="s">
        <v>16</v>
      </c>
    </row>
    <row r="250" spans="1:16" x14ac:dyDescent="0.35">
      <c r="A250" s="32" t="str">
        <f t="shared" si="23"/>
        <v>2024 JAN-DEC DISC 75 LICENSE ESS</v>
      </c>
      <c r="B250" s="33">
        <f t="shared" si="23"/>
        <v>46121</v>
      </c>
      <c r="C250" s="33">
        <f t="shared" si="23"/>
        <v>46127</v>
      </c>
      <c r="D250" s="32">
        <v>3287</v>
      </c>
      <c r="E250" s="32">
        <v>338</v>
      </c>
      <c r="F250" s="32">
        <v>4</v>
      </c>
      <c r="G250" s="32">
        <v>4</v>
      </c>
      <c r="H250" s="32">
        <v>81676</v>
      </c>
      <c r="I250" s="32" t="s">
        <v>17</v>
      </c>
      <c r="J250" s="32">
        <v>23107568</v>
      </c>
      <c r="K250" s="32" t="s">
        <v>3922</v>
      </c>
      <c r="L250" s="38" t="s">
        <v>3930</v>
      </c>
      <c r="M250" s="34">
        <v>229900</v>
      </c>
      <c r="N250" s="35">
        <f t="shared" si="20"/>
        <v>0.75</v>
      </c>
      <c r="O250" s="34">
        <f t="shared" si="18"/>
        <v>57475</v>
      </c>
      <c r="P250" s="32" t="s">
        <v>16</v>
      </c>
    </row>
    <row r="251" spans="1:16" x14ac:dyDescent="0.35">
      <c r="A251" s="32" t="str">
        <f t="shared" si="23"/>
        <v>2024 JAN-DEC DISC 75 LICENSE ESS</v>
      </c>
      <c r="B251" s="33">
        <f t="shared" si="23"/>
        <v>46121</v>
      </c>
      <c r="C251" s="33">
        <f t="shared" si="23"/>
        <v>46127</v>
      </c>
      <c r="D251" s="32">
        <v>3287</v>
      </c>
      <c r="E251" s="32">
        <v>338</v>
      </c>
      <c r="F251" s="32">
        <v>4</v>
      </c>
      <c r="G251" s="32">
        <v>10</v>
      </c>
      <c r="H251" s="32">
        <v>81595</v>
      </c>
      <c r="I251" s="32" t="s">
        <v>17</v>
      </c>
      <c r="J251" s="32">
        <v>25443567</v>
      </c>
      <c r="K251" s="32" t="s">
        <v>4965</v>
      </c>
      <c r="L251" s="38" t="s">
        <v>4966</v>
      </c>
      <c r="M251" s="34">
        <v>35900</v>
      </c>
      <c r="N251" s="35">
        <f t="shared" si="20"/>
        <v>0.75</v>
      </c>
      <c r="O251" s="34">
        <f t="shared" si="18"/>
        <v>8975</v>
      </c>
      <c r="P251" s="32" t="s">
        <v>16</v>
      </c>
    </row>
    <row r="252" spans="1:16" x14ac:dyDescent="0.35">
      <c r="A252" s="32" t="str">
        <f t="shared" si="23"/>
        <v>2024 JAN-DEC DISC 75 LICENSE ESS</v>
      </c>
      <c r="B252" s="33">
        <f t="shared" si="23"/>
        <v>46121</v>
      </c>
      <c r="C252" s="33">
        <f t="shared" si="23"/>
        <v>46127</v>
      </c>
      <c r="D252" s="32">
        <v>3287</v>
      </c>
      <c r="E252" s="32">
        <v>338</v>
      </c>
      <c r="F252" s="32">
        <v>4</v>
      </c>
      <c r="G252" s="32">
        <v>10</v>
      </c>
      <c r="H252" s="32">
        <v>81595</v>
      </c>
      <c r="I252" s="32" t="s">
        <v>17</v>
      </c>
      <c r="J252" s="32">
        <v>25443576</v>
      </c>
      <c r="K252" s="32" t="s">
        <v>4965</v>
      </c>
      <c r="L252" s="38" t="s">
        <v>4967</v>
      </c>
      <c r="M252" s="34">
        <v>35900</v>
      </c>
      <c r="N252" s="35">
        <f t="shared" si="20"/>
        <v>0.75</v>
      </c>
      <c r="O252" s="34">
        <f t="shared" si="18"/>
        <v>8975</v>
      </c>
      <c r="P252" s="32" t="s">
        <v>16</v>
      </c>
    </row>
    <row r="253" spans="1:16" x14ac:dyDescent="0.35">
      <c r="A253" s="32" t="str">
        <f t="shared" si="23"/>
        <v>2024 JAN-DEC DISC 75 LICENSE ESS</v>
      </c>
      <c r="B253" s="33">
        <f t="shared" si="23"/>
        <v>46121</v>
      </c>
      <c r="C253" s="33">
        <f t="shared" si="23"/>
        <v>46127</v>
      </c>
      <c r="D253" s="32">
        <v>3287</v>
      </c>
      <c r="E253" s="32">
        <v>338</v>
      </c>
      <c r="F253" s="32">
        <v>4</v>
      </c>
      <c r="G253" s="32">
        <v>10</v>
      </c>
      <c r="H253" s="32">
        <v>81595</v>
      </c>
      <c r="I253" s="32" t="s">
        <v>17</v>
      </c>
      <c r="J253" s="32">
        <v>25443549</v>
      </c>
      <c r="K253" s="32" t="s">
        <v>4962</v>
      </c>
      <c r="L253" s="38" t="s">
        <v>4963</v>
      </c>
      <c r="M253" s="34">
        <v>35900</v>
      </c>
      <c r="N253" s="35">
        <f t="shared" si="20"/>
        <v>0.75</v>
      </c>
      <c r="O253" s="34">
        <f t="shared" si="18"/>
        <v>8975</v>
      </c>
      <c r="P253" s="32" t="s">
        <v>16</v>
      </c>
    </row>
    <row r="254" spans="1:16" x14ac:dyDescent="0.35">
      <c r="A254" s="32" t="str">
        <f t="shared" si="23"/>
        <v>2024 JAN-DEC DISC 75 LICENSE ESS</v>
      </c>
      <c r="B254" s="33">
        <f t="shared" si="23"/>
        <v>46121</v>
      </c>
      <c r="C254" s="33">
        <f t="shared" si="23"/>
        <v>46127</v>
      </c>
      <c r="D254" s="32">
        <v>3287</v>
      </c>
      <c r="E254" s="32">
        <v>338</v>
      </c>
      <c r="F254" s="32">
        <v>4</v>
      </c>
      <c r="G254" s="32">
        <v>10</v>
      </c>
      <c r="H254" s="32">
        <v>81595</v>
      </c>
      <c r="I254" s="32" t="s">
        <v>17</v>
      </c>
      <c r="J254" s="32">
        <v>25443558</v>
      </c>
      <c r="K254" s="32" t="s">
        <v>4962</v>
      </c>
      <c r="L254" s="38" t="s">
        <v>4964</v>
      </c>
      <c r="M254" s="34">
        <v>35900</v>
      </c>
      <c r="N254" s="35">
        <f t="shared" si="20"/>
        <v>0.75</v>
      </c>
      <c r="O254" s="34">
        <f t="shared" si="18"/>
        <v>8975</v>
      </c>
      <c r="P254" s="32" t="s">
        <v>16</v>
      </c>
    </row>
    <row r="255" spans="1:16" x14ac:dyDescent="0.35">
      <c r="A255" s="32" t="str">
        <f t="shared" si="23"/>
        <v>2024 JAN-DEC DISC 75 LICENSE ESS</v>
      </c>
      <c r="B255" s="33">
        <f t="shared" si="23"/>
        <v>46121</v>
      </c>
      <c r="C255" s="33">
        <f t="shared" si="23"/>
        <v>46127</v>
      </c>
      <c r="D255" s="32">
        <v>3287</v>
      </c>
      <c r="E255" s="32">
        <v>338</v>
      </c>
      <c r="F255" s="32">
        <v>4</v>
      </c>
      <c r="G255" s="32">
        <v>2</v>
      </c>
      <c r="H255" s="32">
        <v>81676</v>
      </c>
      <c r="I255" s="32" t="s">
        <v>17</v>
      </c>
      <c r="J255" s="32">
        <v>27377948</v>
      </c>
      <c r="K255" s="32" t="s">
        <v>4002</v>
      </c>
      <c r="L255" s="38" t="s">
        <v>4003</v>
      </c>
      <c r="M255" s="34">
        <v>219900</v>
      </c>
      <c r="N255" s="35">
        <f t="shared" si="20"/>
        <v>0.75</v>
      </c>
      <c r="O255" s="34">
        <f t="shared" si="18"/>
        <v>54975</v>
      </c>
      <c r="P255" s="32" t="s">
        <v>16</v>
      </c>
    </row>
    <row r="256" spans="1:16" x14ac:dyDescent="0.35">
      <c r="A256" s="32" t="str">
        <f t="shared" si="23"/>
        <v>2024 JAN-DEC DISC 75 LICENSE ESS</v>
      </c>
      <c r="B256" s="33">
        <f t="shared" si="23"/>
        <v>46121</v>
      </c>
      <c r="C256" s="33">
        <f t="shared" si="23"/>
        <v>46127</v>
      </c>
      <c r="D256" s="32">
        <v>3287</v>
      </c>
      <c r="E256" s="32">
        <v>338</v>
      </c>
      <c r="F256" s="32">
        <v>4</v>
      </c>
      <c r="G256" s="32">
        <v>2</v>
      </c>
      <c r="H256" s="32">
        <v>81676</v>
      </c>
      <c r="I256" s="32" t="s">
        <v>17</v>
      </c>
      <c r="J256" s="32">
        <v>27377957</v>
      </c>
      <c r="K256" s="32" t="s">
        <v>4002</v>
      </c>
      <c r="L256" s="38" t="s">
        <v>4004</v>
      </c>
      <c r="M256" s="34">
        <v>219900</v>
      </c>
      <c r="N256" s="35">
        <f t="shared" si="20"/>
        <v>0.75</v>
      </c>
      <c r="O256" s="34">
        <f t="shared" si="18"/>
        <v>54975</v>
      </c>
      <c r="P256" s="32" t="s">
        <v>16</v>
      </c>
    </row>
    <row r="257" spans="1:16" x14ac:dyDescent="0.35">
      <c r="A257" s="32" t="str">
        <f t="shared" si="23"/>
        <v>2024 JAN-DEC DISC 75 LICENSE ESS</v>
      </c>
      <c r="B257" s="33">
        <f t="shared" si="23"/>
        <v>46121</v>
      </c>
      <c r="C257" s="33">
        <f t="shared" si="23"/>
        <v>46127</v>
      </c>
      <c r="D257" s="32">
        <v>3287</v>
      </c>
      <c r="E257" s="32">
        <v>338</v>
      </c>
      <c r="F257" s="32">
        <v>4</v>
      </c>
      <c r="G257" s="32">
        <v>2</v>
      </c>
      <c r="H257" s="32">
        <v>81676</v>
      </c>
      <c r="I257" s="32" t="s">
        <v>17</v>
      </c>
      <c r="J257" s="32">
        <v>27377966</v>
      </c>
      <c r="K257" s="32" t="s">
        <v>4002</v>
      </c>
      <c r="L257" s="38" t="s">
        <v>4005</v>
      </c>
      <c r="M257" s="34">
        <v>219900</v>
      </c>
      <c r="N257" s="35">
        <f t="shared" si="20"/>
        <v>0.75</v>
      </c>
      <c r="O257" s="34">
        <f t="shared" si="18"/>
        <v>54975</v>
      </c>
      <c r="P257" s="32" t="s">
        <v>16</v>
      </c>
    </row>
    <row r="258" spans="1:16" x14ac:dyDescent="0.35">
      <c r="A258" s="32" t="str">
        <f t="shared" si="23"/>
        <v>2024 JAN-DEC DISC 75 LICENSE ESS</v>
      </c>
      <c r="B258" s="33">
        <f t="shared" si="23"/>
        <v>46121</v>
      </c>
      <c r="C258" s="33">
        <f t="shared" si="23"/>
        <v>46127</v>
      </c>
      <c r="D258" s="32">
        <v>3287</v>
      </c>
      <c r="E258" s="32">
        <v>338</v>
      </c>
      <c r="F258" s="32">
        <v>4</v>
      </c>
      <c r="G258" s="32">
        <v>2</v>
      </c>
      <c r="H258" s="32">
        <v>81676</v>
      </c>
      <c r="I258" s="32" t="s">
        <v>17</v>
      </c>
      <c r="J258" s="32">
        <v>27377975</v>
      </c>
      <c r="K258" s="32" t="s">
        <v>4002</v>
      </c>
      <c r="L258" s="38" t="s">
        <v>4006</v>
      </c>
      <c r="M258" s="34">
        <v>219900</v>
      </c>
      <c r="N258" s="35">
        <f t="shared" si="20"/>
        <v>0.75</v>
      </c>
      <c r="O258" s="34">
        <f t="shared" si="18"/>
        <v>54975</v>
      </c>
      <c r="P258" s="32" t="s">
        <v>16</v>
      </c>
    </row>
    <row r="259" spans="1:16" x14ac:dyDescent="0.35">
      <c r="A259" s="32" t="str">
        <f t="shared" si="23"/>
        <v>2024 JAN-DEC DISC 75 LICENSE ESS</v>
      </c>
      <c r="B259" s="33">
        <f t="shared" si="23"/>
        <v>46121</v>
      </c>
      <c r="C259" s="33">
        <f t="shared" si="23"/>
        <v>46127</v>
      </c>
      <c r="D259" s="32">
        <v>3287</v>
      </c>
      <c r="E259" s="32">
        <v>338</v>
      </c>
      <c r="F259" s="32">
        <v>4</v>
      </c>
      <c r="G259" s="32">
        <v>2</v>
      </c>
      <c r="H259" s="32">
        <v>81676</v>
      </c>
      <c r="I259" s="32" t="s">
        <v>17</v>
      </c>
      <c r="J259" s="32">
        <v>27378812</v>
      </c>
      <c r="K259" s="32" t="s">
        <v>4002</v>
      </c>
      <c r="L259" s="38" t="s">
        <v>4007</v>
      </c>
      <c r="M259" s="34">
        <v>229900</v>
      </c>
      <c r="N259" s="35">
        <f t="shared" si="20"/>
        <v>0.75</v>
      </c>
      <c r="O259" s="34">
        <f t="shared" ref="O259:O322" si="24">M259-((75*M259)/100)</f>
        <v>57475</v>
      </c>
      <c r="P259" s="32" t="s">
        <v>16</v>
      </c>
    </row>
    <row r="260" spans="1:16" x14ac:dyDescent="0.35">
      <c r="A260" s="32" t="str">
        <f t="shared" ref="A260:C275" si="25">A259</f>
        <v>2024 JAN-DEC DISC 75 LICENSE ESS</v>
      </c>
      <c r="B260" s="33">
        <f t="shared" si="25"/>
        <v>46121</v>
      </c>
      <c r="C260" s="33">
        <f t="shared" si="25"/>
        <v>46127</v>
      </c>
      <c r="D260" s="32">
        <v>3287</v>
      </c>
      <c r="E260" s="32">
        <v>338</v>
      </c>
      <c r="F260" s="32">
        <v>4</v>
      </c>
      <c r="G260" s="32">
        <v>2</v>
      </c>
      <c r="H260" s="32">
        <v>81676</v>
      </c>
      <c r="I260" s="32" t="s">
        <v>17</v>
      </c>
      <c r="J260" s="32">
        <v>27378821</v>
      </c>
      <c r="K260" s="32" t="s">
        <v>4002</v>
      </c>
      <c r="L260" s="38" t="s">
        <v>4008</v>
      </c>
      <c r="M260" s="34">
        <v>229900</v>
      </c>
      <c r="N260" s="35">
        <f t="shared" ref="N260:N323" si="26">N259</f>
        <v>0.75</v>
      </c>
      <c r="O260" s="34">
        <f t="shared" si="24"/>
        <v>57475</v>
      </c>
      <c r="P260" s="32" t="s">
        <v>16</v>
      </c>
    </row>
    <row r="261" spans="1:16" x14ac:dyDescent="0.35">
      <c r="A261" s="32" t="str">
        <f t="shared" si="25"/>
        <v>2024 JAN-DEC DISC 75 LICENSE ESS</v>
      </c>
      <c r="B261" s="33">
        <f t="shared" si="25"/>
        <v>46121</v>
      </c>
      <c r="C261" s="33">
        <f t="shared" si="25"/>
        <v>46127</v>
      </c>
      <c r="D261" s="32">
        <v>3287</v>
      </c>
      <c r="E261" s="32">
        <v>338</v>
      </c>
      <c r="F261" s="32">
        <v>4</v>
      </c>
      <c r="G261" s="32">
        <v>2</v>
      </c>
      <c r="H261" s="32">
        <v>81676</v>
      </c>
      <c r="I261" s="32" t="s">
        <v>17</v>
      </c>
      <c r="J261" s="32">
        <v>27378830</v>
      </c>
      <c r="K261" s="32" t="s">
        <v>4002</v>
      </c>
      <c r="L261" s="38" t="s">
        <v>4009</v>
      </c>
      <c r="M261" s="34">
        <v>229900</v>
      </c>
      <c r="N261" s="35">
        <f t="shared" si="26"/>
        <v>0.75</v>
      </c>
      <c r="O261" s="34">
        <f t="shared" si="24"/>
        <v>57475</v>
      </c>
      <c r="P261" s="32" t="s">
        <v>16</v>
      </c>
    </row>
    <row r="262" spans="1:16" x14ac:dyDescent="0.35">
      <c r="A262" s="32" t="str">
        <f t="shared" si="25"/>
        <v>2024 JAN-DEC DISC 75 LICENSE ESS</v>
      </c>
      <c r="B262" s="33">
        <f t="shared" si="25"/>
        <v>46121</v>
      </c>
      <c r="C262" s="33">
        <f t="shared" si="25"/>
        <v>46127</v>
      </c>
      <c r="D262" s="32">
        <v>3287</v>
      </c>
      <c r="E262" s="32">
        <v>338</v>
      </c>
      <c r="F262" s="32">
        <v>4</v>
      </c>
      <c r="G262" s="32">
        <v>2</v>
      </c>
      <c r="H262" s="32">
        <v>81676</v>
      </c>
      <c r="I262" s="32" t="s">
        <v>17</v>
      </c>
      <c r="J262" s="32">
        <v>27378849</v>
      </c>
      <c r="K262" s="32" t="s">
        <v>4002</v>
      </c>
      <c r="L262" s="38" t="s">
        <v>4010</v>
      </c>
      <c r="M262" s="34">
        <v>229900</v>
      </c>
      <c r="N262" s="35">
        <f t="shared" si="26"/>
        <v>0.75</v>
      </c>
      <c r="O262" s="34">
        <f t="shared" si="24"/>
        <v>57475</v>
      </c>
      <c r="P262" s="32" t="s">
        <v>16</v>
      </c>
    </row>
    <row r="263" spans="1:16" x14ac:dyDescent="0.35">
      <c r="A263" s="32" t="str">
        <f t="shared" si="25"/>
        <v>2024 JAN-DEC DISC 75 LICENSE ESS</v>
      </c>
      <c r="B263" s="33">
        <f t="shared" si="25"/>
        <v>46121</v>
      </c>
      <c r="C263" s="33">
        <f t="shared" si="25"/>
        <v>46127</v>
      </c>
      <c r="D263" s="32">
        <v>3287</v>
      </c>
      <c r="E263" s="32">
        <v>338</v>
      </c>
      <c r="F263" s="32">
        <v>4</v>
      </c>
      <c r="G263" s="32">
        <v>4</v>
      </c>
      <c r="H263" s="32">
        <v>81676</v>
      </c>
      <c r="I263" s="32" t="s">
        <v>17</v>
      </c>
      <c r="J263" s="32">
        <v>27378938</v>
      </c>
      <c r="K263" s="32" t="s">
        <v>4011</v>
      </c>
      <c r="L263" s="38" t="s">
        <v>4012</v>
      </c>
      <c r="M263" s="34">
        <v>219900</v>
      </c>
      <c r="N263" s="35">
        <f t="shared" si="26"/>
        <v>0.75</v>
      </c>
      <c r="O263" s="34">
        <f t="shared" si="24"/>
        <v>54975</v>
      </c>
      <c r="P263" s="32" t="s">
        <v>16</v>
      </c>
    </row>
    <row r="264" spans="1:16" x14ac:dyDescent="0.35">
      <c r="A264" s="32" t="str">
        <f t="shared" si="25"/>
        <v>2024 JAN-DEC DISC 75 LICENSE ESS</v>
      </c>
      <c r="B264" s="33">
        <f t="shared" si="25"/>
        <v>46121</v>
      </c>
      <c r="C264" s="33">
        <f t="shared" si="25"/>
        <v>46127</v>
      </c>
      <c r="D264" s="32">
        <v>3287</v>
      </c>
      <c r="E264" s="32">
        <v>338</v>
      </c>
      <c r="F264" s="32">
        <v>4</v>
      </c>
      <c r="G264" s="32">
        <v>4</v>
      </c>
      <c r="H264" s="32">
        <v>81676</v>
      </c>
      <c r="I264" s="32" t="s">
        <v>17</v>
      </c>
      <c r="J264" s="32">
        <v>27378947</v>
      </c>
      <c r="K264" s="32" t="s">
        <v>4011</v>
      </c>
      <c r="L264" s="38" t="s">
        <v>4013</v>
      </c>
      <c r="M264" s="34">
        <v>219900</v>
      </c>
      <c r="N264" s="35">
        <f t="shared" si="26"/>
        <v>0.75</v>
      </c>
      <c r="O264" s="34">
        <f t="shared" si="24"/>
        <v>54975</v>
      </c>
      <c r="P264" s="32" t="s">
        <v>16</v>
      </c>
    </row>
    <row r="265" spans="1:16" x14ac:dyDescent="0.35">
      <c r="A265" s="32" t="str">
        <f t="shared" si="25"/>
        <v>2024 JAN-DEC DISC 75 LICENSE ESS</v>
      </c>
      <c r="B265" s="33">
        <f t="shared" si="25"/>
        <v>46121</v>
      </c>
      <c r="C265" s="33">
        <f t="shared" si="25"/>
        <v>46127</v>
      </c>
      <c r="D265" s="32">
        <v>3287</v>
      </c>
      <c r="E265" s="32">
        <v>338</v>
      </c>
      <c r="F265" s="32">
        <v>4</v>
      </c>
      <c r="G265" s="32">
        <v>4</v>
      </c>
      <c r="H265" s="32">
        <v>81676</v>
      </c>
      <c r="I265" s="32" t="s">
        <v>17</v>
      </c>
      <c r="J265" s="32">
        <v>27378956</v>
      </c>
      <c r="K265" s="32" t="s">
        <v>4011</v>
      </c>
      <c r="L265" s="38" t="s">
        <v>4014</v>
      </c>
      <c r="M265" s="34">
        <v>219900</v>
      </c>
      <c r="N265" s="35">
        <f t="shared" si="26"/>
        <v>0.75</v>
      </c>
      <c r="O265" s="34">
        <f t="shared" si="24"/>
        <v>54975</v>
      </c>
      <c r="P265" s="32" t="s">
        <v>16</v>
      </c>
    </row>
    <row r="266" spans="1:16" x14ac:dyDescent="0.35">
      <c r="A266" s="32" t="str">
        <f t="shared" si="25"/>
        <v>2024 JAN-DEC DISC 75 LICENSE ESS</v>
      </c>
      <c r="B266" s="33">
        <f t="shared" si="25"/>
        <v>46121</v>
      </c>
      <c r="C266" s="33">
        <f t="shared" si="25"/>
        <v>46127</v>
      </c>
      <c r="D266" s="32">
        <v>3287</v>
      </c>
      <c r="E266" s="32">
        <v>338</v>
      </c>
      <c r="F266" s="32">
        <v>4</v>
      </c>
      <c r="G266" s="32">
        <v>4</v>
      </c>
      <c r="H266" s="32">
        <v>81676</v>
      </c>
      <c r="I266" s="32" t="s">
        <v>17</v>
      </c>
      <c r="J266" s="32">
        <v>27378965</v>
      </c>
      <c r="K266" s="32" t="s">
        <v>4011</v>
      </c>
      <c r="L266" s="38" t="s">
        <v>4015</v>
      </c>
      <c r="M266" s="34">
        <v>219900</v>
      </c>
      <c r="N266" s="35">
        <f t="shared" si="26"/>
        <v>0.75</v>
      </c>
      <c r="O266" s="34">
        <f t="shared" si="24"/>
        <v>54975</v>
      </c>
      <c r="P266" s="32" t="s">
        <v>16</v>
      </c>
    </row>
    <row r="267" spans="1:16" x14ac:dyDescent="0.35">
      <c r="A267" s="32" t="str">
        <f t="shared" si="25"/>
        <v>2024 JAN-DEC DISC 75 LICENSE ESS</v>
      </c>
      <c r="B267" s="33">
        <f t="shared" si="25"/>
        <v>46121</v>
      </c>
      <c r="C267" s="33">
        <f t="shared" si="25"/>
        <v>46127</v>
      </c>
      <c r="D267" s="32">
        <v>3287</v>
      </c>
      <c r="E267" s="32">
        <v>338</v>
      </c>
      <c r="F267" s="32">
        <v>4</v>
      </c>
      <c r="G267" s="32">
        <v>4</v>
      </c>
      <c r="H267" s="32">
        <v>81676</v>
      </c>
      <c r="I267" s="32" t="s">
        <v>17</v>
      </c>
      <c r="J267" s="32">
        <v>27378974</v>
      </c>
      <c r="K267" s="32" t="s">
        <v>4011</v>
      </c>
      <c r="L267" s="38" t="s">
        <v>4016</v>
      </c>
      <c r="M267" s="34">
        <v>229900</v>
      </c>
      <c r="N267" s="35">
        <f t="shared" si="26"/>
        <v>0.75</v>
      </c>
      <c r="O267" s="34">
        <f t="shared" si="24"/>
        <v>57475</v>
      </c>
      <c r="P267" s="32" t="s">
        <v>16</v>
      </c>
    </row>
    <row r="268" spans="1:16" x14ac:dyDescent="0.35">
      <c r="A268" s="32" t="str">
        <f t="shared" si="25"/>
        <v>2024 JAN-DEC DISC 75 LICENSE ESS</v>
      </c>
      <c r="B268" s="33">
        <f t="shared" si="25"/>
        <v>46121</v>
      </c>
      <c r="C268" s="33">
        <f t="shared" si="25"/>
        <v>46127</v>
      </c>
      <c r="D268" s="32">
        <v>3287</v>
      </c>
      <c r="E268" s="32">
        <v>338</v>
      </c>
      <c r="F268" s="32">
        <v>4</v>
      </c>
      <c r="G268" s="32">
        <v>4</v>
      </c>
      <c r="H268" s="32">
        <v>81676</v>
      </c>
      <c r="I268" s="32" t="s">
        <v>17</v>
      </c>
      <c r="J268" s="32">
        <v>27378983</v>
      </c>
      <c r="K268" s="32" t="s">
        <v>4011</v>
      </c>
      <c r="L268" s="38" t="s">
        <v>4017</v>
      </c>
      <c r="M268" s="34">
        <v>229900</v>
      </c>
      <c r="N268" s="35">
        <f t="shared" si="26"/>
        <v>0.75</v>
      </c>
      <c r="O268" s="34">
        <f t="shared" si="24"/>
        <v>57475</v>
      </c>
      <c r="P268" s="32" t="s">
        <v>16</v>
      </c>
    </row>
    <row r="269" spans="1:16" x14ac:dyDescent="0.35">
      <c r="A269" s="32" t="str">
        <f t="shared" si="25"/>
        <v>2024 JAN-DEC DISC 75 LICENSE ESS</v>
      </c>
      <c r="B269" s="33">
        <f t="shared" si="25"/>
        <v>46121</v>
      </c>
      <c r="C269" s="33">
        <f t="shared" si="25"/>
        <v>46127</v>
      </c>
      <c r="D269" s="32">
        <v>3287</v>
      </c>
      <c r="E269" s="32">
        <v>338</v>
      </c>
      <c r="F269" s="32">
        <v>4</v>
      </c>
      <c r="G269" s="32">
        <v>4</v>
      </c>
      <c r="H269" s="32">
        <v>81676</v>
      </c>
      <c r="I269" s="32" t="s">
        <v>17</v>
      </c>
      <c r="J269" s="32">
        <v>27378992</v>
      </c>
      <c r="K269" s="32" t="s">
        <v>4011</v>
      </c>
      <c r="L269" s="38" t="s">
        <v>4018</v>
      </c>
      <c r="M269" s="34">
        <v>229900</v>
      </c>
      <c r="N269" s="35">
        <f t="shared" si="26"/>
        <v>0.75</v>
      </c>
      <c r="O269" s="34">
        <f t="shared" si="24"/>
        <v>57475</v>
      </c>
      <c r="P269" s="32" t="s">
        <v>16</v>
      </c>
    </row>
    <row r="270" spans="1:16" x14ac:dyDescent="0.35">
      <c r="A270" s="32" t="str">
        <f t="shared" si="25"/>
        <v>2024 JAN-DEC DISC 75 LICENSE ESS</v>
      </c>
      <c r="B270" s="33">
        <f t="shared" si="25"/>
        <v>46121</v>
      </c>
      <c r="C270" s="33">
        <f t="shared" si="25"/>
        <v>46127</v>
      </c>
      <c r="D270" s="32">
        <v>3287</v>
      </c>
      <c r="E270" s="32">
        <v>338</v>
      </c>
      <c r="F270" s="32">
        <v>4</v>
      </c>
      <c r="G270" s="32">
        <v>4</v>
      </c>
      <c r="H270" s="32">
        <v>81676</v>
      </c>
      <c r="I270" s="32" t="s">
        <v>17</v>
      </c>
      <c r="J270" s="32">
        <v>27379008</v>
      </c>
      <c r="K270" s="32" t="s">
        <v>4011</v>
      </c>
      <c r="L270" s="38" t="s">
        <v>4019</v>
      </c>
      <c r="M270" s="34">
        <v>229900</v>
      </c>
      <c r="N270" s="35">
        <f t="shared" si="26"/>
        <v>0.75</v>
      </c>
      <c r="O270" s="34">
        <f t="shared" si="24"/>
        <v>57475</v>
      </c>
      <c r="P270" s="32" t="s">
        <v>16</v>
      </c>
    </row>
    <row r="271" spans="1:16" x14ac:dyDescent="0.35">
      <c r="A271" s="32" t="str">
        <f t="shared" si="25"/>
        <v>2024 JAN-DEC DISC 75 LICENSE ESS</v>
      </c>
      <c r="B271" s="33">
        <f t="shared" si="25"/>
        <v>46121</v>
      </c>
      <c r="C271" s="33">
        <f t="shared" si="25"/>
        <v>46127</v>
      </c>
      <c r="D271" s="32">
        <v>3287</v>
      </c>
      <c r="E271" s="32">
        <v>338</v>
      </c>
      <c r="F271" s="32">
        <v>4</v>
      </c>
      <c r="G271" s="32">
        <v>4</v>
      </c>
      <c r="H271" s="32">
        <v>81676</v>
      </c>
      <c r="I271" s="32" t="s">
        <v>17</v>
      </c>
      <c r="J271" s="32">
        <v>27379017</v>
      </c>
      <c r="K271" s="32" t="s">
        <v>4020</v>
      </c>
      <c r="L271" s="38" t="s">
        <v>4021</v>
      </c>
      <c r="M271" s="34">
        <v>219900</v>
      </c>
      <c r="N271" s="35">
        <f t="shared" si="26"/>
        <v>0.75</v>
      </c>
      <c r="O271" s="34">
        <f t="shared" si="24"/>
        <v>54975</v>
      </c>
      <c r="P271" s="32" t="s">
        <v>16</v>
      </c>
    </row>
    <row r="272" spans="1:16" x14ac:dyDescent="0.35">
      <c r="A272" s="32" t="str">
        <f t="shared" si="25"/>
        <v>2024 JAN-DEC DISC 75 LICENSE ESS</v>
      </c>
      <c r="B272" s="33">
        <f t="shared" si="25"/>
        <v>46121</v>
      </c>
      <c r="C272" s="33">
        <f t="shared" si="25"/>
        <v>46127</v>
      </c>
      <c r="D272" s="32">
        <v>3287</v>
      </c>
      <c r="E272" s="32">
        <v>338</v>
      </c>
      <c r="F272" s="32">
        <v>4</v>
      </c>
      <c r="G272" s="32">
        <v>4</v>
      </c>
      <c r="H272" s="32">
        <v>81676</v>
      </c>
      <c r="I272" s="32" t="s">
        <v>17</v>
      </c>
      <c r="J272" s="32">
        <v>27379026</v>
      </c>
      <c r="K272" s="32" t="s">
        <v>4020</v>
      </c>
      <c r="L272" s="38" t="s">
        <v>4022</v>
      </c>
      <c r="M272" s="34">
        <v>219900</v>
      </c>
      <c r="N272" s="35">
        <f t="shared" si="26"/>
        <v>0.75</v>
      </c>
      <c r="O272" s="34">
        <f t="shared" si="24"/>
        <v>54975</v>
      </c>
      <c r="P272" s="32" t="s">
        <v>16</v>
      </c>
    </row>
    <row r="273" spans="1:16" x14ac:dyDescent="0.35">
      <c r="A273" s="32" t="str">
        <f t="shared" si="25"/>
        <v>2024 JAN-DEC DISC 75 LICENSE ESS</v>
      </c>
      <c r="B273" s="33">
        <f t="shared" si="25"/>
        <v>46121</v>
      </c>
      <c r="C273" s="33">
        <f t="shared" si="25"/>
        <v>46127</v>
      </c>
      <c r="D273" s="32">
        <v>3287</v>
      </c>
      <c r="E273" s="32">
        <v>338</v>
      </c>
      <c r="F273" s="32">
        <v>4</v>
      </c>
      <c r="G273" s="32">
        <v>4</v>
      </c>
      <c r="H273" s="32">
        <v>81676</v>
      </c>
      <c r="I273" s="32" t="s">
        <v>17</v>
      </c>
      <c r="J273" s="32">
        <v>27379035</v>
      </c>
      <c r="K273" s="32" t="s">
        <v>4020</v>
      </c>
      <c r="L273" s="38" t="s">
        <v>4023</v>
      </c>
      <c r="M273" s="34">
        <v>219900</v>
      </c>
      <c r="N273" s="35">
        <f t="shared" si="26"/>
        <v>0.75</v>
      </c>
      <c r="O273" s="34">
        <f t="shared" si="24"/>
        <v>54975</v>
      </c>
      <c r="P273" s="32" t="s">
        <v>16</v>
      </c>
    </row>
    <row r="274" spans="1:16" x14ac:dyDescent="0.35">
      <c r="A274" s="32" t="str">
        <f t="shared" si="25"/>
        <v>2024 JAN-DEC DISC 75 LICENSE ESS</v>
      </c>
      <c r="B274" s="33">
        <f t="shared" si="25"/>
        <v>46121</v>
      </c>
      <c r="C274" s="33">
        <f t="shared" si="25"/>
        <v>46127</v>
      </c>
      <c r="D274" s="32">
        <v>3287</v>
      </c>
      <c r="E274" s="32">
        <v>338</v>
      </c>
      <c r="F274" s="32">
        <v>4</v>
      </c>
      <c r="G274" s="32">
        <v>4</v>
      </c>
      <c r="H274" s="32">
        <v>81676</v>
      </c>
      <c r="I274" s="32" t="s">
        <v>17</v>
      </c>
      <c r="J274" s="32">
        <v>27379044</v>
      </c>
      <c r="K274" s="32" t="s">
        <v>4020</v>
      </c>
      <c r="L274" s="38" t="s">
        <v>4024</v>
      </c>
      <c r="M274" s="34">
        <v>219900</v>
      </c>
      <c r="N274" s="35">
        <f t="shared" si="26"/>
        <v>0.75</v>
      </c>
      <c r="O274" s="34">
        <f t="shared" si="24"/>
        <v>54975</v>
      </c>
      <c r="P274" s="32" t="s">
        <v>16</v>
      </c>
    </row>
    <row r="275" spans="1:16" x14ac:dyDescent="0.35">
      <c r="A275" s="32" t="str">
        <f t="shared" si="25"/>
        <v>2024 JAN-DEC DISC 75 LICENSE ESS</v>
      </c>
      <c r="B275" s="33">
        <f t="shared" si="25"/>
        <v>46121</v>
      </c>
      <c r="C275" s="33">
        <f t="shared" si="25"/>
        <v>46127</v>
      </c>
      <c r="D275" s="32">
        <v>3287</v>
      </c>
      <c r="E275" s="32">
        <v>338</v>
      </c>
      <c r="F275" s="32">
        <v>4</v>
      </c>
      <c r="G275" s="32">
        <v>4</v>
      </c>
      <c r="H275" s="32">
        <v>81676</v>
      </c>
      <c r="I275" s="32" t="s">
        <v>17</v>
      </c>
      <c r="J275" s="32">
        <v>27379053</v>
      </c>
      <c r="K275" s="32" t="s">
        <v>4020</v>
      </c>
      <c r="L275" s="38" t="s">
        <v>4025</v>
      </c>
      <c r="M275" s="34">
        <v>229900</v>
      </c>
      <c r="N275" s="35">
        <f t="shared" si="26"/>
        <v>0.75</v>
      </c>
      <c r="O275" s="34">
        <f t="shared" si="24"/>
        <v>57475</v>
      </c>
      <c r="P275" s="32" t="s">
        <v>16</v>
      </c>
    </row>
    <row r="276" spans="1:16" x14ac:dyDescent="0.35">
      <c r="A276" s="32" t="str">
        <f t="shared" ref="A276:C291" si="27">A275</f>
        <v>2024 JAN-DEC DISC 75 LICENSE ESS</v>
      </c>
      <c r="B276" s="33">
        <f t="shared" si="27"/>
        <v>46121</v>
      </c>
      <c r="C276" s="33">
        <f t="shared" si="27"/>
        <v>46127</v>
      </c>
      <c r="D276" s="32">
        <v>3287</v>
      </c>
      <c r="E276" s="32">
        <v>338</v>
      </c>
      <c r="F276" s="32">
        <v>4</v>
      </c>
      <c r="G276" s="32">
        <v>4</v>
      </c>
      <c r="H276" s="32">
        <v>81676</v>
      </c>
      <c r="I276" s="32" t="s">
        <v>17</v>
      </c>
      <c r="J276" s="32">
        <v>27379062</v>
      </c>
      <c r="K276" s="32" t="s">
        <v>4020</v>
      </c>
      <c r="L276" s="38" t="s">
        <v>4026</v>
      </c>
      <c r="M276" s="34">
        <v>229900</v>
      </c>
      <c r="N276" s="35">
        <f t="shared" si="26"/>
        <v>0.75</v>
      </c>
      <c r="O276" s="34">
        <f t="shared" si="24"/>
        <v>57475</v>
      </c>
      <c r="P276" s="32" t="s">
        <v>16</v>
      </c>
    </row>
    <row r="277" spans="1:16" x14ac:dyDescent="0.35">
      <c r="A277" s="32" t="str">
        <f t="shared" si="27"/>
        <v>2024 JAN-DEC DISC 75 LICENSE ESS</v>
      </c>
      <c r="B277" s="33">
        <f t="shared" si="27"/>
        <v>46121</v>
      </c>
      <c r="C277" s="33">
        <f t="shared" si="27"/>
        <v>46127</v>
      </c>
      <c r="D277" s="32">
        <v>3287</v>
      </c>
      <c r="E277" s="32">
        <v>338</v>
      </c>
      <c r="F277" s="32">
        <v>4</v>
      </c>
      <c r="G277" s="32">
        <v>4</v>
      </c>
      <c r="H277" s="32">
        <v>81676</v>
      </c>
      <c r="I277" s="32" t="s">
        <v>17</v>
      </c>
      <c r="J277" s="32">
        <v>27379071</v>
      </c>
      <c r="K277" s="32" t="s">
        <v>4020</v>
      </c>
      <c r="L277" s="38" t="s">
        <v>4027</v>
      </c>
      <c r="M277" s="34">
        <v>229900</v>
      </c>
      <c r="N277" s="35">
        <f t="shared" si="26"/>
        <v>0.75</v>
      </c>
      <c r="O277" s="34">
        <f t="shared" si="24"/>
        <v>57475</v>
      </c>
      <c r="P277" s="32" t="s">
        <v>16</v>
      </c>
    </row>
    <row r="278" spans="1:16" x14ac:dyDescent="0.35">
      <c r="A278" s="32" t="str">
        <f t="shared" si="27"/>
        <v>2024 JAN-DEC DISC 75 LICENSE ESS</v>
      </c>
      <c r="B278" s="33">
        <f t="shared" si="27"/>
        <v>46121</v>
      </c>
      <c r="C278" s="33">
        <f t="shared" si="27"/>
        <v>46127</v>
      </c>
      <c r="D278" s="32">
        <v>3287</v>
      </c>
      <c r="E278" s="32">
        <v>338</v>
      </c>
      <c r="F278" s="32">
        <v>4</v>
      </c>
      <c r="G278" s="32">
        <v>4</v>
      </c>
      <c r="H278" s="32">
        <v>81676</v>
      </c>
      <c r="I278" s="32" t="s">
        <v>17</v>
      </c>
      <c r="J278" s="32">
        <v>27379080</v>
      </c>
      <c r="K278" s="32" t="s">
        <v>4020</v>
      </c>
      <c r="L278" s="38" t="s">
        <v>4028</v>
      </c>
      <c r="M278" s="34">
        <v>229900</v>
      </c>
      <c r="N278" s="35">
        <f t="shared" si="26"/>
        <v>0.75</v>
      </c>
      <c r="O278" s="34">
        <f t="shared" si="24"/>
        <v>57475</v>
      </c>
      <c r="P278" s="32" t="s">
        <v>16</v>
      </c>
    </row>
    <row r="279" spans="1:16" x14ac:dyDescent="0.35">
      <c r="A279" s="32" t="str">
        <f t="shared" si="27"/>
        <v>2024 JAN-DEC DISC 75 LICENSE ESS</v>
      </c>
      <c r="B279" s="33">
        <f t="shared" si="27"/>
        <v>46121</v>
      </c>
      <c r="C279" s="33">
        <f t="shared" si="27"/>
        <v>46127</v>
      </c>
      <c r="D279" s="32">
        <v>3287</v>
      </c>
      <c r="E279" s="32">
        <v>338</v>
      </c>
      <c r="F279" s="32">
        <v>4</v>
      </c>
      <c r="G279" s="32">
        <v>4</v>
      </c>
      <c r="H279" s="32">
        <v>81676</v>
      </c>
      <c r="I279" s="32" t="s">
        <v>17</v>
      </c>
      <c r="J279" s="32">
        <v>45812997</v>
      </c>
      <c r="K279" s="32" t="s">
        <v>4292</v>
      </c>
      <c r="L279" s="38" t="s">
        <v>4293</v>
      </c>
      <c r="M279" s="34">
        <v>219900</v>
      </c>
      <c r="N279" s="35">
        <f t="shared" si="26"/>
        <v>0.75</v>
      </c>
      <c r="O279" s="34">
        <f t="shared" si="24"/>
        <v>54975</v>
      </c>
      <c r="P279" s="32" t="s">
        <v>16</v>
      </c>
    </row>
    <row r="280" spans="1:16" x14ac:dyDescent="0.35">
      <c r="A280" s="32" t="str">
        <f t="shared" si="27"/>
        <v>2024 JAN-DEC DISC 75 LICENSE ESS</v>
      </c>
      <c r="B280" s="33">
        <f t="shared" si="27"/>
        <v>46121</v>
      </c>
      <c r="C280" s="33">
        <f t="shared" si="27"/>
        <v>46127</v>
      </c>
      <c r="D280" s="32">
        <v>3287</v>
      </c>
      <c r="E280" s="32">
        <v>338</v>
      </c>
      <c r="F280" s="32">
        <v>4</v>
      </c>
      <c r="G280" s="32">
        <v>4</v>
      </c>
      <c r="H280" s="32">
        <v>81676</v>
      </c>
      <c r="I280" s="32" t="s">
        <v>17</v>
      </c>
      <c r="J280" s="32">
        <v>45813003</v>
      </c>
      <c r="K280" s="32" t="s">
        <v>4292</v>
      </c>
      <c r="L280" s="38" t="s">
        <v>4294</v>
      </c>
      <c r="M280" s="34">
        <v>219900</v>
      </c>
      <c r="N280" s="35">
        <f t="shared" si="26"/>
        <v>0.75</v>
      </c>
      <c r="O280" s="34">
        <f t="shared" si="24"/>
        <v>54975</v>
      </c>
      <c r="P280" s="32" t="s">
        <v>16</v>
      </c>
    </row>
    <row r="281" spans="1:16" x14ac:dyDescent="0.35">
      <c r="A281" s="32" t="str">
        <f t="shared" si="27"/>
        <v>2024 JAN-DEC DISC 75 LICENSE ESS</v>
      </c>
      <c r="B281" s="33">
        <f t="shared" si="27"/>
        <v>46121</v>
      </c>
      <c r="C281" s="33">
        <f t="shared" si="27"/>
        <v>46127</v>
      </c>
      <c r="D281" s="32">
        <v>3287</v>
      </c>
      <c r="E281" s="32">
        <v>338</v>
      </c>
      <c r="F281" s="32">
        <v>4</v>
      </c>
      <c r="G281" s="32">
        <v>4</v>
      </c>
      <c r="H281" s="32">
        <v>81676</v>
      </c>
      <c r="I281" s="32" t="s">
        <v>17</v>
      </c>
      <c r="J281" s="32">
        <v>45813012</v>
      </c>
      <c r="K281" s="32" t="s">
        <v>4292</v>
      </c>
      <c r="L281" s="38" t="s">
        <v>4295</v>
      </c>
      <c r="M281" s="34">
        <v>219900</v>
      </c>
      <c r="N281" s="35">
        <f t="shared" si="26"/>
        <v>0.75</v>
      </c>
      <c r="O281" s="34">
        <f t="shared" si="24"/>
        <v>54975</v>
      </c>
      <c r="P281" s="32" t="s">
        <v>16</v>
      </c>
    </row>
    <row r="282" spans="1:16" x14ac:dyDescent="0.35">
      <c r="A282" s="32" t="str">
        <f t="shared" si="27"/>
        <v>2024 JAN-DEC DISC 75 LICENSE ESS</v>
      </c>
      <c r="B282" s="33">
        <f t="shared" si="27"/>
        <v>46121</v>
      </c>
      <c r="C282" s="33">
        <f t="shared" si="27"/>
        <v>46127</v>
      </c>
      <c r="D282" s="32">
        <v>3287</v>
      </c>
      <c r="E282" s="32">
        <v>338</v>
      </c>
      <c r="F282" s="32">
        <v>4</v>
      </c>
      <c r="G282" s="32">
        <v>4</v>
      </c>
      <c r="H282" s="32">
        <v>81676</v>
      </c>
      <c r="I282" s="32" t="s">
        <v>17</v>
      </c>
      <c r="J282" s="32">
        <v>45813021</v>
      </c>
      <c r="K282" s="32" t="s">
        <v>4292</v>
      </c>
      <c r="L282" s="38" t="s">
        <v>4296</v>
      </c>
      <c r="M282" s="34">
        <v>219900</v>
      </c>
      <c r="N282" s="35">
        <f t="shared" si="26"/>
        <v>0.75</v>
      </c>
      <c r="O282" s="34">
        <f t="shared" si="24"/>
        <v>54975</v>
      </c>
      <c r="P282" s="32" t="s">
        <v>16</v>
      </c>
    </row>
    <row r="283" spans="1:16" x14ac:dyDescent="0.35">
      <c r="A283" s="32" t="str">
        <f t="shared" si="27"/>
        <v>2024 JAN-DEC DISC 75 LICENSE ESS</v>
      </c>
      <c r="B283" s="33">
        <f t="shared" si="27"/>
        <v>46121</v>
      </c>
      <c r="C283" s="33">
        <f t="shared" si="27"/>
        <v>46127</v>
      </c>
      <c r="D283" s="32">
        <v>3287</v>
      </c>
      <c r="E283" s="32">
        <v>338</v>
      </c>
      <c r="F283" s="32">
        <v>4</v>
      </c>
      <c r="G283" s="32">
        <v>4</v>
      </c>
      <c r="H283" s="32">
        <v>81676</v>
      </c>
      <c r="I283" s="32" t="s">
        <v>17</v>
      </c>
      <c r="J283" s="32">
        <v>45813030</v>
      </c>
      <c r="K283" s="32" t="s">
        <v>4292</v>
      </c>
      <c r="L283" s="38" t="s">
        <v>4297</v>
      </c>
      <c r="M283" s="34">
        <v>229900</v>
      </c>
      <c r="N283" s="35">
        <f t="shared" si="26"/>
        <v>0.75</v>
      </c>
      <c r="O283" s="34">
        <f t="shared" si="24"/>
        <v>57475</v>
      </c>
      <c r="P283" s="32" t="s">
        <v>16</v>
      </c>
    </row>
    <row r="284" spans="1:16" x14ac:dyDescent="0.35">
      <c r="A284" s="32" t="str">
        <f t="shared" si="27"/>
        <v>2024 JAN-DEC DISC 75 LICENSE ESS</v>
      </c>
      <c r="B284" s="33">
        <f t="shared" si="27"/>
        <v>46121</v>
      </c>
      <c r="C284" s="33">
        <f t="shared" si="27"/>
        <v>46127</v>
      </c>
      <c r="D284" s="32">
        <v>3287</v>
      </c>
      <c r="E284" s="32">
        <v>338</v>
      </c>
      <c r="F284" s="32">
        <v>4</v>
      </c>
      <c r="G284" s="32">
        <v>4</v>
      </c>
      <c r="H284" s="32">
        <v>81676</v>
      </c>
      <c r="I284" s="32" t="s">
        <v>17</v>
      </c>
      <c r="J284" s="32">
        <v>45813049</v>
      </c>
      <c r="K284" s="32" t="s">
        <v>4292</v>
      </c>
      <c r="L284" s="38" t="s">
        <v>4298</v>
      </c>
      <c r="M284" s="34">
        <v>229900</v>
      </c>
      <c r="N284" s="35">
        <f t="shared" si="26"/>
        <v>0.75</v>
      </c>
      <c r="O284" s="34">
        <f t="shared" si="24"/>
        <v>57475</v>
      </c>
      <c r="P284" s="32" t="s">
        <v>16</v>
      </c>
    </row>
    <row r="285" spans="1:16" x14ac:dyDescent="0.35">
      <c r="A285" s="32" t="str">
        <f t="shared" si="27"/>
        <v>2024 JAN-DEC DISC 75 LICENSE ESS</v>
      </c>
      <c r="B285" s="33">
        <f t="shared" si="27"/>
        <v>46121</v>
      </c>
      <c r="C285" s="33">
        <f t="shared" si="27"/>
        <v>46127</v>
      </c>
      <c r="D285" s="32">
        <v>3287</v>
      </c>
      <c r="E285" s="32">
        <v>338</v>
      </c>
      <c r="F285" s="32">
        <v>4</v>
      </c>
      <c r="G285" s="32">
        <v>4</v>
      </c>
      <c r="H285" s="32">
        <v>81676</v>
      </c>
      <c r="I285" s="32" t="s">
        <v>17</v>
      </c>
      <c r="J285" s="32">
        <v>45813058</v>
      </c>
      <c r="K285" s="32" t="s">
        <v>4292</v>
      </c>
      <c r="L285" s="38" t="s">
        <v>4299</v>
      </c>
      <c r="M285" s="34">
        <v>229900</v>
      </c>
      <c r="N285" s="35">
        <f t="shared" si="26"/>
        <v>0.75</v>
      </c>
      <c r="O285" s="34">
        <f t="shared" si="24"/>
        <v>57475</v>
      </c>
      <c r="P285" s="32" t="s">
        <v>16</v>
      </c>
    </row>
    <row r="286" spans="1:16" x14ac:dyDescent="0.35">
      <c r="A286" s="32" t="str">
        <f t="shared" si="27"/>
        <v>2024 JAN-DEC DISC 75 LICENSE ESS</v>
      </c>
      <c r="B286" s="33">
        <f t="shared" si="27"/>
        <v>46121</v>
      </c>
      <c r="C286" s="33">
        <f t="shared" si="27"/>
        <v>46127</v>
      </c>
      <c r="D286" s="32">
        <v>3287</v>
      </c>
      <c r="E286" s="32">
        <v>338</v>
      </c>
      <c r="F286" s="32">
        <v>4</v>
      </c>
      <c r="G286" s="32">
        <v>4</v>
      </c>
      <c r="H286" s="32">
        <v>81676</v>
      </c>
      <c r="I286" s="32" t="s">
        <v>17</v>
      </c>
      <c r="J286" s="32">
        <v>45813067</v>
      </c>
      <c r="K286" s="32" t="s">
        <v>4292</v>
      </c>
      <c r="L286" s="38" t="s">
        <v>4300</v>
      </c>
      <c r="M286" s="34">
        <v>229900</v>
      </c>
      <c r="N286" s="35">
        <f t="shared" si="26"/>
        <v>0.75</v>
      </c>
      <c r="O286" s="34">
        <f t="shared" si="24"/>
        <v>57475</v>
      </c>
      <c r="P286" s="32" t="s">
        <v>16</v>
      </c>
    </row>
    <row r="287" spans="1:16" x14ac:dyDescent="0.35">
      <c r="A287" s="32" t="str">
        <f t="shared" si="27"/>
        <v>2024 JAN-DEC DISC 75 LICENSE ESS</v>
      </c>
      <c r="B287" s="33">
        <f t="shared" si="27"/>
        <v>46121</v>
      </c>
      <c r="C287" s="33">
        <f t="shared" si="27"/>
        <v>46127</v>
      </c>
      <c r="D287" s="32">
        <v>3287</v>
      </c>
      <c r="E287" s="32">
        <v>338</v>
      </c>
      <c r="F287" s="32">
        <v>4</v>
      </c>
      <c r="G287" s="32">
        <v>7</v>
      </c>
      <c r="H287" s="32">
        <v>81595</v>
      </c>
      <c r="I287" s="32" t="s">
        <v>17</v>
      </c>
      <c r="J287" s="32">
        <v>27377804</v>
      </c>
      <c r="K287" s="32" t="s">
        <v>3990</v>
      </c>
      <c r="L287" s="38" t="s">
        <v>3991</v>
      </c>
      <c r="M287" s="34">
        <v>35900</v>
      </c>
      <c r="N287" s="35">
        <f t="shared" si="26"/>
        <v>0.75</v>
      </c>
      <c r="O287" s="34">
        <f t="shared" si="24"/>
        <v>8975</v>
      </c>
      <c r="P287" s="32" t="s">
        <v>16</v>
      </c>
    </row>
    <row r="288" spans="1:16" x14ac:dyDescent="0.35">
      <c r="A288" s="32" t="str">
        <f t="shared" si="27"/>
        <v>2024 JAN-DEC DISC 75 LICENSE ESS</v>
      </c>
      <c r="B288" s="33">
        <f t="shared" si="27"/>
        <v>46121</v>
      </c>
      <c r="C288" s="33">
        <f t="shared" si="27"/>
        <v>46127</v>
      </c>
      <c r="D288" s="32">
        <v>3287</v>
      </c>
      <c r="E288" s="32">
        <v>338</v>
      </c>
      <c r="F288" s="32">
        <v>4</v>
      </c>
      <c r="G288" s="32">
        <v>7</v>
      </c>
      <c r="H288" s="32">
        <v>81595</v>
      </c>
      <c r="I288" s="32" t="s">
        <v>17</v>
      </c>
      <c r="J288" s="32">
        <v>27377813</v>
      </c>
      <c r="K288" s="32" t="s">
        <v>3990</v>
      </c>
      <c r="L288" s="38" t="s">
        <v>3992</v>
      </c>
      <c r="M288" s="34">
        <v>35900</v>
      </c>
      <c r="N288" s="35">
        <f t="shared" si="26"/>
        <v>0.75</v>
      </c>
      <c r="O288" s="34">
        <f t="shared" si="24"/>
        <v>8975</v>
      </c>
      <c r="P288" s="32" t="s">
        <v>16</v>
      </c>
    </row>
    <row r="289" spans="1:16" x14ac:dyDescent="0.35">
      <c r="A289" s="32" t="str">
        <f t="shared" si="27"/>
        <v>2024 JAN-DEC DISC 75 LICENSE ESS</v>
      </c>
      <c r="B289" s="33">
        <f t="shared" si="27"/>
        <v>46121</v>
      </c>
      <c r="C289" s="33">
        <f t="shared" si="27"/>
        <v>46127</v>
      </c>
      <c r="D289" s="32">
        <v>3287</v>
      </c>
      <c r="E289" s="32">
        <v>338</v>
      </c>
      <c r="F289" s="32">
        <v>4</v>
      </c>
      <c r="G289" s="32">
        <v>7</v>
      </c>
      <c r="H289" s="32">
        <v>81595</v>
      </c>
      <c r="I289" s="32" t="s">
        <v>17</v>
      </c>
      <c r="J289" s="32">
        <v>27377822</v>
      </c>
      <c r="K289" s="32" t="s">
        <v>3987</v>
      </c>
      <c r="L289" s="38" t="s">
        <v>3988</v>
      </c>
      <c r="M289" s="34">
        <v>35900</v>
      </c>
      <c r="N289" s="35">
        <f t="shared" si="26"/>
        <v>0.75</v>
      </c>
      <c r="O289" s="34">
        <f t="shared" si="24"/>
        <v>8975</v>
      </c>
      <c r="P289" s="32" t="s">
        <v>16</v>
      </c>
    </row>
    <row r="290" spans="1:16" x14ac:dyDescent="0.35">
      <c r="A290" s="32" t="str">
        <f t="shared" si="27"/>
        <v>2024 JAN-DEC DISC 75 LICENSE ESS</v>
      </c>
      <c r="B290" s="33">
        <f t="shared" si="27"/>
        <v>46121</v>
      </c>
      <c r="C290" s="33">
        <f t="shared" si="27"/>
        <v>46127</v>
      </c>
      <c r="D290" s="32">
        <v>3287</v>
      </c>
      <c r="E290" s="32">
        <v>338</v>
      </c>
      <c r="F290" s="32">
        <v>4</v>
      </c>
      <c r="G290" s="32">
        <v>7</v>
      </c>
      <c r="H290" s="32">
        <v>81595</v>
      </c>
      <c r="I290" s="32" t="s">
        <v>17</v>
      </c>
      <c r="J290" s="32">
        <v>27377831</v>
      </c>
      <c r="K290" s="32" t="s">
        <v>3987</v>
      </c>
      <c r="L290" s="38" t="s">
        <v>3989</v>
      </c>
      <c r="M290" s="34">
        <v>35900</v>
      </c>
      <c r="N290" s="35">
        <f t="shared" si="26"/>
        <v>0.75</v>
      </c>
      <c r="O290" s="34">
        <f t="shared" si="24"/>
        <v>8975</v>
      </c>
      <c r="P290" s="32" t="s">
        <v>16</v>
      </c>
    </row>
    <row r="291" spans="1:16" x14ac:dyDescent="0.35">
      <c r="A291" s="32" t="str">
        <f t="shared" si="27"/>
        <v>2024 JAN-DEC DISC 75 LICENSE ESS</v>
      </c>
      <c r="B291" s="33">
        <f t="shared" si="27"/>
        <v>46121</v>
      </c>
      <c r="C291" s="33">
        <f t="shared" si="27"/>
        <v>46127</v>
      </c>
      <c r="D291" s="32">
        <v>3287</v>
      </c>
      <c r="E291" s="32">
        <v>338</v>
      </c>
      <c r="F291" s="32">
        <v>4</v>
      </c>
      <c r="G291" s="32">
        <v>7</v>
      </c>
      <c r="H291" s="32">
        <v>81595</v>
      </c>
      <c r="I291" s="32" t="s">
        <v>17</v>
      </c>
      <c r="J291" s="32">
        <v>27377840</v>
      </c>
      <c r="K291" s="32" t="s">
        <v>3996</v>
      </c>
      <c r="L291" s="38" t="s">
        <v>3997</v>
      </c>
      <c r="M291" s="34">
        <v>35900</v>
      </c>
      <c r="N291" s="35">
        <f t="shared" si="26"/>
        <v>0.75</v>
      </c>
      <c r="O291" s="34">
        <f t="shared" si="24"/>
        <v>8975</v>
      </c>
      <c r="P291" s="32" t="s">
        <v>16</v>
      </c>
    </row>
    <row r="292" spans="1:16" x14ac:dyDescent="0.35">
      <c r="A292" s="32" t="str">
        <f t="shared" ref="A292:C307" si="28">A291</f>
        <v>2024 JAN-DEC DISC 75 LICENSE ESS</v>
      </c>
      <c r="B292" s="33">
        <f t="shared" si="28"/>
        <v>46121</v>
      </c>
      <c r="C292" s="33">
        <f t="shared" si="28"/>
        <v>46127</v>
      </c>
      <c r="D292" s="32">
        <v>3287</v>
      </c>
      <c r="E292" s="32">
        <v>338</v>
      </c>
      <c r="F292" s="32">
        <v>4</v>
      </c>
      <c r="G292" s="32">
        <v>7</v>
      </c>
      <c r="H292" s="32">
        <v>81595</v>
      </c>
      <c r="I292" s="32" t="s">
        <v>17</v>
      </c>
      <c r="J292" s="32">
        <v>27377859</v>
      </c>
      <c r="K292" s="32" t="s">
        <v>3996</v>
      </c>
      <c r="L292" s="38" t="s">
        <v>3998</v>
      </c>
      <c r="M292" s="34">
        <v>35900</v>
      </c>
      <c r="N292" s="35">
        <f t="shared" si="26"/>
        <v>0.75</v>
      </c>
      <c r="O292" s="34">
        <f t="shared" si="24"/>
        <v>8975</v>
      </c>
      <c r="P292" s="32" t="s">
        <v>16</v>
      </c>
    </row>
    <row r="293" spans="1:16" x14ac:dyDescent="0.35">
      <c r="A293" s="32" t="str">
        <f t="shared" si="28"/>
        <v>2024 JAN-DEC DISC 75 LICENSE ESS</v>
      </c>
      <c r="B293" s="33">
        <f t="shared" si="28"/>
        <v>46121</v>
      </c>
      <c r="C293" s="33">
        <f t="shared" si="28"/>
        <v>46127</v>
      </c>
      <c r="D293" s="32">
        <v>3287</v>
      </c>
      <c r="E293" s="32">
        <v>338</v>
      </c>
      <c r="F293" s="32">
        <v>4</v>
      </c>
      <c r="G293" s="32">
        <v>7</v>
      </c>
      <c r="H293" s="32">
        <v>81595</v>
      </c>
      <c r="I293" s="32" t="s">
        <v>17</v>
      </c>
      <c r="J293" s="32">
        <v>27377868</v>
      </c>
      <c r="K293" s="32" t="s">
        <v>3999</v>
      </c>
      <c r="L293" s="38" t="s">
        <v>4000</v>
      </c>
      <c r="M293" s="34">
        <v>35900</v>
      </c>
      <c r="N293" s="35">
        <f t="shared" si="26"/>
        <v>0.75</v>
      </c>
      <c r="O293" s="34">
        <f t="shared" si="24"/>
        <v>8975</v>
      </c>
      <c r="P293" s="32" t="s">
        <v>16</v>
      </c>
    </row>
    <row r="294" spans="1:16" x14ac:dyDescent="0.35">
      <c r="A294" s="32" t="str">
        <f t="shared" si="28"/>
        <v>2024 JAN-DEC DISC 75 LICENSE ESS</v>
      </c>
      <c r="B294" s="33">
        <f t="shared" si="28"/>
        <v>46121</v>
      </c>
      <c r="C294" s="33">
        <f t="shared" si="28"/>
        <v>46127</v>
      </c>
      <c r="D294" s="32">
        <v>3287</v>
      </c>
      <c r="E294" s="32">
        <v>338</v>
      </c>
      <c r="F294" s="32">
        <v>4</v>
      </c>
      <c r="G294" s="32">
        <v>7</v>
      </c>
      <c r="H294" s="32">
        <v>81595</v>
      </c>
      <c r="I294" s="32" t="s">
        <v>17</v>
      </c>
      <c r="J294" s="32">
        <v>27377877</v>
      </c>
      <c r="K294" s="32" t="s">
        <v>3999</v>
      </c>
      <c r="L294" s="38" t="s">
        <v>4001</v>
      </c>
      <c r="M294" s="34">
        <v>35900</v>
      </c>
      <c r="N294" s="35">
        <f t="shared" si="26"/>
        <v>0.75</v>
      </c>
      <c r="O294" s="34">
        <f t="shared" si="24"/>
        <v>8975</v>
      </c>
      <c r="P294" s="32" t="s">
        <v>16</v>
      </c>
    </row>
    <row r="295" spans="1:16" x14ac:dyDescent="0.35">
      <c r="A295" s="32" t="str">
        <f t="shared" si="28"/>
        <v>2024 JAN-DEC DISC 75 LICENSE ESS</v>
      </c>
      <c r="B295" s="33">
        <f t="shared" si="28"/>
        <v>46121</v>
      </c>
      <c r="C295" s="33">
        <f t="shared" si="28"/>
        <v>46127</v>
      </c>
      <c r="D295" s="32">
        <v>3287</v>
      </c>
      <c r="E295" s="32">
        <v>338</v>
      </c>
      <c r="F295" s="32">
        <v>4</v>
      </c>
      <c r="G295" s="32">
        <v>7</v>
      </c>
      <c r="H295" s="32">
        <v>81595</v>
      </c>
      <c r="I295" s="32" t="s">
        <v>17</v>
      </c>
      <c r="J295" s="32">
        <v>27377886</v>
      </c>
      <c r="K295" s="32" t="s">
        <v>3993</v>
      </c>
      <c r="L295" s="38" t="s">
        <v>3994</v>
      </c>
      <c r="M295" s="34">
        <v>35900</v>
      </c>
      <c r="N295" s="35">
        <f t="shared" si="26"/>
        <v>0.75</v>
      </c>
      <c r="O295" s="34">
        <f t="shared" si="24"/>
        <v>8975</v>
      </c>
      <c r="P295" s="32" t="s">
        <v>16</v>
      </c>
    </row>
    <row r="296" spans="1:16" x14ac:dyDescent="0.35">
      <c r="A296" s="32" t="str">
        <f t="shared" si="28"/>
        <v>2024 JAN-DEC DISC 75 LICENSE ESS</v>
      </c>
      <c r="B296" s="33">
        <f t="shared" si="28"/>
        <v>46121</v>
      </c>
      <c r="C296" s="33">
        <f t="shared" si="28"/>
        <v>46127</v>
      </c>
      <c r="D296" s="32">
        <v>3287</v>
      </c>
      <c r="E296" s="32">
        <v>338</v>
      </c>
      <c r="F296" s="32">
        <v>4</v>
      </c>
      <c r="G296" s="32">
        <v>7</v>
      </c>
      <c r="H296" s="32">
        <v>81595</v>
      </c>
      <c r="I296" s="32" t="s">
        <v>17</v>
      </c>
      <c r="J296" s="32">
        <v>27377895</v>
      </c>
      <c r="K296" s="32" t="s">
        <v>3993</v>
      </c>
      <c r="L296" s="38" t="s">
        <v>3995</v>
      </c>
      <c r="M296" s="34">
        <v>35900</v>
      </c>
      <c r="N296" s="35">
        <f t="shared" si="26"/>
        <v>0.75</v>
      </c>
      <c r="O296" s="34">
        <f t="shared" si="24"/>
        <v>8975</v>
      </c>
      <c r="P296" s="32" t="s">
        <v>16</v>
      </c>
    </row>
    <row r="297" spans="1:16" x14ac:dyDescent="0.35">
      <c r="A297" s="32" t="str">
        <f t="shared" si="28"/>
        <v>2024 JAN-DEC DISC 75 LICENSE ESS</v>
      </c>
      <c r="B297" s="33">
        <f t="shared" si="28"/>
        <v>46121</v>
      </c>
      <c r="C297" s="33">
        <f t="shared" si="28"/>
        <v>46127</v>
      </c>
      <c r="D297" s="32">
        <v>3287</v>
      </c>
      <c r="E297" s="32">
        <v>338</v>
      </c>
      <c r="F297" s="32">
        <v>4</v>
      </c>
      <c r="G297" s="32">
        <v>7</v>
      </c>
      <c r="H297" s="32">
        <v>81595</v>
      </c>
      <c r="I297" s="32" t="s">
        <v>17</v>
      </c>
      <c r="J297" s="32">
        <v>31272169</v>
      </c>
      <c r="K297" s="32" t="s">
        <v>4044</v>
      </c>
      <c r="L297" s="38" t="s">
        <v>4045</v>
      </c>
      <c r="M297" s="34">
        <v>35900</v>
      </c>
      <c r="N297" s="35">
        <f t="shared" si="26"/>
        <v>0.75</v>
      </c>
      <c r="O297" s="34">
        <f t="shared" si="24"/>
        <v>8975</v>
      </c>
      <c r="P297" s="32" t="s">
        <v>16</v>
      </c>
    </row>
    <row r="298" spans="1:16" x14ac:dyDescent="0.35">
      <c r="A298" s="32" t="str">
        <f t="shared" si="28"/>
        <v>2024 JAN-DEC DISC 75 LICENSE ESS</v>
      </c>
      <c r="B298" s="33">
        <f t="shared" si="28"/>
        <v>46121</v>
      </c>
      <c r="C298" s="33">
        <f t="shared" si="28"/>
        <v>46127</v>
      </c>
      <c r="D298" s="32">
        <v>3287</v>
      </c>
      <c r="E298" s="32">
        <v>338</v>
      </c>
      <c r="F298" s="32">
        <v>4</v>
      </c>
      <c r="G298" s="32">
        <v>7</v>
      </c>
      <c r="H298" s="32">
        <v>81595</v>
      </c>
      <c r="I298" s="32" t="s">
        <v>17</v>
      </c>
      <c r="J298" s="32">
        <v>31272178</v>
      </c>
      <c r="K298" s="32" t="s">
        <v>4044</v>
      </c>
      <c r="L298" s="38" t="s">
        <v>4046</v>
      </c>
      <c r="M298" s="34">
        <v>35900</v>
      </c>
      <c r="N298" s="35">
        <f t="shared" si="26"/>
        <v>0.75</v>
      </c>
      <c r="O298" s="34">
        <f t="shared" si="24"/>
        <v>8975</v>
      </c>
      <c r="P298" s="32" t="s">
        <v>16</v>
      </c>
    </row>
    <row r="299" spans="1:16" x14ac:dyDescent="0.35">
      <c r="A299" s="32" t="str">
        <f t="shared" si="28"/>
        <v>2024 JAN-DEC DISC 75 LICENSE ESS</v>
      </c>
      <c r="B299" s="33">
        <f t="shared" si="28"/>
        <v>46121</v>
      </c>
      <c r="C299" s="33">
        <f t="shared" si="28"/>
        <v>46127</v>
      </c>
      <c r="D299" s="32">
        <v>3287</v>
      </c>
      <c r="E299" s="32">
        <v>338</v>
      </c>
      <c r="F299" s="32">
        <v>4</v>
      </c>
      <c r="G299" s="32">
        <v>7</v>
      </c>
      <c r="H299" s="32">
        <v>81595</v>
      </c>
      <c r="I299" s="32" t="s">
        <v>17</v>
      </c>
      <c r="J299" s="32">
        <v>45812871</v>
      </c>
      <c r="K299" s="32" t="s">
        <v>4289</v>
      </c>
      <c r="L299" s="38" t="s">
        <v>4291</v>
      </c>
      <c r="M299" s="34">
        <v>35900</v>
      </c>
      <c r="N299" s="35">
        <f t="shared" si="26"/>
        <v>0.75</v>
      </c>
      <c r="O299" s="34">
        <f t="shared" si="24"/>
        <v>8975</v>
      </c>
      <c r="P299" s="32" t="s">
        <v>16</v>
      </c>
    </row>
    <row r="300" spans="1:16" x14ac:dyDescent="0.35">
      <c r="A300" s="32" t="str">
        <f t="shared" si="28"/>
        <v>2024 JAN-DEC DISC 75 LICENSE ESS</v>
      </c>
      <c r="B300" s="33">
        <f t="shared" si="28"/>
        <v>46121</v>
      </c>
      <c r="C300" s="33">
        <f t="shared" si="28"/>
        <v>46127</v>
      </c>
      <c r="D300" s="32">
        <v>3287</v>
      </c>
      <c r="E300" s="32">
        <v>338</v>
      </c>
      <c r="F300" s="32">
        <v>4</v>
      </c>
      <c r="G300" s="32">
        <v>7</v>
      </c>
      <c r="H300" s="32">
        <v>81595</v>
      </c>
      <c r="I300" s="32" t="s">
        <v>17</v>
      </c>
      <c r="J300" s="32">
        <v>45812880</v>
      </c>
      <c r="K300" s="32" t="s">
        <v>4289</v>
      </c>
      <c r="L300" s="38" t="s">
        <v>4290</v>
      </c>
      <c r="M300" s="34">
        <v>35900</v>
      </c>
      <c r="N300" s="35">
        <f t="shared" si="26"/>
        <v>0.75</v>
      </c>
      <c r="O300" s="34">
        <f t="shared" si="24"/>
        <v>8975</v>
      </c>
      <c r="P300" s="32" t="s">
        <v>16</v>
      </c>
    </row>
    <row r="301" spans="1:16" x14ac:dyDescent="0.35">
      <c r="A301" s="32" t="str">
        <f t="shared" si="28"/>
        <v>2024 JAN-DEC DISC 75 LICENSE ESS</v>
      </c>
      <c r="B301" s="33">
        <f t="shared" si="28"/>
        <v>46121</v>
      </c>
      <c r="C301" s="33">
        <f t="shared" si="28"/>
        <v>46127</v>
      </c>
      <c r="D301" s="32">
        <v>3287</v>
      </c>
      <c r="E301" s="32">
        <v>338</v>
      </c>
      <c r="F301" s="32">
        <v>4</v>
      </c>
      <c r="G301" s="32">
        <v>7</v>
      </c>
      <c r="H301" s="32">
        <v>81595</v>
      </c>
      <c r="I301" s="32" t="s">
        <v>17</v>
      </c>
      <c r="J301" s="32">
        <v>45812915</v>
      </c>
      <c r="K301" s="32" t="s">
        <v>4283</v>
      </c>
      <c r="L301" s="38" t="s">
        <v>4284</v>
      </c>
      <c r="M301" s="34">
        <v>35900</v>
      </c>
      <c r="N301" s="35">
        <f t="shared" si="26"/>
        <v>0.75</v>
      </c>
      <c r="O301" s="34">
        <f t="shared" si="24"/>
        <v>8975</v>
      </c>
      <c r="P301" s="32" t="s">
        <v>16</v>
      </c>
    </row>
    <row r="302" spans="1:16" x14ac:dyDescent="0.35">
      <c r="A302" s="32" t="str">
        <f t="shared" si="28"/>
        <v>2024 JAN-DEC DISC 75 LICENSE ESS</v>
      </c>
      <c r="B302" s="33">
        <f t="shared" si="28"/>
        <v>46121</v>
      </c>
      <c r="C302" s="33">
        <f t="shared" si="28"/>
        <v>46127</v>
      </c>
      <c r="D302" s="32">
        <v>3287</v>
      </c>
      <c r="E302" s="32">
        <v>338</v>
      </c>
      <c r="F302" s="32">
        <v>4</v>
      </c>
      <c r="G302" s="32">
        <v>7</v>
      </c>
      <c r="H302" s="32">
        <v>81595</v>
      </c>
      <c r="I302" s="32" t="s">
        <v>17</v>
      </c>
      <c r="J302" s="32">
        <v>45812924</v>
      </c>
      <c r="K302" s="32" t="s">
        <v>4283</v>
      </c>
      <c r="L302" s="38" t="s">
        <v>4285</v>
      </c>
      <c r="M302" s="34">
        <v>35900</v>
      </c>
      <c r="N302" s="35">
        <f t="shared" si="26"/>
        <v>0.75</v>
      </c>
      <c r="O302" s="34">
        <f t="shared" si="24"/>
        <v>8975</v>
      </c>
      <c r="P302" s="32" t="s">
        <v>16</v>
      </c>
    </row>
    <row r="303" spans="1:16" x14ac:dyDescent="0.35">
      <c r="A303" s="32" t="str">
        <f t="shared" si="28"/>
        <v>2024 JAN-DEC DISC 75 LICENSE ESS</v>
      </c>
      <c r="B303" s="33">
        <f t="shared" si="28"/>
        <v>46121</v>
      </c>
      <c r="C303" s="33">
        <f t="shared" si="28"/>
        <v>46127</v>
      </c>
      <c r="D303" s="32">
        <v>3287</v>
      </c>
      <c r="E303" s="32">
        <v>338</v>
      </c>
      <c r="F303" s="32">
        <v>4</v>
      </c>
      <c r="G303" s="32">
        <v>7</v>
      </c>
      <c r="H303" s="32">
        <v>81595</v>
      </c>
      <c r="I303" s="32" t="s">
        <v>17</v>
      </c>
      <c r="J303" s="32">
        <v>45812933</v>
      </c>
      <c r="K303" s="32" t="s">
        <v>4286</v>
      </c>
      <c r="L303" s="38" t="s">
        <v>4287</v>
      </c>
      <c r="M303" s="34">
        <v>35900</v>
      </c>
      <c r="N303" s="35">
        <f t="shared" si="26"/>
        <v>0.75</v>
      </c>
      <c r="O303" s="34">
        <f t="shared" si="24"/>
        <v>8975</v>
      </c>
      <c r="P303" s="32" t="s">
        <v>16</v>
      </c>
    </row>
    <row r="304" spans="1:16" x14ac:dyDescent="0.35">
      <c r="A304" s="32" t="str">
        <f t="shared" si="28"/>
        <v>2024 JAN-DEC DISC 75 LICENSE ESS</v>
      </c>
      <c r="B304" s="33">
        <f t="shared" si="28"/>
        <v>46121</v>
      </c>
      <c r="C304" s="33">
        <f t="shared" si="28"/>
        <v>46127</v>
      </c>
      <c r="D304" s="32">
        <v>3287</v>
      </c>
      <c r="E304" s="32">
        <v>338</v>
      </c>
      <c r="F304" s="32">
        <v>4</v>
      </c>
      <c r="G304" s="32">
        <v>7</v>
      </c>
      <c r="H304" s="32">
        <v>81595</v>
      </c>
      <c r="I304" s="32" t="s">
        <v>17</v>
      </c>
      <c r="J304" s="32">
        <v>45812942</v>
      </c>
      <c r="K304" s="32" t="s">
        <v>4286</v>
      </c>
      <c r="L304" s="38" t="s">
        <v>4288</v>
      </c>
      <c r="M304" s="34">
        <v>35900</v>
      </c>
      <c r="N304" s="35">
        <f t="shared" si="26"/>
        <v>0.75</v>
      </c>
      <c r="O304" s="34">
        <f t="shared" si="24"/>
        <v>8975</v>
      </c>
      <c r="P304" s="32" t="s">
        <v>16</v>
      </c>
    </row>
    <row r="305" spans="1:16" x14ac:dyDescent="0.35">
      <c r="A305" s="32" t="str">
        <f t="shared" si="28"/>
        <v>2024 JAN-DEC DISC 75 LICENSE ESS</v>
      </c>
      <c r="B305" s="33">
        <f t="shared" si="28"/>
        <v>46121</v>
      </c>
      <c r="C305" s="33">
        <f t="shared" si="28"/>
        <v>46127</v>
      </c>
      <c r="D305" s="32">
        <v>3287</v>
      </c>
      <c r="E305" s="32">
        <v>338</v>
      </c>
      <c r="F305" s="32">
        <v>4</v>
      </c>
      <c r="G305" s="32">
        <v>7</v>
      </c>
      <c r="H305" s="32">
        <v>81595</v>
      </c>
      <c r="I305" s="32" t="s">
        <v>17</v>
      </c>
      <c r="J305" s="32">
        <v>45812899</v>
      </c>
      <c r="K305" s="32" t="s">
        <v>4280</v>
      </c>
      <c r="L305" s="38" t="s">
        <v>4281</v>
      </c>
      <c r="M305" s="34">
        <v>35900</v>
      </c>
      <c r="N305" s="35">
        <f t="shared" si="26"/>
        <v>0.75</v>
      </c>
      <c r="O305" s="34">
        <f t="shared" si="24"/>
        <v>8975</v>
      </c>
      <c r="P305" s="32" t="s">
        <v>16</v>
      </c>
    </row>
    <row r="306" spans="1:16" x14ac:dyDescent="0.35">
      <c r="A306" s="32" t="str">
        <f t="shared" si="28"/>
        <v>2024 JAN-DEC DISC 75 LICENSE ESS</v>
      </c>
      <c r="B306" s="33">
        <f t="shared" si="28"/>
        <v>46121</v>
      </c>
      <c r="C306" s="33">
        <f t="shared" si="28"/>
        <v>46127</v>
      </c>
      <c r="D306" s="32">
        <v>3287</v>
      </c>
      <c r="E306" s="32">
        <v>338</v>
      </c>
      <c r="F306" s="32">
        <v>4</v>
      </c>
      <c r="G306" s="32">
        <v>7</v>
      </c>
      <c r="H306" s="32">
        <v>81595</v>
      </c>
      <c r="I306" s="32" t="s">
        <v>17</v>
      </c>
      <c r="J306" s="32">
        <v>45812906</v>
      </c>
      <c r="K306" s="32" t="s">
        <v>4280</v>
      </c>
      <c r="L306" s="38" t="s">
        <v>4282</v>
      </c>
      <c r="M306" s="34">
        <v>35900</v>
      </c>
      <c r="N306" s="35">
        <f t="shared" si="26"/>
        <v>0.75</v>
      </c>
      <c r="O306" s="34">
        <f t="shared" si="24"/>
        <v>8975</v>
      </c>
      <c r="P306" s="32" t="s">
        <v>16</v>
      </c>
    </row>
    <row r="307" spans="1:16" x14ac:dyDescent="0.35">
      <c r="A307" s="32" t="str">
        <f t="shared" si="28"/>
        <v>2024 JAN-DEC DISC 75 LICENSE ESS</v>
      </c>
      <c r="B307" s="33">
        <f t="shared" si="28"/>
        <v>46121</v>
      </c>
      <c r="C307" s="33">
        <f t="shared" si="28"/>
        <v>46127</v>
      </c>
      <c r="D307" s="32">
        <v>3287</v>
      </c>
      <c r="E307" s="32">
        <v>338</v>
      </c>
      <c r="F307" s="32">
        <v>4</v>
      </c>
      <c r="G307" s="32">
        <v>9</v>
      </c>
      <c r="H307" s="32">
        <v>81462</v>
      </c>
      <c r="I307" s="32" t="s">
        <v>17</v>
      </c>
      <c r="J307" s="32">
        <v>48225214</v>
      </c>
      <c r="K307" s="32" t="s">
        <v>4942</v>
      </c>
      <c r="L307" s="38" t="s">
        <v>4943</v>
      </c>
      <c r="M307" s="34">
        <v>229900</v>
      </c>
      <c r="N307" s="35">
        <f t="shared" si="26"/>
        <v>0.75</v>
      </c>
      <c r="O307" s="34">
        <f t="shared" si="24"/>
        <v>57475</v>
      </c>
      <c r="P307" s="32" t="s">
        <v>16</v>
      </c>
    </row>
    <row r="308" spans="1:16" x14ac:dyDescent="0.35">
      <c r="A308" s="32" t="str">
        <f t="shared" ref="A308:C323" si="29">A307</f>
        <v>2024 JAN-DEC DISC 75 LICENSE ESS</v>
      </c>
      <c r="B308" s="33">
        <f t="shared" si="29"/>
        <v>46121</v>
      </c>
      <c r="C308" s="33">
        <f t="shared" si="29"/>
        <v>46127</v>
      </c>
      <c r="D308" s="32">
        <v>3287</v>
      </c>
      <c r="E308" s="32">
        <v>338</v>
      </c>
      <c r="F308" s="32">
        <v>4</v>
      </c>
      <c r="G308" s="32">
        <v>9</v>
      </c>
      <c r="H308" s="32">
        <v>81462</v>
      </c>
      <c r="I308" s="32" t="s">
        <v>17</v>
      </c>
      <c r="J308" s="32">
        <v>48225223</v>
      </c>
      <c r="K308" s="32" t="s">
        <v>4942</v>
      </c>
      <c r="L308" s="38" t="s">
        <v>4944</v>
      </c>
      <c r="M308" s="34">
        <v>229900</v>
      </c>
      <c r="N308" s="35">
        <f t="shared" si="26"/>
        <v>0.75</v>
      </c>
      <c r="O308" s="34">
        <f t="shared" si="24"/>
        <v>57475</v>
      </c>
      <c r="P308" s="32" t="s">
        <v>16</v>
      </c>
    </row>
    <row r="309" spans="1:16" x14ac:dyDescent="0.35">
      <c r="A309" s="32" t="str">
        <f t="shared" si="29"/>
        <v>2024 JAN-DEC DISC 75 LICENSE ESS</v>
      </c>
      <c r="B309" s="33">
        <f t="shared" si="29"/>
        <v>46121</v>
      </c>
      <c r="C309" s="33">
        <f t="shared" si="29"/>
        <v>46127</v>
      </c>
      <c r="D309" s="32">
        <v>3287</v>
      </c>
      <c r="E309" s="32">
        <v>338</v>
      </c>
      <c r="F309" s="32">
        <v>4</v>
      </c>
      <c r="G309" s="32">
        <v>9</v>
      </c>
      <c r="H309" s="32">
        <v>81462</v>
      </c>
      <c r="I309" s="32" t="s">
        <v>17</v>
      </c>
      <c r="J309" s="32">
        <v>48225232</v>
      </c>
      <c r="K309" s="32" t="s">
        <v>4942</v>
      </c>
      <c r="L309" s="38" t="s">
        <v>4945</v>
      </c>
      <c r="M309" s="34">
        <v>229900</v>
      </c>
      <c r="N309" s="35">
        <f t="shared" si="26"/>
        <v>0.75</v>
      </c>
      <c r="O309" s="34">
        <f t="shared" si="24"/>
        <v>57475</v>
      </c>
      <c r="P309" s="32" t="s">
        <v>16</v>
      </c>
    </row>
    <row r="310" spans="1:16" x14ac:dyDescent="0.35">
      <c r="A310" s="32" t="str">
        <f t="shared" si="29"/>
        <v>2024 JAN-DEC DISC 75 LICENSE ESS</v>
      </c>
      <c r="B310" s="33">
        <f t="shared" si="29"/>
        <v>46121</v>
      </c>
      <c r="C310" s="33">
        <f t="shared" si="29"/>
        <v>46127</v>
      </c>
      <c r="D310" s="32">
        <v>3287</v>
      </c>
      <c r="E310" s="32">
        <v>338</v>
      </c>
      <c r="F310" s="32">
        <v>4</v>
      </c>
      <c r="G310" s="32">
        <v>9</v>
      </c>
      <c r="H310" s="32">
        <v>81462</v>
      </c>
      <c r="I310" s="32" t="s">
        <v>17</v>
      </c>
      <c r="J310" s="32">
        <v>48225241</v>
      </c>
      <c r="K310" s="32" t="s">
        <v>4942</v>
      </c>
      <c r="L310" s="38" t="s">
        <v>4946</v>
      </c>
      <c r="M310" s="34">
        <v>229900</v>
      </c>
      <c r="N310" s="35">
        <f t="shared" si="26"/>
        <v>0.75</v>
      </c>
      <c r="O310" s="34">
        <f t="shared" si="24"/>
        <v>57475</v>
      </c>
      <c r="P310" s="32" t="s">
        <v>16</v>
      </c>
    </row>
    <row r="311" spans="1:16" x14ac:dyDescent="0.35">
      <c r="A311" s="32" t="str">
        <f t="shared" si="29"/>
        <v>2024 JAN-DEC DISC 75 LICENSE ESS</v>
      </c>
      <c r="B311" s="33">
        <f t="shared" si="29"/>
        <v>46121</v>
      </c>
      <c r="C311" s="33">
        <f t="shared" si="29"/>
        <v>46127</v>
      </c>
      <c r="D311" s="32">
        <v>3287</v>
      </c>
      <c r="E311" s="32">
        <v>338</v>
      </c>
      <c r="F311" s="32">
        <v>4</v>
      </c>
      <c r="G311" s="32">
        <v>10</v>
      </c>
      <c r="H311" s="32">
        <v>81595</v>
      </c>
      <c r="I311" s="32" t="s">
        <v>17</v>
      </c>
      <c r="J311" s="32">
        <v>45450342</v>
      </c>
      <c r="K311" s="32" t="s">
        <v>4968</v>
      </c>
      <c r="L311" s="38" t="s">
        <v>4969</v>
      </c>
      <c r="M311" s="34">
        <v>35900</v>
      </c>
      <c r="N311" s="35">
        <f t="shared" si="26"/>
        <v>0.75</v>
      </c>
      <c r="O311" s="34">
        <f t="shared" si="24"/>
        <v>8975</v>
      </c>
      <c r="P311" s="32" t="s">
        <v>16</v>
      </c>
    </row>
    <row r="312" spans="1:16" x14ac:dyDescent="0.35">
      <c r="A312" s="32" t="str">
        <f t="shared" si="29"/>
        <v>2024 JAN-DEC DISC 75 LICENSE ESS</v>
      </c>
      <c r="B312" s="33">
        <f t="shared" si="29"/>
        <v>46121</v>
      </c>
      <c r="C312" s="33">
        <f t="shared" si="29"/>
        <v>46127</v>
      </c>
      <c r="D312" s="32">
        <v>3287</v>
      </c>
      <c r="E312" s="32">
        <v>338</v>
      </c>
      <c r="F312" s="32">
        <v>4</v>
      </c>
      <c r="G312" s="32">
        <v>10</v>
      </c>
      <c r="H312" s="32">
        <v>81595</v>
      </c>
      <c r="I312" s="32" t="s">
        <v>17</v>
      </c>
      <c r="J312" s="32">
        <v>45450351</v>
      </c>
      <c r="K312" s="32" t="s">
        <v>4968</v>
      </c>
      <c r="L312" s="38" t="s">
        <v>4970</v>
      </c>
      <c r="M312" s="34">
        <v>35900</v>
      </c>
      <c r="N312" s="35">
        <f t="shared" si="26"/>
        <v>0.75</v>
      </c>
      <c r="O312" s="34">
        <f t="shared" si="24"/>
        <v>8975</v>
      </c>
      <c r="P312" s="32" t="s">
        <v>16</v>
      </c>
    </row>
    <row r="313" spans="1:16" x14ac:dyDescent="0.35">
      <c r="A313" s="32" t="str">
        <f t="shared" si="29"/>
        <v>2024 JAN-DEC DISC 75 LICENSE ESS</v>
      </c>
      <c r="B313" s="33">
        <f t="shared" si="29"/>
        <v>46121</v>
      </c>
      <c r="C313" s="33">
        <f t="shared" si="29"/>
        <v>46127</v>
      </c>
      <c r="D313" s="32">
        <v>3287</v>
      </c>
      <c r="E313" s="32">
        <v>338</v>
      </c>
      <c r="F313" s="32">
        <v>4</v>
      </c>
      <c r="G313" s="32">
        <v>10</v>
      </c>
      <c r="H313" s="32">
        <v>81595</v>
      </c>
      <c r="I313" s="32" t="s">
        <v>17</v>
      </c>
      <c r="J313" s="32">
        <v>45450360</v>
      </c>
      <c r="K313" s="32" t="s">
        <v>4971</v>
      </c>
      <c r="L313" s="38" t="s">
        <v>4972</v>
      </c>
      <c r="M313" s="34">
        <v>35900</v>
      </c>
      <c r="N313" s="35">
        <f t="shared" si="26"/>
        <v>0.75</v>
      </c>
      <c r="O313" s="34">
        <f t="shared" si="24"/>
        <v>8975</v>
      </c>
      <c r="P313" s="32" t="s">
        <v>16</v>
      </c>
    </row>
    <row r="314" spans="1:16" x14ac:dyDescent="0.35">
      <c r="A314" s="32" t="str">
        <f t="shared" si="29"/>
        <v>2024 JAN-DEC DISC 75 LICENSE ESS</v>
      </c>
      <c r="B314" s="33">
        <f t="shared" si="29"/>
        <v>46121</v>
      </c>
      <c r="C314" s="33">
        <f t="shared" si="29"/>
        <v>46127</v>
      </c>
      <c r="D314" s="32">
        <v>3287</v>
      </c>
      <c r="E314" s="32">
        <v>338</v>
      </c>
      <c r="F314" s="32">
        <v>4</v>
      </c>
      <c r="G314" s="32">
        <v>10</v>
      </c>
      <c r="H314" s="32">
        <v>81595</v>
      </c>
      <c r="I314" s="32" t="s">
        <v>17</v>
      </c>
      <c r="J314" s="32">
        <v>45450379</v>
      </c>
      <c r="K314" s="32" t="s">
        <v>4971</v>
      </c>
      <c r="L314" s="38" t="s">
        <v>4973</v>
      </c>
      <c r="M314" s="34">
        <v>35900</v>
      </c>
      <c r="N314" s="35">
        <f t="shared" si="26"/>
        <v>0.75</v>
      </c>
      <c r="O314" s="34">
        <f t="shared" si="24"/>
        <v>8975</v>
      </c>
      <c r="P314" s="32" t="s">
        <v>16</v>
      </c>
    </row>
    <row r="315" spans="1:16" x14ac:dyDescent="0.35">
      <c r="A315" s="32" t="str">
        <f t="shared" si="29"/>
        <v>2024 JAN-DEC DISC 75 LICENSE ESS</v>
      </c>
      <c r="B315" s="33">
        <f t="shared" si="29"/>
        <v>46121</v>
      </c>
      <c r="C315" s="33">
        <f t="shared" si="29"/>
        <v>46127</v>
      </c>
      <c r="D315" s="32">
        <v>3287</v>
      </c>
      <c r="E315" s="32">
        <v>338</v>
      </c>
      <c r="F315" s="32">
        <v>4</v>
      </c>
      <c r="G315" s="32">
        <v>10</v>
      </c>
      <c r="H315" s="32">
        <v>81595</v>
      </c>
      <c r="I315" s="32" t="s">
        <v>17</v>
      </c>
      <c r="J315" s="32">
        <v>45450388</v>
      </c>
      <c r="K315" s="32" t="s">
        <v>4974</v>
      </c>
      <c r="L315" s="38" t="s">
        <v>4975</v>
      </c>
      <c r="M315" s="34">
        <v>35900</v>
      </c>
      <c r="N315" s="35">
        <f t="shared" si="26"/>
        <v>0.75</v>
      </c>
      <c r="O315" s="34">
        <f t="shared" si="24"/>
        <v>8975</v>
      </c>
      <c r="P315" s="32" t="s">
        <v>16</v>
      </c>
    </row>
    <row r="316" spans="1:16" x14ac:dyDescent="0.35">
      <c r="A316" s="32" t="str">
        <f t="shared" si="29"/>
        <v>2024 JAN-DEC DISC 75 LICENSE ESS</v>
      </c>
      <c r="B316" s="33">
        <f t="shared" si="29"/>
        <v>46121</v>
      </c>
      <c r="C316" s="33">
        <f t="shared" si="29"/>
        <v>46127</v>
      </c>
      <c r="D316" s="32">
        <v>3287</v>
      </c>
      <c r="E316" s="32">
        <v>338</v>
      </c>
      <c r="F316" s="32">
        <v>4</v>
      </c>
      <c r="G316" s="32">
        <v>10</v>
      </c>
      <c r="H316" s="32">
        <v>81595</v>
      </c>
      <c r="I316" s="32" t="s">
        <v>17</v>
      </c>
      <c r="J316" s="32">
        <v>45450397</v>
      </c>
      <c r="K316" s="32" t="s">
        <v>4974</v>
      </c>
      <c r="L316" s="38" t="s">
        <v>4976</v>
      </c>
      <c r="M316" s="34">
        <v>35900</v>
      </c>
      <c r="N316" s="35">
        <f t="shared" si="26"/>
        <v>0.75</v>
      </c>
      <c r="O316" s="34">
        <f t="shared" si="24"/>
        <v>8975</v>
      </c>
      <c r="P316" s="32" t="s">
        <v>16</v>
      </c>
    </row>
    <row r="317" spans="1:16" x14ac:dyDescent="0.35">
      <c r="A317" s="32" t="str">
        <f t="shared" si="29"/>
        <v>2024 JAN-DEC DISC 75 LICENSE ESS</v>
      </c>
      <c r="B317" s="33">
        <f t="shared" si="29"/>
        <v>46121</v>
      </c>
      <c r="C317" s="33">
        <f t="shared" si="29"/>
        <v>46127</v>
      </c>
      <c r="D317" s="32">
        <v>3287</v>
      </c>
      <c r="E317" s="32">
        <v>338</v>
      </c>
      <c r="F317" s="32">
        <v>4</v>
      </c>
      <c r="G317" s="32">
        <v>10</v>
      </c>
      <c r="H317" s="32">
        <v>81595</v>
      </c>
      <c r="I317" s="32" t="s">
        <v>17</v>
      </c>
      <c r="J317" s="32">
        <v>45450404</v>
      </c>
      <c r="K317" s="32" t="s">
        <v>4977</v>
      </c>
      <c r="L317" s="38" t="s">
        <v>4978</v>
      </c>
      <c r="M317" s="34">
        <v>35900</v>
      </c>
      <c r="N317" s="35">
        <f t="shared" si="26"/>
        <v>0.75</v>
      </c>
      <c r="O317" s="34">
        <f t="shared" si="24"/>
        <v>8975</v>
      </c>
      <c r="P317" s="32" t="s">
        <v>16</v>
      </c>
    </row>
    <row r="318" spans="1:16" x14ac:dyDescent="0.35">
      <c r="A318" s="32" t="str">
        <f t="shared" si="29"/>
        <v>2024 JAN-DEC DISC 75 LICENSE ESS</v>
      </c>
      <c r="B318" s="33">
        <f t="shared" si="29"/>
        <v>46121</v>
      </c>
      <c r="C318" s="33">
        <f t="shared" si="29"/>
        <v>46127</v>
      </c>
      <c r="D318" s="32">
        <v>3287</v>
      </c>
      <c r="E318" s="32">
        <v>338</v>
      </c>
      <c r="F318" s="32">
        <v>4</v>
      </c>
      <c r="G318" s="32">
        <v>10</v>
      </c>
      <c r="H318" s="32">
        <v>81595</v>
      </c>
      <c r="I318" s="32" t="s">
        <v>17</v>
      </c>
      <c r="J318" s="32">
        <v>45450413</v>
      </c>
      <c r="K318" s="32" t="s">
        <v>4977</v>
      </c>
      <c r="L318" s="38" t="s">
        <v>4979</v>
      </c>
      <c r="M318" s="34">
        <v>35900</v>
      </c>
      <c r="N318" s="35">
        <f t="shared" si="26"/>
        <v>0.75</v>
      </c>
      <c r="O318" s="34">
        <f t="shared" si="24"/>
        <v>8975</v>
      </c>
      <c r="P318" s="32" t="s">
        <v>16</v>
      </c>
    </row>
    <row r="319" spans="1:16" x14ac:dyDescent="0.35">
      <c r="A319" s="32" t="str">
        <f t="shared" si="29"/>
        <v>2024 JAN-DEC DISC 75 LICENSE ESS</v>
      </c>
      <c r="B319" s="33">
        <f t="shared" si="29"/>
        <v>46121</v>
      </c>
      <c r="C319" s="33">
        <f t="shared" si="29"/>
        <v>46127</v>
      </c>
      <c r="D319" s="32">
        <v>3287</v>
      </c>
      <c r="E319" s="32">
        <v>338</v>
      </c>
      <c r="F319" s="32">
        <v>4</v>
      </c>
      <c r="G319" s="32">
        <v>1</v>
      </c>
      <c r="H319" s="32">
        <v>850</v>
      </c>
      <c r="I319" s="32" t="s">
        <v>17</v>
      </c>
      <c r="J319" s="32">
        <v>27377902</v>
      </c>
      <c r="K319" s="32" t="s">
        <v>4039</v>
      </c>
      <c r="L319" s="38" t="s">
        <v>4040</v>
      </c>
      <c r="M319" s="34">
        <v>119900</v>
      </c>
      <c r="N319" s="35">
        <f t="shared" si="26"/>
        <v>0.75</v>
      </c>
      <c r="O319" s="34">
        <f t="shared" si="24"/>
        <v>29975</v>
      </c>
      <c r="P319" s="32" t="s">
        <v>16</v>
      </c>
    </row>
    <row r="320" spans="1:16" x14ac:dyDescent="0.35">
      <c r="A320" s="32" t="str">
        <f t="shared" si="29"/>
        <v>2024 JAN-DEC DISC 75 LICENSE ESS</v>
      </c>
      <c r="B320" s="33">
        <f t="shared" si="29"/>
        <v>46121</v>
      </c>
      <c r="C320" s="33">
        <f t="shared" si="29"/>
        <v>46127</v>
      </c>
      <c r="D320" s="32">
        <v>3287</v>
      </c>
      <c r="E320" s="32">
        <v>338</v>
      </c>
      <c r="F320" s="32">
        <v>4</v>
      </c>
      <c r="G320" s="32">
        <v>1</v>
      </c>
      <c r="H320" s="32">
        <v>850</v>
      </c>
      <c r="I320" s="32" t="s">
        <v>17</v>
      </c>
      <c r="J320" s="32">
        <v>27377911</v>
      </c>
      <c r="K320" s="32" t="s">
        <v>4039</v>
      </c>
      <c r="L320" s="38" t="s">
        <v>4041</v>
      </c>
      <c r="M320" s="34">
        <v>119900</v>
      </c>
      <c r="N320" s="35">
        <f t="shared" si="26"/>
        <v>0.75</v>
      </c>
      <c r="O320" s="34">
        <f t="shared" si="24"/>
        <v>29975</v>
      </c>
      <c r="P320" s="32" t="s">
        <v>16</v>
      </c>
    </row>
    <row r="321" spans="1:16" x14ac:dyDescent="0.35">
      <c r="A321" s="32" t="str">
        <f t="shared" si="29"/>
        <v>2024 JAN-DEC DISC 75 LICENSE ESS</v>
      </c>
      <c r="B321" s="33">
        <f t="shared" si="29"/>
        <v>46121</v>
      </c>
      <c r="C321" s="33">
        <f t="shared" si="29"/>
        <v>46127</v>
      </c>
      <c r="D321" s="32">
        <v>3287</v>
      </c>
      <c r="E321" s="32">
        <v>338</v>
      </c>
      <c r="F321" s="32">
        <v>4</v>
      </c>
      <c r="G321" s="32">
        <v>1</v>
      </c>
      <c r="H321" s="32">
        <v>850</v>
      </c>
      <c r="I321" s="32" t="s">
        <v>17</v>
      </c>
      <c r="J321" s="32">
        <v>27377920</v>
      </c>
      <c r="K321" s="32" t="s">
        <v>4039</v>
      </c>
      <c r="L321" s="38" t="s">
        <v>4042</v>
      </c>
      <c r="M321" s="34">
        <v>119900</v>
      </c>
      <c r="N321" s="35">
        <f t="shared" si="26"/>
        <v>0.75</v>
      </c>
      <c r="O321" s="34">
        <f t="shared" si="24"/>
        <v>29975</v>
      </c>
      <c r="P321" s="32" t="s">
        <v>16</v>
      </c>
    </row>
    <row r="322" spans="1:16" x14ac:dyDescent="0.35">
      <c r="A322" s="32" t="str">
        <f t="shared" si="29"/>
        <v>2024 JAN-DEC DISC 75 LICENSE ESS</v>
      </c>
      <c r="B322" s="33">
        <f t="shared" si="29"/>
        <v>46121</v>
      </c>
      <c r="C322" s="33">
        <f t="shared" si="29"/>
        <v>46127</v>
      </c>
      <c r="D322" s="32">
        <v>3287</v>
      </c>
      <c r="E322" s="32">
        <v>338</v>
      </c>
      <c r="F322" s="32">
        <v>4</v>
      </c>
      <c r="G322" s="32">
        <v>1</v>
      </c>
      <c r="H322" s="32">
        <v>850</v>
      </c>
      <c r="I322" s="32" t="s">
        <v>17</v>
      </c>
      <c r="J322" s="32">
        <v>27377939</v>
      </c>
      <c r="K322" s="32" t="s">
        <v>4039</v>
      </c>
      <c r="L322" s="38" t="s">
        <v>4043</v>
      </c>
      <c r="M322" s="34">
        <v>119900</v>
      </c>
      <c r="N322" s="35">
        <f t="shared" si="26"/>
        <v>0.75</v>
      </c>
      <c r="O322" s="34">
        <f t="shared" si="24"/>
        <v>29975</v>
      </c>
      <c r="P322" s="32" t="s">
        <v>16</v>
      </c>
    </row>
    <row r="323" spans="1:16" x14ac:dyDescent="0.35">
      <c r="A323" s="32" t="str">
        <f t="shared" si="29"/>
        <v>2024 JAN-DEC DISC 75 LICENSE ESS</v>
      </c>
      <c r="B323" s="33">
        <f t="shared" si="29"/>
        <v>46121</v>
      </c>
      <c r="C323" s="33">
        <f t="shared" si="29"/>
        <v>46127</v>
      </c>
      <c r="D323" s="32">
        <v>3287</v>
      </c>
      <c r="E323" s="32">
        <v>338</v>
      </c>
      <c r="F323" s="32">
        <v>4</v>
      </c>
      <c r="G323" s="32">
        <v>3</v>
      </c>
      <c r="H323" s="32">
        <v>850</v>
      </c>
      <c r="I323" s="32" t="s">
        <v>17</v>
      </c>
      <c r="J323" s="32">
        <v>27378858</v>
      </c>
      <c r="K323" s="32" t="s">
        <v>4032</v>
      </c>
      <c r="L323" s="38" t="s">
        <v>4033</v>
      </c>
      <c r="M323" s="34">
        <v>119900</v>
      </c>
      <c r="N323" s="35">
        <f t="shared" si="26"/>
        <v>0.75</v>
      </c>
      <c r="O323" s="34">
        <f t="shared" ref="O323:O386" si="30">M323-((75*M323)/100)</f>
        <v>29975</v>
      </c>
      <c r="P323" s="32" t="s">
        <v>16</v>
      </c>
    </row>
    <row r="324" spans="1:16" x14ac:dyDescent="0.35">
      <c r="A324" s="32" t="str">
        <f t="shared" ref="A324:C339" si="31">A323</f>
        <v>2024 JAN-DEC DISC 75 LICENSE ESS</v>
      </c>
      <c r="B324" s="33">
        <f t="shared" si="31"/>
        <v>46121</v>
      </c>
      <c r="C324" s="33">
        <f t="shared" si="31"/>
        <v>46127</v>
      </c>
      <c r="D324" s="32">
        <v>3287</v>
      </c>
      <c r="E324" s="32">
        <v>338</v>
      </c>
      <c r="F324" s="32">
        <v>4</v>
      </c>
      <c r="G324" s="32">
        <v>3</v>
      </c>
      <c r="H324" s="32">
        <v>850</v>
      </c>
      <c r="I324" s="32" t="s">
        <v>17</v>
      </c>
      <c r="J324" s="32">
        <v>27378867</v>
      </c>
      <c r="K324" s="32" t="s">
        <v>4032</v>
      </c>
      <c r="L324" s="38" t="s">
        <v>4034</v>
      </c>
      <c r="M324" s="34">
        <v>119900</v>
      </c>
      <c r="N324" s="35">
        <f t="shared" ref="N324:N387" si="32">N323</f>
        <v>0.75</v>
      </c>
      <c r="O324" s="34">
        <f t="shared" si="30"/>
        <v>29975</v>
      </c>
      <c r="P324" s="32" t="s">
        <v>16</v>
      </c>
    </row>
    <row r="325" spans="1:16" x14ac:dyDescent="0.35">
      <c r="A325" s="32" t="str">
        <f t="shared" si="31"/>
        <v>2024 JAN-DEC DISC 75 LICENSE ESS</v>
      </c>
      <c r="B325" s="33">
        <f t="shared" si="31"/>
        <v>46121</v>
      </c>
      <c r="C325" s="33">
        <f t="shared" si="31"/>
        <v>46127</v>
      </c>
      <c r="D325" s="32">
        <v>3287</v>
      </c>
      <c r="E325" s="32">
        <v>338</v>
      </c>
      <c r="F325" s="32">
        <v>4</v>
      </c>
      <c r="G325" s="32">
        <v>3</v>
      </c>
      <c r="H325" s="32">
        <v>850</v>
      </c>
      <c r="I325" s="32" t="s">
        <v>17</v>
      </c>
      <c r="J325" s="32">
        <v>27378876</v>
      </c>
      <c r="K325" s="32" t="s">
        <v>4032</v>
      </c>
      <c r="L325" s="38" t="s">
        <v>4035</v>
      </c>
      <c r="M325" s="34">
        <v>119900</v>
      </c>
      <c r="N325" s="35">
        <f t="shared" si="32"/>
        <v>0.75</v>
      </c>
      <c r="O325" s="34">
        <f t="shared" si="30"/>
        <v>29975</v>
      </c>
      <c r="P325" s="32" t="s">
        <v>16</v>
      </c>
    </row>
    <row r="326" spans="1:16" x14ac:dyDescent="0.35">
      <c r="A326" s="32" t="str">
        <f t="shared" si="31"/>
        <v>2024 JAN-DEC DISC 75 LICENSE ESS</v>
      </c>
      <c r="B326" s="33">
        <f t="shared" si="31"/>
        <v>46121</v>
      </c>
      <c r="C326" s="33">
        <f t="shared" si="31"/>
        <v>46127</v>
      </c>
      <c r="D326" s="32">
        <v>3287</v>
      </c>
      <c r="E326" s="32">
        <v>338</v>
      </c>
      <c r="F326" s="32">
        <v>4</v>
      </c>
      <c r="G326" s="32">
        <v>3</v>
      </c>
      <c r="H326" s="32">
        <v>850</v>
      </c>
      <c r="I326" s="32" t="s">
        <v>17</v>
      </c>
      <c r="J326" s="32">
        <v>27378885</v>
      </c>
      <c r="K326" s="32" t="s">
        <v>4032</v>
      </c>
      <c r="L326" s="38" t="s">
        <v>4036</v>
      </c>
      <c r="M326" s="34">
        <v>119900</v>
      </c>
      <c r="N326" s="35">
        <f t="shared" si="32"/>
        <v>0.75</v>
      </c>
      <c r="O326" s="34">
        <f t="shared" si="30"/>
        <v>29975</v>
      </c>
      <c r="P326" s="32" t="s">
        <v>16</v>
      </c>
    </row>
    <row r="327" spans="1:16" x14ac:dyDescent="0.35">
      <c r="A327" s="32" t="str">
        <f t="shared" si="31"/>
        <v>2024 JAN-DEC DISC 75 LICENSE ESS</v>
      </c>
      <c r="B327" s="33">
        <f t="shared" si="31"/>
        <v>46121</v>
      </c>
      <c r="C327" s="33">
        <f t="shared" si="31"/>
        <v>46127</v>
      </c>
      <c r="D327" s="32">
        <v>3287</v>
      </c>
      <c r="E327" s="32">
        <v>338</v>
      </c>
      <c r="F327" s="32">
        <v>4</v>
      </c>
      <c r="G327" s="32">
        <v>3</v>
      </c>
      <c r="H327" s="32">
        <v>850</v>
      </c>
      <c r="I327" s="32" t="s">
        <v>17</v>
      </c>
      <c r="J327" s="32">
        <v>27378894</v>
      </c>
      <c r="K327" s="32" t="s">
        <v>4029</v>
      </c>
      <c r="L327" s="38" t="s">
        <v>4030</v>
      </c>
      <c r="M327" s="34">
        <v>119900</v>
      </c>
      <c r="N327" s="35">
        <f t="shared" si="32"/>
        <v>0.75</v>
      </c>
      <c r="O327" s="34">
        <f t="shared" si="30"/>
        <v>29975</v>
      </c>
      <c r="P327" s="32" t="s">
        <v>16</v>
      </c>
    </row>
    <row r="328" spans="1:16" x14ac:dyDescent="0.35">
      <c r="A328" s="32" t="str">
        <f t="shared" si="31"/>
        <v>2024 JAN-DEC DISC 75 LICENSE ESS</v>
      </c>
      <c r="B328" s="33">
        <f t="shared" si="31"/>
        <v>46121</v>
      </c>
      <c r="C328" s="33">
        <f t="shared" si="31"/>
        <v>46127</v>
      </c>
      <c r="D328" s="32">
        <v>3287</v>
      </c>
      <c r="E328" s="32">
        <v>338</v>
      </c>
      <c r="F328" s="32">
        <v>4</v>
      </c>
      <c r="G328" s="32">
        <v>3</v>
      </c>
      <c r="H328" s="32">
        <v>850</v>
      </c>
      <c r="I328" s="32" t="s">
        <v>17</v>
      </c>
      <c r="J328" s="32">
        <v>27378901</v>
      </c>
      <c r="K328" s="32" t="s">
        <v>4029</v>
      </c>
      <c r="L328" s="38" t="s">
        <v>4037</v>
      </c>
      <c r="M328" s="34">
        <v>119900</v>
      </c>
      <c r="N328" s="35">
        <f t="shared" si="32"/>
        <v>0.75</v>
      </c>
      <c r="O328" s="34">
        <f t="shared" si="30"/>
        <v>29975</v>
      </c>
      <c r="P328" s="32" t="s">
        <v>16</v>
      </c>
    </row>
    <row r="329" spans="1:16" x14ac:dyDescent="0.35">
      <c r="A329" s="32" t="str">
        <f t="shared" si="31"/>
        <v>2024 JAN-DEC DISC 75 LICENSE ESS</v>
      </c>
      <c r="B329" s="33">
        <f t="shared" si="31"/>
        <v>46121</v>
      </c>
      <c r="C329" s="33">
        <f t="shared" si="31"/>
        <v>46127</v>
      </c>
      <c r="D329" s="32">
        <v>3287</v>
      </c>
      <c r="E329" s="32">
        <v>338</v>
      </c>
      <c r="F329" s="32">
        <v>4</v>
      </c>
      <c r="G329" s="32">
        <v>3</v>
      </c>
      <c r="H329" s="32">
        <v>850</v>
      </c>
      <c r="I329" s="32" t="s">
        <v>17</v>
      </c>
      <c r="J329" s="32">
        <v>27378910</v>
      </c>
      <c r="K329" s="32" t="s">
        <v>4029</v>
      </c>
      <c r="L329" s="38" t="s">
        <v>4031</v>
      </c>
      <c r="M329" s="34">
        <v>119900</v>
      </c>
      <c r="N329" s="35">
        <f t="shared" si="32"/>
        <v>0.75</v>
      </c>
      <c r="O329" s="34">
        <f t="shared" si="30"/>
        <v>29975</v>
      </c>
      <c r="P329" s="32" t="s">
        <v>16</v>
      </c>
    </row>
    <row r="330" spans="1:16" x14ac:dyDescent="0.35">
      <c r="A330" s="32" t="str">
        <f t="shared" si="31"/>
        <v>2024 JAN-DEC DISC 75 LICENSE ESS</v>
      </c>
      <c r="B330" s="33">
        <f t="shared" si="31"/>
        <v>46121</v>
      </c>
      <c r="C330" s="33">
        <f t="shared" si="31"/>
        <v>46127</v>
      </c>
      <c r="D330" s="32">
        <v>3287</v>
      </c>
      <c r="E330" s="32">
        <v>338</v>
      </c>
      <c r="F330" s="32">
        <v>4</v>
      </c>
      <c r="G330" s="32">
        <v>3</v>
      </c>
      <c r="H330" s="32">
        <v>850</v>
      </c>
      <c r="I330" s="32" t="s">
        <v>17</v>
      </c>
      <c r="J330" s="32">
        <v>27378929</v>
      </c>
      <c r="K330" s="32" t="s">
        <v>4029</v>
      </c>
      <c r="L330" s="38" t="s">
        <v>4038</v>
      </c>
      <c r="M330" s="34">
        <v>119900</v>
      </c>
      <c r="N330" s="35">
        <f t="shared" si="32"/>
        <v>0.75</v>
      </c>
      <c r="O330" s="34">
        <f t="shared" si="30"/>
        <v>29975</v>
      </c>
      <c r="P330" s="32" t="s">
        <v>16</v>
      </c>
    </row>
    <row r="331" spans="1:16" x14ac:dyDescent="0.35">
      <c r="A331" s="32" t="str">
        <f t="shared" si="31"/>
        <v>2024 JAN-DEC DISC 75 LICENSE ESS</v>
      </c>
      <c r="B331" s="33">
        <f t="shared" si="31"/>
        <v>46121</v>
      </c>
      <c r="C331" s="33">
        <f t="shared" si="31"/>
        <v>46127</v>
      </c>
      <c r="D331" s="32">
        <v>3287</v>
      </c>
      <c r="E331" s="32">
        <v>338</v>
      </c>
      <c r="F331" s="32">
        <v>4</v>
      </c>
      <c r="G331" s="32">
        <v>3</v>
      </c>
      <c r="H331" s="32">
        <v>81574</v>
      </c>
      <c r="I331" s="32" t="s">
        <v>17</v>
      </c>
      <c r="J331" s="32">
        <v>45812951</v>
      </c>
      <c r="K331" s="32" t="s">
        <v>4275</v>
      </c>
      <c r="L331" s="38" t="s">
        <v>4276</v>
      </c>
      <c r="M331" s="34">
        <v>119900</v>
      </c>
      <c r="N331" s="35">
        <f t="shared" si="32"/>
        <v>0.75</v>
      </c>
      <c r="O331" s="34">
        <f t="shared" si="30"/>
        <v>29975</v>
      </c>
      <c r="P331" s="32" t="s">
        <v>16</v>
      </c>
    </row>
    <row r="332" spans="1:16" x14ac:dyDescent="0.35">
      <c r="A332" s="32" t="str">
        <f t="shared" si="31"/>
        <v>2024 JAN-DEC DISC 75 LICENSE ESS</v>
      </c>
      <c r="B332" s="33">
        <f t="shared" si="31"/>
        <v>46121</v>
      </c>
      <c r="C332" s="33">
        <f t="shared" si="31"/>
        <v>46127</v>
      </c>
      <c r="D332" s="32">
        <v>3287</v>
      </c>
      <c r="E332" s="32">
        <v>338</v>
      </c>
      <c r="F332" s="32">
        <v>4</v>
      </c>
      <c r="G332" s="32">
        <v>3</v>
      </c>
      <c r="H332" s="32">
        <v>81574</v>
      </c>
      <c r="I332" s="32" t="s">
        <v>17</v>
      </c>
      <c r="J332" s="32">
        <v>45812960</v>
      </c>
      <c r="K332" s="32" t="s">
        <v>4275</v>
      </c>
      <c r="L332" s="38" t="s">
        <v>4277</v>
      </c>
      <c r="M332" s="34">
        <v>119900</v>
      </c>
      <c r="N332" s="35">
        <f t="shared" si="32"/>
        <v>0.75</v>
      </c>
      <c r="O332" s="34">
        <f t="shared" si="30"/>
        <v>29975</v>
      </c>
      <c r="P332" s="32" t="s">
        <v>16</v>
      </c>
    </row>
    <row r="333" spans="1:16" x14ac:dyDescent="0.35">
      <c r="A333" s="32" t="str">
        <f t="shared" si="31"/>
        <v>2024 JAN-DEC DISC 75 LICENSE ESS</v>
      </c>
      <c r="B333" s="33">
        <f t="shared" si="31"/>
        <v>46121</v>
      </c>
      <c r="C333" s="33">
        <f t="shared" si="31"/>
        <v>46127</v>
      </c>
      <c r="D333" s="32">
        <v>3287</v>
      </c>
      <c r="E333" s="32">
        <v>338</v>
      </c>
      <c r="F333" s="32">
        <v>4</v>
      </c>
      <c r="G333" s="32">
        <v>3</v>
      </c>
      <c r="H333" s="32">
        <v>81574</v>
      </c>
      <c r="I333" s="32" t="s">
        <v>17</v>
      </c>
      <c r="J333" s="32">
        <v>45812979</v>
      </c>
      <c r="K333" s="32" t="s">
        <v>4275</v>
      </c>
      <c r="L333" s="38" t="s">
        <v>4278</v>
      </c>
      <c r="M333" s="34">
        <v>119900</v>
      </c>
      <c r="N333" s="35">
        <f t="shared" si="32"/>
        <v>0.75</v>
      </c>
      <c r="O333" s="34">
        <f t="shared" si="30"/>
        <v>29975</v>
      </c>
      <c r="P333" s="32" t="s">
        <v>16</v>
      </c>
    </row>
    <row r="334" spans="1:16" x14ac:dyDescent="0.35">
      <c r="A334" s="32" t="str">
        <f t="shared" si="31"/>
        <v>2024 JAN-DEC DISC 75 LICENSE ESS</v>
      </c>
      <c r="B334" s="33">
        <f t="shared" si="31"/>
        <v>46121</v>
      </c>
      <c r="C334" s="33">
        <f t="shared" si="31"/>
        <v>46127</v>
      </c>
      <c r="D334" s="32">
        <v>3287</v>
      </c>
      <c r="E334" s="32">
        <v>338</v>
      </c>
      <c r="F334" s="32">
        <v>4</v>
      </c>
      <c r="G334" s="32">
        <v>7</v>
      </c>
      <c r="H334" s="32">
        <v>81595</v>
      </c>
      <c r="I334" s="32" t="s">
        <v>17</v>
      </c>
      <c r="J334" s="32">
        <v>45812853</v>
      </c>
      <c r="K334" s="32" t="s">
        <v>4301</v>
      </c>
      <c r="L334" s="38" t="s">
        <v>4302</v>
      </c>
      <c r="M334" s="34">
        <v>35900</v>
      </c>
      <c r="N334" s="35">
        <f t="shared" si="32"/>
        <v>0.75</v>
      </c>
      <c r="O334" s="34">
        <f t="shared" si="30"/>
        <v>8975</v>
      </c>
      <c r="P334" s="32" t="s">
        <v>16</v>
      </c>
    </row>
    <row r="335" spans="1:16" x14ac:dyDescent="0.35">
      <c r="A335" s="32" t="str">
        <f t="shared" si="31"/>
        <v>2024 JAN-DEC DISC 75 LICENSE ESS</v>
      </c>
      <c r="B335" s="33">
        <f t="shared" si="31"/>
        <v>46121</v>
      </c>
      <c r="C335" s="33">
        <f t="shared" si="31"/>
        <v>46127</v>
      </c>
      <c r="D335" s="32">
        <v>3287</v>
      </c>
      <c r="E335" s="32">
        <v>338</v>
      </c>
      <c r="F335" s="32">
        <v>4</v>
      </c>
      <c r="G335" s="32">
        <v>7</v>
      </c>
      <c r="H335" s="32">
        <v>81595</v>
      </c>
      <c r="I335" s="32" t="s">
        <v>17</v>
      </c>
      <c r="J335" s="32">
        <v>45812862</v>
      </c>
      <c r="K335" s="32" t="s">
        <v>4301</v>
      </c>
      <c r="L335" s="38" t="s">
        <v>4303</v>
      </c>
      <c r="M335" s="34">
        <v>35900</v>
      </c>
      <c r="N335" s="35">
        <f t="shared" si="32"/>
        <v>0.75</v>
      </c>
      <c r="O335" s="34">
        <f t="shared" si="30"/>
        <v>8975</v>
      </c>
      <c r="P335" s="32" t="s">
        <v>16</v>
      </c>
    </row>
    <row r="336" spans="1:16" x14ac:dyDescent="0.35">
      <c r="A336" s="32" t="str">
        <f t="shared" si="31"/>
        <v>2024 JAN-DEC DISC 75 LICENSE ESS</v>
      </c>
      <c r="B336" s="33">
        <f t="shared" si="31"/>
        <v>46121</v>
      </c>
      <c r="C336" s="33">
        <f t="shared" si="31"/>
        <v>46127</v>
      </c>
      <c r="D336" s="32">
        <v>3287</v>
      </c>
      <c r="E336" s="32">
        <v>338</v>
      </c>
      <c r="F336" s="32">
        <v>4</v>
      </c>
      <c r="G336" s="32">
        <v>7</v>
      </c>
      <c r="H336" s="32">
        <v>81595</v>
      </c>
      <c r="I336" s="32" t="s">
        <v>17</v>
      </c>
      <c r="J336" s="32">
        <v>45812835</v>
      </c>
      <c r="K336" s="32" t="s">
        <v>4304</v>
      </c>
      <c r="L336" s="38" t="s">
        <v>4305</v>
      </c>
      <c r="M336" s="34">
        <v>35900</v>
      </c>
      <c r="N336" s="35">
        <f t="shared" si="32"/>
        <v>0.75</v>
      </c>
      <c r="O336" s="34">
        <f t="shared" si="30"/>
        <v>8975</v>
      </c>
      <c r="P336" s="32" t="s">
        <v>16</v>
      </c>
    </row>
    <row r="337" spans="1:16" x14ac:dyDescent="0.35">
      <c r="A337" s="32" t="str">
        <f t="shared" si="31"/>
        <v>2024 JAN-DEC DISC 75 LICENSE ESS</v>
      </c>
      <c r="B337" s="33">
        <f t="shared" si="31"/>
        <v>46121</v>
      </c>
      <c r="C337" s="33">
        <f t="shared" si="31"/>
        <v>46127</v>
      </c>
      <c r="D337" s="32">
        <v>3287</v>
      </c>
      <c r="E337" s="32">
        <v>338</v>
      </c>
      <c r="F337" s="32">
        <v>4</v>
      </c>
      <c r="G337" s="32">
        <v>7</v>
      </c>
      <c r="H337" s="32">
        <v>81595</v>
      </c>
      <c r="I337" s="32" t="s">
        <v>17</v>
      </c>
      <c r="J337" s="32">
        <v>45812844</v>
      </c>
      <c r="K337" s="32" t="s">
        <v>4304</v>
      </c>
      <c r="L337" s="38" t="s">
        <v>4306</v>
      </c>
      <c r="M337" s="34">
        <v>35900</v>
      </c>
      <c r="N337" s="35">
        <f t="shared" si="32"/>
        <v>0.75</v>
      </c>
      <c r="O337" s="34">
        <f t="shared" si="30"/>
        <v>8975</v>
      </c>
      <c r="P337" s="32" t="s">
        <v>16</v>
      </c>
    </row>
    <row r="338" spans="1:16" x14ac:dyDescent="0.35">
      <c r="A338" s="32" t="str">
        <f t="shared" si="31"/>
        <v>2024 JAN-DEC DISC 75 LICENSE ESS</v>
      </c>
      <c r="B338" s="33">
        <f t="shared" si="31"/>
        <v>46121</v>
      </c>
      <c r="C338" s="33">
        <f t="shared" si="31"/>
        <v>46127</v>
      </c>
      <c r="D338" s="32">
        <v>3287</v>
      </c>
      <c r="E338" s="32">
        <v>338</v>
      </c>
      <c r="F338" s="32">
        <v>4</v>
      </c>
      <c r="G338" s="32">
        <v>7</v>
      </c>
      <c r="H338" s="32">
        <v>81595</v>
      </c>
      <c r="I338" s="32" t="s">
        <v>17</v>
      </c>
      <c r="J338" s="32">
        <v>45812817</v>
      </c>
      <c r="K338" s="32" t="s">
        <v>4307</v>
      </c>
      <c r="L338" s="38" t="s">
        <v>4309</v>
      </c>
      <c r="M338" s="34">
        <v>35900</v>
      </c>
      <c r="N338" s="35">
        <f t="shared" si="32"/>
        <v>0.75</v>
      </c>
      <c r="O338" s="34">
        <f t="shared" si="30"/>
        <v>8975</v>
      </c>
      <c r="P338" s="32" t="s">
        <v>16</v>
      </c>
    </row>
    <row r="339" spans="1:16" x14ac:dyDescent="0.35">
      <c r="A339" s="32" t="str">
        <f t="shared" si="31"/>
        <v>2024 JAN-DEC DISC 75 LICENSE ESS</v>
      </c>
      <c r="B339" s="33">
        <f t="shared" si="31"/>
        <v>46121</v>
      </c>
      <c r="C339" s="33">
        <f t="shared" si="31"/>
        <v>46127</v>
      </c>
      <c r="D339" s="32">
        <v>3287</v>
      </c>
      <c r="E339" s="32">
        <v>338</v>
      </c>
      <c r="F339" s="32">
        <v>4</v>
      </c>
      <c r="G339" s="32">
        <v>7</v>
      </c>
      <c r="H339" s="32">
        <v>81595</v>
      </c>
      <c r="I339" s="32" t="s">
        <v>17</v>
      </c>
      <c r="J339" s="32">
        <v>45812826</v>
      </c>
      <c r="K339" s="32" t="s">
        <v>4307</v>
      </c>
      <c r="L339" s="38" t="s">
        <v>4308</v>
      </c>
      <c r="M339" s="34">
        <v>35900</v>
      </c>
      <c r="N339" s="35">
        <f t="shared" si="32"/>
        <v>0.75</v>
      </c>
      <c r="O339" s="34">
        <f t="shared" si="30"/>
        <v>8975</v>
      </c>
      <c r="P339" s="32" t="s">
        <v>16</v>
      </c>
    </row>
    <row r="340" spans="1:16" x14ac:dyDescent="0.35">
      <c r="A340" s="32" t="str">
        <f t="shared" ref="A340:C355" si="33">A339</f>
        <v>2024 JAN-DEC DISC 75 LICENSE ESS</v>
      </c>
      <c r="B340" s="33">
        <f t="shared" si="33"/>
        <v>46121</v>
      </c>
      <c r="C340" s="33">
        <f t="shared" si="33"/>
        <v>46127</v>
      </c>
      <c r="D340" s="32">
        <v>3287</v>
      </c>
      <c r="E340" s="32">
        <v>338</v>
      </c>
      <c r="F340" s="32">
        <v>4</v>
      </c>
      <c r="G340" s="32">
        <v>10</v>
      </c>
      <c r="H340" s="32">
        <v>81595</v>
      </c>
      <c r="I340" s="32" t="s">
        <v>17</v>
      </c>
      <c r="J340" s="32">
        <v>45451225</v>
      </c>
      <c r="K340" s="32" t="s">
        <v>4980</v>
      </c>
      <c r="L340" s="38" t="s">
        <v>4981</v>
      </c>
      <c r="M340" s="34">
        <v>35900</v>
      </c>
      <c r="N340" s="35">
        <f t="shared" si="32"/>
        <v>0.75</v>
      </c>
      <c r="O340" s="34">
        <f t="shared" si="30"/>
        <v>8975</v>
      </c>
      <c r="P340" s="32" t="s">
        <v>16</v>
      </c>
    </row>
    <row r="341" spans="1:16" x14ac:dyDescent="0.35">
      <c r="A341" s="32" t="str">
        <f t="shared" si="33"/>
        <v>2024 JAN-DEC DISC 75 LICENSE ESS</v>
      </c>
      <c r="B341" s="33">
        <f t="shared" si="33"/>
        <v>46121</v>
      </c>
      <c r="C341" s="33">
        <f t="shared" si="33"/>
        <v>46127</v>
      </c>
      <c r="D341" s="32">
        <v>3287</v>
      </c>
      <c r="E341" s="32">
        <v>338</v>
      </c>
      <c r="F341" s="32">
        <v>4</v>
      </c>
      <c r="G341" s="32">
        <v>10</v>
      </c>
      <c r="H341" s="32">
        <v>81595</v>
      </c>
      <c r="I341" s="32" t="s">
        <v>17</v>
      </c>
      <c r="J341" s="32">
        <v>45451234</v>
      </c>
      <c r="K341" s="32" t="s">
        <v>4980</v>
      </c>
      <c r="L341" s="38" t="s">
        <v>4982</v>
      </c>
      <c r="M341" s="34">
        <v>35900</v>
      </c>
      <c r="N341" s="35">
        <f t="shared" si="32"/>
        <v>0.75</v>
      </c>
      <c r="O341" s="34">
        <f t="shared" si="30"/>
        <v>8975</v>
      </c>
      <c r="P341" s="32" t="s">
        <v>16</v>
      </c>
    </row>
    <row r="342" spans="1:16" x14ac:dyDescent="0.35">
      <c r="A342" s="32" t="str">
        <f t="shared" si="33"/>
        <v>2024 JAN-DEC DISC 75 LICENSE ESS</v>
      </c>
      <c r="B342" s="33">
        <f t="shared" si="33"/>
        <v>46121</v>
      </c>
      <c r="C342" s="33">
        <f t="shared" si="33"/>
        <v>46127</v>
      </c>
      <c r="D342" s="32">
        <v>3287</v>
      </c>
      <c r="E342" s="32">
        <v>338</v>
      </c>
      <c r="F342" s="32">
        <v>4</v>
      </c>
      <c r="G342" s="32">
        <v>10</v>
      </c>
      <c r="H342" s="32">
        <v>81595</v>
      </c>
      <c r="I342" s="32" t="s">
        <v>17</v>
      </c>
      <c r="J342" s="32">
        <v>45451243</v>
      </c>
      <c r="K342" s="32" t="s">
        <v>4983</v>
      </c>
      <c r="L342" s="38" t="s">
        <v>4984</v>
      </c>
      <c r="M342" s="34">
        <v>35900</v>
      </c>
      <c r="N342" s="35">
        <f t="shared" si="32"/>
        <v>0.75</v>
      </c>
      <c r="O342" s="34">
        <f t="shared" si="30"/>
        <v>8975</v>
      </c>
      <c r="P342" s="32" t="s">
        <v>16</v>
      </c>
    </row>
    <row r="343" spans="1:16" x14ac:dyDescent="0.35">
      <c r="A343" s="32" t="str">
        <f t="shared" si="33"/>
        <v>2024 JAN-DEC DISC 75 LICENSE ESS</v>
      </c>
      <c r="B343" s="33">
        <f t="shared" si="33"/>
        <v>46121</v>
      </c>
      <c r="C343" s="33">
        <f t="shared" si="33"/>
        <v>46127</v>
      </c>
      <c r="D343" s="32">
        <v>3287</v>
      </c>
      <c r="E343" s="32">
        <v>338</v>
      </c>
      <c r="F343" s="32">
        <v>4</v>
      </c>
      <c r="G343" s="32">
        <v>10</v>
      </c>
      <c r="H343" s="32">
        <v>81595</v>
      </c>
      <c r="I343" s="32" t="s">
        <v>17</v>
      </c>
      <c r="J343" s="32">
        <v>45451252</v>
      </c>
      <c r="K343" s="32" t="s">
        <v>4983</v>
      </c>
      <c r="L343" s="38" t="s">
        <v>4985</v>
      </c>
      <c r="M343" s="34">
        <v>35900</v>
      </c>
      <c r="N343" s="35">
        <f t="shared" si="32"/>
        <v>0.75</v>
      </c>
      <c r="O343" s="34">
        <f t="shared" si="30"/>
        <v>8975</v>
      </c>
      <c r="P343" s="32" t="s">
        <v>16</v>
      </c>
    </row>
    <row r="344" spans="1:16" x14ac:dyDescent="0.35">
      <c r="A344" s="32" t="str">
        <f t="shared" si="33"/>
        <v>2024 JAN-DEC DISC 75 LICENSE ESS</v>
      </c>
      <c r="B344" s="33">
        <f t="shared" si="33"/>
        <v>46121</v>
      </c>
      <c r="C344" s="33">
        <f t="shared" si="33"/>
        <v>46127</v>
      </c>
      <c r="D344" s="32">
        <v>3287</v>
      </c>
      <c r="E344" s="32">
        <v>338</v>
      </c>
      <c r="F344" s="32">
        <v>4</v>
      </c>
      <c r="G344" s="32">
        <v>3</v>
      </c>
      <c r="H344" s="32">
        <v>81574</v>
      </c>
      <c r="I344" s="32" t="s">
        <v>17</v>
      </c>
      <c r="J344" s="32">
        <v>45812988</v>
      </c>
      <c r="K344" s="32" t="s">
        <v>4275</v>
      </c>
      <c r="L344" s="38" t="s">
        <v>4279</v>
      </c>
      <c r="M344" s="34">
        <v>119900</v>
      </c>
      <c r="N344" s="35">
        <f t="shared" si="32"/>
        <v>0.75</v>
      </c>
      <c r="O344" s="34">
        <f t="shared" si="30"/>
        <v>29975</v>
      </c>
      <c r="P344" s="32" t="s">
        <v>16</v>
      </c>
    </row>
    <row r="345" spans="1:16" x14ac:dyDescent="0.35">
      <c r="A345" s="32" t="str">
        <f t="shared" si="33"/>
        <v>2024 JAN-DEC DISC 75 LICENSE ESS</v>
      </c>
      <c r="B345" s="33">
        <f t="shared" si="33"/>
        <v>46121</v>
      </c>
      <c r="C345" s="33">
        <f t="shared" si="33"/>
        <v>46127</v>
      </c>
      <c r="D345" s="32">
        <v>3287</v>
      </c>
      <c r="E345" s="32">
        <v>338</v>
      </c>
      <c r="F345" s="32">
        <v>4</v>
      </c>
      <c r="G345" s="32">
        <v>3</v>
      </c>
      <c r="H345" s="32">
        <v>81574</v>
      </c>
      <c r="I345" s="32" t="s">
        <v>17</v>
      </c>
      <c r="J345" s="32">
        <v>50341281</v>
      </c>
      <c r="K345" s="32" t="s">
        <v>4310</v>
      </c>
      <c r="L345" s="38" t="s">
        <v>4313</v>
      </c>
      <c r="M345" s="34">
        <v>119900</v>
      </c>
      <c r="N345" s="35">
        <f t="shared" si="32"/>
        <v>0.75</v>
      </c>
      <c r="O345" s="34">
        <f t="shared" si="30"/>
        <v>29975</v>
      </c>
      <c r="P345" s="32" t="s">
        <v>16</v>
      </c>
    </row>
    <row r="346" spans="1:16" x14ac:dyDescent="0.35">
      <c r="A346" s="32" t="str">
        <f t="shared" si="33"/>
        <v>2024 JAN-DEC DISC 75 LICENSE ESS</v>
      </c>
      <c r="B346" s="33">
        <f t="shared" si="33"/>
        <v>46121</v>
      </c>
      <c r="C346" s="33">
        <f t="shared" si="33"/>
        <v>46127</v>
      </c>
      <c r="D346" s="32">
        <v>3287</v>
      </c>
      <c r="E346" s="32">
        <v>338</v>
      </c>
      <c r="F346" s="32">
        <v>4</v>
      </c>
      <c r="G346" s="32">
        <v>3</v>
      </c>
      <c r="H346" s="32">
        <v>81574</v>
      </c>
      <c r="I346" s="32" t="s">
        <v>17</v>
      </c>
      <c r="J346" s="32">
        <v>50341290</v>
      </c>
      <c r="K346" s="32" t="s">
        <v>4310</v>
      </c>
      <c r="L346" s="38" t="s">
        <v>4311</v>
      </c>
      <c r="M346" s="34">
        <v>119900</v>
      </c>
      <c r="N346" s="35">
        <f t="shared" si="32"/>
        <v>0.75</v>
      </c>
      <c r="O346" s="34">
        <f t="shared" si="30"/>
        <v>29975</v>
      </c>
      <c r="P346" s="32" t="s">
        <v>16</v>
      </c>
    </row>
    <row r="347" spans="1:16" x14ac:dyDescent="0.35">
      <c r="A347" s="32" t="str">
        <f t="shared" si="33"/>
        <v>2024 JAN-DEC DISC 75 LICENSE ESS</v>
      </c>
      <c r="B347" s="33">
        <f t="shared" si="33"/>
        <v>46121</v>
      </c>
      <c r="C347" s="33">
        <f t="shared" si="33"/>
        <v>46127</v>
      </c>
      <c r="D347" s="32">
        <v>3287</v>
      </c>
      <c r="E347" s="32">
        <v>338</v>
      </c>
      <c r="F347" s="32">
        <v>4</v>
      </c>
      <c r="G347" s="32">
        <v>3</v>
      </c>
      <c r="H347" s="32">
        <v>81574</v>
      </c>
      <c r="I347" s="32" t="s">
        <v>17</v>
      </c>
      <c r="J347" s="32">
        <v>50341307</v>
      </c>
      <c r="K347" s="32" t="s">
        <v>4310</v>
      </c>
      <c r="L347" s="38" t="s">
        <v>4314</v>
      </c>
      <c r="M347" s="34">
        <v>119900</v>
      </c>
      <c r="N347" s="35">
        <f t="shared" si="32"/>
        <v>0.75</v>
      </c>
      <c r="O347" s="34">
        <f t="shared" si="30"/>
        <v>29975</v>
      </c>
      <c r="P347" s="32" t="s">
        <v>16</v>
      </c>
    </row>
    <row r="348" spans="1:16" x14ac:dyDescent="0.35">
      <c r="A348" s="32" t="str">
        <f t="shared" si="33"/>
        <v>2024 JAN-DEC DISC 75 LICENSE ESS</v>
      </c>
      <c r="B348" s="33">
        <f t="shared" si="33"/>
        <v>46121</v>
      </c>
      <c r="C348" s="33">
        <f t="shared" si="33"/>
        <v>46127</v>
      </c>
      <c r="D348" s="32">
        <v>3287</v>
      </c>
      <c r="E348" s="32">
        <v>338</v>
      </c>
      <c r="F348" s="32">
        <v>4</v>
      </c>
      <c r="G348" s="32">
        <v>3</v>
      </c>
      <c r="H348" s="32">
        <v>81574</v>
      </c>
      <c r="I348" s="32" t="s">
        <v>17</v>
      </c>
      <c r="J348" s="32">
        <v>50341316</v>
      </c>
      <c r="K348" s="32" t="s">
        <v>4310</v>
      </c>
      <c r="L348" s="38" t="s">
        <v>4312</v>
      </c>
      <c r="M348" s="34">
        <v>119900</v>
      </c>
      <c r="N348" s="35">
        <f t="shared" si="32"/>
        <v>0.75</v>
      </c>
      <c r="O348" s="34">
        <f t="shared" si="30"/>
        <v>29975</v>
      </c>
      <c r="P348" s="32" t="s">
        <v>16</v>
      </c>
    </row>
    <row r="349" spans="1:16" x14ac:dyDescent="0.35">
      <c r="A349" s="32" t="str">
        <f t="shared" si="33"/>
        <v>2024 JAN-DEC DISC 75 LICENSE ESS</v>
      </c>
      <c r="B349" s="33">
        <f t="shared" si="33"/>
        <v>46121</v>
      </c>
      <c r="C349" s="33">
        <f t="shared" si="33"/>
        <v>46127</v>
      </c>
      <c r="D349" s="32">
        <v>3287</v>
      </c>
      <c r="E349" s="32">
        <v>338</v>
      </c>
      <c r="F349" s="32">
        <v>4</v>
      </c>
      <c r="G349" s="32">
        <v>8</v>
      </c>
      <c r="H349" s="32">
        <v>81462</v>
      </c>
      <c r="I349" s="32" t="s">
        <v>17</v>
      </c>
      <c r="J349" s="32">
        <v>45450780</v>
      </c>
      <c r="K349" s="32" t="s">
        <v>4928</v>
      </c>
      <c r="L349" s="38" t="s">
        <v>4929</v>
      </c>
      <c r="M349" s="34">
        <v>119900</v>
      </c>
      <c r="N349" s="35">
        <f t="shared" si="32"/>
        <v>0.75</v>
      </c>
      <c r="O349" s="34">
        <f t="shared" si="30"/>
        <v>29975</v>
      </c>
      <c r="P349" s="32" t="s">
        <v>16</v>
      </c>
    </row>
    <row r="350" spans="1:16" x14ac:dyDescent="0.35">
      <c r="A350" s="32" t="str">
        <f t="shared" si="33"/>
        <v>2024 JAN-DEC DISC 75 LICENSE ESS</v>
      </c>
      <c r="B350" s="33">
        <f t="shared" si="33"/>
        <v>46121</v>
      </c>
      <c r="C350" s="33">
        <f t="shared" si="33"/>
        <v>46127</v>
      </c>
      <c r="D350" s="32">
        <v>3287</v>
      </c>
      <c r="E350" s="32">
        <v>338</v>
      </c>
      <c r="F350" s="32">
        <v>4</v>
      </c>
      <c r="G350" s="32">
        <v>8</v>
      </c>
      <c r="H350" s="32">
        <v>81462</v>
      </c>
      <c r="I350" s="32" t="s">
        <v>17</v>
      </c>
      <c r="J350" s="32">
        <v>45450799</v>
      </c>
      <c r="K350" s="32" t="s">
        <v>4928</v>
      </c>
      <c r="L350" s="38" t="s">
        <v>4930</v>
      </c>
      <c r="M350" s="34">
        <v>119900</v>
      </c>
      <c r="N350" s="35">
        <f t="shared" si="32"/>
        <v>0.75</v>
      </c>
      <c r="O350" s="34">
        <f t="shared" si="30"/>
        <v>29975</v>
      </c>
      <c r="P350" s="32" t="s">
        <v>16</v>
      </c>
    </row>
    <row r="351" spans="1:16" x14ac:dyDescent="0.35">
      <c r="A351" s="32" t="str">
        <f t="shared" si="33"/>
        <v>2024 JAN-DEC DISC 75 LICENSE ESS</v>
      </c>
      <c r="B351" s="33">
        <f t="shared" si="33"/>
        <v>46121</v>
      </c>
      <c r="C351" s="33">
        <f t="shared" si="33"/>
        <v>46127</v>
      </c>
      <c r="D351" s="32">
        <v>3287</v>
      </c>
      <c r="E351" s="32">
        <v>338</v>
      </c>
      <c r="F351" s="32">
        <v>4</v>
      </c>
      <c r="G351" s="32">
        <v>8</v>
      </c>
      <c r="H351" s="32">
        <v>81462</v>
      </c>
      <c r="I351" s="32" t="s">
        <v>17</v>
      </c>
      <c r="J351" s="32">
        <v>45450806</v>
      </c>
      <c r="K351" s="32" t="s">
        <v>4928</v>
      </c>
      <c r="L351" s="38" t="s">
        <v>4931</v>
      </c>
      <c r="M351" s="34">
        <v>119900</v>
      </c>
      <c r="N351" s="35">
        <f t="shared" si="32"/>
        <v>0.75</v>
      </c>
      <c r="O351" s="34">
        <f t="shared" si="30"/>
        <v>29975</v>
      </c>
      <c r="P351" s="32" t="s">
        <v>16</v>
      </c>
    </row>
    <row r="352" spans="1:16" x14ac:dyDescent="0.35">
      <c r="A352" s="32" t="str">
        <f t="shared" si="33"/>
        <v>2024 JAN-DEC DISC 75 LICENSE ESS</v>
      </c>
      <c r="B352" s="33">
        <f t="shared" si="33"/>
        <v>46121</v>
      </c>
      <c r="C352" s="33">
        <f t="shared" si="33"/>
        <v>46127</v>
      </c>
      <c r="D352" s="32">
        <v>3287</v>
      </c>
      <c r="E352" s="32">
        <v>338</v>
      </c>
      <c r="F352" s="32">
        <v>4</v>
      </c>
      <c r="G352" s="32">
        <v>8</v>
      </c>
      <c r="H352" s="32">
        <v>81462</v>
      </c>
      <c r="I352" s="32" t="s">
        <v>17</v>
      </c>
      <c r="J352" s="32">
        <v>45450815</v>
      </c>
      <c r="K352" s="32" t="s">
        <v>4928</v>
      </c>
      <c r="L352" s="38" t="s">
        <v>4932</v>
      </c>
      <c r="M352" s="34">
        <v>119900</v>
      </c>
      <c r="N352" s="35">
        <f t="shared" si="32"/>
        <v>0.75</v>
      </c>
      <c r="O352" s="34">
        <f t="shared" si="30"/>
        <v>29975</v>
      </c>
      <c r="P352" s="32" t="s">
        <v>16</v>
      </c>
    </row>
    <row r="353" spans="1:16" x14ac:dyDescent="0.35">
      <c r="A353" s="32" t="str">
        <f t="shared" si="33"/>
        <v>2024 JAN-DEC DISC 75 LICENSE ESS</v>
      </c>
      <c r="B353" s="33">
        <f t="shared" si="33"/>
        <v>46121</v>
      </c>
      <c r="C353" s="33">
        <f t="shared" si="33"/>
        <v>46127</v>
      </c>
      <c r="D353" s="32">
        <v>3287</v>
      </c>
      <c r="E353" s="32">
        <v>338</v>
      </c>
      <c r="F353" s="32">
        <v>4</v>
      </c>
      <c r="G353" s="32">
        <v>8</v>
      </c>
      <c r="H353" s="32">
        <v>81462</v>
      </c>
      <c r="I353" s="32" t="s">
        <v>17</v>
      </c>
      <c r="J353" s="32">
        <v>45450708</v>
      </c>
      <c r="K353" s="32" t="s">
        <v>4918</v>
      </c>
      <c r="L353" s="38" t="s">
        <v>4919</v>
      </c>
      <c r="M353" s="34">
        <v>119900</v>
      </c>
      <c r="N353" s="35">
        <f t="shared" si="32"/>
        <v>0.75</v>
      </c>
      <c r="O353" s="34">
        <f t="shared" si="30"/>
        <v>29975</v>
      </c>
      <c r="P353" s="32" t="s">
        <v>16</v>
      </c>
    </row>
    <row r="354" spans="1:16" x14ac:dyDescent="0.35">
      <c r="A354" s="32" t="str">
        <f t="shared" si="33"/>
        <v>2024 JAN-DEC DISC 75 LICENSE ESS</v>
      </c>
      <c r="B354" s="33">
        <f t="shared" si="33"/>
        <v>46121</v>
      </c>
      <c r="C354" s="33">
        <f t="shared" si="33"/>
        <v>46127</v>
      </c>
      <c r="D354" s="32">
        <v>3287</v>
      </c>
      <c r="E354" s="32">
        <v>338</v>
      </c>
      <c r="F354" s="32">
        <v>4</v>
      </c>
      <c r="G354" s="32">
        <v>8</v>
      </c>
      <c r="H354" s="32">
        <v>81462</v>
      </c>
      <c r="I354" s="32" t="s">
        <v>17</v>
      </c>
      <c r="J354" s="32">
        <v>45450717</v>
      </c>
      <c r="K354" s="32" t="s">
        <v>4918</v>
      </c>
      <c r="L354" s="38" t="s">
        <v>4920</v>
      </c>
      <c r="M354" s="34">
        <v>119900</v>
      </c>
      <c r="N354" s="35">
        <f t="shared" si="32"/>
        <v>0.75</v>
      </c>
      <c r="O354" s="34">
        <f t="shared" si="30"/>
        <v>29975</v>
      </c>
      <c r="P354" s="32" t="s">
        <v>16</v>
      </c>
    </row>
    <row r="355" spans="1:16" x14ac:dyDescent="0.35">
      <c r="A355" s="32" t="str">
        <f t="shared" si="33"/>
        <v>2024 JAN-DEC DISC 75 LICENSE ESS</v>
      </c>
      <c r="B355" s="33">
        <f t="shared" si="33"/>
        <v>46121</v>
      </c>
      <c r="C355" s="33">
        <f t="shared" si="33"/>
        <v>46127</v>
      </c>
      <c r="D355" s="32">
        <v>3287</v>
      </c>
      <c r="E355" s="32">
        <v>338</v>
      </c>
      <c r="F355" s="32">
        <v>4</v>
      </c>
      <c r="G355" s="32">
        <v>8</v>
      </c>
      <c r="H355" s="32">
        <v>81462</v>
      </c>
      <c r="I355" s="32" t="s">
        <v>17</v>
      </c>
      <c r="J355" s="32">
        <v>45450726</v>
      </c>
      <c r="K355" s="32" t="s">
        <v>4918</v>
      </c>
      <c r="L355" s="38" t="s">
        <v>4921</v>
      </c>
      <c r="M355" s="34">
        <v>119900</v>
      </c>
      <c r="N355" s="35">
        <f t="shared" si="32"/>
        <v>0.75</v>
      </c>
      <c r="O355" s="34">
        <f t="shared" si="30"/>
        <v>29975</v>
      </c>
      <c r="P355" s="32" t="s">
        <v>16</v>
      </c>
    </row>
    <row r="356" spans="1:16" x14ac:dyDescent="0.35">
      <c r="A356" s="32" t="str">
        <f t="shared" ref="A356:C371" si="34">A355</f>
        <v>2024 JAN-DEC DISC 75 LICENSE ESS</v>
      </c>
      <c r="B356" s="33">
        <f t="shared" si="34"/>
        <v>46121</v>
      </c>
      <c r="C356" s="33">
        <f t="shared" si="34"/>
        <v>46127</v>
      </c>
      <c r="D356" s="32">
        <v>3287</v>
      </c>
      <c r="E356" s="32">
        <v>338</v>
      </c>
      <c r="F356" s="32">
        <v>4</v>
      </c>
      <c r="G356" s="32">
        <v>8</v>
      </c>
      <c r="H356" s="32">
        <v>81462</v>
      </c>
      <c r="I356" s="32" t="s">
        <v>17</v>
      </c>
      <c r="J356" s="32">
        <v>45450735</v>
      </c>
      <c r="K356" s="32" t="s">
        <v>4918</v>
      </c>
      <c r="L356" s="38" t="s">
        <v>4922</v>
      </c>
      <c r="M356" s="34">
        <v>119900</v>
      </c>
      <c r="N356" s="35">
        <f t="shared" si="32"/>
        <v>0.75</v>
      </c>
      <c r="O356" s="34">
        <f t="shared" si="30"/>
        <v>29975</v>
      </c>
      <c r="P356" s="32" t="s">
        <v>16</v>
      </c>
    </row>
    <row r="357" spans="1:16" x14ac:dyDescent="0.35">
      <c r="A357" s="32" t="str">
        <f t="shared" si="34"/>
        <v>2024 JAN-DEC DISC 75 LICENSE ESS</v>
      </c>
      <c r="B357" s="33">
        <f t="shared" si="34"/>
        <v>46121</v>
      </c>
      <c r="C357" s="33">
        <f t="shared" si="34"/>
        <v>46127</v>
      </c>
      <c r="D357" s="32">
        <v>3287</v>
      </c>
      <c r="E357" s="32">
        <v>338</v>
      </c>
      <c r="F357" s="32">
        <v>4</v>
      </c>
      <c r="G357" s="32">
        <v>8</v>
      </c>
      <c r="H357" s="32">
        <v>81462</v>
      </c>
      <c r="I357" s="32" t="s">
        <v>17</v>
      </c>
      <c r="J357" s="32">
        <v>45450744</v>
      </c>
      <c r="K357" s="32" t="s">
        <v>4923</v>
      </c>
      <c r="L357" s="38" t="s">
        <v>4924</v>
      </c>
      <c r="M357" s="34">
        <v>119900</v>
      </c>
      <c r="N357" s="35">
        <f t="shared" si="32"/>
        <v>0.75</v>
      </c>
      <c r="O357" s="34">
        <f t="shared" si="30"/>
        <v>29975</v>
      </c>
      <c r="P357" s="32" t="s">
        <v>16</v>
      </c>
    </row>
    <row r="358" spans="1:16" x14ac:dyDescent="0.35">
      <c r="A358" s="32" t="str">
        <f t="shared" si="34"/>
        <v>2024 JAN-DEC DISC 75 LICENSE ESS</v>
      </c>
      <c r="B358" s="33">
        <f t="shared" si="34"/>
        <v>46121</v>
      </c>
      <c r="C358" s="33">
        <f t="shared" si="34"/>
        <v>46127</v>
      </c>
      <c r="D358" s="32">
        <v>3287</v>
      </c>
      <c r="E358" s="32">
        <v>338</v>
      </c>
      <c r="F358" s="32">
        <v>4</v>
      </c>
      <c r="G358" s="32">
        <v>8</v>
      </c>
      <c r="H358" s="32">
        <v>81462</v>
      </c>
      <c r="I358" s="32" t="s">
        <v>17</v>
      </c>
      <c r="J358" s="32">
        <v>45450753</v>
      </c>
      <c r="K358" s="32" t="s">
        <v>4923</v>
      </c>
      <c r="L358" s="38" t="s">
        <v>4925</v>
      </c>
      <c r="M358" s="34">
        <v>119900</v>
      </c>
      <c r="N358" s="35">
        <f t="shared" si="32"/>
        <v>0.75</v>
      </c>
      <c r="O358" s="34">
        <f t="shared" si="30"/>
        <v>29975</v>
      </c>
      <c r="P358" s="32" t="s">
        <v>16</v>
      </c>
    </row>
    <row r="359" spans="1:16" x14ac:dyDescent="0.35">
      <c r="A359" s="32" t="str">
        <f t="shared" si="34"/>
        <v>2024 JAN-DEC DISC 75 LICENSE ESS</v>
      </c>
      <c r="B359" s="33">
        <f t="shared" si="34"/>
        <v>46121</v>
      </c>
      <c r="C359" s="33">
        <f t="shared" si="34"/>
        <v>46127</v>
      </c>
      <c r="D359" s="32">
        <v>3287</v>
      </c>
      <c r="E359" s="32">
        <v>338</v>
      </c>
      <c r="F359" s="32">
        <v>4</v>
      </c>
      <c r="G359" s="32">
        <v>8</v>
      </c>
      <c r="H359" s="32">
        <v>81462</v>
      </c>
      <c r="I359" s="32" t="s">
        <v>17</v>
      </c>
      <c r="J359" s="32">
        <v>45450762</v>
      </c>
      <c r="K359" s="32" t="s">
        <v>4923</v>
      </c>
      <c r="L359" s="38" t="s">
        <v>4926</v>
      </c>
      <c r="M359" s="34">
        <v>119900</v>
      </c>
      <c r="N359" s="35">
        <f t="shared" si="32"/>
        <v>0.75</v>
      </c>
      <c r="O359" s="34">
        <f t="shared" si="30"/>
        <v>29975</v>
      </c>
      <c r="P359" s="32" t="s">
        <v>16</v>
      </c>
    </row>
    <row r="360" spans="1:16" x14ac:dyDescent="0.35">
      <c r="A360" s="32" t="str">
        <f t="shared" si="34"/>
        <v>2024 JAN-DEC DISC 75 LICENSE ESS</v>
      </c>
      <c r="B360" s="33">
        <f t="shared" si="34"/>
        <v>46121</v>
      </c>
      <c r="C360" s="33">
        <f t="shared" si="34"/>
        <v>46127</v>
      </c>
      <c r="D360" s="32">
        <v>3287</v>
      </c>
      <c r="E360" s="32">
        <v>338</v>
      </c>
      <c r="F360" s="32">
        <v>4</v>
      </c>
      <c r="G360" s="32">
        <v>8</v>
      </c>
      <c r="H360" s="32">
        <v>81462</v>
      </c>
      <c r="I360" s="32" t="s">
        <v>17</v>
      </c>
      <c r="J360" s="32">
        <v>45450771</v>
      </c>
      <c r="K360" s="32" t="s">
        <v>4923</v>
      </c>
      <c r="L360" s="38" t="s">
        <v>4927</v>
      </c>
      <c r="M360" s="34">
        <v>119900</v>
      </c>
      <c r="N360" s="35">
        <f t="shared" si="32"/>
        <v>0.75</v>
      </c>
      <c r="O360" s="34">
        <f t="shared" si="30"/>
        <v>29975</v>
      </c>
      <c r="P360" s="32" t="s">
        <v>16</v>
      </c>
    </row>
    <row r="361" spans="1:16" x14ac:dyDescent="0.35">
      <c r="A361" s="32" t="str">
        <f t="shared" si="34"/>
        <v>2024 JAN-DEC DISC 75 LICENSE ESS</v>
      </c>
      <c r="B361" s="33">
        <f t="shared" si="34"/>
        <v>46121</v>
      </c>
      <c r="C361" s="33">
        <f t="shared" si="34"/>
        <v>46127</v>
      </c>
      <c r="D361" s="32">
        <v>3287</v>
      </c>
      <c r="E361" s="32">
        <v>338</v>
      </c>
      <c r="F361" s="32">
        <v>4</v>
      </c>
      <c r="G361" s="32">
        <v>2</v>
      </c>
      <c r="H361" s="32">
        <v>850</v>
      </c>
      <c r="I361" s="32" t="s">
        <v>17</v>
      </c>
      <c r="J361" s="32">
        <v>51134691</v>
      </c>
      <c r="K361" s="32" t="s">
        <v>4378</v>
      </c>
      <c r="L361" s="38" t="s">
        <v>4379</v>
      </c>
      <c r="M361" s="34">
        <v>219900</v>
      </c>
      <c r="N361" s="35">
        <f t="shared" si="32"/>
        <v>0.75</v>
      </c>
      <c r="O361" s="34">
        <f t="shared" si="30"/>
        <v>54975</v>
      </c>
      <c r="P361" s="32" t="s">
        <v>16</v>
      </c>
    </row>
    <row r="362" spans="1:16" x14ac:dyDescent="0.35">
      <c r="A362" s="32" t="str">
        <f t="shared" si="34"/>
        <v>2024 JAN-DEC DISC 75 LICENSE ESS</v>
      </c>
      <c r="B362" s="33">
        <f t="shared" si="34"/>
        <v>46121</v>
      </c>
      <c r="C362" s="33">
        <f t="shared" si="34"/>
        <v>46127</v>
      </c>
      <c r="D362" s="32">
        <v>3287</v>
      </c>
      <c r="E362" s="32">
        <v>338</v>
      </c>
      <c r="F362" s="32">
        <v>4</v>
      </c>
      <c r="G362" s="32">
        <v>2</v>
      </c>
      <c r="H362" s="32">
        <v>850</v>
      </c>
      <c r="I362" s="32" t="s">
        <v>17</v>
      </c>
      <c r="J362" s="32">
        <v>51134708</v>
      </c>
      <c r="K362" s="32" t="s">
        <v>4378</v>
      </c>
      <c r="L362" s="38" t="s">
        <v>4385</v>
      </c>
      <c r="M362" s="34">
        <v>219900</v>
      </c>
      <c r="N362" s="35">
        <f t="shared" si="32"/>
        <v>0.75</v>
      </c>
      <c r="O362" s="34">
        <f t="shared" si="30"/>
        <v>54975</v>
      </c>
      <c r="P362" s="32" t="s">
        <v>16</v>
      </c>
    </row>
    <row r="363" spans="1:16" x14ac:dyDescent="0.35">
      <c r="A363" s="32" t="str">
        <f t="shared" si="34"/>
        <v>2024 JAN-DEC DISC 75 LICENSE ESS</v>
      </c>
      <c r="B363" s="33">
        <f t="shared" si="34"/>
        <v>46121</v>
      </c>
      <c r="C363" s="33">
        <f t="shared" si="34"/>
        <v>46127</v>
      </c>
      <c r="D363" s="32">
        <v>3287</v>
      </c>
      <c r="E363" s="32">
        <v>338</v>
      </c>
      <c r="F363" s="32">
        <v>4</v>
      </c>
      <c r="G363" s="32">
        <v>2</v>
      </c>
      <c r="H363" s="32">
        <v>850</v>
      </c>
      <c r="I363" s="32" t="s">
        <v>17</v>
      </c>
      <c r="J363" s="32">
        <v>51134717</v>
      </c>
      <c r="K363" s="32" t="s">
        <v>4378</v>
      </c>
      <c r="L363" s="38" t="s">
        <v>4386</v>
      </c>
      <c r="M363" s="34">
        <v>219900</v>
      </c>
      <c r="N363" s="35">
        <f t="shared" si="32"/>
        <v>0.75</v>
      </c>
      <c r="O363" s="34">
        <f t="shared" si="30"/>
        <v>54975</v>
      </c>
      <c r="P363" s="32" t="s">
        <v>16</v>
      </c>
    </row>
    <row r="364" spans="1:16" x14ac:dyDescent="0.35">
      <c r="A364" s="32" t="str">
        <f t="shared" si="34"/>
        <v>2024 JAN-DEC DISC 75 LICENSE ESS</v>
      </c>
      <c r="B364" s="33">
        <f t="shared" si="34"/>
        <v>46121</v>
      </c>
      <c r="C364" s="33">
        <f t="shared" si="34"/>
        <v>46127</v>
      </c>
      <c r="D364" s="32">
        <v>3287</v>
      </c>
      <c r="E364" s="32">
        <v>338</v>
      </c>
      <c r="F364" s="32">
        <v>4</v>
      </c>
      <c r="G364" s="32">
        <v>2</v>
      </c>
      <c r="H364" s="32">
        <v>850</v>
      </c>
      <c r="I364" s="32" t="s">
        <v>17</v>
      </c>
      <c r="J364" s="32">
        <v>51134726</v>
      </c>
      <c r="K364" s="32" t="s">
        <v>4378</v>
      </c>
      <c r="L364" s="38" t="s">
        <v>4380</v>
      </c>
      <c r="M364" s="34">
        <v>219900</v>
      </c>
      <c r="N364" s="35">
        <f t="shared" si="32"/>
        <v>0.75</v>
      </c>
      <c r="O364" s="34">
        <f t="shared" si="30"/>
        <v>54975</v>
      </c>
      <c r="P364" s="32" t="s">
        <v>16</v>
      </c>
    </row>
    <row r="365" spans="1:16" x14ac:dyDescent="0.35">
      <c r="A365" s="32" t="str">
        <f t="shared" si="34"/>
        <v>2024 JAN-DEC DISC 75 LICENSE ESS</v>
      </c>
      <c r="B365" s="33">
        <f t="shared" si="34"/>
        <v>46121</v>
      </c>
      <c r="C365" s="33">
        <f t="shared" si="34"/>
        <v>46127</v>
      </c>
      <c r="D365" s="32">
        <v>3287</v>
      </c>
      <c r="E365" s="32">
        <v>338</v>
      </c>
      <c r="F365" s="32">
        <v>4</v>
      </c>
      <c r="G365" s="32">
        <v>2</v>
      </c>
      <c r="H365" s="32">
        <v>850</v>
      </c>
      <c r="I365" s="32" t="s">
        <v>17</v>
      </c>
      <c r="J365" s="32">
        <v>51134735</v>
      </c>
      <c r="K365" s="32" t="s">
        <v>4378</v>
      </c>
      <c r="L365" s="38" t="s">
        <v>4384</v>
      </c>
      <c r="M365" s="34">
        <v>229900</v>
      </c>
      <c r="N365" s="35">
        <f t="shared" si="32"/>
        <v>0.75</v>
      </c>
      <c r="O365" s="34">
        <f t="shared" si="30"/>
        <v>57475</v>
      </c>
      <c r="P365" s="32" t="s">
        <v>16</v>
      </c>
    </row>
    <row r="366" spans="1:16" x14ac:dyDescent="0.35">
      <c r="A366" s="32" t="str">
        <f t="shared" si="34"/>
        <v>2024 JAN-DEC DISC 75 LICENSE ESS</v>
      </c>
      <c r="B366" s="33">
        <f t="shared" si="34"/>
        <v>46121</v>
      </c>
      <c r="C366" s="33">
        <f t="shared" si="34"/>
        <v>46127</v>
      </c>
      <c r="D366" s="32">
        <v>3287</v>
      </c>
      <c r="E366" s="32">
        <v>338</v>
      </c>
      <c r="F366" s="32">
        <v>4</v>
      </c>
      <c r="G366" s="32">
        <v>2</v>
      </c>
      <c r="H366" s="32">
        <v>850</v>
      </c>
      <c r="I366" s="32" t="s">
        <v>17</v>
      </c>
      <c r="J366" s="32">
        <v>51134744</v>
      </c>
      <c r="K366" s="32" t="s">
        <v>4378</v>
      </c>
      <c r="L366" s="38" t="s">
        <v>4382</v>
      </c>
      <c r="M366" s="34">
        <v>229900</v>
      </c>
      <c r="N366" s="35">
        <f t="shared" si="32"/>
        <v>0.75</v>
      </c>
      <c r="O366" s="34">
        <f t="shared" si="30"/>
        <v>57475</v>
      </c>
      <c r="P366" s="32" t="s">
        <v>16</v>
      </c>
    </row>
    <row r="367" spans="1:16" x14ac:dyDescent="0.35">
      <c r="A367" s="32" t="str">
        <f t="shared" si="34"/>
        <v>2024 JAN-DEC DISC 75 LICENSE ESS</v>
      </c>
      <c r="B367" s="33">
        <f t="shared" si="34"/>
        <v>46121</v>
      </c>
      <c r="C367" s="33">
        <f t="shared" si="34"/>
        <v>46127</v>
      </c>
      <c r="D367" s="32">
        <v>3287</v>
      </c>
      <c r="E367" s="32">
        <v>338</v>
      </c>
      <c r="F367" s="32">
        <v>4</v>
      </c>
      <c r="G367" s="32">
        <v>2</v>
      </c>
      <c r="H367" s="32">
        <v>850</v>
      </c>
      <c r="I367" s="32" t="s">
        <v>17</v>
      </c>
      <c r="J367" s="32">
        <v>51134753</v>
      </c>
      <c r="K367" s="32" t="s">
        <v>4378</v>
      </c>
      <c r="L367" s="38" t="s">
        <v>4383</v>
      </c>
      <c r="M367" s="34">
        <v>229900</v>
      </c>
      <c r="N367" s="35">
        <f t="shared" si="32"/>
        <v>0.75</v>
      </c>
      <c r="O367" s="34">
        <f t="shared" si="30"/>
        <v>57475</v>
      </c>
      <c r="P367" s="32" t="s">
        <v>16</v>
      </c>
    </row>
    <row r="368" spans="1:16" x14ac:dyDescent="0.35">
      <c r="A368" s="32" t="str">
        <f t="shared" si="34"/>
        <v>2024 JAN-DEC DISC 75 LICENSE ESS</v>
      </c>
      <c r="B368" s="33">
        <f t="shared" si="34"/>
        <v>46121</v>
      </c>
      <c r="C368" s="33">
        <f t="shared" si="34"/>
        <v>46127</v>
      </c>
      <c r="D368" s="32">
        <v>3287</v>
      </c>
      <c r="E368" s="32">
        <v>338</v>
      </c>
      <c r="F368" s="32">
        <v>4</v>
      </c>
      <c r="G368" s="32">
        <v>2</v>
      </c>
      <c r="H368" s="32">
        <v>850</v>
      </c>
      <c r="I368" s="32" t="s">
        <v>17</v>
      </c>
      <c r="J368" s="32">
        <v>51134762</v>
      </c>
      <c r="K368" s="32" t="s">
        <v>4378</v>
      </c>
      <c r="L368" s="38" t="s">
        <v>4381</v>
      </c>
      <c r="M368" s="34">
        <v>229900</v>
      </c>
      <c r="N368" s="35">
        <f t="shared" si="32"/>
        <v>0.75</v>
      </c>
      <c r="O368" s="34">
        <f t="shared" si="30"/>
        <v>57475</v>
      </c>
      <c r="P368" s="32" t="s">
        <v>16</v>
      </c>
    </row>
    <row r="369" spans="1:16" x14ac:dyDescent="0.35">
      <c r="A369" s="32" t="str">
        <f t="shared" si="34"/>
        <v>2024 JAN-DEC DISC 75 LICENSE ESS</v>
      </c>
      <c r="B369" s="33">
        <f t="shared" si="34"/>
        <v>46121</v>
      </c>
      <c r="C369" s="33">
        <f t="shared" si="34"/>
        <v>46127</v>
      </c>
      <c r="D369" s="32">
        <v>3287</v>
      </c>
      <c r="E369" s="32">
        <v>338</v>
      </c>
      <c r="F369" s="32">
        <v>4</v>
      </c>
      <c r="G369" s="32">
        <v>3</v>
      </c>
      <c r="H369" s="32">
        <v>81462</v>
      </c>
      <c r="I369" s="32" t="s">
        <v>17</v>
      </c>
      <c r="J369" s="32">
        <v>51395794</v>
      </c>
      <c r="K369" s="32" t="s">
        <v>4387</v>
      </c>
      <c r="L369" s="38" t="s">
        <v>4391</v>
      </c>
      <c r="M369" s="34">
        <v>119900</v>
      </c>
      <c r="N369" s="35">
        <f t="shared" si="32"/>
        <v>0.75</v>
      </c>
      <c r="O369" s="34">
        <f t="shared" si="30"/>
        <v>29975</v>
      </c>
      <c r="P369" s="32" t="s">
        <v>16</v>
      </c>
    </row>
    <row r="370" spans="1:16" x14ac:dyDescent="0.35">
      <c r="A370" s="32" t="str">
        <f t="shared" si="34"/>
        <v>2024 JAN-DEC DISC 75 LICENSE ESS</v>
      </c>
      <c r="B370" s="33">
        <f t="shared" si="34"/>
        <v>46121</v>
      </c>
      <c r="C370" s="33">
        <f t="shared" si="34"/>
        <v>46127</v>
      </c>
      <c r="D370" s="32">
        <v>3287</v>
      </c>
      <c r="E370" s="32">
        <v>338</v>
      </c>
      <c r="F370" s="32">
        <v>4</v>
      </c>
      <c r="G370" s="32">
        <v>3</v>
      </c>
      <c r="H370" s="32">
        <v>81462</v>
      </c>
      <c r="I370" s="32" t="s">
        <v>17</v>
      </c>
      <c r="J370" s="32">
        <v>51395801</v>
      </c>
      <c r="K370" s="32" t="s">
        <v>4387</v>
      </c>
      <c r="L370" s="38" t="s">
        <v>4390</v>
      </c>
      <c r="M370" s="34">
        <v>119900</v>
      </c>
      <c r="N370" s="35">
        <f t="shared" si="32"/>
        <v>0.75</v>
      </c>
      <c r="O370" s="34">
        <f t="shared" si="30"/>
        <v>29975</v>
      </c>
      <c r="P370" s="32" t="s">
        <v>16</v>
      </c>
    </row>
    <row r="371" spans="1:16" x14ac:dyDescent="0.35">
      <c r="A371" s="32" t="str">
        <f t="shared" si="34"/>
        <v>2024 JAN-DEC DISC 75 LICENSE ESS</v>
      </c>
      <c r="B371" s="33">
        <f t="shared" si="34"/>
        <v>46121</v>
      </c>
      <c r="C371" s="33">
        <f t="shared" si="34"/>
        <v>46127</v>
      </c>
      <c r="D371" s="32">
        <v>3287</v>
      </c>
      <c r="E371" s="32">
        <v>338</v>
      </c>
      <c r="F371" s="32">
        <v>4</v>
      </c>
      <c r="G371" s="32">
        <v>3</v>
      </c>
      <c r="H371" s="32">
        <v>81462</v>
      </c>
      <c r="I371" s="32" t="s">
        <v>17</v>
      </c>
      <c r="J371" s="32">
        <v>51395810</v>
      </c>
      <c r="K371" s="32" t="s">
        <v>4387</v>
      </c>
      <c r="L371" s="38" t="s">
        <v>4388</v>
      </c>
      <c r="M371" s="34">
        <v>119900</v>
      </c>
      <c r="N371" s="35">
        <f t="shared" si="32"/>
        <v>0.75</v>
      </c>
      <c r="O371" s="34">
        <f t="shared" si="30"/>
        <v>29975</v>
      </c>
      <c r="P371" s="32" t="s">
        <v>16</v>
      </c>
    </row>
    <row r="372" spans="1:16" x14ac:dyDescent="0.35">
      <c r="A372" s="32" t="str">
        <f t="shared" ref="A372:C387" si="35">A371</f>
        <v>2024 JAN-DEC DISC 75 LICENSE ESS</v>
      </c>
      <c r="B372" s="33">
        <f t="shared" si="35"/>
        <v>46121</v>
      </c>
      <c r="C372" s="33">
        <f t="shared" si="35"/>
        <v>46127</v>
      </c>
      <c r="D372" s="32">
        <v>3287</v>
      </c>
      <c r="E372" s="32">
        <v>338</v>
      </c>
      <c r="F372" s="32">
        <v>4</v>
      </c>
      <c r="G372" s="32">
        <v>3</v>
      </c>
      <c r="H372" s="32">
        <v>81462</v>
      </c>
      <c r="I372" s="32" t="s">
        <v>17</v>
      </c>
      <c r="J372" s="32">
        <v>51395829</v>
      </c>
      <c r="K372" s="32" t="s">
        <v>4387</v>
      </c>
      <c r="L372" s="38" t="s">
        <v>4389</v>
      </c>
      <c r="M372" s="34">
        <v>119900</v>
      </c>
      <c r="N372" s="35">
        <f t="shared" si="32"/>
        <v>0.75</v>
      </c>
      <c r="O372" s="34">
        <f t="shared" si="30"/>
        <v>29975</v>
      </c>
      <c r="P372" s="32" t="s">
        <v>16</v>
      </c>
    </row>
    <row r="373" spans="1:16" x14ac:dyDescent="0.35">
      <c r="A373" s="32" t="str">
        <f t="shared" si="35"/>
        <v>2024 JAN-DEC DISC 75 LICENSE ESS</v>
      </c>
      <c r="B373" s="33">
        <f t="shared" si="35"/>
        <v>46121</v>
      </c>
      <c r="C373" s="33">
        <f t="shared" si="35"/>
        <v>46127</v>
      </c>
      <c r="D373" s="32">
        <v>3287</v>
      </c>
      <c r="E373" s="32">
        <v>338</v>
      </c>
      <c r="F373" s="32">
        <v>4</v>
      </c>
      <c r="G373" s="32">
        <v>7</v>
      </c>
      <c r="H373" s="32">
        <v>81595</v>
      </c>
      <c r="I373" s="32" t="s">
        <v>17</v>
      </c>
      <c r="J373" s="32">
        <v>50341245</v>
      </c>
      <c r="K373" s="32" t="s">
        <v>4372</v>
      </c>
      <c r="L373" s="38" t="s">
        <v>4373</v>
      </c>
      <c r="M373" s="34">
        <v>35900</v>
      </c>
      <c r="N373" s="35">
        <f t="shared" si="32"/>
        <v>0.75</v>
      </c>
      <c r="O373" s="34">
        <f t="shared" si="30"/>
        <v>8975</v>
      </c>
      <c r="P373" s="32" t="s">
        <v>16</v>
      </c>
    </row>
    <row r="374" spans="1:16" x14ac:dyDescent="0.35">
      <c r="A374" s="32" t="str">
        <f t="shared" si="35"/>
        <v>2024 JAN-DEC DISC 75 LICENSE ESS</v>
      </c>
      <c r="B374" s="33">
        <f t="shared" si="35"/>
        <v>46121</v>
      </c>
      <c r="C374" s="33">
        <f t="shared" si="35"/>
        <v>46127</v>
      </c>
      <c r="D374" s="32">
        <v>3287</v>
      </c>
      <c r="E374" s="32">
        <v>338</v>
      </c>
      <c r="F374" s="32">
        <v>4</v>
      </c>
      <c r="G374" s="32">
        <v>7</v>
      </c>
      <c r="H374" s="32">
        <v>81595</v>
      </c>
      <c r="I374" s="32" t="s">
        <v>17</v>
      </c>
      <c r="J374" s="32">
        <v>50341254</v>
      </c>
      <c r="K374" s="32" t="s">
        <v>4372</v>
      </c>
      <c r="L374" s="38" t="s">
        <v>4376</v>
      </c>
      <c r="M374" s="34">
        <v>35900</v>
      </c>
      <c r="N374" s="35">
        <f t="shared" si="32"/>
        <v>0.75</v>
      </c>
      <c r="O374" s="34">
        <f t="shared" si="30"/>
        <v>8975</v>
      </c>
      <c r="P374" s="32" t="s">
        <v>16</v>
      </c>
    </row>
    <row r="375" spans="1:16" x14ac:dyDescent="0.35">
      <c r="A375" s="32" t="str">
        <f t="shared" si="35"/>
        <v>2024 JAN-DEC DISC 75 LICENSE ESS</v>
      </c>
      <c r="B375" s="33">
        <f t="shared" si="35"/>
        <v>46121</v>
      </c>
      <c r="C375" s="33">
        <f t="shared" si="35"/>
        <v>46127</v>
      </c>
      <c r="D375" s="32">
        <v>3287</v>
      </c>
      <c r="E375" s="32">
        <v>338</v>
      </c>
      <c r="F375" s="32">
        <v>4</v>
      </c>
      <c r="G375" s="32">
        <v>7</v>
      </c>
      <c r="H375" s="32">
        <v>81595</v>
      </c>
      <c r="I375" s="32" t="s">
        <v>17</v>
      </c>
      <c r="J375" s="32">
        <v>50341263</v>
      </c>
      <c r="K375" s="32" t="s">
        <v>4374</v>
      </c>
      <c r="L375" s="38" t="s">
        <v>4375</v>
      </c>
      <c r="M375" s="34">
        <v>35900</v>
      </c>
      <c r="N375" s="35">
        <f t="shared" si="32"/>
        <v>0.75</v>
      </c>
      <c r="O375" s="34">
        <f t="shared" si="30"/>
        <v>8975</v>
      </c>
      <c r="P375" s="32" t="s">
        <v>16</v>
      </c>
    </row>
    <row r="376" spans="1:16" x14ac:dyDescent="0.35">
      <c r="A376" s="32" t="str">
        <f t="shared" si="35"/>
        <v>2024 JAN-DEC DISC 75 LICENSE ESS</v>
      </c>
      <c r="B376" s="33">
        <f t="shared" si="35"/>
        <v>46121</v>
      </c>
      <c r="C376" s="33">
        <f t="shared" si="35"/>
        <v>46127</v>
      </c>
      <c r="D376" s="32">
        <v>3287</v>
      </c>
      <c r="E376" s="32">
        <v>338</v>
      </c>
      <c r="F376" s="32">
        <v>4</v>
      </c>
      <c r="G376" s="32">
        <v>7</v>
      </c>
      <c r="H376" s="32">
        <v>81595</v>
      </c>
      <c r="I376" s="32" t="s">
        <v>17</v>
      </c>
      <c r="J376" s="32">
        <v>50341272</v>
      </c>
      <c r="K376" s="32" t="s">
        <v>4374</v>
      </c>
      <c r="L376" s="38" t="s">
        <v>4377</v>
      </c>
      <c r="M376" s="34">
        <v>35900</v>
      </c>
      <c r="N376" s="35">
        <f t="shared" si="32"/>
        <v>0.75</v>
      </c>
      <c r="O376" s="34">
        <f t="shared" si="30"/>
        <v>8975</v>
      </c>
      <c r="P376" s="32" t="s">
        <v>16</v>
      </c>
    </row>
    <row r="377" spans="1:16" x14ac:dyDescent="0.35">
      <c r="A377" s="32" t="str">
        <f t="shared" si="35"/>
        <v>2024 JAN-DEC DISC 75 LICENSE ESS</v>
      </c>
      <c r="B377" s="33">
        <f t="shared" si="35"/>
        <v>46121</v>
      </c>
      <c r="C377" s="33">
        <f t="shared" si="35"/>
        <v>46127</v>
      </c>
      <c r="D377" s="32">
        <v>3287</v>
      </c>
      <c r="E377" s="32">
        <v>338</v>
      </c>
      <c r="F377" s="32">
        <v>4</v>
      </c>
      <c r="G377" s="32">
        <v>9</v>
      </c>
      <c r="H377" s="32">
        <v>81462</v>
      </c>
      <c r="I377" s="32" t="s">
        <v>17</v>
      </c>
      <c r="J377" s="32">
        <v>45450860</v>
      </c>
      <c r="K377" s="32" t="s">
        <v>4933</v>
      </c>
      <c r="L377" s="38" t="s">
        <v>4934</v>
      </c>
      <c r="M377" s="34">
        <v>229900</v>
      </c>
      <c r="N377" s="35">
        <f t="shared" si="32"/>
        <v>0.75</v>
      </c>
      <c r="O377" s="34">
        <f t="shared" si="30"/>
        <v>57475</v>
      </c>
      <c r="P377" s="32" t="s">
        <v>16</v>
      </c>
    </row>
    <row r="378" spans="1:16" x14ac:dyDescent="0.35">
      <c r="A378" s="32" t="str">
        <f t="shared" si="35"/>
        <v>2024 JAN-DEC DISC 75 LICENSE ESS</v>
      </c>
      <c r="B378" s="33">
        <f t="shared" si="35"/>
        <v>46121</v>
      </c>
      <c r="C378" s="33">
        <f t="shared" si="35"/>
        <v>46127</v>
      </c>
      <c r="D378" s="32">
        <v>3287</v>
      </c>
      <c r="E378" s="32">
        <v>338</v>
      </c>
      <c r="F378" s="32">
        <v>4</v>
      </c>
      <c r="G378" s="32">
        <v>9</v>
      </c>
      <c r="H378" s="32">
        <v>81462</v>
      </c>
      <c r="I378" s="32" t="s">
        <v>17</v>
      </c>
      <c r="J378" s="32">
        <v>45450879</v>
      </c>
      <c r="K378" s="32" t="s">
        <v>4933</v>
      </c>
      <c r="L378" s="38" t="s">
        <v>4935</v>
      </c>
      <c r="M378" s="34">
        <v>229900</v>
      </c>
      <c r="N378" s="35">
        <f t="shared" si="32"/>
        <v>0.75</v>
      </c>
      <c r="O378" s="34">
        <f t="shared" si="30"/>
        <v>57475</v>
      </c>
      <c r="P378" s="32" t="s">
        <v>16</v>
      </c>
    </row>
    <row r="379" spans="1:16" x14ac:dyDescent="0.35">
      <c r="A379" s="32" t="str">
        <f t="shared" si="35"/>
        <v>2024 JAN-DEC DISC 75 LICENSE ESS</v>
      </c>
      <c r="B379" s="33">
        <f t="shared" si="35"/>
        <v>46121</v>
      </c>
      <c r="C379" s="33">
        <f t="shared" si="35"/>
        <v>46127</v>
      </c>
      <c r="D379" s="32">
        <v>3287</v>
      </c>
      <c r="E379" s="32">
        <v>338</v>
      </c>
      <c r="F379" s="32">
        <v>4</v>
      </c>
      <c r="G379" s="32">
        <v>9</v>
      </c>
      <c r="H379" s="32">
        <v>81462</v>
      </c>
      <c r="I379" s="32" t="s">
        <v>17</v>
      </c>
      <c r="J379" s="32">
        <v>45450888</v>
      </c>
      <c r="K379" s="32" t="s">
        <v>4933</v>
      </c>
      <c r="L379" s="38" t="s">
        <v>4936</v>
      </c>
      <c r="M379" s="34">
        <v>229900</v>
      </c>
      <c r="N379" s="35">
        <f t="shared" si="32"/>
        <v>0.75</v>
      </c>
      <c r="O379" s="34">
        <f t="shared" si="30"/>
        <v>57475</v>
      </c>
      <c r="P379" s="32" t="s">
        <v>16</v>
      </c>
    </row>
    <row r="380" spans="1:16" x14ac:dyDescent="0.35">
      <c r="A380" s="32" t="str">
        <f t="shared" si="35"/>
        <v>2024 JAN-DEC DISC 75 LICENSE ESS</v>
      </c>
      <c r="B380" s="33">
        <f t="shared" si="35"/>
        <v>46121</v>
      </c>
      <c r="C380" s="33">
        <f t="shared" si="35"/>
        <v>46127</v>
      </c>
      <c r="D380" s="32">
        <v>3287</v>
      </c>
      <c r="E380" s="32">
        <v>338</v>
      </c>
      <c r="F380" s="32">
        <v>4</v>
      </c>
      <c r="G380" s="32">
        <v>9</v>
      </c>
      <c r="H380" s="32">
        <v>81462</v>
      </c>
      <c r="I380" s="32" t="s">
        <v>17</v>
      </c>
      <c r="J380" s="32">
        <v>45450897</v>
      </c>
      <c r="K380" s="32" t="s">
        <v>4933</v>
      </c>
      <c r="L380" s="38" t="s">
        <v>4937</v>
      </c>
      <c r="M380" s="34">
        <v>229900</v>
      </c>
      <c r="N380" s="35">
        <f t="shared" si="32"/>
        <v>0.75</v>
      </c>
      <c r="O380" s="34">
        <f t="shared" si="30"/>
        <v>57475</v>
      </c>
      <c r="P380" s="32" t="s">
        <v>16</v>
      </c>
    </row>
    <row r="381" spans="1:16" x14ac:dyDescent="0.35">
      <c r="A381" s="32" t="str">
        <f t="shared" si="35"/>
        <v>2024 JAN-DEC DISC 75 LICENSE ESS</v>
      </c>
      <c r="B381" s="33">
        <f t="shared" si="35"/>
        <v>46121</v>
      </c>
      <c r="C381" s="33">
        <f t="shared" si="35"/>
        <v>46127</v>
      </c>
      <c r="D381" s="32">
        <v>3287</v>
      </c>
      <c r="E381" s="32">
        <v>338</v>
      </c>
      <c r="F381" s="32">
        <v>4</v>
      </c>
      <c r="G381" s="32">
        <v>9</v>
      </c>
      <c r="H381" s="32">
        <v>81462</v>
      </c>
      <c r="I381" s="32" t="s">
        <v>17</v>
      </c>
      <c r="J381" s="32">
        <v>45450904</v>
      </c>
      <c r="K381" s="32" t="s">
        <v>4933</v>
      </c>
      <c r="L381" s="38" t="s">
        <v>4938</v>
      </c>
      <c r="M381" s="34">
        <v>239900</v>
      </c>
      <c r="N381" s="35">
        <f t="shared" si="32"/>
        <v>0.75</v>
      </c>
      <c r="O381" s="34">
        <f t="shared" si="30"/>
        <v>59975</v>
      </c>
      <c r="P381" s="32" t="s">
        <v>16</v>
      </c>
    </row>
    <row r="382" spans="1:16" x14ac:dyDescent="0.35">
      <c r="A382" s="32" t="str">
        <f t="shared" si="35"/>
        <v>2024 JAN-DEC DISC 75 LICENSE ESS</v>
      </c>
      <c r="B382" s="33">
        <f t="shared" si="35"/>
        <v>46121</v>
      </c>
      <c r="C382" s="33">
        <f t="shared" si="35"/>
        <v>46127</v>
      </c>
      <c r="D382" s="32">
        <v>3287</v>
      </c>
      <c r="E382" s="32">
        <v>338</v>
      </c>
      <c r="F382" s="32">
        <v>4</v>
      </c>
      <c r="G382" s="32">
        <v>9</v>
      </c>
      <c r="H382" s="32">
        <v>81462</v>
      </c>
      <c r="I382" s="32" t="s">
        <v>17</v>
      </c>
      <c r="J382" s="32">
        <v>45450913</v>
      </c>
      <c r="K382" s="32" t="s">
        <v>4933</v>
      </c>
      <c r="L382" s="38" t="s">
        <v>4939</v>
      </c>
      <c r="M382" s="34">
        <v>239900</v>
      </c>
      <c r="N382" s="35">
        <f t="shared" si="32"/>
        <v>0.75</v>
      </c>
      <c r="O382" s="34">
        <f t="shared" si="30"/>
        <v>59975</v>
      </c>
      <c r="P382" s="32" t="s">
        <v>16</v>
      </c>
    </row>
    <row r="383" spans="1:16" x14ac:dyDescent="0.35">
      <c r="A383" s="32" t="str">
        <f t="shared" si="35"/>
        <v>2024 JAN-DEC DISC 75 LICENSE ESS</v>
      </c>
      <c r="B383" s="33">
        <f t="shared" si="35"/>
        <v>46121</v>
      </c>
      <c r="C383" s="33">
        <f t="shared" si="35"/>
        <v>46127</v>
      </c>
      <c r="D383" s="32">
        <v>3287</v>
      </c>
      <c r="E383" s="32">
        <v>338</v>
      </c>
      <c r="F383" s="32">
        <v>4</v>
      </c>
      <c r="G383" s="32">
        <v>9</v>
      </c>
      <c r="H383" s="32">
        <v>81462</v>
      </c>
      <c r="I383" s="32" t="s">
        <v>17</v>
      </c>
      <c r="J383" s="32">
        <v>45450922</v>
      </c>
      <c r="K383" s="32" t="s">
        <v>4933</v>
      </c>
      <c r="L383" s="38" t="s">
        <v>4940</v>
      </c>
      <c r="M383" s="34">
        <v>239900</v>
      </c>
      <c r="N383" s="35">
        <f t="shared" si="32"/>
        <v>0.75</v>
      </c>
      <c r="O383" s="34">
        <f t="shared" si="30"/>
        <v>59975</v>
      </c>
      <c r="P383" s="32" t="s">
        <v>16</v>
      </c>
    </row>
    <row r="384" spans="1:16" x14ac:dyDescent="0.35">
      <c r="A384" s="32" t="str">
        <f t="shared" si="35"/>
        <v>2024 JAN-DEC DISC 75 LICENSE ESS</v>
      </c>
      <c r="B384" s="33">
        <f t="shared" si="35"/>
        <v>46121</v>
      </c>
      <c r="C384" s="33">
        <f t="shared" si="35"/>
        <v>46127</v>
      </c>
      <c r="D384" s="32">
        <v>3287</v>
      </c>
      <c r="E384" s="32">
        <v>338</v>
      </c>
      <c r="F384" s="32">
        <v>4</v>
      </c>
      <c r="G384" s="32">
        <v>9</v>
      </c>
      <c r="H384" s="32">
        <v>81462</v>
      </c>
      <c r="I384" s="32" t="s">
        <v>17</v>
      </c>
      <c r="J384" s="32">
        <v>45450931</v>
      </c>
      <c r="K384" s="32" t="s">
        <v>4933</v>
      </c>
      <c r="L384" s="38" t="s">
        <v>4941</v>
      </c>
      <c r="M384" s="34">
        <v>239900</v>
      </c>
      <c r="N384" s="35">
        <f t="shared" si="32"/>
        <v>0.75</v>
      </c>
      <c r="O384" s="34">
        <f t="shared" si="30"/>
        <v>59975</v>
      </c>
      <c r="P384" s="32" t="s">
        <v>16</v>
      </c>
    </row>
    <row r="385" spans="1:16" x14ac:dyDescent="0.35">
      <c r="A385" s="32" t="str">
        <f t="shared" si="35"/>
        <v>2024 JAN-DEC DISC 75 LICENSE ESS</v>
      </c>
      <c r="B385" s="33">
        <f t="shared" si="35"/>
        <v>46121</v>
      </c>
      <c r="C385" s="33">
        <f t="shared" si="35"/>
        <v>46127</v>
      </c>
      <c r="D385" s="32">
        <v>3287</v>
      </c>
      <c r="E385" s="32">
        <v>338</v>
      </c>
      <c r="F385" s="32">
        <v>4</v>
      </c>
      <c r="G385" s="32">
        <v>10</v>
      </c>
      <c r="H385" s="32">
        <v>81595</v>
      </c>
      <c r="I385" s="32" t="s">
        <v>17</v>
      </c>
      <c r="J385" s="32">
        <v>50036316</v>
      </c>
      <c r="K385" s="32" t="s">
        <v>4986</v>
      </c>
      <c r="L385" s="38" t="s">
        <v>4987</v>
      </c>
      <c r="M385" s="34">
        <v>35900</v>
      </c>
      <c r="N385" s="35">
        <f t="shared" si="32"/>
        <v>0.75</v>
      </c>
      <c r="O385" s="34">
        <f t="shared" si="30"/>
        <v>8975</v>
      </c>
      <c r="P385" s="32" t="s">
        <v>16</v>
      </c>
    </row>
    <row r="386" spans="1:16" x14ac:dyDescent="0.35">
      <c r="A386" s="32" t="str">
        <f t="shared" si="35"/>
        <v>2024 JAN-DEC DISC 75 LICENSE ESS</v>
      </c>
      <c r="B386" s="33">
        <f t="shared" si="35"/>
        <v>46121</v>
      </c>
      <c r="C386" s="33">
        <f t="shared" si="35"/>
        <v>46127</v>
      </c>
      <c r="D386" s="32">
        <v>3287</v>
      </c>
      <c r="E386" s="32">
        <v>338</v>
      </c>
      <c r="F386" s="32">
        <v>4</v>
      </c>
      <c r="G386" s="32">
        <v>10</v>
      </c>
      <c r="H386" s="32">
        <v>81595</v>
      </c>
      <c r="I386" s="32" t="s">
        <v>17</v>
      </c>
      <c r="J386" s="32">
        <v>50036325</v>
      </c>
      <c r="K386" s="32" t="s">
        <v>4986</v>
      </c>
      <c r="L386" s="38" t="s">
        <v>4988</v>
      </c>
      <c r="M386" s="34">
        <v>35900</v>
      </c>
      <c r="N386" s="35">
        <f t="shared" si="32"/>
        <v>0.75</v>
      </c>
      <c r="O386" s="34">
        <f t="shared" si="30"/>
        <v>8975</v>
      </c>
      <c r="P386" s="32" t="s">
        <v>16</v>
      </c>
    </row>
    <row r="387" spans="1:16" x14ac:dyDescent="0.35">
      <c r="A387" s="32" t="str">
        <f t="shared" si="35"/>
        <v>2024 JAN-DEC DISC 75 LICENSE ESS</v>
      </c>
      <c r="B387" s="33">
        <f t="shared" si="35"/>
        <v>46121</v>
      </c>
      <c r="C387" s="33">
        <f t="shared" si="35"/>
        <v>46127</v>
      </c>
      <c r="D387" s="32">
        <v>3287</v>
      </c>
      <c r="E387" s="32">
        <v>338</v>
      </c>
      <c r="F387" s="32">
        <v>4</v>
      </c>
      <c r="G387" s="32">
        <v>10</v>
      </c>
      <c r="H387" s="32">
        <v>81595</v>
      </c>
      <c r="I387" s="32" t="s">
        <v>17</v>
      </c>
      <c r="J387" s="32">
        <v>50036334</v>
      </c>
      <c r="K387" s="32" t="s">
        <v>4989</v>
      </c>
      <c r="L387" s="38" t="s">
        <v>4990</v>
      </c>
      <c r="M387" s="34">
        <v>35900</v>
      </c>
      <c r="N387" s="35">
        <f t="shared" si="32"/>
        <v>0.75</v>
      </c>
      <c r="O387" s="34">
        <f t="shared" ref="O387:O388" si="36">M387-((75*M387)/100)</f>
        <v>8975</v>
      </c>
      <c r="P387" s="32" t="s">
        <v>16</v>
      </c>
    </row>
    <row r="388" spans="1:16" x14ac:dyDescent="0.35">
      <c r="A388" s="32" t="str">
        <f t="shared" ref="A388:C388" si="37">A387</f>
        <v>2024 JAN-DEC DISC 75 LICENSE ESS</v>
      </c>
      <c r="B388" s="33">
        <f t="shared" si="37"/>
        <v>46121</v>
      </c>
      <c r="C388" s="33">
        <f t="shared" si="37"/>
        <v>46127</v>
      </c>
      <c r="D388" s="32">
        <v>3287</v>
      </c>
      <c r="E388" s="32">
        <v>338</v>
      </c>
      <c r="F388" s="32">
        <v>4</v>
      </c>
      <c r="G388" s="32">
        <v>10</v>
      </c>
      <c r="H388" s="32">
        <v>81595</v>
      </c>
      <c r="I388" s="32" t="s">
        <v>17</v>
      </c>
      <c r="J388" s="32">
        <v>50036343</v>
      </c>
      <c r="K388" s="32" t="s">
        <v>4989</v>
      </c>
      <c r="L388" s="38" t="s">
        <v>4991</v>
      </c>
      <c r="M388" s="34">
        <v>35900</v>
      </c>
      <c r="N388" s="35">
        <f t="shared" ref="N388" si="38">N387</f>
        <v>0.75</v>
      </c>
      <c r="O388" s="34">
        <f t="shared" si="36"/>
        <v>8975</v>
      </c>
      <c r="P388" s="32" t="s">
        <v>16</v>
      </c>
    </row>
  </sheetData>
  <phoneticPr fontId="8" type="noConversion"/>
  <conditionalFormatting sqref="J1 J389:J1048576">
    <cfRule type="duplicateValues" dxfId="1" priority="2"/>
  </conditionalFormatting>
  <conditionalFormatting sqref="J2:J388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48"/>
  <sheetViews>
    <sheetView zoomScale="74" zoomScaleNormal="100" workbookViewId="0">
      <pane ySplit="1" topLeftCell="A2" activePane="bottomLeft" state="frozen"/>
      <selection activeCell="M23" sqref="M23"/>
      <selection pane="bottomLeft" activeCell="I299" sqref="I299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6509</v>
      </c>
      <c r="B2" s="7">
        <f>'2025 HILITE D80 - 3321'!B2</f>
        <v>46121</v>
      </c>
      <c r="C2" s="7">
        <f>'2025 HILITE D80 - 3321'!C2</f>
        <v>46127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31302653</v>
      </c>
      <c r="K2" s="6" t="s">
        <v>5008</v>
      </c>
      <c r="L2" s="6" t="s">
        <v>5009</v>
      </c>
      <c r="M2" s="8">
        <v>34900</v>
      </c>
      <c r="N2" s="9">
        <v>0.9</v>
      </c>
      <c r="O2" s="8">
        <f>M2-((90*M2)/100)</f>
        <v>3490</v>
      </c>
      <c r="P2" s="6" t="s">
        <v>16</v>
      </c>
    </row>
    <row r="3" spans="1:16" x14ac:dyDescent="0.35">
      <c r="A3" s="6" t="s">
        <v>6509</v>
      </c>
      <c r="B3" s="7">
        <f>B2</f>
        <v>46121</v>
      </c>
      <c r="C3" s="7">
        <f>C2</f>
        <v>46127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31302662</v>
      </c>
      <c r="K3" s="6" t="s">
        <v>5008</v>
      </c>
      <c r="L3" s="6" t="s">
        <v>5010</v>
      </c>
      <c r="M3" s="8">
        <v>34900</v>
      </c>
      <c r="N3" s="35">
        <v>0.9</v>
      </c>
      <c r="O3" s="34">
        <f t="shared" ref="O3:O66" si="0">M3-((90*M3)/100)</f>
        <v>3490</v>
      </c>
      <c r="P3" s="6" t="s">
        <v>16</v>
      </c>
    </row>
    <row r="4" spans="1:16" x14ac:dyDescent="0.35">
      <c r="A4" s="32" t="s">
        <v>6509</v>
      </c>
      <c r="B4" s="7">
        <f t="shared" ref="B4:B67" si="1">B3</f>
        <v>46121</v>
      </c>
      <c r="C4" s="7">
        <f t="shared" ref="C4:C67" si="2">C3</f>
        <v>46127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31302671</v>
      </c>
      <c r="K4" s="6" t="s">
        <v>5008</v>
      </c>
      <c r="L4" s="6" t="s">
        <v>5011</v>
      </c>
      <c r="M4" s="8">
        <v>34900</v>
      </c>
      <c r="N4" s="35">
        <v>0.9</v>
      </c>
      <c r="O4" s="34">
        <f t="shared" si="0"/>
        <v>3490</v>
      </c>
      <c r="P4" s="6" t="s">
        <v>16</v>
      </c>
    </row>
    <row r="5" spans="1:16" x14ac:dyDescent="0.35">
      <c r="A5" s="32" t="s">
        <v>6509</v>
      </c>
      <c r="B5" s="7">
        <f t="shared" si="1"/>
        <v>46121</v>
      </c>
      <c r="C5" s="7">
        <f t="shared" si="2"/>
        <v>46127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31302680</v>
      </c>
      <c r="K5" s="6" t="s">
        <v>5008</v>
      </c>
      <c r="L5" s="6" t="s">
        <v>5012</v>
      </c>
      <c r="M5" s="8">
        <v>34900</v>
      </c>
      <c r="N5" s="35">
        <v>0.9</v>
      </c>
      <c r="O5" s="34">
        <f t="shared" si="0"/>
        <v>3490</v>
      </c>
      <c r="P5" s="6" t="s">
        <v>16</v>
      </c>
    </row>
    <row r="6" spans="1:16" x14ac:dyDescent="0.35">
      <c r="A6" s="32" t="s">
        <v>6509</v>
      </c>
      <c r="B6" s="7">
        <f t="shared" si="1"/>
        <v>46121</v>
      </c>
      <c r="C6" s="7">
        <f t="shared" si="2"/>
        <v>46127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17</v>
      </c>
      <c r="J6" s="6">
        <v>31302699</v>
      </c>
      <c r="K6" s="6" t="s">
        <v>5008</v>
      </c>
      <c r="L6" s="6" t="s">
        <v>5013</v>
      </c>
      <c r="M6" s="8">
        <v>34900</v>
      </c>
      <c r="N6" s="35">
        <v>0.9</v>
      </c>
      <c r="O6" s="34">
        <f t="shared" si="0"/>
        <v>3490</v>
      </c>
      <c r="P6" s="6" t="s">
        <v>16</v>
      </c>
    </row>
    <row r="7" spans="1:16" x14ac:dyDescent="0.35">
      <c r="A7" s="32" t="s">
        <v>6509</v>
      </c>
      <c r="B7" s="7">
        <f t="shared" si="1"/>
        <v>46121</v>
      </c>
      <c r="C7" s="7">
        <f t="shared" si="2"/>
        <v>46127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17</v>
      </c>
      <c r="J7" s="6">
        <v>70230363</v>
      </c>
      <c r="K7" s="6" t="s">
        <v>1815</v>
      </c>
      <c r="L7" s="6" t="s">
        <v>1816</v>
      </c>
      <c r="M7" s="8">
        <v>37900</v>
      </c>
      <c r="N7" s="35">
        <v>0.9</v>
      </c>
      <c r="O7" s="34">
        <f t="shared" si="0"/>
        <v>3790</v>
      </c>
      <c r="P7" s="6" t="s">
        <v>16</v>
      </c>
    </row>
    <row r="8" spans="1:16" x14ac:dyDescent="0.35">
      <c r="A8" s="32" t="s">
        <v>6509</v>
      </c>
      <c r="B8" s="7">
        <f t="shared" si="1"/>
        <v>46121</v>
      </c>
      <c r="C8" s="7">
        <f t="shared" si="2"/>
        <v>46127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17</v>
      </c>
      <c r="J8" s="6">
        <v>70230372</v>
      </c>
      <c r="K8" s="6" t="s">
        <v>1815</v>
      </c>
      <c r="L8" s="6" t="s">
        <v>1817</v>
      </c>
      <c r="M8" s="8">
        <v>37900</v>
      </c>
      <c r="N8" s="35">
        <v>0.9</v>
      </c>
      <c r="O8" s="34">
        <f t="shared" si="0"/>
        <v>3790</v>
      </c>
      <c r="P8" s="6" t="s">
        <v>16</v>
      </c>
    </row>
    <row r="9" spans="1:16" x14ac:dyDescent="0.35">
      <c r="A9" s="32" t="s">
        <v>6509</v>
      </c>
      <c r="B9" s="7">
        <f t="shared" si="1"/>
        <v>46121</v>
      </c>
      <c r="C9" s="7">
        <f t="shared" si="2"/>
        <v>46127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17</v>
      </c>
      <c r="J9" s="6">
        <v>70230381</v>
      </c>
      <c r="K9" s="6" t="s">
        <v>1815</v>
      </c>
      <c r="L9" s="6" t="s">
        <v>1818</v>
      </c>
      <c r="M9" s="8">
        <v>37900</v>
      </c>
      <c r="N9" s="35">
        <v>0.9</v>
      </c>
      <c r="O9" s="34">
        <f t="shared" si="0"/>
        <v>3790</v>
      </c>
      <c r="P9" s="6" t="s">
        <v>16</v>
      </c>
    </row>
    <row r="10" spans="1:16" x14ac:dyDescent="0.35">
      <c r="A10" s="32" t="s">
        <v>6509</v>
      </c>
      <c r="B10" s="7">
        <f t="shared" si="1"/>
        <v>46121</v>
      </c>
      <c r="C10" s="7">
        <f t="shared" si="2"/>
        <v>46127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17</v>
      </c>
      <c r="J10" s="6">
        <v>70230390</v>
      </c>
      <c r="K10" s="6" t="s">
        <v>1815</v>
      </c>
      <c r="L10" s="6" t="s">
        <v>1819</v>
      </c>
      <c r="M10" s="8">
        <v>37900</v>
      </c>
      <c r="N10" s="35">
        <v>0.9</v>
      </c>
      <c r="O10" s="34">
        <f t="shared" si="0"/>
        <v>3790</v>
      </c>
      <c r="P10" s="6" t="s">
        <v>16</v>
      </c>
    </row>
    <row r="11" spans="1:16" x14ac:dyDescent="0.35">
      <c r="A11" s="32" t="s">
        <v>6509</v>
      </c>
      <c r="B11" s="7">
        <f t="shared" si="1"/>
        <v>46121</v>
      </c>
      <c r="C11" s="7">
        <f t="shared" si="2"/>
        <v>46127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17</v>
      </c>
      <c r="J11" s="6">
        <v>75960806</v>
      </c>
      <c r="K11" s="6" t="s">
        <v>1963</v>
      </c>
      <c r="L11" s="6" t="s">
        <v>1964</v>
      </c>
      <c r="M11" s="8">
        <v>89900</v>
      </c>
      <c r="N11" s="35">
        <v>0.9</v>
      </c>
      <c r="O11" s="34">
        <f t="shared" si="0"/>
        <v>8990</v>
      </c>
      <c r="P11" s="6" t="s">
        <v>16</v>
      </c>
    </row>
    <row r="12" spans="1:16" x14ac:dyDescent="0.35">
      <c r="A12" s="32" t="s">
        <v>6509</v>
      </c>
      <c r="B12" s="7">
        <f t="shared" si="1"/>
        <v>46121</v>
      </c>
      <c r="C12" s="7">
        <f t="shared" si="2"/>
        <v>46127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17</v>
      </c>
      <c r="J12" s="6">
        <v>75960815</v>
      </c>
      <c r="K12" s="6" t="s">
        <v>1963</v>
      </c>
      <c r="L12" s="6" t="s">
        <v>1965</v>
      </c>
      <c r="M12" s="8">
        <v>89900</v>
      </c>
      <c r="N12" s="35">
        <v>0.9</v>
      </c>
      <c r="O12" s="34">
        <f t="shared" si="0"/>
        <v>8990</v>
      </c>
      <c r="P12" s="6" t="s">
        <v>16</v>
      </c>
    </row>
    <row r="13" spans="1:16" x14ac:dyDescent="0.35">
      <c r="A13" s="32" t="s">
        <v>6509</v>
      </c>
      <c r="B13" s="7">
        <f t="shared" si="1"/>
        <v>46121</v>
      </c>
      <c r="C13" s="7">
        <f t="shared" si="2"/>
        <v>46127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17</v>
      </c>
      <c r="J13" s="6">
        <v>75960824</v>
      </c>
      <c r="K13" s="6" t="s">
        <v>1963</v>
      </c>
      <c r="L13" s="6" t="s">
        <v>1967</v>
      </c>
      <c r="M13" s="8">
        <v>89900</v>
      </c>
      <c r="N13" s="35">
        <v>0.9</v>
      </c>
      <c r="O13" s="34">
        <f t="shared" si="0"/>
        <v>8990</v>
      </c>
      <c r="P13" s="6" t="s">
        <v>16</v>
      </c>
    </row>
    <row r="14" spans="1:16" x14ac:dyDescent="0.35">
      <c r="A14" s="32" t="s">
        <v>6509</v>
      </c>
      <c r="B14" s="7">
        <f t="shared" si="1"/>
        <v>46121</v>
      </c>
      <c r="C14" s="7">
        <f t="shared" si="2"/>
        <v>46127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17</v>
      </c>
      <c r="J14" s="6">
        <v>75960833</v>
      </c>
      <c r="K14" s="6" t="s">
        <v>1963</v>
      </c>
      <c r="L14" s="6" t="s">
        <v>1966</v>
      </c>
      <c r="M14" s="8">
        <v>89900</v>
      </c>
      <c r="N14" s="35">
        <v>0.9</v>
      </c>
      <c r="O14" s="34">
        <f t="shared" si="0"/>
        <v>8990</v>
      </c>
      <c r="P14" s="6" t="s">
        <v>16</v>
      </c>
    </row>
    <row r="15" spans="1:16" x14ac:dyDescent="0.35">
      <c r="A15" s="32" t="s">
        <v>6509</v>
      </c>
      <c r="B15" s="7">
        <f t="shared" si="1"/>
        <v>46121</v>
      </c>
      <c r="C15" s="7">
        <f t="shared" si="2"/>
        <v>46127</v>
      </c>
      <c r="D15" s="6">
        <v>3287</v>
      </c>
      <c r="E15" s="6">
        <v>338</v>
      </c>
      <c r="F15" s="6">
        <v>4</v>
      </c>
      <c r="G15" s="6">
        <v>1</v>
      </c>
      <c r="H15" s="6">
        <v>81574</v>
      </c>
      <c r="I15" s="6" t="s">
        <v>17</v>
      </c>
      <c r="J15" s="6">
        <v>33029820</v>
      </c>
      <c r="K15" s="6" t="s">
        <v>1722</v>
      </c>
      <c r="L15" s="6" t="s">
        <v>1723</v>
      </c>
      <c r="M15" s="8">
        <v>34900</v>
      </c>
      <c r="N15" s="35">
        <v>0.9</v>
      </c>
      <c r="O15" s="34">
        <f t="shared" si="0"/>
        <v>3490</v>
      </c>
      <c r="P15" s="6" t="s">
        <v>16</v>
      </c>
    </row>
    <row r="16" spans="1:16" x14ac:dyDescent="0.35">
      <c r="A16" s="32" t="s">
        <v>6509</v>
      </c>
      <c r="B16" s="7">
        <f t="shared" si="1"/>
        <v>46121</v>
      </c>
      <c r="C16" s="7">
        <f t="shared" si="2"/>
        <v>46127</v>
      </c>
      <c r="D16" s="6">
        <v>3287</v>
      </c>
      <c r="E16" s="6">
        <v>338</v>
      </c>
      <c r="F16" s="6">
        <v>4</v>
      </c>
      <c r="G16" s="6">
        <v>1</v>
      </c>
      <c r="H16" s="6">
        <v>81574</v>
      </c>
      <c r="I16" s="6" t="s">
        <v>17</v>
      </c>
      <c r="J16" s="6">
        <v>33029839</v>
      </c>
      <c r="K16" s="6" t="s">
        <v>1722</v>
      </c>
      <c r="L16" s="6" t="s">
        <v>1724</v>
      </c>
      <c r="M16" s="8">
        <v>34900</v>
      </c>
      <c r="N16" s="35">
        <v>0.9</v>
      </c>
      <c r="O16" s="34">
        <f t="shared" si="0"/>
        <v>3490</v>
      </c>
      <c r="P16" s="6" t="s">
        <v>16</v>
      </c>
    </row>
    <row r="17" spans="1:16" x14ac:dyDescent="0.35">
      <c r="A17" s="32" t="s">
        <v>6509</v>
      </c>
      <c r="B17" s="7">
        <f t="shared" si="1"/>
        <v>46121</v>
      </c>
      <c r="C17" s="7">
        <f t="shared" si="2"/>
        <v>46127</v>
      </c>
      <c r="D17" s="6">
        <v>3287</v>
      </c>
      <c r="E17" s="6">
        <v>338</v>
      </c>
      <c r="F17" s="6">
        <v>4</v>
      </c>
      <c r="G17" s="6">
        <v>1</v>
      </c>
      <c r="H17" s="6">
        <v>81574</v>
      </c>
      <c r="I17" s="6" t="s">
        <v>17</v>
      </c>
      <c r="J17" s="6">
        <v>33029848</v>
      </c>
      <c r="K17" s="6" t="s">
        <v>1722</v>
      </c>
      <c r="L17" s="6" t="s">
        <v>1725</v>
      </c>
      <c r="M17" s="8">
        <v>34900</v>
      </c>
      <c r="N17" s="35">
        <v>0.9</v>
      </c>
      <c r="O17" s="34">
        <f t="shared" si="0"/>
        <v>3490</v>
      </c>
      <c r="P17" s="6" t="s">
        <v>16</v>
      </c>
    </row>
    <row r="18" spans="1:16" x14ac:dyDescent="0.35">
      <c r="A18" s="32" t="s">
        <v>6509</v>
      </c>
      <c r="B18" s="7">
        <f t="shared" si="1"/>
        <v>46121</v>
      </c>
      <c r="C18" s="7">
        <f t="shared" si="2"/>
        <v>46127</v>
      </c>
      <c r="D18" s="6">
        <v>3287</v>
      </c>
      <c r="E18" s="6">
        <v>338</v>
      </c>
      <c r="F18" s="6">
        <v>4</v>
      </c>
      <c r="G18" s="6">
        <v>1</v>
      </c>
      <c r="H18" s="6">
        <v>81574</v>
      </c>
      <c r="I18" s="6" t="s">
        <v>17</v>
      </c>
      <c r="J18" s="6">
        <v>33029857</v>
      </c>
      <c r="K18" s="6" t="s">
        <v>1722</v>
      </c>
      <c r="L18" s="6" t="s">
        <v>1726</v>
      </c>
      <c r="M18" s="8">
        <v>34900</v>
      </c>
      <c r="N18" s="35">
        <v>0.9</v>
      </c>
      <c r="O18" s="34">
        <f t="shared" si="0"/>
        <v>3490</v>
      </c>
      <c r="P18" s="6" t="s">
        <v>16</v>
      </c>
    </row>
    <row r="19" spans="1:16" x14ac:dyDescent="0.35">
      <c r="A19" s="32" t="s">
        <v>6509</v>
      </c>
      <c r="B19" s="7">
        <f t="shared" si="1"/>
        <v>46121</v>
      </c>
      <c r="C19" s="7">
        <f t="shared" si="2"/>
        <v>46127</v>
      </c>
      <c r="D19" s="6">
        <v>3287</v>
      </c>
      <c r="E19" s="6">
        <v>338</v>
      </c>
      <c r="F19" s="6">
        <v>4</v>
      </c>
      <c r="G19" s="6">
        <v>1</v>
      </c>
      <c r="H19" s="6">
        <v>81574</v>
      </c>
      <c r="I19" s="6" t="s">
        <v>17</v>
      </c>
      <c r="J19" s="6">
        <v>42877969</v>
      </c>
      <c r="K19" s="6" t="s">
        <v>1782</v>
      </c>
      <c r="L19" s="6" t="s">
        <v>1783</v>
      </c>
      <c r="M19" s="8">
        <v>79900</v>
      </c>
      <c r="N19" s="35">
        <v>0.9</v>
      </c>
      <c r="O19" s="34">
        <f t="shared" si="0"/>
        <v>7990</v>
      </c>
      <c r="P19" s="6" t="s">
        <v>16</v>
      </c>
    </row>
    <row r="20" spans="1:16" x14ac:dyDescent="0.35">
      <c r="A20" s="32" t="s">
        <v>6509</v>
      </c>
      <c r="B20" s="7">
        <f t="shared" si="1"/>
        <v>46121</v>
      </c>
      <c r="C20" s="7">
        <f t="shared" si="2"/>
        <v>46127</v>
      </c>
      <c r="D20" s="6">
        <v>3287</v>
      </c>
      <c r="E20" s="6">
        <v>338</v>
      </c>
      <c r="F20" s="6">
        <v>4</v>
      </c>
      <c r="G20" s="6">
        <v>1</v>
      </c>
      <c r="H20" s="6">
        <v>81574</v>
      </c>
      <c r="I20" s="6" t="s">
        <v>17</v>
      </c>
      <c r="J20" s="6">
        <v>42877978</v>
      </c>
      <c r="K20" s="6" t="s">
        <v>1782</v>
      </c>
      <c r="L20" s="6" t="s">
        <v>1784</v>
      </c>
      <c r="M20" s="8">
        <v>79900</v>
      </c>
      <c r="N20" s="35">
        <v>0.9</v>
      </c>
      <c r="O20" s="34">
        <f t="shared" si="0"/>
        <v>7990</v>
      </c>
      <c r="P20" s="6" t="s">
        <v>16</v>
      </c>
    </row>
    <row r="21" spans="1:16" x14ac:dyDescent="0.35">
      <c r="A21" s="32" t="s">
        <v>6509</v>
      </c>
      <c r="B21" s="7">
        <f t="shared" si="1"/>
        <v>46121</v>
      </c>
      <c r="C21" s="7">
        <f t="shared" si="2"/>
        <v>46127</v>
      </c>
      <c r="D21" s="6">
        <v>3287</v>
      </c>
      <c r="E21" s="6">
        <v>338</v>
      </c>
      <c r="F21" s="6">
        <v>4</v>
      </c>
      <c r="G21" s="6">
        <v>1</v>
      </c>
      <c r="H21" s="6">
        <v>81574</v>
      </c>
      <c r="I21" s="6" t="s">
        <v>17</v>
      </c>
      <c r="J21" s="6">
        <v>73076481</v>
      </c>
      <c r="K21" s="6" t="s">
        <v>1862</v>
      </c>
      <c r="L21" s="6" t="s">
        <v>1863</v>
      </c>
      <c r="M21" s="8">
        <v>37900</v>
      </c>
      <c r="N21" s="35">
        <v>0.9</v>
      </c>
      <c r="O21" s="34">
        <f t="shared" si="0"/>
        <v>3790</v>
      </c>
      <c r="P21" s="6" t="s">
        <v>16</v>
      </c>
    </row>
    <row r="22" spans="1:16" x14ac:dyDescent="0.35">
      <c r="A22" s="32" t="s">
        <v>6509</v>
      </c>
      <c r="B22" s="7">
        <f t="shared" si="1"/>
        <v>46121</v>
      </c>
      <c r="C22" s="7">
        <f t="shared" si="2"/>
        <v>46127</v>
      </c>
      <c r="D22" s="6">
        <v>3287</v>
      </c>
      <c r="E22" s="6">
        <v>338</v>
      </c>
      <c r="F22" s="6">
        <v>4</v>
      </c>
      <c r="G22" s="6">
        <v>1</v>
      </c>
      <c r="H22" s="6">
        <v>81574</v>
      </c>
      <c r="I22" s="6" t="s">
        <v>17</v>
      </c>
      <c r="J22" s="6">
        <v>73076490</v>
      </c>
      <c r="K22" s="6" t="s">
        <v>1862</v>
      </c>
      <c r="L22" s="6" t="s">
        <v>1864</v>
      </c>
      <c r="M22" s="8">
        <v>37900</v>
      </c>
      <c r="N22" s="35">
        <v>0.9</v>
      </c>
      <c r="O22" s="34">
        <f t="shared" si="0"/>
        <v>3790</v>
      </c>
      <c r="P22" s="6" t="s">
        <v>16</v>
      </c>
    </row>
    <row r="23" spans="1:16" x14ac:dyDescent="0.35">
      <c r="A23" s="32" t="s">
        <v>6509</v>
      </c>
      <c r="B23" s="7">
        <f t="shared" si="1"/>
        <v>46121</v>
      </c>
      <c r="C23" s="7">
        <f t="shared" si="2"/>
        <v>46127</v>
      </c>
      <c r="D23" s="6">
        <v>3287</v>
      </c>
      <c r="E23" s="6">
        <v>338</v>
      </c>
      <c r="F23" s="6">
        <v>4</v>
      </c>
      <c r="G23" s="6">
        <v>1</v>
      </c>
      <c r="H23" s="6">
        <v>81574</v>
      </c>
      <c r="I23" s="6" t="s">
        <v>17</v>
      </c>
      <c r="J23" s="6">
        <v>73076507</v>
      </c>
      <c r="K23" s="6" t="s">
        <v>1862</v>
      </c>
      <c r="L23" s="6" t="s">
        <v>1865</v>
      </c>
      <c r="M23" s="8">
        <v>37900</v>
      </c>
      <c r="N23" s="35">
        <v>0.9</v>
      </c>
      <c r="O23" s="34">
        <f t="shared" si="0"/>
        <v>3790</v>
      </c>
      <c r="P23" s="6" t="s">
        <v>16</v>
      </c>
    </row>
    <row r="24" spans="1:16" x14ac:dyDescent="0.35">
      <c r="A24" s="32" t="s">
        <v>6509</v>
      </c>
      <c r="B24" s="7">
        <f t="shared" si="1"/>
        <v>46121</v>
      </c>
      <c r="C24" s="7">
        <f t="shared" si="2"/>
        <v>46127</v>
      </c>
      <c r="D24" s="6">
        <v>3287</v>
      </c>
      <c r="E24" s="6">
        <v>338</v>
      </c>
      <c r="F24" s="6">
        <v>4</v>
      </c>
      <c r="G24" s="6">
        <v>1</v>
      </c>
      <c r="H24" s="6">
        <v>81574</v>
      </c>
      <c r="I24" s="6" t="s">
        <v>17</v>
      </c>
      <c r="J24" s="6">
        <v>73076516</v>
      </c>
      <c r="K24" s="6" t="s">
        <v>1862</v>
      </c>
      <c r="L24" s="6" t="s">
        <v>1866</v>
      </c>
      <c r="M24" s="8">
        <v>37900</v>
      </c>
      <c r="N24" s="35">
        <v>0.9</v>
      </c>
      <c r="O24" s="34">
        <f t="shared" si="0"/>
        <v>3790</v>
      </c>
      <c r="P24" s="6" t="s">
        <v>16</v>
      </c>
    </row>
    <row r="25" spans="1:16" x14ac:dyDescent="0.35">
      <c r="A25" s="32" t="s">
        <v>6509</v>
      </c>
      <c r="B25" s="7">
        <f t="shared" si="1"/>
        <v>46121</v>
      </c>
      <c r="C25" s="7">
        <f t="shared" si="2"/>
        <v>46127</v>
      </c>
      <c r="D25" s="6">
        <v>3287</v>
      </c>
      <c r="E25" s="6">
        <v>338</v>
      </c>
      <c r="F25" s="6">
        <v>4</v>
      </c>
      <c r="G25" s="6">
        <v>1</v>
      </c>
      <c r="H25" s="6">
        <v>81574</v>
      </c>
      <c r="I25" s="6" t="s">
        <v>17</v>
      </c>
      <c r="J25" s="6">
        <v>73076561</v>
      </c>
      <c r="K25" s="6" t="s">
        <v>1926</v>
      </c>
      <c r="L25" s="6" t="s">
        <v>1927</v>
      </c>
      <c r="M25" s="8">
        <v>89900</v>
      </c>
      <c r="N25" s="35">
        <v>0.9</v>
      </c>
      <c r="O25" s="34">
        <f t="shared" si="0"/>
        <v>8990</v>
      </c>
      <c r="P25" s="6" t="s">
        <v>16</v>
      </c>
    </row>
    <row r="26" spans="1:16" x14ac:dyDescent="0.35">
      <c r="A26" s="32" t="s">
        <v>6509</v>
      </c>
      <c r="B26" s="7">
        <f t="shared" si="1"/>
        <v>46121</v>
      </c>
      <c r="C26" s="7">
        <f t="shared" si="2"/>
        <v>46127</v>
      </c>
      <c r="D26" s="6">
        <v>3287</v>
      </c>
      <c r="E26" s="6">
        <v>338</v>
      </c>
      <c r="F26" s="6">
        <v>4</v>
      </c>
      <c r="G26" s="6">
        <v>1</v>
      </c>
      <c r="H26" s="6">
        <v>81574</v>
      </c>
      <c r="I26" s="6" t="s">
        <v>17</v>
      </c>
      <c r="J26" s="6">
        <v>73076570</v>
      </c>
      <c r="K26" s="6" t="s">
        <v>1926</v>
      </c>
      <c r="L26" s="6" t="s">
        <v>1928</v>
      </c>
      <c r="M26" s="8">
        <v>89900</v>
      </c>
      <c r="N26" s="35">
        <v>0.9</v>
      </c>
      <c r="O26" s="34">
        <f t="shared" si="0"/>
        <v>8990</v>
      </c>
      <c r="P26" s="6" t="s">
        <v>16</v>
      </c>
    </row>
    <row r="27" spans="1:16" x14ac:dyDescent="0.35">
      <c r="A27" s="32" t="s">
        <v>6509</v>
      </c>
      <c r="B27" s="7">
        <f t="shared" si="1"/>
        <v>46121</v>
      </c>
      <c r="C27" s="7">
        <f t="shared" si="2"/>
        <v>46127</v>
      </c>
      <c r="D27" s="6">
        <v>3287</v>
      </c>
      <c r="E27" s="6">
        <v>338</v>
      </c>
      <c r="F27" s="6">
        <v>4</v>
      </c>
      <c r="G27" s="6">
        <v>1</v>
      </c>
      <c r="H27" s="6">
        <v>81574</v>
      </c>
      <c r="I27" s="6" t="s">
        <v>17</v>
      </c>
      <c r="J27" s="6">
        <v>73076589</v>
      </c>
      <c r="K27" s="6" t="s">
        <v>1926</v>
      </c>
      <c r="L27" s="6" t="s">
        <v>1929</v>
      </c>
      <c r="M27" s="8">
        <v>89900</v>
      </c>
      <c r="N27" s="35">
        <v>0.9</v>
      </c>
      <c r="O27" s="34">
        <f t="shared" si="0"/>
        <v>8990</v>
      </c>
      <c r="P27" s="6" t="s">
        <v>16</v>
      </c>
    </row>
    <row r="28" spans="1:16" x14ac:dyDescent="0.35">
      <c r="A28" s="32" t="s">
        <v>6509</v>
      </c>
      <c r="B28" s="7">
        <f t="shared" si="1"/>
        <v>46121</v>
      </c>
      <c r="C28" s="7">
        <f t="shared" si="2"/>
        <v>46127</v>
      </c>
      <c r="D28" s="6">
        <v>3287</v>
      </c>
      <c r="E28" s="6">
        <v>338</v>
      </c>
      <c r="F28" s="6">
        <v>4</v>
      </c>
      <c r="G28" s="6">
        <v>1</v>
      </c>
      <c r="H28" s="6">
        <v>81574</v>
      </c>
      <c r="I28" s="6" t="s">
        <v>17</v>
      </c>
      <c r="J28" s="6">
        <v>73076598</v>
      </c>
      <c r="K28" s="6" t="s">
        <v>1926</v>
      </c>
      <c r="L28" s="6" t="s">
        <v>1930</v>
      </c>
      <c r="M28" s="8">
        <v>89900</v>
      </c>
      <c r="N28" s="35">
        <v>0.9</v>
      </c>
      <c r="O28" s="34">
        <f t="shared" si="0"/>
        <v>8990</v>
      </c>
      <c r="P28" s="6" t="s">
        <v>16</v>
      </c>
    </row>
    <row r="29" spans="1:16" x14ac:dyDescent="0.35">
      <c r="A29" s="32" t="s">
        <v>6509</v>
      </c>
      <c r="B29" s="7">
        <f t="shared" si="1"/>
        <v>46121</v>
      </c>
      <c r="C29" s="7">
        <f t="shared" si="2"/>
        <v>46127</v>
      </c>
      <c r="D29" s="6">
        <v>3287</v>
      </c>
      <c r="E29" s="6">
        <v>338</v>
      </c>
      <c r="F29" s="6">
        <v>4</v>
      </c>
      <c r="G29" s="6">
        <v>1</v>
      </c>
      <c r="H29" s="6">
        <v>81574</v>
      </c>
      <c r="I29" s="6" t="s">
        <v>17</v>
      </c>
      <c r="J29" s="6">
        <v>73421946</v>
      </c>
      <c r="K29" s="6" t="s">
        <v>1878</v>
      </c>
      <c r="L29" s="6" t="s">
        <v>1879</v>
      </c>
      <c r="M29" s="8">
        <v>89900</v>
      </c>
      <c r="N29" s="35">
        <v>0.9</v>
      </c>
      <c r="O29" s="34">
        <f t="shared" si="0"/>
        <v>8990</v>
      </c>
      <c r="P29" s="6" t="s">
        <v>16</v>
      </c>
    </row>
    <row r="30" spans="1:16" x14ac:dyDescent="0.35">
      <c r="A30" s="32" t="s">
        <v>6509</v>
      </c>
      <c r="B30" s="7">
        <f t="shared" si="1"/>
        <v>46121</v>
      </c>
      <c r="C30" s="7">
        <f t="shared" si="2"/>
        <v>46127</v>
      </c>
      <c r="D30" s="6">
        <v>3287</v>
      </c>
      <c r="E30" s="6">
        <v>338</v>
      </c>
      <c r="F30" s="6">
        <v>4</v>
      </c>
      <c r="G30" s="6">
        <v>1</v>
      </c>
      <c r="H30" s="6">
        <v>81574</v>
      </c>
      <c r="I30" s="6" t="s">
        <v>17</v>
      </c>
      <c r="J30" s="6">
        <v>73421955</v>
      </c>
      <c r="K30" s="6" t="s">
        <v>1878</v>
      </c>
      <c r="L30" s="6" t="s">
        <v>1880</v>
      </c>
      <c r="M30" s="8">
        <v>89900</v>
      </c>
      <c r="N30" s="35">
        <v>0.9</v>
      </c>
      <c r="O30" s="34">
        <f t="shared" si="0"/>
        <v>8990</v>
      </c>
      <c r="P30" s="6" t="s">
        <v>16</v>
      </c>
    </row>
    <row r="31" spans="1:16" x14ac:dyDescent="0.35">
      <c r="A31" s="32" t="s">
        <v>6509</v>
      </c>
      <c r="B31" s="7">
        <f t="shared" si="1"/>
        <v>46121</v>
      </c>
      <c r="C31" s="7">
        <f t="shared" si="2"/>
        <v>46127</v>
      </c>
      <c r="D31" s="6">
        <v>3287</v>
      </c>
      <c r="E31" s="6">
        <v>338</v>
      </c>
      <c r="F31" s="6">
        <v>4</v>
      </c>
      <c r="G31" s="6">
        <v>1</v>
      </c>
      <c r="H31" s="6">
        <v>81574</v>
      </c>
      <c r="I31" s="6" t="s">
        <v>17</v>
      </c>
      <c r="J31" s="6">
        <v>76174002</v>
      </c>
      <c r="K31" s="6" t="s">
        <v>1993</v>
      </c>
      <c r="L31" s="6" t="s">
        <v>1994</v>
      </c>
      <c r="M31" s="8">
        <v>89900</v>
      </c>
      <c r="N31" s="35">
        <v>0.9</v>
      </c>
      <c r="O31" s="34">
        <f t="shared" si="0"/>
        <v>8990</v>
      </c>
      <c r="P31" s="6" t="s">
        <v>16</v>
      </c>
    </row>
    <row r="32" spans="1:16" x14ac:dyDescent="0.35">
      <c r="A32" s="32" t="s">
        <v>6509</v>
      </c>
      <c r="B32" s="7">
        <f t="shared" si="1"/>
        <v>46121</v>
      </c>
      <c r="C32" s="7">
        <f t="shared" si="2"/>
        <v>46127</v>
      </c>
      <c r="D32" s="6">
        <v>3287</v>
      </c>
      <c r="E32" s="6">
        <v>338</v>
      </c>
      <c r="F32" s="6">
        <v>4</v>
      </c>
      <c r="G32" s="6">
        <v>1</v>
      </c>
      <c r="H32" s="6">
        <v>81574</v>
      </c>
      <c r="I32" s="6" t="s">
        <v>17</v>
      </c>
      <c r="J32" s="6">
        <v>76174011</v>
      </c>
      <c r="K32" s="6" t="s">
        <v>1993</v>
      </c>
      <c r="L32" s="6" t="s">
        <v>1995</v>
      </c>
      <c r="M32" s="8">
        <v>89900</v>
      </c>
      <c r="N32" s="35">
        <v>0.9</v>
      </c>
      <c r="O32" s="34">
        <f t="shared" si="0"/>
        <v>8990</v>
      </c>
      <c r="P32" s="6" t="s">
        <v>16</v>
      </c>
    </row>
    <row r="33" spans="1:16" x14ac:dyDescent="0.35">
      <c r="A33" s="32" t="s">
        <v>6509</v>
      </c>
      <c r="B33" s="7">
        <f t="shared" si="1"/>
        <v>46121</v>
      </c>
      <c r="C33" s="7">
        <f t="shared" si="2"/>
        <v>46127</v>
      </c>
      <c r="D33" s="6">
        <v>3287</v>
      </c>
      <c r="E33" s="6">
        <v>338</v>
      </c>
      <c r="F33" s="6">
        <v>4</v>
      </c>
      <c r="G33" s="6">
        <v>1</v>
      </c>
      <c r="H33" s="6">
        <v>81574</v>
      </c>
      <c r="I33" s="6" t="s">
        <v>17</v>
      </c>
      <c r="J33" s="6">
        <v>76174020</v>
      </c>
      <c r="K33" s="6" t="s">
        <v>1993</v>
      </c>
      <c r="L33" s="6" t="s">
        <v>1997</v>
      </c>
      <c r="M33" s="8">
        <v>89900</v>
      </c>
      <c r="N33" s="35">
        <v>0.9</v>
      </c>
      <c r="O33" s="34">
        <f t="shared" si="0"/>
        <v>8990</v>
      </c>
      <c r="P33" s="6" t="s">
        <v>16</v>
      </c>
    </row>
    <row r="34" spans="1:16" x14ac:dyDescent="0.35">
      <c r="A34" s="32" t="s">
        <v>6509</v>
      </c>
      <c r="B34" s="7">
        <f t="shared" si="1"/>
        <v>46121</v>
      </c>
      <c r="C34" s="7">
        <f t="shared" si="2"/>
        <v>46127</v>
      </c>
      <c r="D34" s="6">
        <v>3287</v>
      </c>
      <c r="E34" s="6">
        <v>338</v>
      </c>
      <c r="F34" s="6">
        <v>4</v>
      </c>
      <c r="G34" s="6">
        <v>1</v>
      </c>
      <c r="H34" s="6">
        <v>81574</v>
      </c>
      <c r="I34" s="6" t="s">
        <v>17</v>
      </c>
      <c r="J34" s="6">
        <v>76174039</v>
      </c>
      <c r="K34" s="6" t="s">
        <v>1993</v>
      </c>
      <c r="L34" s="6" t="s">
        <v>1996</v>
      </c>
      <c r="M34" s="8">
        <v>89900</v>
      </c>
      <c r="N34" s="35">
        <v>0.9</v>
      </c>
      <c r="O34" s="34">
        <f t="shared" si="0"/>
        <v>8990</v>
      </c>
      <c r="P34" s="6" t="s">
        <v>16</v>
      </c>
    </row>
    <row r="35" spans="1:16" x14ac:dyDescent="0.35">
      <c r="A35" s="32" t="s">
        <v>6509</v>
      </c>
      <c r="B35" s="7">
        <f t="shared" si="1"/>
        <v>46121</v>
      </c>
      <c r="C35" s="7">
        <f t="shared" si="2"/>
        <v>46127</v>
      </c>
      <c r="D35" s="6">
        <v>3287</v>
      </c>
      <c r="E35" s="6">
        <v>338</v>
      </c>
      <c r="F35" s="6">
        <v>4</v>
      </c>
      <c r="G35" s="6">
        <v>1</v>
      </c>
      <c r="H35" s="6">
        <v>81574</v>
      </c>
      <c r="I35" s="6" t="s">
        <v>17</v>
      </c>
      <c r="J35" s="6">
        <v>33258912</v>
      </c>
      <c r="K35" s="6" t="s">
        <v>1735</v>
      </c>
      <c r="L35" s="6" t="s">
        <v>1736</v>
      </c>
      <c r="M35" s="8">
        <v>34900</v>
      </c>
      <c r="N35" s="35">
        <v>0.9</v>
      </c>
      <c r="O35" s="34">
        <f t="shared" si="0"/>
        <v>3490</v>
      </c>
      <c r="P35" s="6" t="s">
        <v>16</v>
      </c>
    </row>
    <row r="36" spans="1:16" x14ac:dyDescent="0.35">
      <c r="A36" s="32" t="s">
        <v>6509</v>
      </c>
      <c r="B36" s="7">
        <f t="shared" si="1"/>
        <v>46121</v>
      </c>
      <c r="C36" s="7">
        <f t="shared" si="2"/>
        <v>46127</v>
      </c>
      <c r="D36" s="6">
        <v>3287</v>
      </c>
      <c r="E36" s="6">
        <v>338</v>
      </c>
      <c r="F36" s="6">
        <v>4</v>
      </c>
      <c r="G36" s="6">
        <v>1</v>
      </c>
      <c r="H36" s="6">
        <v>81574</v>
      </c>
      <c r="I36" s="6" t="s">
        <v>17</v>
      </c>
      <c r="J36" s="6">
        <v>33258921</v>
      </c>
      <c r="K36" s="6" t="s">
        <v>1735</v>
      </c>
      <c r="L36" s="6" t="s">
        <v>1737</v>
      </c>
      <c r="M36" s="8">
        <v>34900</v>
      </c>
      <c r="N36" s="35">
        <v>0.9</v>
      </c>
      <c r="O36" s="34">
        <f t="shared" si="0"/>
        <v>3490</v>
      </c>
      <c r="P36" s="6" t="s">
        <v>16</v>
      </c>
    </row>
    <row r="37" spans="1:16" x14ac:dyDescent="0.35">
      <c r="A37" s="32" t="s">
        <v>6509</v>
      </c>
      <c r="B37" s="7">
        <f t="shared" si="1"/>
        <v>46121</v>
      </c>
      <c r="C37" s="7">
        <f t="shared" si="2"/>
        <v>46127</v>
      </c>
      <c r="D37" s="6">
        <v>3287</v>
      </c>
      <c r="E37" s="6">
        <v>338</v>
      </c>
      <c r="F37" s="6">
        <v>4</v>
      </c>
      <c r="G37" s="6">
        <v>1</v>
      </c>
      <c r="H37" s="6">
        <v>81574</v>
      </c>
      <c r="I37" s="6" t="s">
        <v>17</v>
      </c>
      <c r="J37" s="6">
        <v>33258930</v>
      </c>
      <c r="K37" s="6" t="s">
        <v>1735</v>
      </c>
      <c r="L37" s="6" t="s">
        <v>1738</v>
      </c>
      <c r="M37" s="8">
        <v>34900</v>
      </c>
      <c r="N37" s="35">
        <v>0.9</v>
      </c>
      <c r="O37" s="34">
        <f t="shared" si="0"/>
        <v>3490</v>
      </c>
      <c r="P37" s="6" t="s">
        <v>16</v>
      </c>
    </row>
    <row r="38" spans="1:16" x14ac:dyDescent="0.35">
      <c r="A38" s="32" t="s">
        <v>6509</v>
      </c>
      <c r="B38" s="7">
        <f t="shared" si="1"/>
        <v>46121</v>
      </c>
      <c r="C38" s="7">
        <f t="shared" si="2"/>
        <v>46127</v>
      </c>
      <c r="D38" s="6">
        <v>3287</v>
      </c>
      <c r="E38" s="6">
        <v>338</v>
      </c>
      <c r="F38" s="6">
        <v>4</v>
      </c>
      <c r="G38" s="6">
        <v>1</v>
      </c>
      <c r="H38" s="6">
        <v>81574</v>
      </c>
      <c r="I38" s="6" t="s">
        <v>17</v>
      </c>
      <c r="J38" s="6">
        <v>33258949</v>
      </c>
      <c r="K38" s="6" t="s">
        <v>1735</v>
      </c>
      <c r="L38" s="6" t="s">
        <v>1739</v>
      </c>
      <c r="M38" s="8">
        <v>34900</v>
      </c>
      <c r="N38" s="35">
        <v>0.9</v>
      </c>
      <c r="O38" s="34">
        <f t="shared" si="0"/>
        <v>3490</v>
      </c>
      <c r="P38" s="6" t="s">
        <v>16</v>
      </c>
    </row>
    <row r="39" spans="1:16" x14ac:dyDescent="0.35">
      <c r="A39" s="32" t="s">
        <v>6509</v>
      </c>
      <c r="B39" s="7">
        <f t="shared" si="1"/>
        <v>46121</v>
      </c>
      <c r="C39" s="7">
        <f t="shared" si="2"/>
        <v>46127</v>
      </c>
      <c r="D39" s="6">
        <v>3287</v>
      </c>
      <c r="E39" s="6">
        <v>338</v>
      </c>
      <c r="F39" s="6">
        <v>4</v>
      </c>
      <c r="G39" s="6">
        <v>2</v>
      </c>
      <c r="H39" s="6">
        <v>81379</v>
      </c>
      <c r="I39" s="6" t="s">
        <v>17</v>
      </c>
      <c r="J39" s="6">
        <v>32719149</v>
      </c>
      <c r="K39" s="6" t="s">
        <v>1740</v>
      </c>
      <c r="L39" s="6" t="s">
        <v>5017</v>
      </c>
      <c r="M39" s="8">
        <v>189900</v>
      </c>
      <c r="N39" s="35">
        <v>0.9</v>
      </c>
      <c r="O39" s="34">
        <f t="shared" si="0"/>
        <v>18990</v>
      </c>
      <c r="P39" s="6" t="s">
        <v>16</v>
      </c>
    </row>
    <row r="40" spans="1:16" x14ac:dyDescent="0.35">
      <c r="A40" s="32" t="s">
        <v>6509</v>
      </c>
      <c r="B40" s="7">
        <f t="shared" si="1"/>
        <v>46121</v>
      </c>
      <c r="C40" s="7">
        <f t="shared" si="2"/>
        <v>46127</v>
      </c>
      <c r="D40" s="6">
        <v>3287</v>
      </c>
      <c r="E40" s="6">
        <v>338</v>
      </c>
      <c r="F40" s="6">
        <v>4</v>
      </c>
      <c r="G40" s="6">
        <v>2</v>
      </c>
      <c r="H40" s="6">
        <v>81379</v>
      </c>
      <c r="I40" s="6" t="s">
        <v>17</v>
      </c>
      <c r="J40" s="6">
        <v>32719158</v>
      </c>
      <c r="K40" s="6" t="s">
        <v>1740</v>
      </c>
      <c r="L40" s="6" t="s">
        <v>1741</v>
      </c>
      <c r="M40" s="8">
        <v>189900</v>
      </c>
      <c r="N40" s="35">
        <v>0.9</v>
      </c>
      <c r="O40" s="34">
        <f t="shared" si="0"/>
        <v>18990</v>
      </c>
      <c r="P40" s="6" t="s">
        <v>16</v>
      </c>
    </row>
    <row r="41" spans="1:16" x14ac:dyDescent="0.35">
      <c r="A41" s="32" t="s">
        <v>6509</v>
      </c>
      <c r="B41" s="7">
        <f t="shared" si="1"/>
        <v>46121</v>
      </c>
      <c r="C41" s="7">
        <f t="shared" si="2"/>
        <v>46127</v>
      </c>
      <c r="D41" s="6">
        <v>3287</v>
      </c>
      <c r="E41" s="6">
        <v>338</v>
      </c>
      <c r="F41" s="6">
        <v>4</v>
      </c>
      <c r="G41" s="6">
        <v>2</v>
      </c>
      <c r="H41" s="6">
        <v>81379</v>
      </c>
      <c r="I41" s="6" t="s">
        <v>17</v>
      </c>
      <c r="J41" s="6">
        <v>32719185</v>
      </c>
      <c r="K41" s="6" t="s">
        <v>1740</v>
      </c>
      <c r="L41" s="6" t="s">
        <v>5018</v>
      </c>
      <c r="M41" s="8">
        <v>199900</v>
      </c>
      <c r="N41" s="35">
        <v>0.9</v>
      </c>
      <c r="O41" s="34">
        <f t="shared" si="0"/>
        <v>19990</v>
      </c>
      <c r="P41" s="6" t="s">
        <v>16</v>
      </c>
    </row>
    <row r="42" spans="1:16" x14ac:dyDescent="0.35">
      <c r="A42" s="32" t="s">
        <v>6509</v>
      </c>
      <c r="B42" s="7">
        <f t="shared" si="1"/>
        <v>46121</v>
      </c>
      <c r="C42" s="7">
        <f t="shared" si="2"/>
        <v>46127</v>
      </c>
      <c r="D42" s="6">
        <v>3287</v>
      </c>
      <c r="E42" s="6">
        <v>338</v>
      </c>
      <c r="F42" s="6">
        <v>4</v>
      </c>
      <c r="G42" s="6">
        <v>2</v>
      </c>
      <c r="H42" s="6">
        <v>81379</v>
      </c>
      <c r="I42" s="6" t="s">
        <v>17</v>
      </c>
      <c r="J42" s="6">
        <v>32719194</v>
      </c>
      <c r="K42" s="6" t="s">
        <v>1740</v>
      </c>
      <c r="L42" s="6" t="s">
        <v>5019</v>
      </c>
      <c r="M42" s="8">
        <v>199900</v>
      </c>
      <c r="N42" s="35">
        <v>0.9</v>
      </c>
      <c r="O42" s="34">
        <f t="shared" si="0"/>
        <v>19990</v>
      </c>
      <c r="P42" s="6" t="s">
        <v>16</v>
      </c>
    </row>
    <row r="43" spans="1:16" x14ac:dyDescent="0.35">
      <c r="A43" s="32" t="s">
        <v>6509</v>
      </c>
      <c r="B43" s="7">
        <f t="shared" si="1"/>
        <v>46121</v>
      </c>
      <c r="C43" s="7">
        <f t="shared" si="2"/>
        <v>46127</v>
      </c>
      <c r="D43" s="6">
        <v>3287</v>
      </c>
      <c r="E43" s="6">
        <v>338</v>
      </c>
      <c r="F43" s="6">
        <v>4</v>
      </c>
      <c r="G43" s="6">
        <v>2</v>
      </c>
      <c r="H43" s="6">
        <v>81379</v>
      </c>
      <c r="I43" s="6" t="s">
        <v>17</v>
      </c>
      <c r="J43" s="6">
        <v>32719201</v>
      </c>
      <c r="K43" s="6" t="s">
        <v>1740</v>
      </c>
      <c r="L43" s="6" t="s">
        <v>5020</v>
      </c>
      <c r="M43" s="8">
        <v>199900</v>
      </c>
      <c r="N43" s="35">
        <v>0.9</v>
      </c>
      <c r="O43" s="34">
        <f t="shared" si="0"/>
        <v>19990</v>
      </c>
      <c r="P43" s="6" t="s">
        <v>16</v>
      </c>
    </row>
    <row r="44" spans="1:16" x14ac:dyDescent="0.35">
      <c r="A44" s="32" t="s">
        <v>6509</v>
      </c>
      <c r="B44" s="7">
        <f t="shared" si="1"/>
        <v>46121</v>
      </c>
      <c r="C44" s="7">
        <f t="shared" si="2"/>
        <v>46127</v>
      </c>
      <c r="D44" s="6">
        <v>3287</v>
      </c>
      <c r="E44" s="6">
        <v>338</v>
      </c>
      <c r="F44" s="6">
        <v>4</v>
      </c>
      <c r="G44" s="6">
        <v>2</v>
      </c>
      <c r="H44" s="6">
        <v>850</v>
      </c>
      <c r="I44" s="6" t="s">
        <v>17</v>
      </c>
      <c r="J44" s="6">
        <v>65516127</v>
      </c>
      <c r="K44" s="6" t="s">
        <v>1742</v>
      </c>
      <c r="L44" s="6" t="s">
        <v>1743</v>
      </c>
      <c r="M44" s="8">
        <v>189900</v>
      </c>
      <c r="N44" s="35">
        <v>0.9</v>
      </c>
      <c r="O44" s="34">
        <f t="shared" si="0"/>
        <v>18990</v>
      </c>
      <c r="P44" s="6" t="s">
        <v>16</v>
      </c>
    </row>
    <row r="45" spans="1:16" x14ac:dyDescent="0.35">
      <c r="A45" s="32" t="s">
        <v>6509</v>
      </c>
      <c r="B45" s="7">
        <f t="shared" si="1"/>
        <v>46121</v>
      </c>
      <c r="C45" s="7">
        <f t="shared" si="2"/>
        <v>46127</v>
      </c>
      <c r="D45" s="6">
        <v>3287</v>
      </c>
      <c r="E45" s="6">
        <v>338</v>
      </c>
      <c r="F45" s="6">
        <v>4</v>
      </c>
      <c r="G45" s="6">
        <v>2</v>
      </c>
      <c r="H45" s="6">
        <v>850</v>
      </c>
      <c r="I45" s="6" t="s">
        <v>17</v>
      </c>
      <c r="J45" s="6">
        <v>65516145</v>
      </c>
      <c r="K45" s="6" t="s">
        <v>1742</v>
      </c>
      <c r="L45" s="6" t="s">
        <v>1744</v>
      </c>
      <c r="M45" s="8">
        <v>189900</v>
      </c>
      <c r="N45" s="35">
        <v>0.9</v>
      </c>
      <c r="O45" s="34">
        <f t="shared" si="0"/>
        <v>18990</v>
      </c>
      <c r="P45" s="6" t="s">
        <v>16</v>
      </c>
    </row>
    <row r="46" spans="1:16" x14ac:dyDescent="0.35">
      <c r="A46" s="32" t="s">
        <v>6509</v>
      </c>
      <c r="B46" s="7">
        <f t="shared" si="1"/>
        <v>46121</v>
      </c>
      <c r="C46" s="7">
        <f t="shared" si="2"/>
        <v>46127</v>
      </c>
      <c r="D46" s="6">
        <v>3287</v>
      </c>
      <c r="E46" s="6">
        <v>338</v>
      </c>
      <c r="F46" s="6">
        <v>4</v>
      </c>
      <c r="G46" s="6">
        <v>2</v>
      </c>
      <c r="H46" s="6">
        <v>850</v>
      </c>
      <c r="I46" s="6" t="s">
        <v>17</v>
      </c>
      <c r="J46" s="6">
        <v>65516154</v>
      </c>
      <c r="K46" s="6" t="s">
        <v>1742</v>
      </c>
      <c r="L46" s="6" t="s">
        <v>1745</v>
      </c>
      <c r="M46" s="8">
        <v>199900</v>
      </c>
      <c r="N46" s="35">
        <v>0.9</v>
      </c>
      <c r="O46" s="34">
        <f t="shared" si="0"/>
        <v>19990</v>
      </c>
      <c r="P46" s="6" t="s">
        <v>16</v>
      </c>
    </row>
    <row r="47" spans="1:16" x14ac:dyDescent="0.35">
      <c r="A47" s="32" t="s">
        <v>6509</v>
      </c>
      <c r="B47" s="7">
        <f t="shared" si="1"/>
        <v>46121</v>
      </c>
      <c r="C47" s="7">
        <f t="shared" si="2"/>
        <v>46127</v>
      </c>
      <c r="D47" s="6">
        <v>3287</v>
      </c>
      <c r="E47" s="6">
        <v>338</v>
      </c>
      <c r="F47" s="6">
        <v>4</v>
      </c>
      <c r="G47" s="6">
        <v>2</v>
      </c>
      <c r="H47" s="6">
        <v>850</v>
      </c>
      <c r="I47" s="6" t="s">
        <v>17</v>
      </c>
      <c r="J47" s="6">
        <v>65516163</v>
      </c>
      <c r="K47" s="6" t="s">
        <v>1742</v>
      </c>
      <c r="L47" s="6" t="s">
        <v>1746</v>
      </c>
      <c r="M47" s="8">
        <v>199900</v>
      </c>
      <c r="N47" s="35">
        <v>0.9</v>
      </c>
      <c r="O47" s="34">
        <f t="shared" si="0"/>
        <v>19990</v>
      </c>
      <c r="P47" s="6" t="s">
        <v>16</v>
      </c>
    </row>
    <row r="48" spans="1:16" x14ac:dyDescent="0.35">
      <c r="A48" s="32" t="s">
        <v>6509</v>
      </c>
      <c r="B48" s="7">
        <f t="shared" si="1"/>
        <v>46121</v>
      </c>
      <c r="C48" s="7">
        <f t="shared" si="2"/>
        <v>46127</v>
      </c>
      <c r="D48" s="6">
        <v>3287</v>
      </c>
      <c r="E48" s="6">
        <v>338</v>
      </c>
      <c r="F48" s="6">
        <v>4</v>
      </c>
      <c r="G48" s="6">
        <v>2</v>
      </c>
      <c r="H48" s="6">
        <v>850</v>
      </c>
      <c r="I48" s="6" t="s">
        <v>17</v>
      </c>
      <c r="J48" s="6">
        <v>65516172</v>
      </c>
      <c r="K48" s="6" t="s">
        <v>1742</v>
      </c>
      <c r="L48" s="6" t="s">
        <v>1747</v>
      </c>
      <c r="M48" s="8">
        <v>199900</v>
      </c>
      <c r="N48" s="35">
        <v>0.9</v>
      </c>
      <c r="O48" s="34">
        <f t="shared" si="0"/>
        <v>19990</v>
      </c>
      <c r="P48" s="6" t="s">
        <v>16</v>
      </c>
    </row>
    <row r="49" spans="1:16" x14ac:dyDescent="0.35">
      <c r="A49" s="32" t="s">
        <v>6509</v>
      </c>
      <c r="B49" s="7">
        <f t="shared" si="1"/>
        <v>46121</v>
      </c>
      <c r="C49" s="7">
        <f t="shared" si="2"/>
        <v>46127</v>
      </c>
      <c r="D49" s="6">
        <v>3287</v>
      </c>
      <c r="E49" s="6">
        <v>338</v>
      </c>
      <c r="F49" s="6">
        <v>4</v>
      </c>
      <c r="G49" s="6">
        <v>2</v>
      </c>
      <c r="H49" s="6">
        <v>850</v>
      </c>
      <c r="I49" s="6" t="s">
        <v>17</v>
      </c>
      <c r="J49" s="6">
        <v>67590392</v>
      </c>
      <c r="K49" s="6" t="s">
        <v>1823</v>
      </c>
      <c r="L49" s="6" t="s">
        <v>1824</v>
      </c>
      <c r="M49" s="8">
        <v>199900</v>
      </c>
      <c r="N49" s="35">
        <v>0.9</v>
      </c>
      <c r="O49" s="34">
        <f t="shared" si="0"/>
        <v>19990</v>
      </c>
      <c r="P49" s="6" t="s">
        <v>16</v>
      </c>
    </row>
    <row r="50" spans="1:16" x14ac:dyDescent="0.35">
      <c r="A50" s="32" t="s">
        <v>6509</v>
      </c>
      <c r="B50" s="7">
        <f t="shared" si="1"/>
        <v>46121</v>
      </c>
      <c r="C50" s="7">
        <f t="shared" si="2"/>
        <v>46127</v>
      </c>
      <c r="D50" s="6">
        <v>3287</v>
      </c>
      <c r="E50" s="6">
        <v>338</v>
      </c>
      <c r="F50" s="6">
        <v>4</v>
      </c>
      <c r="G50" s="6">
        <v>2</v>
      </c>
      <c r="H50" s="6">
        <v>81421</v>
      </c>
      <c r="I50" s="6" t="s">
        <v>17</v>
      </c>
      <c r="J50" s="6">
        <v>70843308</v>
      </c>
      <c r="K50" s="6" t="s">
        <v>1825</v>
      </c>
      <c r="L50" s="6" t="s">
        <v>1826</v>
      </c>
      <c r="M50" s="8">
        <v>199900</v>
      </c>
      <c r="N50" s="35">
        <v>0.9</v>
      </c>
      <c r="O50" s="34">
        <f t="shared" si="0"/>
        <v>19990</v>
      </c>
      <c r="P50" s="6" t="s">
        <v>16</v>
      </c>
    </row>
    <row r="51" spans="1:16" x14ac:dyDescent="0.35">
      <c r="A51" s="32" t="s">
        <v>6509</v>
      </c>
      <c r="B51" s="7">
        <f t="shared" si="1"/>
        <v>46121</v>
      </c>
      <c r="C51" s="7">
        <f t="shared" si="2"/>
        <v>46127</v>
      </c>
      <c r="D51" s="6">
        <v>3287</v>
      </c>
      <c r="E51" s="6">
        <v>338</v>
      </c>
      <c r="F51" s="6">
        <v>4</v>
      </c>
      <c r="G51" s="6">
        <v>2</v>
      </c>
      <c r="H51" s="6">
        <v>81421</v>
      </c>
      <c r="I51" s="6" t="s">
        <v>17</v>
      </c>
      <c r="J51" s="6">
        <v>70843317</v>
      </c>
      <c r="K51" s="6" t="s">
        <v>1825</v>
      </c>
      <c r="L51" s="6" t="s">
        <v>1827</v>
      </c>
      <c r="M51" s="8">
        <v>199900</v>
      </c>
      <c r="N51" s="35">
        <v>0.9</v>
      </c>
      <c r="O51" s="34">
        <f t="shared" si="0"/>
        <v>19990</v>
      </c>
      <c r="P51" s="6" t="s">
        <v>16</v>
      </c>
    </row>
    <row r="52" spans="1:16" x14ac:dyDescent="0.35">
      <c r="A52" s="32" t="s">
        <v>6509</v>
      </c>
      <c r="B52" s="7">
        <f t="shared" si="1"/>
        <v>46121</v>
      </c>
      <c r="C52" s="7">
        <f t="shared" si="2"/>
        <v>46127</v>
      </c>
      <c r="D52" s="6">
        <v>3287</v>
      </c>
      <c r="E52" s="6">
        <v>338</v>
      </c>
      <c r="F52" s="6">
        <v>4</v>
      </c>
      <c r="G52" s="6">
        <v>2</v>
      </c>
      <c r="H52" s="6">
        <v>81421</v>
      </c>
      <c r="I52" s="6" t="s">
        <v>17</v>
      </c>
      <c r="J52" s="6">
        <v>70843326</v>
      </c>
      <c r="K52" s="6" t="s">
        <v>1825</v>
      </c>
      <c r="L52" s="6" t="s">
        <v>1828</v>
      </c>
      <c r="M52" s="8">
        <v>199900</v>
      </c>
      <c r="N52" s="35">
        <v>0.9</v>
      </c>
      <c r="O52" s="34">
        <f t="shared" si="0"/>
        <v>19990</v>
      </c>
      <c r="P52" s="6" t="s">
        <v>16</v>
      </c>
    </row>
    <row r="53" spans="1:16" x14ac:dyDescent="0.35">
      <c r="A53" s="32" t="s">
        <v>6509</v>
      </c>
      <c r="B53" s="7">
        <f t="shared" si="1"/>
        <v>46121</v>
      </c>
      <c r="C53" s="7">
        <f t="shared" si="2"/>
        <v>46127</v>
      </c>
      <c r="D53" s="6">
        <v>3287</v>
      </c>
      <c r="E53" s="6">
        <v>338</v>
      </c>
      <c r="F53" s="6">
        <v>4</v>
      </c>
      <c r="G53" s="6">
        <v>2</v>
      </c>
      <c r="H53" s="6">
        <v>81421</v>
      </c>
      <c r="I53" s="6" t="s">
        <v>17</v>
      </c>
      <c r="J53" s="6">
        <v>70843335</v>
      </c>
      <c r="K53" s="6" t="s">
        <v>1825</v>
      </c>
      <c r="L53" s="6" t="s">
        <v>1829</v>
      </c>
      <c r="M53" s="8">
        <v>199900</v>
      </c>
      <c r="N53" s="35">
        <v>0.9</v>
      </c>
      <c r="O53" s="34">
        <f t="shared" si="0"/>
        <v>19990</v>
      </c>
      <c r="P53" s="6" t="s">
        <v>16</v>
      </c>
    </row>
    <row r="54" spans="1:16" x14ac:dyDescent="0.35">
      <c r="A54" s="32" t="s">
        <v>6509</v>
      </c>
      <c r="B54" s="7">
        <f t="shared" si="1"/>
        <v>46121</v>
      </c>
      <c r="C54" s="7">
        <f t="shared" si="2"/>
        <v>46127</v>
      </c>
      <c r="D54" s="6">
        <v>3287</v>
      </c>
      <c r="E54" s="6">
        <v>338</v>
      </c>
      <c r="F54" s="6">
        <v>4</v>
      </c>
      <c r="G54" s="6">
        <v>2</v>
      </c>
      <c r="H54" s="6">
        <v>81421</v>
      </c>
      <c r="I54" s="6" t="s">
        <v>17</v>
      </c>
      <c r="J54" s="6">
        <v>76174226</v>
      </c>
      <c r="K54" s="6" t="s">
        <v>1982</v>
      </c>
      <c r="L54" s="6" t="s">
        <v>1983</v>
      </c>
      <c r="M54" s="8">
        <v>219900</v>
      </c>
      <c r="N54" s="35">
        <v>0.9</v>
      </c>
      <c r="O54" s="34">
        <f t="shared" si="0"/>
        <v>21990</v>
      </c>
      <c r="P54" s="6" t="s">
        <v>16</v>
      </c>
    </row>
    <row r="55" spans="1:16" x14ac:dyDescent="0.35">
      <c r="A55" s="32" t="s">
        <v>6509</v>
      </c>
      <c r="B55" s="7">
        <f t="shared" si="1"/>
        <v>46121</v>
      </c>
      <c r="C55" s="7">
        <f t="shared" si="2"/>
        <v>46127</v>
      </c>
      <c r="D55" s="6">
        <v>3287</v>
      </c>
      <c r="E55" s="6">
        <v>338</v>
      </c>
      <c r="F55" s="6">
        <v>4</v>
      </c>
      <c r="G55" s="6">
        <v>2</v>
      </c>
      <c r="H55" s="6">
        <v>81421</v>
      </c>
      <c r="I55" s="6" t="s">
        <v>17</v>
      </c>
      <c r="J55" s="6">
        <v>76174235</v>
      </c>
      <c r="K55" s="6" t="s">
        <v>1982</v>
      </c>
      <c r="L55" s="6" t="s">
        <v>1984</v>
      </c>
      <c r="M55" s="8">
        <v>219900</v>
      </c>
      <c r="N55" s="35">
        <v>0.9</v>
      </c>
      <c r="O55" s="34">
        <f t="shared" si="0"/>
        <v>21990</v>
      </c>
      <c r="P55" s="6" t="s">
        <v>16</v>
      </c>
    </row>
    <row r="56" spans="1:16" x14ac:dyDescent="0.35">
      <c r="A56" s="32" t="s">
        <v>6509</v>
      </c>
      <c r="B56" s="7">
        <f t="shared" si="1"/>
        <v>46121</v>
      </c>
      <c r="C56" s="7">
        <f t="shared" si="2"/>
        <v>46127</v>
      </c>
      <c r="D56" s="6">
        <v>3287</v>
      </c>
      <c r="E56" s="6">
        <v>338</v>
      </c>
      <c r="F56" s="6">
        <v>4</v>
      </c>
      <c r="G56" s="6">
        <v>2</v>
      </c>
      <c r="H56" s="6">
        <v>81421</v>
      </c>
      <c r="I56" s="6" t="s">
        <v>17</v>
      </c>
      <c r="J56" s="6">
        <v>76174244</v>
      </c>
      <c r="K56" s="6" t="s">
        <v>1982</v>
      </c>
      <c r="L56" s="6" t="s">
        <v>1985</v>
      </c>
      <c r="M56" s="8">
        <v>219900</v>
      </c>
      <c r="N56" s="35">
        <v>0.9</v>
      </c>
      <c r="O56" s="34">
        <f t="shared" si="0"/>
        <v>21990</v>
      </c>
      <c r="P56" s="6" t="s">
        <v>16</v>
      </c>
    </row>
    <row r="57" spans="1:16" x14ac:dyDescent="0.35">
      <c r="A57" s="32" t="s">
        <v>6509</v>
      </c>
      <c r="B57" s="7">
        <f t="shared" si="1"/>
        <v>46121</v>
      </c>
      <c r="C57" s="7">
        <f t="shared" si="2"/>
        <v>46127</v>
      </c>
      <c r="D57" s="6">
        <v>3287</v>
      </c>
      <c r="E57" s="6">
        <v>338</v>
      </c>
      <c r="F57" s="6">
        <v>4</v>
      </c>
      <c r="G57" s="6">
        <v>2</v>
      </c>
      <c r="H57" s="6">
        <v>81421</v>
      </c>
      <c r="I57" s="6" t="s">
        <v>17</v>
      </c>
      <c r="J57" s="6">
        <v>76190879</v>
      </c>
      <c r="K57" s="6" t="s">
        <v>1982</v>
      </c>
      <c r="L57" s="6" t="s">
        <v>1986</v>
      </c>
      <c r="M57" s="8">
        <v>219900</v>
      </c>
      <c r="N57" s="35">
        <v>0.9</v>
      </c>
      <c r="O57" s="34">
        <f t="shared" si="0"/>
        <v>21990</v>
      </c>
      <c r="P57" s="6" t="s">
        <v>16</v>
      </c>
    </row>
    <row r="58" spans="1:16" x14ac:dyDescent="0.35">
      <c r="A58" s="32" t="s">
        <v>6509</v>
      </c>
      <c r="B58" s="7">
        <f t="shared" si="1"/>
        <v>46121</v>
      </c>
      <c r="C58" s="7">
        <f t="shared" si="2"/>
        <v>46127</v>
      </c>
      <c r="D58" s="6">
        <v>3287</v>
      </c>
      <c r="E58" s="6">
        <v>338</v>
      </c>
      <c r="F58" s="6">
        <v>4</v>
      </c>
      <c r="G58" s="6">
        <v>2</v>
      </c>
      <c r="H58" s="6">
        <v>81421</v>
      </c>
      <c r="I58" s="6" t="s">
        <v>17</v>
      </c>
      <c r="J58" s="6">
        <v>32719238</v>
      </c>
      <c r="K58" s="6" t="s">
        <v>5021</v>
      </c>
      <c r="L58" s="6" t="s">
        <v>5022</v>
      </c>
      <c r="M58" s="8">
        <v>189900</v>
      </c>
      <c r="N58" s="35">
        <v>0.9</v>
      </c>
      <c r="O58" s="34">
        <f t="shared" si="0"/>
        <v>18990</v>
      </c>
      <c r="P58" s="6" t="s">
        <v>16</v>
      </c>
    </row>
    <row r="59" spans="1:16" x14ac:dyDescent="0.35">
      <c r="A59" s="32" t="s">
        <v>6509</v>
      </c>
      <c r="B59" s="7">
        <f t="shared" si="1"/>
        <v>46121</v>
      </c>
      <c r="C59" s="7">
        <f t="shared" si="2"/>
        <v>46127</v>
      </c>
      <c r="D59" s="6">
        <v>3287</v>
      </c>
      <c r="E59" s="6">
        <v>338</v>
      </c>
      <c r="F59" s="6">
        <v>4</v>
      </c>
      <c r="G59" s="6">
        <v>2</v>
      </c>
      <c r="H59" s="6">
        <v>81421</v>
      </c>
      <c r="I59" s="6" t="s">
        <v>17</v>
      </c>
      <c r="J59" s="6">
        <v>32719247</v>
      </c>
      <c r="K59" s="6" t="s">
        <v>5021</v>
      </c>
      <c r="L59" s="6" t="s">
        <v>5023</v>
      </c>
      <c r="M59" s="8">
        <v>189900</v>
      </c>
      <c r="N59" s="35">
        <v>0.9</v>
      </c>
      <c r="O59" s="34">
        <f t="shared" si="0"/>
        <v>18990</v>
      </c>
      <c r="P59" s="6" t="s">
        <v>16</v>
      </c>
    </row>
    <row r="60" spans="1:16" x14ac:dyDescent="0.35">
      <c r="A60" s="32" t="s">
        <v>6509</v>
      </c>
      <c r="B60" s="7">
        <f t="shared" si="1"/>
        <v>46121</v>
      </c>
      <c r="C60" s="7">
        <f t="shared" si="2"/>
        <v>46127</v>
      </c>
      <c r="D60" s="6">
        <v>3287</v>
      </c>
      <c r="E60" s="6">
        <v>338</v>
      </c>
      <c r="F60" s="6">
        <v>4</v>
      </c>
      <c r="G60" s="6">
        <v>2</v>
      </c>
      <c r="H60" s="6">
        <v>81421</v>
      </c>
      <c r="I60" s="6" t="s">
        <v>17</v>
      </c>
      <c r="J60" s="6">
        <v>32719256</v>
      </c>
      <c r="K60" s="6" t="s">
        <v>5021</v>
      </c>
      <c r="L60" s="6" t="s">
        <v>5024</v>
      </c>
      <c r="M60" s="8">
        <v>189900</v>
      </c>
      <c r="N60" s="35">
        <v>0.9</v>
      </c>
      <c r="O60" s="34">
        <f t="shared" si="0"/>
        <v>18990</v>
      </c>
      <c r="P60" s="6" t="s">
        <v>16</v>
      </c>
    </row>
    <row r="61" spans="1:16" x14ac:dyDescent="0.35">
      <c r="A61" s="32" t="s">
        <v>6509</v>
      </c>
      <c r="B61" s="7">
        <f t="shared" si="1"/>
        <v>46121</v>
      </c>
      <c r="C61" s="7">
        <f t="shared" si="2"/>
        <v>46127</v>
      </c>
      <c r="D61" s="6">
        <v>3287</v>
      </c>
      <c r="E61" s="6">
        <v>338</v>
      </c>
      <c r="F61" s="6">
        <v>4</v>
      </c>
      <c r="G61" s="6">
        <v>2</v>
      </c>
      <c r="H61" s="6">
        <v>81421</v>
      </c>
      <c r="I61" s="6" t="s">
        <v>17</v>
      </c>
      <c r="J61" s="6">
        <v>32719265</v>
      </c>
      <c r="K61" s="6" t="s">
        <v>5021</v>
      </c>
      <c r="L61" s="6" t="s">
        <v>5025</v>
      </c>
      <c r="M61" s="8">
        <v>199900</v>
      </c>
      <c r="N61" s="35">
        <v>0.9</v>
      </c>
      <c r="O61" s="34">
        <f t="shared" si="0"/>
        <v>19990</v>
      </c>
      <c r="P61" s="6" t="s">
        <v>16</v>
      </c>
    </row>
    <row r="62" spans="1:16" x14ac:dyDescent="0.35">
      <c r="A62" s="32" t="s">
        <v>6509</v>
      </c>
      <c r="B62" s="7">
        <f t="shared" si="1"/>
        <v>46121</v>
      </c>
      <c r="C62" s="7">
        <f t="shared" si="2"/>
        <v>46127</v>
      </c>
      <c r="D62" s="6">
        <v>3287</v>
      </c>
      <c r="E62" s="6">
        <v>338</v>
      </c>
      <c r="F62" s="6">
        <v>4</v>
      </c>
      <c r="G62" s="6">
        <v>2</v>
      </c>
      <c r="H62" s="6">
        <v>81421</v>
      </c>
      <c r="I62" s="6" t="s">
        <v>17</v>
      </c>
      <c r="J62" s="6">
        <v>32719274</v>
      </c>
      <c r="K62" s="6" t="s">
        <v>5021</v>
      </c>
      <c r="L62" s="6" t="s">
        <v>5026</v>
      </c>
      <c r="M62" s="8">
        <v>199900</v>
      </c>
      <c r="N62" s="35">
        <v>0.9</v>
      </c>
      <c r="O62" s="34">
        <f t="shared" si="0"/>
        <v>19990</v>
      </c>
      <c r="P62" s="6" t="s">
        <v>16</v>
      </c>
    </row>
    <row r="63" spans="1:16" x14ac:dyDescent="0.35">
      <c r="A63" s="32" t="s">
        <v>6509</v>
      </c>
      <c r="B63" s="7">
        <f t="shared" si="1"/>
        <v>46121</v>
      </c>
      <c r="C63" s="7">
        <f t="shared" si="2"/>
        <v>46127</v>
      </c>
      <c r="D63" s="6">
        <v>3287</v>
      </c>
      <c r="E63" s="6">
        <v>338</v>
      </c>
      <c r="F63" s="6">
        <v>4</v>
      </c>
      <c r="G63" s="6">
        <v>2</v>
      </c>
      <c r="H63" s="6">
        <v>81421</v>
      </c>
      <c r="I63" s="6" t="s">
        <v>17</v>
      </c>
      <c r="J63" s="6">
        <v>32719283</v>
      </c>
      <c r="K63" s="6" t="s">
        <v>5021</v>
      </c>
      <c r="L63" s="6" t="s">
        <v>5027</v>
      </c>
      <c r="M63" s="8">
        <v>199900</v>
      </c>
      <c r="N63" s="35">
        <v>0.9</v>
      </c>
      <c r="O63" s="34">
        <f t="shared" si="0"/>
        <v>19990</v>
      </c>
      <c r="P63" s="6" t="s">
        <v>16</v>
      </c>
    </row>
    <row r="64" spans="1:16" x14ac:dyDescent="0.35">
      <c r="A64" s="32" t="s">
        <v>6509</v>
      </c>
      <c r="B64" s="7">
        <f t="shared" si="1"/>
        <v>46121</v>
      </c>
      <c r="C64" s="7">
        <f t="shared" si="2"/>
        <v>46127</v>
      </c>
      <c r="D64" s="6">
        <v>3287</v>
      </c>
      <c r="E64" s="6">
        <v>338</v>
      </c>
      <c r="F64" s="6">
        <v>4</v>
      </c>
      <c r="G64" s="6">
        <v>2</v>
      </c>
      <c r="H64" s="6">
        <v>81421</v>
      </c>
      <c r="I64" s="6" t="s">
        <v>17</v>
      </c>
      <c r="J64" s="6">
        <v>73421964</v>
      </c>
      <c r="K64" s="6" t="s">
        <v>1890</v>
      </c>
      <c r="L64" s="6" t="s">
        <v>1891</v>
      </c>
      <c r="M64" s="8">
        <v>209900</v>
      </c>
      <c r="N64" s="35">
        <v>0.9</v>
      </c>
      <c r="O64" s="34">
        <f t="shared" si="0"/>
        <v>20990</v>
      </c>
      <c r="P64" s="6" t="s">
        <v>16</v>
      </c>
    </row>
    <row r="65" spans="1:16" x14ac:dyDescent="0.35">
      <c r="A65" s="32" t="s">
        <v>6509</v>
      </c>
      <c r="B65" s="7">
        <f t="shared" si="1"/>
        <v>46121</v>
      </c>
      <c r="C65" s="7">
        <f t="shared" si="2"/>
        <v>46127</v>
      </c>
      <c r="D65" s="6">
        <v>3287</v>
      </c>
      <c r="E65" s="6">
        <v>338</v>
      </c>
      <c r="F65" s="6">
        <v>4</v>
      </c>
      <c r="G65" s="6">
        <v>2</v>
      </c>
      <c r="H65" s="6">
        <v>81421</v>
      </c>
      <c r="I65" s="6" t="s">
        <v>17</v>
      </c>
      <c r="J65" s="6">
        <v>73421982</v>
      </c>
      <c r="K65" s="6" t="s">
        <v>1890</v>
      </c>
      <c r="L65" s="6" t="s">
        <v>1892</v>
      </c>
      <c r="M65" s="8">
        <v>209900</v>
      </c>
      <c r="N65" s="35">
        <v>0.9</v>
      </c>
      <c r="O65" s="34">
        <f t="shared" si="0"/>
        <v>20990</v>
      </c>
      <c r="P65" s="6" t="s">
        <v>16</v>
      </c>
    </row>
    <row r="66" spans="1:16" x14ac:dyDescent="0.35">
      <c r="A66" s="32" t="s">
        <v>6509</v>
      </c>
      <c r="B66" s="7">
        <f t="shared" si="1"/>
        <v>46121</v>
      </c>
      <c r="C66" s="7">
        <f t="shared" si="2"/>
        <v>46127</v>
      </c>
      <c r="D66" s="6">
        <v>3287</v>
      </c>
      <c r="E66" s="6">
        <v>338</v>
      </c>
      <c r="F66" s="6">
        <v>4</v>
      </c>
      <c r="G66" s="6">
        <v>2</v>
      </c>
      <c r="H66" s="6">
        <v>81421</v>
      </c>
      <c r="I66" s="6" t="s">
        <v>17</v>
      </c>
      <c r="J66" s="6">
        <v>73421991</v>
      </c>
      <c r="K66" s="6" t="s">
        <v>1890</v>
      </c>
      <c r="L66" s="6" t="s">
        <v>1893</v>
      </c>
      <c r="M66" s="8">
        <v>209900</v>
      </c>
      <c r="N66" s="35">
        <v>0.9</v>
      </c>
      <c r="O66" s="34">
        <f t="shared" si="0"/>
        <v>20990</v>
      </c>
      <c r="P66" s="6" t="s">
        <v>16</v>
      </c>
    </row>
    <row r="67" spans="1:16" x14ac:dyDescent="0.35">
      <c r="A67" s="32" t="s">
        <v>6509</v>
      </c>
      <c r="B67" s="7">
        <f t="shared" si="1"/>
        <v>46121</v>
      </c>
      <c r="C67" s="7">
        <f t="shared" si="2"/>
        <v>46127</v>
      </c>
      <c r="D67" s="6">
        <v>3287</v>
      </c>
      <c r="E67" s="6">
        <v>338</v>
      </c>
      <c r="F67" s="6">
        <v>4</v>
      </c>
      <c r="G67" s="6">
        <v>2</v>
      </c>
      <c r="H67" s="6">
        <v>81421</v>
      </c>
      <c r="I67" s="6" t="s">
        <v>17</v>
      </c>
      <c r="J67" s="6">
        <v>73529483</v>
      </c>
      <c r="K67" s="6" t="s">
        <v>1935</v>
      </c>
      <c r="L67" s="6" t="s">
        <v>1936</v>
      </c>
      <c r="M67" s="8">
        <v>219900</v>
      </c>
      <c r="N67" s="35">
        <v>0.9</v>
      </c>
      <c r="O67" s="34">
        <f t="shared" ref="O67:O130" si="3">M67-((90*M67)/100)</f>
        <v>21990</v>
      </c>
      <c r="P67" s="6" t="s">
        <v>16</v>
      </c>
    </row>
    <row r="68" spans="1:16" x14ac:dyDescent="0.35">
      <c r="A68" s="32" t="s">
        <v>6509</v>
      </c>
      <c r="B68" s="7">
        <f t="shared" ref="B68:B131" si="4">B67</f>
        <v>46121</v>
      </c>
      <c r="C68" s="7">
        <f t="shared" ref="C68:C131" si="5">C67</f>
        <v>46127</v>
      </c>
      <c r="D68" s="6">
        <v>3287</v>
      </c>
      <c r="E68" s="6">
        <v>338</v>
      </c>
      <c r="F68" s="6">
        <v>4</v>
      </c>
      <c r="G68" s="6">
        <v>2</v>
      </c>
      <c r="H68" s="6">
        <v>81421</v>
      </c>
      <c r="I68" s="6" t="s">
        <v>17</v>
      </c>
      <c r="J68" s="6">
        <v>73529492</v>
      </c>
      <c r="K68" s="6" t="s">
        <v>1935</v>
      </c>
      <c r="L68" s="6" t="s">
        <v>1937</v>
      </c>
      <c r="M68" s="8">
        <v>219900</v>
      </c>
      <c r="N68" s="35">
        <v>0.9</v>
      </c>
      <c r="O68" s="34">
        <f t="shared" si="3"/>
        <v>21990</v>
      </c>
      <c r="P68" s="6" t="s">
        <v>16</v>
      </c>
    </row>
    <row r="69" spans="1:16" x14ac:dyDescent="0.35">
      <c r="A69" s="32" t="s">
        <v>6509</v>
      </c>
      <c r="B69" s="7">
        <f t="shared" si="4"/>
        <v>46121</v>
      </c>
      <c r="C69" s="7">
        <f t="shared" si="5"/>
        <v>46127</v>
      </c>
      <c r="D69" s="6">
        <v>3287</v>
      </c>
      <c r="E69" s="6">
        <v>338</v>
      </c>
      <c r="F69" s="6">
        <v>4</v>
      </c>
      <c r="G69" s="6">
        <v>2</v>
      </c>
      <c r="H69" s="6">
        <v>81421</v>
      </c>
      <c r="I69" s="6" t="s">
        <v>17</v>
      </c>
      <c r="J69" s="6">
        <v>73529518</v>
      </c>
      <c r="K69" s="6" t="s">
        <v>1935</v>
      </c>
      <c r="L69" s="6" t="s">
        <v>1938</v>
      </c>
      <c r="M69" s="8">
        <v>219900</v>
      </c>
      <c r="N69" s="35">
        <v>0.9</v>
      </c>
      <c r="O69" s="34">
        <f t="shared" si="3"/>
        <v>21990</v>
      </c>
      <c r="P69" s="6" t="s">
        <v>16</v>
      </c>
    </row>
    <row r="70" spans="1:16" x14ac:dyDescent="0.35">
      <c r="A70" s="32" t="s">
        <v>6509</v>
      </c>
      <c r="B70" s="7">
        <f t="shared" si="4"/>
        <v>46121</v>
      </c>
      <c r="C70" s="7">
        <f t="shared" si="5"/>
        <v>46127</v>
      </c>
      <c r="D70" s="6">
        <v>3287</v>
      </c>
      <c r="E70" s="6">
        <v>338</v>
      </c>
      <c r="F70" s="6">
        <v>4</v>
      </c>
      <c r="G70" s="6">
        <v>2</v>
      </c>
      <c r="H70" s="6">
        <v>81421</v>
      </c>
      <c r="I70" s="6" t="s">
        <v>17</v>
      </c>
      <c r="J70" s="6">
        <v>76020276</v>
      </c>
      <c r="K70" s="6" t="s">
        <v>1939</v>
      </c>
      <c r="L70" s="6" t="s">
        <v>1940</v>
      </c>
      <c r="M70" s="8">
        <v>219900</v>
      </c>
      <c r="N70" s="35">
        <v>0.9</v>
      </c>
      <c r="O70" s="34">
        <f t="shared" si="3"/>
        <v>21990</v>
      </c>
      <c r="P70" s="6" t="s">
        <v>16</v>
      </c>
    </row>
    <row r="71" spans="1:16" x14ac:dyDescent="0.35">
      <c r="A71" s="32" t="s">
        <v>6509</v>
      </c>
      <c r="B71" s="7">
        <f t="shared" si="4"/>
        <v>46121</v>
      </c>
      <c r="C71" s="7">
        <f t="shared" si="5"/>
        <v>46127</v>
      </c>
      <c r="D71" s="6">
        <v>3287</v>
      </c>
      <c r="E71" s="6">
        <v>338</v>
      </c>
      <c r="F71" s="6">
        <v>4</v>
      </c>
      <c r="G71" s="6">
        <v>2</v>
      </c>
      <c r="H71" s="6">
        <v>81421</v>
      </c>
      <c r="I71" s="6" t="s">
        <v>17</v>
      </c>
      <c r="J71" s="6">
        <v>76020285</v>
      </c>
      <c r="K71" s="6" t="s">
        <v>1939</v>
      </c>
      <c r="L71" s="6" t="s">
        <v>1941</v>
      </c>
      <c r="M71" s="8">
        <v>219900</v>
      </c>
      <c r="N71" s="35">
        <v>0.9</v>
      </c>
      <c r="O71" s="34">
        <f t="shared" si="3"/>
        <v>21990</v>
      </c>
      <c r="P71" s="6" t="s">
        <v>16</v>
      </c>
    </row>
    <row r="72" spans="1:16" x14ac:dyDescent="0.35">
      <c r="A72" s="32" t="s">
        <v>6509</v>
      </c>
      <c r="B72" s="7">
        <f t="shared" si="4"/>
        <v>46121</v>
      </c>
      <c r="C72" s="7">
        <f t="shared" si="5"/>
        <v>46127</v>
      </c>
      <c r="D72" s="6">
        <v>3287</v>
      </c>
      <c r="E72" s="6">
        <v>338</v>
      </c>
      <c r="F72" s="6">
        <v>4</v>
      </c>
      <c r="G72" s="6">
        <v>2</v>
      </c>
      <c r="H72" s="6">
        <v>81421</v>
      </c>
      <c r="I72" s="6" t="s">
        <v>17</v>
      </c>
      <c r="J72" s="6">
        <v>76020294</v>
      </c>
      <c r="K72" s="6" t="s">
        <v>1939</v>
      </c>
      <c r="L72" s="6" t="s">
        <v>1942</v>
      </c>
      <c r="M72" s="8">
        <v>219900</v>
      </c>
      <c r="N72" s="35">
        <v>0.9</v>
      </c>
      <c r="O72" s="34">
        <f t="shared" si="3"/>
        <v>21990</v>
      </c>
      <c r="P72" s="6" t="s">
        <v>16</v>
      </c>
    </row>
    <row r="73" spans="1:16" x14ac:dyDescent="0.35">
      <c r="A73" s="32" t="s">
        <v>6509</v>
      </c>
      <c r="B73" s="7">
        <f t="shared" si="4"/>
        <v>46121</v>
      </c>
      <c r="C73" s="7">
        <f t="shared" si="5"/>
        <v>46127</v>
      </c>
      <c r="D73" s="6">
        <v>3287</v>
      </c>
      <c r="E73" s="6">
        <v>338</v>
      </c>
      <c r="F73" s="6">
        <v>4</v>
      </c>
      <c r="G73" s="6">
        <v>2</v>
      </c>
      <c r="H73" s="6">
        <v>81421</v>
      </c>
      <c r="I73" s="6" t="s">
        <v>17</v>
      </c>
      <c r="J73" s="6">
        <v>76020301</v>
      </c>
      <c r="K73" s="6" t="s">
        <v>1939</v>
      </c>
      <c r="L73" s="6" t="s">
        <v>1943</v>
      </c>
      <c r="M73" s="8">
        <v>219900</v>
      </c>
      <c r="N73" s="35">
        <v>0.9</v>
      </c>
      <c r="O73" s="34">
        <f t="shared" si="3"/>
        <v>21990</v>
      </c>
      <c r="P73" s="6" t="s">
        <v>16</v>
      </c>
    </row>
    <row r="74" spans="1:16" x14ac:dyDescent="0.35">
      <c r="A74" s="32" t="s">
        <v>6509</v>
      </c>
      <c r="B74" s="7">
        <f t="shared" si="4"/>
        <v>46121</v>
      </c>
      <c r="C74" s="7">
        <f t="shared" si="5"/>
        <v>46127</v>
      </c>
      <c r="D74" s="6">
        <v>3287</v>
      </c>
      <c r="E74" s="6">
        <v>338</v>
      </c>
      <c r="F74" s="6">
        <v>4</v>
      </c>
      <c r="G74" s="6">
        <v>3</v>
      </c>
      <c r="H74" s="6">
        <v>850</v>
      </c>
      <c r="I74" s="6" t="s">
        <v>17</v>
      </c>
      <c r="J74" s="6">
        <v>43740381</v>
      </c>
      <c r="K74" s="6" t="s">
        <v>1811</v>
      </c>
      <c r="L74" s="6" t="s">
        <v>1812</v>
      </c>
      <c r="M74" s="8">
        <v>79900</v>
      </c>
      <c r="N74" s="35">
        <v>0.9</v>
      </c>
      <c r="O74" s="34">
        <f t="shared" si="3"/>
        <v>7990</v>
      </c>
      <c r="P74" s="6" t="s">
        <v>16</v>
      </c>
    </row>
    <row r="75" spans="1:16" x14ac:dyDescent="0.35">
      <c r="A75" s="32" t="s">
        <v>6509</v>
      </c>
      <c r="B75" s="7">
        <f t="shared" si="4"/>
        <v>46121</v>
      </c>
      <c r="C75" s="7">
        <f t="shared" si="5"/>
        <v>46127</v>
      </c>
      <c r="D75" s="6">
        <v>3287</v>
      </c>
      <c r="E75" s="6">
        <v>338</v>
      </c>
      <c r="F75" s="6">
        <v>4</v>
      </c>
      <c r="G75" s="6">
        <v>3</v>
      </c>
      <c r="H75" s="6">
        <v>850</v>
      </c>
      <c r="I75" s="6" t="s">
        <v>17</v>
      </c>
      <c r="J75" s="6">
        <v>43740407</v>
      </c>
      <c r="K75" s="6" t="s">
        <v>1811</v>
      </c>
      <c r="L75" s="6" t="s">
        <v>1813</v>
      </c>
      <c r="M75" s="8">
        <v>79900</v>
      </c>
      <c r="N75" s="35">
        <v>0.9</v>
      </c>
      <c r="O75" s="34">
        <f t="shared" si="3"/>
        <v>7990</v>
      </c>
      <c r="P75" s="6" t="s">
        <v>16</v>
      </c>
    </row>
    <row r="76" spans="1:16" x14ac:dyDescent="0.35">
      <c r="A76" s="32" t="s">
        <v>6509</v>
      </c>
      <c r="B76" s="7">
        <f t="shared" si="4"/>
        <v>46121</v>
      </c>
      <c r="C76" s="7">
        <f t="shared" si="5"/>
        <v>46127</v>
      </c>
      <c r="D76" s="6">
        <v>3287</v>
      </c>
      <c r="E76" s="6">
        <v>338</v>
      </c>
      <c r="F76" s="6">
        <v>4</v>
      </c>
      <c r="G76" s="6">
        <v>3</v>
      </c>
      <c r="H76" s="6">
        <v>850</v>
      </c>
      <c r="I76" s="6" t="s">
        <v>17</v>
      </c>
      <c r="J76" s="6">
        <v>43740416</v>
      </c>
      <c r="K76" s="6" t="s">
        <v>1811</v>
      </c>
      <c r="L76" s="6" t="s">
        <v>1814</v>
      </c>
      <c r="M76" s="8">
        <v>79900</v>
      </c>
      <c r="N76" s="35">
        <v>0.9</v>
      </c>
      <c r="O76" s="34">
        <f t="shared" si="3"/>
        <v>7990</v>
      </c>
      <c r="P76" s="6" t="s">
        <v>16</v>
      </c>
    </row>
    <row r="77" spans="1:16" x14ac:dyDescent="0.35">
      <c r="A77" s="32" t="s">
        <v>6509</v>
      </c>
      <c r="B77" s="7">
        <f t="shared" si="4"/>
        <v>46121</v>
      </c>
      <c r="C77" s="7">
        <f t="shared" si="5"/>
        <v>46127</v>
      </c>
      <c r="D77" s="6">
        <v>3287</v>
      </c>
      <c r="E77" s="6">
        <v>338</v>
      </c>
      <c r="F77" s="6">
        <v>4</v>
      </c>
      <c r="G77" s="6">
        <v>3</v>
      </c>
      <c r="H77" s="6">
        <v>850</v>
      </c>
      <c r="I77" s="6" t="s">
        <v>17</v>
      </c>
      <c r="J77" s="6">
        <v>70843451</v>
      </c>
      <c r="K77" s="6" t="s">
        <v>1839</v>
      </c>
      <c r="L77" s="6" t="s">
        <v>1840</v>
      </c>
      <c r="M77" s="8">
        <v>37900</v>
      </c>
      <c r="N77" s="35">
        <v>0.9</v>
      </c>
      <c r="O77" s="34">
        <f t="shared" si="3"/>
        <v>3790</v>
      </c>
      <c r="P77" s="6" t="s">
        <v>16</v>
      </c>
    </row>
    <row r="78" spans="1:16" x14ac:dyDescent="0.35">
      <c r="A78" s="32" t="s">
        <v>6509</v>
      </c>
      <c r="B78" s="7">
        <f t="shared" si="4"/>
        <v>46121</v>
      </c>
      <c r="C78" s="7">
        <f t="shared" si="5"/>
        <v>46127</v>
      </c>
      <c r="D78" s="6">
        <v>3287</v>
      </c>
      <c r="E78" s="6">
        <v>338</v>
      </c>
      <c r="F78" s="6">
        <v>4</v>
      </c>
      <c r="G78" s="6">
        <v>3</v>
      </c>
      <c r="H78" s="6">
        <v>850</v>
      </c>
      <c r="I78" s="6" t="s">
        <v>17</v>
      </c>
      <c r="J78" s="6">
        <v>70843460</v>
      </c>
      <c r="K78" s="6" t="s">
        <v>1839</v>
      </c>
      <c r="L78" s="6" t="s">
        <v>1841</v>
      </c>
      <c r="M78" s="8">
        <v>37900</v>
      </c>
      <c r="N78" s="35">
        <v>0.9</v>
      </c>
      <c r="O78" s="34">
        <f t="shared" si="3"/>
        <v>3790</v>
      </c>
      <c r="P78" s="6" t="s">
        <v>16</v>
      </c>
    </row>
    <row r="79" spans="1:16" x14ac:dyDescent="0.35">
      <c r="A79" s="32" t="s">
        <v>6509</v>
      </c>
      <c r="B79" s="7">
        <f t="shared" si="4"/>
        <v>46121</v>
      </c>
      <c r="C79" s="7">
        <f t="shared" si="5"/>
        <v>46127</v>
      </c>
      <c r="D79" s="6">
        <v>3287</v>
      </c>
      <c r="E79" s="6">
        <v>338</v>
      </c>
      <c r="F79" s="6">
        <v>4</v>
      </c>
      <c r="G79" s="6">
        <v>3</v>
      </c>
      <c r="H79" s="6">
        <v>850</v>
      </c>
      <c r="I79" s="6" t="s">
        <v>17</v>
      </c>
      <c r="J79" s="6">
        <v>73515434</v>
      </c>
      <c r="K79" s="6" t="s">
        <v>1899</v>
      </c>
      <c r="L79" s="6" t="s">
        <v>1900</v>
      </c>
      <c r="M79" s="8">
        <v>89900</v>
      </c>
      <c r="N79" s="35">
        <v>0.9</v>
      </c>
      <c r="O79" s="34">
        <f t="shared" si="3"/>
        <v>8990</v>
      </c>
      <c r="P79" s="6" t="s">
        <v>16</v>
      </c>
    </row>
    <row r="80" spans="1:16" x14ac:dyDescent="0.35">
      <c r="A80" s="32" t="s">
        <v>6509</v>
      </c>
      <c r="B80" s="7">
        <f t="shared" si="4"/>
        <v>46121</v>
      </c>
      <c r="C80" s="7">
        <f t="shared" si="5"/>
        <v>46127</v>
      </c>
      <c r="D80" s="6">
        <v>3287</v>
      </c>
      <c r="E80" s="6">
        <v>338</v>
      </c>
      <c r="F80" s="6">
        <v>4</v>
      </c>
      <c r="G80" s="6">
        <v>3</v>
      </c>
      <c r="H80" s="6">
        <v>850</v>
      </c>
      <c r="I80" s="6" t="s">
        <v>17</v>
      </c>
      <c r="J80" s="6">
        <v>73515443</v>
      </c>
      <c r="K80" s="6" t="s">
        <v>1899</v>
      </c>
      <c r="L80" s="6" t="s">
        <v>1901</v>
      </c>
      <c r="M80" s="8">
        <v>89900</v>
      </c>
      <c r="N80" s="35">
        <v>0.9</v>
      </c>
      <c r="O80" s="34">
        <f t="shared" si="3"/>
        <v>8990</v>
      </c>
      <c r="P80" s="6" t="s">
        <v>16</v>
      </c>
    </row>
    <row r="81" spans="1:16" x14ac:dyDescent="0.35">
      <c r="A81" s="32" t="s">
        <v>6509</v>
      </c>
      <c r="B81" s="7">
        <f t="shared" si="4"/>
        <v>46121</v>
      </c>
      <c r="C81" s="7">
        <f t="shared" si="5"/>
        <v>46127</v>
      </c>
      <c r="D81" s="6">
        <v>3287</v>
      </c>
      <c r="E81" s="6">
        <v>338</v>
      </c>
      <c r="F81" s="6">
        <v>4</v>
      </c>
      <c r="G81" s="6">
        <v>3</v>
      </c>
      <c r="H81" s="6">
        <v>850</v>
      </c>
      <c r="I81" s="6" t="s">
        <v>17</v>
      </c>
      <c r="J81" s="6">
        <v>73515452</v>
      </c>
      <c r="K81" s="6" t="s">
        <v>1899</v>
      </c>
      <c r="L81" s="6" t="s">
        <v>1902</v>
      </c>
      <c r="M81" s="8">
        <v>89900</v>
      </c>
      <c r="N81" s="35">
        <v>0.9</v>
      </c>
      <c r="O81" s="34">
        <f t="shared" si="3"/>
        <v>8990</v>
      </c>
      <c r="P81" s="6" t="s">
        <v>16</v>
      </c>
    </row>
    <row r="82" spans="1:16" x14ac:dyDescent="0.35">
      <c r="A82" s="32" t="s">
        <v>6509</v>
      </c>
      <c r="B82" s="7">
        <f t="shared" si="4"/>
        <v>46121</v>
      </c>
      <c r="C82" s="7">
        <f t="shared" si="5"/>
        <v>46127</v>
      </c>
      <c r="D82" s="6">
        <v>3287</v>
      </c>
      <c r="E82" s="6">
        <v>338</v>
      </c>
      <c r="F82" s="6">
        <v>4</v>
      </c>
      <c r="G82" s="6">
        <v>3</v>
      </c>
      <c r="H82" s="6">
        <v>850</v>
      </c>
      <c r="I82" s="6" t="s">
        <v>17</v>
      </c>
      <c r="J82" s="6">
        <v>73515461</v>
      </c>
      <c r="K82" s="6" t="s">
        <v>1899</v>
      </c>
      <c r="L82" s="6" t="s">
        <v>1903</v>
      </c>
      <c r="M82" s="8">
        <v>89900</v>
      </c>
      <c r="N82" s="35">
        <v>0.9</v>
      </c>
      <c r="O82" s="34">
        <f t="shared" si="3"/>
        <v>8990</v>
      </c>
      <c r="P82" s="6" t="s">
        <v>16</v>
      </c>
    </row>
    <row r="83" spans="1:16" x14ac:dyDescent="0.35">
      <c r="A83" s="32" t="s">
        <v>6509</v>
      </c>
      <c r="B83" s="7">
        <f t="shared" si="4"/>
        <v>46121</v>
      </c>
      <c r="C83" s="7">
        <f t="shared" si="5"/>
        <v>46127</v>
      </c>
      <c r="D83" s="6">
        <v>3287</v>
      </c>
      <c r="E83" s="6">
        <v>338</v>
      </c>
      <c r="F83" s="6">
        <v>4</v>
      </c>
      <c r="G83" s="6">
        <v>3</v>
      </c>
      <c r="H83" s="6">
        <v>850</v>
      </c>
      <c r="I83" s="6" t="s">
        <v>17</v>
      </c>
      <c r="J83" s="6">
        <v>74855066</v>
      </c>
      <c r="K83" s="6" t="s">
        <v>1931</v>
      </c>
      <c r="L83" s="6" t="s">
        <v>1932</v>
      </c>
      <c r="M83" s="8">
        <v>89900</v>
      </c>
      <c r="N83" s="35">
        <v>0.9</v>
      </c>
      <c r="O83" s="34">
        <f t="shared" si="3"/>
        <v>8990</v>
      </c>
      <c r="P83" s="6" t="s">
        <v>16</v>
      </c>
    </row>
    <row r="84" spans="1:16" x14ac:dyDescent="0.35">
      <c r="A84" s="32" t="s">
        <v>6509</v>
      </c>
      <c r="B84" s="7">
        <f t="shared" si="4"/>
        <v>46121</v>
      </c>
      <c r="C84" s="7">
        <f t="shared" si="5"/>
        <v>46127</v>
      </c>
      <c r="D84" s="6">
        <v>3287</v>
      </c>
      <c r="E84" s="6">
        <v>338</v>
      </c>
      <c r="F84" s="6">
        <v>4</v>
      </c>
      <c r="G84" s="6">
        <v>3</v>
      </c>
      <c r="H84" s="6">
        <v>850</v>
      </c>
      <c r="I84" s="6" t="s">
        <v>17</v>
      </c>
      <c r="J84" s="6">
        <v>74855075</v>
      </c>
      <c r="K84" s="6" t="s">
        <v>1931</v>
      </c>
      <c r="L84" s="6" t="s">
        <v>1933</v>
      </c>
      <c r="M84" s="8">
        <v>89900</v>
      </c>
      <c r="N84" s="35">
        <v>0.9</v>
      </c>
      <c r="O84" s="34">
        <f t="shared" si="3"/>
        <v>8990</v>
      </c>
      <c r="P84" s="6" t="s">
        <v>16</v>
      </c>
    </row>
    <row r="85" spans="1:16" x14ac:dyDescent="0.35">
      <c r="A85" s="32" t="s">
        <v>6509</v>
      </c>
      <c r="B85" s="7">
        <f t="shared" si="4"/>
        <v>46121</v>
      </c>
      <c r="C85" s="7">
        <f t="shared" si="5"/>
        <v>46127</v>
      </c>
      <c r="D85" s="6">
        <v>3287</v>
      </c>
      <c r="E85" s="6">
        <v>338</v>
      </c>
      <c r="F85" s="6">
        <v>4</v>
      </c>
      <c r="G85" s="6">
        <v>3</v>
      </c>
      <c r="H85" s="6">
        <v>850</v>
      </c>
      <c r="I85" s="6" t="s">
        <v>17</v>
      </c>
      <c r="J85" s="6">
        <v>74855084</v>
      </c>
      <c r="K85" s="6" t="s">
        <v>1931</v>
      </c>
      <c r="L85" s="6" t="s">
        <v>1934</v>
      </c>
      <c r="M85" s="8">
        <v>89900</v>
      </c>
      <c r="N85" s="35">
        <v>0.9</v>
      </c>
      <c r="O85" s="34">
        <f t="shared" si="3"/>
        <v>8990</v>
      </c>
      <c r="P85" s="6" t="s">
        <v>16</v>
      </c>
    </row>
    <row r="86" spans="1:16" x14ac:dyDescent="0.35">
      <c r="A86" s="32" t="s">
        <v>6509</v>
      </c>
      <c r="B86" s="7">
        <f t="shared" si="4"/>
        <v>46121</v>
      </c>
      <c r="C86" s="7">
        <f t="shared" si="5"/>
        <v>46127</v>
      </c>
      <c r="D86" s="6">
        <v>3287</v>
      </c>
      <c r="E86" s="6">
        <v>338</v>
      </c>
      <c r="F86" s="6">
        <v>4</v>
      </c>
      <c r="G86" s="6">
        <v>3</v>
      </c>
      <c r="H86" s="6">
        <v>850</v>
      </c>
      <c r="I86" s="6" t="s">
        <v>17</v>
      </c>
      <c r="J86" s="6">
        <v>76174262</v>
      </c>
      <c r="K86" s="6" t="s">
        <v>1968</v>
      </c>
      <c r="L86" s="6" t="s">
        <v>1969</v>
      </c>
      <c r="M86" s="8">
        <v>89900</v>
      </c>
      <c r="N86" s="35">
        <v>0.9</v>
      </c>
      <c r="O86" s="34">
        <f t="shared" si="3"/>
        <v>8990</v>
      </c>
      <c r="P86" s="6" t="s">
        <v>16</v>
      </c>
    </row>
    <row r="87" spans="1:16" x14ac:dyDescent="0.35">
      <c r="A87" s="32" t="s">
        <v>6509</v>
      </c>
      <c r="B87" s="7">
        <f t="shared" si="4"/>
        <v>46121</v>
      </c>
      <c r="C87" s="7">
        <f t="shared" si="5"/>
        <v>46127</v>
      </c>
      <c r="D87" s="6">
        <v>3287</v>
      </c>
      <c r="E87" s="6">
        <v>338</v>
      </c>
      <c r="F87" s="6">
        <v>4</v>
      </c>
      <c r="G87" s="6">
        <v>3</v>
      </c>
      <c r="H87" s="6">
        <v>850</v>
      </c>
      <c r="I87" s="6" t="s">
        <v>17</v>
      </c>
      <c r="J87" s="6">
        <v>76174271</v>
      </c>
      <c r="K87" s="6" t="s">
        <v>1968</v>
      </c>
      <c r="L87" s="6" t="s">
        <v>1970</v>
      </c>
      <c r="M87" s="8">
        <v>89900</v>
      </c>
      <c r="N87" s="35">
        <v>0.9</v>
      </c>
      <c r="O87" s="34">
        <f t="shared" si="3"/>
        <v>8990</v>
      </c>
      <c r="P87" s="6" t="s">
        <v>16</v>
      </c>
    </row>
    <row r="88" spans="1:16" x14ac:dyDescent="0.35">
      <c r="A88" s="32" t="s">
        <v>6509</v>
      </c>
      <c r="B88" s="7">
        <f t="shared" si="4"/>
        <v>46121</v>
      </c>
      <c r="C88" s="7">
        <f t="shared" si="5"/>
        <v>46127</v>
      </c>
      <c r="D88" s="6">
        <v>3287</v>
      </c>
      <c r="E88" s="6">
        <v>338</v>
      </c>
      <c r="F88" s="6">
        <v>4</v>
      </c>
      <c r="G88" s="6">
        <v>3</v>
      </c>
      <c r="H88" s="6">
        <v>850</v>
      </c>
      <c r="I88" s="6" t="s">
        <v>17</v>
      </c>
      <c r="J88" s="6">
        <v>76174280</v>
      </c>
      <c r="K88" s="6" t="s">
        <v>1968</v>
      </c>
      <c r="L88" s="6" t="s">
        <v>1971</v>
      </c>
      <c r="M88" s="8">
        <v>89900</v>
      </c>
      <c r="N88" s="35">
        <v>0.9</v>
      </c>
      <c r="O88" s="34">
        <f t="shared" si="3"/>
        <v>8990</v>
      </c>
      <c r="P88" s="6" t="s">
        <v>16</v>
      </c>
    </row>
    <row r="89" spans="1:16" x14ac:dyDescent="0.35">
      <c r="A89" s="32" t="s">
        <v>6509</v>
      </c>
      <c r="B89" s="7">
        <f t="shared" si="4"/>
        <v>46121</v>
      </c>
      <c r="C89" s="7">
        <f t="shared" si="5"/>
        <v>46127</v>
      </c>
      <c r="D89" s="6">
        <v>3287</v>
      </c>
      <c r="E89" s="6">
        <v>338</v>
      </c>
      <c r="F89" s="6">
        <v>4</v>
      </c>
      <c r="G89" s="6">
        <v>3</v>
      </c>
      <c r="H89" s="6">
        <v>850</v>
      </c>
      <c r="I89" s="6" t="s">
        <v>17</v>
      </c>
      <c r="J89" s="6">
        <v>63407365</v>
      </c>
      <c r="K89" s="6" t="s">
        <v>1785</v>
      </c>
      <c r="L89" s="6" t="s">
        <v>1786</v>
      </c>
      <c r="M89" s="8">
        <v>37900</v>
      </c>
      <c r="N89" s="35">
        <v>0.9</v>
      </c>
      <c r="O89" s="34">
        <f t="shared" si="3"/>
        <v>3790</v>
      </c>
      <c r="P89" s="6" t="s">
        <v>16</v>
      </c>
    </row>
    <row r="90" spans="1:16" x14ac:dyDescent="0.35">
      <c r="A90" s="32" t="s">
        <v>6509</v>
      </c>
      <c r="B90" s="7">
        <f t="shared" si="4"/>
        <v>46121</v>
      </c>
      <c r="C90" s="7">
        <f t="shared" si="5"/>
        <v>46127</v>
      </c>
      <c r="D90" s="6">
        <v>3287</v>
      </c>
      <c r="E90" s="6">
        <v>338</v>
      </c>
      <c r="F90" s="6">
        <v>4</v>
      </c>
      <c r="G90" s="6">
        <v>3</v>
      </c>
      <c r="H90" s="6">
        <v>850</v>
      </c>
      <c r="I90" s="6" t="s">
        <v>17</v>
      </c>
      <c r="J90" s="6">
        <v>63407374</v>
      </c>
      <c r="K90" s="6" t="s">
        <v>1785</v>
      </c>
      <c r="L90" s="6" t="s">
        <v>1787</v>
      </c>
      <c r="M90" s="8">
        <v>37900</v>
      </c>
      <c r="N90" s="35">
        <v>0.9</v>
      </c>
      <c r="O90" s="34">
        <f t="shared" si="3"/>
        <v>3790</v>
      </c>
      <c r="P90" s="6" t="s">
        <v>16</v>
      </c>
    </row>
    <row r="91" spans="1:16" x14ac:dyDescent="0.35">
      <c r="A91" s="32" t="s">
        <v>6509</v>
      </c>
      <c r="B91" s="7">
        <f t="shared" si="4"/>
        <v>46121</v>
      </c>
      <c r="C91" s="7">
        <f t="shared" si="5"/>
        <v>46127</v>
      </c>
      <c r="D91" s="6">
        <v>3287</v>
      </c>
      <c r="E91" s="6">
        <v>338</v>
      </c>
      <c r="F91" s="6">
        <v>4</v>
      </c>
      <c r="G91" s="6">
        <v>3</v>
      </c>
      <c r="H91" s="6">
        <v>850</v>
      </c>
      <c r="I91" s="6" t="s">
        <v>17</v>
      </c>
      <c r="J91" s="6">
        <v>63407383</v>
      </c>
      <c r="K91" s="6" t="s">
        <v>1785</v>
      </c>
      <c r="L91" s="6" t="s">
        <v>1788</v>
      </c>
      <c r="M91" s="8">
        <v>37900</v>
      </c>
      <c r="N91" s="35">
        <v>0.9</v>
      </c>
      <c r="O91" s="34">
        <f t="shared" si="3"/>
        <v>3790</v>
      </c>
      <c r="P91" s="6" t="s">
        <v>16</v>
      </c>
    </row>
    <row r="92" spans="1:16" x14ac:dyDescent="0.35">
      <c r="A92" s="32" t="s">
        <v>6509</v>
      </c>
      <c r="B92" s="7">
        <f t="shared" si="4"/>
        <v>46121</v>
      </c>
      <c r="C92" s="7">
        <f t="shared" si="5"/>
        <v>46127</v>
      </c>
      <c r="D92" s="6">
        <v>3287</v>
      </c>
      <c r="E92" s="6">
        <v>338</v>
      </c>
      <c r="F92" s="6">
        <v>4</v>
      </c>
      <c r="G92" s="6">
        <v>3</v>
      </c>
      <c r="H92" s="6">
        <v>850</v>
      </c>
      <c r="I92" s="6" t="s">
        <v>17</v>
      </c>
      <c r="J92" s="6">
        <v>63407392</v>
      </c>
      <c r="K92" s="6" t="s">
        <v>1785</v>
      </c>
      <c r="L92" s="6" t="s">
        <v>1789</v>
      </c>
      <c r="M92" s="8">
        <v>37900</v>
      </c>
      <c r="N92" s="35">
        <v>0.9</v>
      </c>
      <c r="O92" s="34">
        <f t="shared" si="3"/>
        <v>3790</v>
      </c>
      <c r="P92" s="6" t="s">
        <v>16</v>
      </c>
    </row>
    <row r="93" spans="1:16" x14ac:dyDescent="0.35">
      <c r="A93" s="32" t="s">
        <v>6509</v>
      </c>
      <c r="B93" s="7">
        <f t="shared" si="4"/>
        <v>46121</v>
      </c>
      <c r="C93" s="7">
        <f t="shared" si="5"/>
        <v>46127</v>
      </c>
      <c r="D93" s="6">
        <v>3287</v>
      </c>
      <c r="E93" s="6">
        <v>338</v>
      </c>
      <c r="F93" s="6">
        <v>4</v>
      </c>
      <c r="G93" s="6">
        <v>3</v>
      </c>
      <c r="H93" s="6">
        <v>850</v>
      </c>
      <c r="I93" s="6" t="s">
        <v>17</v>
      </c>
      <c r="J93" s="6">
        <v>63407409</v>
      </c>
      <c r="K93" s="6" t="s">
        <v>1760</v>
      </c>
      <c r="L93" s="6" t="s">
        <v>1761</v>
      </c>
      <c r="M93" s="8">
        <v>37900</v>
      </c>
      <c r="N93" s="35">
        <v>0.9</v>
      </c>
      <c r="O93" s="34">
        <f t="shared" si="3"/>
        <v>3790</v>
      </c>
      <c r="P93" s="6" t="s">
        <v>16</v>
      </c>
    </row>
    <row r="94" spans="1:16" x14ac:dyDescent="0.35">
      <c r="A94" s="32" t="s">
        <v>6509</v>
      </c>
      <c r="B94" s="7">
        <f t="shared" si="4"/>
        <v>46121</v>
      </c>
      <c r="C94" s="7">
        <f t="shared" si="5"/>
        <v>46127</v>
      </c>
      <c r="D94" s="6">
        <v>3287</v>
      </c>
      <c r="E94" s="6">
        <v>338</v>
      </c>
      <c r="F94" s="6">
        <v>4</v>
      </c>
      <c r="G94" s="6">
        <v>3</v>
      </c>
      <c r="H94" s="6">
        <v>850</v>
      </c>
      <c r="I94" s="6" t="s">
        <v>17</v>
      </c>
      <c r="J94" s="6">
        <v>63407418</v>
      </c>
      <c r="K94" s="6" t="s">
        <v>1760</v>
      </c>
      <c r="L94" s="6" t="s">
        <v>1762</v>
      </c>
      <c r="M94" s="8">
        <v>37900</v>
      </c>
      <c r="N94" s="35">
        <v>0.9</v>
      </c>
      <c r="O94" s="34">
        <f t="shared" si="3"/>
        <v>3790</v>
      </c>
      <c r="P94" s="6" t="s">
        <v>16</v>
      </c>
    </row>
    <row r="95" spans="1:16" x14ac:dyDescent="0.35">
      <c r="A95" s="32" t="s">
        <v>6509</v>
      </c>
      <c r="B95" s="7">
        <f t="shared" si="4"/>
        <v>46121</v>
      </c>
      <c r="C95" s="7">
        <f t="shared" si="5"/>
        <v>46127</v>
      </c>
      <c r="D95" s="6">
        <v>3287</v>
      </c>
      <c r="E95" s="6">
        <v>338</v>
      </c>
      <c r="F95" s="6">
        <v>4</v>
      </c>
      <c r="G95" s="6">
        <v>3</v>
      </c>
      <c r="H95" s="6">
        <v>850</v>
      </c>
      <c r="I95" s="6" t="s">
        <v>17</v>
      </c>
      <c r="J95" s="6">
        <v>63407427</v>
      </c>
      <c r="K95" s="6" t="s">
        <v>1760</v>
      </c>
      <c r="L95" s="6" t="s">
        <v>1763</v>
      </c>
      <c r="M95" s="8">
        <v>37900</v>
      </c>
      <c r="N95" s="35">
        <v>0.9</v>
      </c>
      <c r="O95" s="34">
        <f t="shared" si="3"/>
        <v>3790</v>
      </c>
      <c r="P95" s="6" t="s">
        <v>16</v>
      </c>
    </row>
    <row r="96" spans="1:16" x14ac:dyDescent="0.35">
      <c r="A96" s="32" t="s">
        <v>6509</v>
      </c>
      <c r="B96" s="7">
        <f t="shared" si="4"/>
        <v>46121</v>
      </c>
      <c r="C96" s="7">
        <f t="shared" si="5"/>
        <v>46127</v>
      </c>
      <c r="D96" s="6">
        <v>3287</v>
      </c>
      <c r="E96" s="6">
        <v>338</v>
      </c>
      <c r="F96" s="6">
        <v>4</v>
      </c>
      <c r="G96" s="6">
        <v>3</v>
      </c>
      <c r="H96" s="6">
        <v>850</v>
      </c>
      <c r="I96" s="6" t="s">
        <v>17</v>
      </c>
      <c r="J96" s="6">
        <v>63407436</v>
      </c>
      <c r="K96" s="6" t="s">
        <v>1760</v>
      </c>
      <c r="L96" s="6" t="s">
        <v>1764</v>
      </c>
      <c r="M96" s="8">
        <v>37900</v>
      </c>
      <c r="N96" s="35">
        <v>0.9</v>
      </c>
      <c r="O96" s="34">
        <f t="shared" si="3"/>
        <v>3790</v>
      </c>
      <c r="P96" s="6" t="s">
        <v>16</v>
      </c>
    </row>
    <row r="97" spans="1:16" x14ac:dyDescent="0.35">
      <c r="A97" s="32" t="s">
        <v>6509</v>
      </c>
      <c r="B97" s="7">
        <f t="shared" si="4"/>
        <v>46121</v>
      </c>
      <c r="C97" s="7">
        <f t="shared" si="5"/>
        <v>46127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17</v>
      </c>
      <c r="J97" s="6">
        <v>70245848</v>
      </c>
      <c r="K97" s="6" t="s">
        <v>1835</v>
      </c>
      <c r="L97" s="6" t="s">
        <v>1836</v>
      </c>
      <c r="M97" s="8">
        <v>37900</v>
      </c>
      <c r="N97" s="35">
        <v>0.9</v>
      </c>
      <c r="O97" s="34">
        <f t="shared" si="3"/>
        <v>3790</v>
      </c>
      <c r="P97" s="6" t="s">
        <v>16</v>
      </c>
    </row>
    <row r="98" spans="1:16" x14ac:dyDescent="0.35">
      <c r="A98" s="32" t="s">
        <v>6509</v>
      </c>
      <c r="B98" s="7">
        <f t="shared" si="4"/>
        <v>46121</v>
      </c>
      <c r="C98" s="7">
        <f t="shared" si="5"/>
        <v>46127</v>
      </c>
      <c r="D98" s="6">
        <v>3287</v>
      </c>
      <c r="E98" s="6">
        <v>338</v>
      </c>
      <c r="F98" s="6">
        <v>4</v>
      </c>
      <c r="G98" s="6">
        <v>3</v>
      </c>
      <c r="H98" s="6">
        <v>850</v>
      </c>
      <c r="I98" s="6" t="s">
        <v>17</v>
      </c>
      <c r="J98" s="6">
        <v>70245857</v>
      </c>
      <c r="K98" s="6" t="s">
        <v>1835</v>
      </c>
      <c r="L98" s="6" t="s">
        <v>1837</v>
      </c>
      <c r="M98" s="8">
        <v>37900</v>
      </c>
      <c r="N98" s="35">
        <v>0.9</v>
      </c>
      <c r="O98" s="34">
        <f t="shared" si="3"/>
        <v>3790</v>
      </c>
      <c r="P98" s="6" t="s">
        <v>16</v>
      </c>
    </row>
    <row r="99" spans="1:16" x14ac:dyDescent="0.35">
      <c r="A99" s="32" t="s">
        <v>6509</v>
      </c>
      <c r="B99" s="7">
        <f t="shared" si="4"/>
        <v>46121</v>
      </c>
      <c r="C99" s="7">
        <f t="shared" si="5"/>
        <v>46127</v>
      </c>
      <c r="D99" s="6">
        <v>3287</v>
      </c>
      <c r="E99" s="6">
        <v>338</v>
      </c>
      <c r="F99" s="6">
        <v>4</v>
      </c>
      <c r="G99" s="6">
        <v>3</v>
      </c>
      <c r="H99" s="6">
        <v>850</v>
      </c>
      <c r="I99" s="6" t="s">
        <v>17</v>
      </c>
      <c r="J99" s="6">
        <v>70245866</v>
      </c>
      <c r="K99" s="6" t="s">
        <v>1835</v>
      </c>
      <c r="L99" s="6" t="s">
        <v>1838</v>
      </c>
      <c r="M99" s="8">
        <v>37900</v>
      </c>
      <c r="N99" s="35">
        <v>0.9</v>
      </c>
      <c r="O99" s="34">
        <f t="shared" si="3"/>
        <v>3790</v>
      </c>
      <c r="P99" s="6" t="s">
        <v>16</v>
      </c>
    </row>
    <row r="100" spans="1:16" x14ac:dyDescent="0.35">
      <c r="A100" s="32" t="s">
        <v>6509</v>
      </c>
      <c r="B100" s="7">
        <f t="shared" si="4"/>
        <v>46121</v>
      </c>
      <c r="C100" s="7">
        <f t="shared" si="5"/>
        <v>46127</v>
      </c>
      <c r="D100" s="6">
        <v>3287</v>
      </c>
      <c r="E100" s="6">
        <v>338</v>
      </c>
      <c r="F100" s="6">
        <v>4</v>
      </c>
      <c r="G100" s="6">
        <v>3</v>
      </c>
      <c r="H100" s="6">
        <v>850</v>
      </c>
      <c r="I100" s="6" t="s">
        <v>17</v>
      </c>
      <c r="J100" s="6">
        <v>73615308</v>
      </c>
      <c r="K100" s="6" t="s">
        <v>1894</v>
      </c>
      <c r="L100" s="6" t="s">
        <v>1895</v>
      </c>
      <c r="M100" s="8">
        <v>37900</v>
      </c>
      <c r="N100" s="35">
        <v>0.9</v>
      </c>
      <c r="O100" s="34">
        <f t="shared" si="3"/>
        <v>3790</v>
      </c>
      <c r="P100" s="6" t="s">
        <v>16</v>
      </c>
    </row>
    <row r="101" spans="1:16" x14ac:dyDescent="0.35">
      <c r="A101" s="32" t="s">
        <v>6509</v>
      </c>
      <c r="B101" s="7">
        <f t="shared" si="4"/>
        <v>46121</v>
      </c>
      <c r="C101" s="7">
        <f t="shared" si="5"/>
        <v>46127</v>
      </c>
      <c r="D101" s="6">
        <v>3287</v>
      </c>
      <c r="E101" s="6">
        <v>338</v>
      </c>
      <c r="F101" s="6">
        <v>4</v>
      </c>
      <c r="G101" s="6">
        <v>3</v>
      </c>
      <c r="H101" s="6">
        <v>850</v>
      </c>
      <c r="I101" s="6" t="s">
        <v>17</v>
      </c>
      <c r="J101" s="6">
        <v>73615317</v>
      </c>
      <c r="K101" s="6" t="s">
        <v>1894</v>
      </c>
      <c r="L101" s="6" t="s">
        <v>1896</v>
      </c>
      <c r="M101" s="8">
        <v>37900</v>
      </c>
      <c r="N101" s="35">
        <v>0.9</v>
      </c>
      <c r="O101" s="34">
        <f t="shared" si="3"/>
        <v>3790</v>
      </c>
      <c r="P101" s="6" t="s">
        <v>16</v>
      </c>
    </row>
    <row r="102" spans="1:16" x14ac:dyDescent="0.35">
      <c r="A102" s="32" t="s">
        <v>6509</v>
      </c>
      <c r="B102" s="7">
        <f t="shared" si="4"/>
        <v>46121</v>
      </c>
      <c r="C102" s="7">
        <f t="shared" si="5"/>
        <v>46127</v>
      </c>
      <c r="D102" s="6">
        <v>3287</v>
      </c>
      <c r="E102" s="6">
        <v>338</v>
      </c>
      <c r="F102" s="6">
        <v>4</v>
      </c>
      <c r="G102" s="6">
        <v>3</v>
      </c>
      <c r="H102" s="6">
        <v>850</v>
      </c>
      <c r="I102" s="6" t="s">
        <v>17</v>
      </c>
      <c r="J102" s="6">
        <v>73615326</v>
      </c>
      <c r="K102" s="6" t="s">
        <v>1894</v>
      </c>
      <c r="L102" s="6" t="s">
        <v>1897</v>
      </c>
      <c r="M102" s="8">
        <v>37900</v>
      </c>
      <c r="N102" s="35">
        <v>0.9</v>
      </c>
      <c r="O102" s="34">
        <f t="shared" si="3"/>
        <v>3790</v>
      </c>
      <c r="P102" s="6" t="s">
        <v>16</v>
      </c>
    </row>
    <row r="103" spans="1:16" x14ac:dyDescent="0.35">
      <c r="A103" s="32" t="s">
        <v>6509</v>
      </c>
      <c r="B103" s="7">
        <f t="shared" si="4"/>
        <v>46121</v>
      </c>
      <c r="C103" s="7">
        <f t="shared" si="5"/>
        <v>46127</v>
      </c>
      <c r="D103" s="6">
        <v>3287</v>
      </c>
      <c r="E103" s="6">
        <v>338</v>
      </c>
      <c r="F103" s="6">
        <v>4</v>
      </c>
      <c r="G103" s="6">
        <v>3</v>
      </c>
      <c r="H103" s="6">
        <v>850</v>
      </c>
      <c r="I103" s="6" t="s">
        <v>17</v>
      </c>
      <c r="J103" s="6">
        <v>73615335</v>
      </c>
      <c r="K103" s="6" t="s">
        <v>1894</v>
      </c>
      <c r="L103" s="6" t="s">
        <v>1898</v>
      </c>
      <c r="M103" s="8">
        <v>37900</v>
      </c>
      <c r="N103" s="35">
        <v>0.9</v>
      </c>
      <c r="O103" s="34">
        <f t="shared" si="3"/>
        <v>3790</v>
      </c>
      <c r="P103" s="6" t="s">
        <v>16</v>
      </c>
    </row>
    <row r="104" spans="1:16" x14ac:dyDescent="0.35">
      <c r="A104" s="32" t="s">
        <v>6509</v>
      </c>
      <c r="B104" s="7">
        <f t="shared" si="4"/>
        <v>46121</v>
      </c>
      <c r="C104" s="7">
        <f t="shared" si="5"/>
        <v>46127</v>
      </c>
      <c r="D104" s="6">
        <v>3287</v>
      </c>
      <c r="E104" s="6">
        <v>338</v>
      </c>
      <c r="F104" s="6">
        <v>4</v>
      </c>
      <c r="G104" s="6">
        <v>3</v>
      </c>
      <c r="H104" s="6">
        <v>850</v>
      </c>
      <c r="I104" s="6" t="s">
        <v>17</v>
      </c>
      <c r="J104" s="6">
        <v>73800223</v>
      </c>
      <c r="K104" s="6" t="s">
        <v>1917</v>
      </c>
      <c r="L104" s="6" t="s">
        <v>1918</v>
      </c>
      <c r="M104" s="8">
        <v>37900</v>
      </c>
      <c r="N104" s="35">
        <v>0.9</v>
      </c>
      <c r="O104" s="34">
        <f t="shared" si="3"/>
        <v>3790</v>
      </c>
      <c r="P104" s="6" t="s">
        <v>16</v>
      </c>
    </row>
    <row r="105" spans="1:16" x14ac:dyDescent="0.35">
      <c r="A105" s="32" t="s">
        <v>6509</v>
      </c>
      <c r="B105" s="7">
        <f t="shared" si="4"/>
        <v>46121</v>
      </c>
      <c r="C105" s="7">
        <f t="shared" si="5"/>
        <v>46127</v>
      </c>
      <c r="D105" s="6">
        <v>3287</v>
      </c>
      <c r="E105" s="6">
        <v>338</v>
      </c>
      <c r="F105" s="6">
        <v>4</v>
      </c>
      <c r="G105" s="6">
        <v>3</v>
      </c>
      <c r="H105" s="6">
        <v>850</v>
      </c>
      <c r="I105" s="6" t="s">
        <v>17</v>
      </c>
      <c r="J105" s="6">
        <v>73800232</v>
      </c>
      <c r="K105" s="6" t="s">
        <v>1917</v>
      </c>
      <c r="L105" s="6" t="s">
        <v>1919</v>
      </c>
      <c r="M105" s="8">
        <v>37900</v>
      </c>
      <c r="N105" s="35">
        <v>0.9</v>
      </c>
      <c r="O105" s="34">
        <f t="shared" si="3"/>
        <v>3790</v>
      </c>
      <c r="P105" s="6" t="s">
        <v>16</v>
      </c>
    </row>
    <row r="106" spans="1:16" x14ac:dyDescent="0.35">
      <c r="A106" s="32" t="s">
        <v>6509</v>
      </c>
      <c r="B106" s="7">
        <f t="shared" si="4"/>
        <v>46121</v>
      </c>
      <c r="C106" s="7">
        <f t="shared" si="5"/>
        <v>46127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17</v>
      </c>
      <c r="J106" s="6">
        <v>70843344</v>
      </c>
      <c r="K106" s="6" t="s">
        <v>1857</v>
      </c>
      <c r="L106" s="6" t="s">
        <v>1860</v>
      </c>
      <c r="M106" s="8">
        <v>89900</v>
      </c>
      <c r="N106" s="35">
        <v>0.9</v>
      </c>
      <c r="O106" s="34">
        <f t="shared" si="3"/>
        <v>8990</v>
      </c>
      <c r="P106" s="6" t="s">
        <v>16</v>
      </c>
    </row>
    <row r="107" spans="1:16" x14ac:dyDescent="0.35">
      <c r="A107" s="32" t="s">
        <v>6509</v>
      </c>
      <c r="B107" s="7">
        <f t="shared" si="4"/>
        <v>46121</v>
      </c>
      <c r="C107" s="7">
        <f t="shared" si="5"/>
        <v>46127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17</v>
      </c>
      <c r="J107" s="6">
        <v>70843353</v>
      </c>
      <c r="K107" s="6" t="s">
        <v>1857</v>
      </c>
      <c r="L107" s="6" t="s">
        <v>1858</v>
      </c>
      <c r="M107" s="8">
        <v>89900</v>
      </c>
      <c r="N107" s="35">
        <v>0.9</v>
      </c>
      <c r="O107" s="34">
        <f t="shared" si="3"/>
        <v>8990</v>
      </c>
      <c r="P107" s="6" t="s">
        <v>16</v>
      </c>
    </row>
    <row r="108" spans="1:16" x14ac:dyDescent="0.35">
      <c r="A108" s="32" t="s">
        <v>6509</v>
      </c>
      <c r="B108" s="7">
        <f t="shared" si="4"/>
        <v>46121</v>
      </c>
      <c r="C108" s="7">
        <f t="shared" si="5"/>
        <v>46127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17</v>
      </c>
      <c r="J108" s="6">
        <v>70843362</v>
      </c>
      <c r="K108" s="6" t="s">
        <v>1857</v>
      </c>
      <c r="L108" s="6" t="s">
        <v>1861</v>
      </c>
      <c r="M108" s="8">
        <v>89900</v>
      </c>
      <c r="N108" s="35">
        <v>0.9</v>
      </c>
      <c r="O108" s="34">
        <f t="shared" si="3"/>
        <v>8990</v>
      </c>
      <c r="P108" s="6" t="s">
        <v>16</v>
      </c>
    </row>
    <row r="109" spans="1:16" x14ac:dyDescent="0.35">
      <c r="A109" s="32" t="s">
        <v>6509</v>
      </c>
      <c r="B109" s="7">
        <f t="shared" si="4"/>
        <v>46121</v>
      </c>
      <c r="C109" s="7">
        <f t="shared" si="5"/>
        <v>46127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17</v>
      </c>
      <c r="J109" s="6">
        <v>70843371</v>
      </c>
      <c r="K109" s="6" t="s">
        <v>1857</v>
      </c>
      <c r="L109" s="6" t="s">
        <v>1859</v>
      </c>
      <c r="M109" s="8">
        <v>89900</v>
      </c>
      <c r="N109" s="35">
        <v>0.9</v>
      </c>
      <c r="O109" s="34">
        <f t="shared" si="3"/>
        <v>8990</v>
      </c>
      <c r="P109" s="6" t="s">
        <v>16</v>
      </c>
    </row>
    <row r="110" spans="1:16" x14ac:dyDescent="0.35">
      <c r="A110" s="32" t="s">
        <v>6509</v>
      </c>
      <c r="B110" s="7">
        <f t="shared" si="4"/>
        <v>46121</v>
      </c>
      <c r="C110" s="7">
        <f t="shared" si="5"/>
        <v>46127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17</v>
      </c>
      <c r="J110" s="6">
        <v>73515407</v>
      </c>
      <c r="K110" s="6" t="s">
        <v>1913</v>
      </c>
      <c r="L110" s="6" t="s">
        <v>1914</v>
      </c>
      <c r="M110" s="8">
        <v>89900</v>
      </c>
      <c r="N110" s="35">
        <v>0.9</v>
      </c>
      <c r="O110" s="34">
        <f t="shared" si="3"/>
        <v>8990</v>
      </c>
      <c r="P110" s="6" t="s">
        <v>16</v>
      </c>
    </row>
    <row r="111" spans="1:16" x14ac:dyDescent="0.35">
      <c r="A111" s="32" t="s">
        <v>6509</v>
      </c>
      <c r="B111" s="7">
        <f t="shared" si="4"/>
        <v>46121</v>
      </c>
      <c r="C111" s="7">
        <f t="shared" si="5"/>
        <v>46127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17</v>
      </c>
      <c r="J111" s="6">
        <v>73515416</v>
      </c>
      <c r="K111" s="6" t="s">
        <v>1913</v>
      </c>
      <c r="L111" s="6" t="s">
        <v>1916</v>
      </c>
      <c r="M111" s="8">
        <v>89900</v>
      </c>
      <c r="N111" s="35">
        <v>0.9</v>
      </c>
      <c r="O111" s="34">
        <f t="shared" si="3"/>
        <v>8990</v>
      </c>
      <c r="P111" s="6" t="s">
        <v>16</v>
      </c>
    </row>
    <row r="112" spans="1:16" x14ac:dyDescent="0.35">
      <c r="A112" s="32" t="s">
        <v>6509</v>
      </c>
      <c r="B112" s="7">
        <f t="shared" si="4"/>
        <v>46121</v>
      </c>
      <c r="C112" s="7">
        <f t="shared" si="5"/>
        <v>46127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17</v>
      </c>
      <c r="J112" s="6">
        <v>73515425</v>
      </c>
      <c r="K112" s="6" t="s">
        <v>1913</v>
      </c>
      <c r="L112" s="6" t="s">
        <v>1915</v>
      </c>
      <c r="M112" s="8">
        <v>89900</v>
      </c>
      <c r="N112" s="35">
        <v>0.9</v>
      </c>
      <c r="O112" s="34">
        <f t="shared" si="3"/>
        <v>8990</v>
      </c>
      <c r="P112" s="6" t="s">
        <v>16</v>
      </c>
    </row>
    <row r="113" spans="1:16" x14ac:dyDescent="0.35">
      <c r="A113" s="32" t="s">
        <v>6509</v>
      </c>
      <c r="B113" s="7">
        <f t="shared" si="4"/>
        <v>46121</v>
      </c>
      <c r="C113" s="7">
        <f t="shared" si="5"/>
        <v>46127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17</v>
      </c>
      <c r="J113" s="6">
        <v>76174306</v>
      </c>
      <c r="K113" s="6" t="s">
        <v>1998</v>
      </c>
      <c r="L113" s="6" t="s">
        <v>1999</v>
      </c>
      <c r="M113" s="8">
        <v>89900</v>
      </c>
      <c r="N113" s="35">
        <v>0.9</v>
      </c>
      <c r="O113" s="34">
        <f t="shared" si="3"/>
        <v>8990</v>
      </c>
      <c r="P113" s="6" t="s">
        <v>16</v>
      </c>
    </row>
    <row r="114" spans="1:16" x14ac:dyDescent="0.35">
      <c r="A114" s="32" t="s">
        <v>6509</v>
      </c>
      <c r="B114" s="7">
        <f t="shared" si="4"/>
        <v>46121</v>
      </c>
      <c r="C114" s="7">
        <f t="shared" si="5"/>
        <v>46127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17</v>
      </c>
      <c r="J114" s="6">
        <v>76174315</v>
      </c>
      <c r="K114" s="6" t="s">
        <v>1998</v>
      </c>
      <c r="L114" s="6" t="s">
        <v>2000</v>
      </c>
      <c r="M114" s="8">
        <v>89900</v>
      </c>
      <c r="N114" s="35">
        <v>0.9</v>
      </c>
      <c r="O114" s="34">
        <f t="shared" si="3"/>
        <v>8990</v>
      </c>
      <c r="P114" s="6" t="s">
        <v>16</v>
      </c>
    </row>
    <row r="115" spans="1:16" x14ac:dyDescent="0.35">
      <c r="A115" s="32" t="s">
        <v>6509</v>
      </c>
      <c r="B115" s="7">
        <f t="shared" si="4"/>
        <v>46121</v>
      </c>
      <c r="C115" s="7">
        <f t="shared" si="5"/>
        <v>46127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17</v>
      </c>
      <c r="J115" s="6">
        <v>76174324</v>
      </c>
      <c r="K115" s="6" t="s">
        <v>1998</v>
      </c>
      <c r="L115" s="6" t="s">
        <v>2001</v>
      </c>
      <c r="M115" s="8">
        <v>89900</v>
      </c>
      <c r="N115" s="35">
        <v>0.9</v>
      </c>
      <c r="O115" s="34">
        <f t="shared" si="3"/>
        <v>8990</v>
      </c>
      <c r="P115" s="6" t="s">
        <v>16</v>
      </c>
    </row>
    <row r="116" spans="1:16" x14ac:dyDescent="0.35">
      <c r="A116" s="32" t="s">
        <v>6509</v>
      </c>
      <c r="B116" s="7">
        <f t="shared" si="4"/>
        <v>46121</v>
      </c>
      <c r="C116" s="7">
        <f t="shared" si="5"/>
        <v>46127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17</v>
      </c>
      <c r="J116" s="6">
        <v>33261113</v>
      </c>
      <c r="K116" s="6" t="s">
        <v>1717</v>
      </c>
      <c r="L116" s="6" t="s">
        <v>1718</v>
      </c>
      <c r="M116" s="8">
        <v>34900</v>
      </c>
      <c r="N116" s="35">
        <v>0.9</v>
      </c>
      <c r="O116" s="34">
        <f t="shared" si="3"/>
        <v>3490</v>
      </c>
      <c r="P116" s="6" t="s">
        <v>16</v>
      </c>
    </row>
    <row r="117" spans="1:16" x14ac:dyDescent="0.35">
      <c r="A117" s="32" t="s">
        <v>6509</v>
      </c>
      <c r="B117" s="7">
        <f t="shared" si="4"/>
        <v>46121</v>
      </c>
      <c r="C117" s="7">
        <f t="shared" si="5"/>
        <v>46127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17</v>
      </c>
      <c r="J117" s="6">
        <v>33261122</v>
      </c>
      <c r="K117" s="6" t="s">
        <v>1717</v>
      </c>
      <c r="L117" s="6" t="s">
        <v>1719</v>
      </c>
      <c r="M117" s="8">
        <v>34900</v>
      </c>
      <c r="N117" s="35">
        <v>0.9</v>
      </c>
      <c r="O117" s="34">
        <f t="shared" si="3"/>
        <v>3490</v>
      </c>
      <c r="P117" s="6" t="s">
        <v>16</v>
      </c>
    </row>
    <row r="118" spans="1:16" x14ac:dyDescent="0.35">
      <c r="A118" s="32" t="s">
        <v>6509</v>
      </c>
      <c r="B118" s="7">
        <f t="shared" si="4"/>
        <v>46121</v>
      </c>
      <c r="C118" s="7">
        <f t="shared" si="5"/>
        <v>46127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17</v>
      </c>
      <c r="J118" s="6">
        <v>33261131</v>
      </c>
      <c r="K118" s="6" t="s">
        <v>1717</v>
      </c>
      <c r="L118" s="6" t="s">
        <v>1720</v>
      </c>
      <c r="M118" s="8">
        <v>34900</v>
      </c>
      <c r="N118" s="35">
        <v>0.9</v>
      </c>
      <c r="O118" s="34">
        <f t="shared" si="3"/>
        <v>3490</v>
      </c>
      <c r="P118" s="6" t="s">
        <v>16</v>
      </c>
    </row>
    <row r="119" spans="1:16" x14ac:dyDescent="0.35">
      <c r="A119" s="32" t="s">
        <v>6509</v>
      </c>
      <c r="B119" s="7">
        <f t="shared" si="4"/>
        <v>46121</v>
      </c>
      <c r="C119" s="7">
        <f t="shared" si="5"/>
        <v>46127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17</v>
      </c>
      <c r="J119" s="6">
        <v>33261140</v>
      </c>
      <c r="K119" s="6" t="s">
        <v>1717</v>
      </c>
      <c r="L119" s="6" t="s">
        <v>1721</v>
      </c>
      <c r="M119" s="8">
        <v>34900</v>
      </c>
      <c r="N119" s="35">
        <v>0.9</v>
      </c>
      <c r="O119" s="34">
        <f t="shared" si="3"/>
        <v>3490</v>
      </c>
      <c r="P119" s="6" t="s">
        <v>16</v>
      </c>
    </row>
    <row r="120" spans="1:16" x14ac:dyDescent="0.35">
      <c r="A120" s="32" t="s">
        <v>6509</v>
      </c>
      <c r="B120" s="7">
        <f t="shared" si="4"/>
        <v>46121</v>
      </c>
      <c r="C120" s="7">
        <f t="shared" si="5"/>
        <v>46127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17</v>
      </c>
      <c r="J120" s="6">
        <v>63396092</v>
      </c>
      <c r="K120" s="6" t="s">
        <v>1748</v>
      </c>
      <c r="L120" s="6" t="s">
        <v>1749</v>
      </c>
      <c r="M120" s="8">
        <v>37900</v>
      </c>
      <c r="N120" s="35">
        <v>0.9</v>
      </c>
      <c r="O120" s="34">
        <f t="shared" si="3"/>
        <v>3790</v>
      </c>
      <c r="P120" s="6" t="s">
        <v>16</v>
      </c>
    </row>
    <row r="121" spans="1:16" x14ac:dyDescent="0.35">
      <c r="A121" s="32" t="s">
        <v>6509</v>
      </c>
      <c r="B121" s="7">
        <f t="shared" si="4"/>
        <v>46121</v>
      </c>
      <c r="C121" s="7">
        <f t="shared" si="5"/>
        <v>46127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17</v>
      </c>
      <c r="J121" s="6">
        <v>63396109</v>
      </c>
      <c r="K121" s="6" t="s">
        <v>1748</v>
      </c>
      <c r="L121" s="6" t="s">
        <v>1750</v>
      </c>
      <c r="M121" s="8">
        <v>37900</v>
      </c>
      <c r="N121" s="35">
        <v>0.9</v>
      </c>
      <c r="O121" s="34">
        <f t="shared" si="3"/>
        <v>3790</v>
      </c>
      <c r="P121" s="6" t="s">
        <v>16</v>
      </c>
    </row>
    <row r="122" spans="1:16" x14ac:dyDescent="0.35">
      <c r="A122" s="32" t="s">
        <v>6509</v>
      </c>
      <c r="B122" s="7">
        <f t="shared" si="4"/>
        <v>46121</v>
      </c>
      <c r="C122" s="7">
        <f t="shared" si="5"/>
        <v>46127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17</v>
      </c>
      <c r="J122" s="6">
        <v>63396118</v>
      </c>
      <c r="K122" s="6" t="s">
        <v>1748</v>
      </c>
      <c r="L122" s="6" t="s">
        <v>1751</v>
      </c>
      <c r="M122" s="8">
        <v>37900</v>
      </c>
      <c r="N122" s="35">
        <v>0.9</v>
      </c>
      <c r="O122" s="34">
        <f t="shared" si="3"/>
        <v>3790</v>
      </c>
      <c r="P122" s="6" t="s">
        <v>16</v>
      </c>
    </row>
    <row r="123" spans="1:16" x14ac:dyDescent="0.35">
      <c r="A123" s="32" t="s">
        <v>6509</v>
      </c>
      <c r="B123" s="7">
        <f t="shared" si="4"/>
        <v>46121</v>
      </c>
      <c r="C123" s="7">
        <f t="shared" si="5"/>
        <v>46127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17</v>
      </c>
      <c r="J123" s="6">
        <v>63396127</v>
      </c>
      <c r="K123" s="6" t="s">
        <v>1748</v>
      </c>
      <c r="L123" s="6" t="s">
        <v>5014</v>
      </c>
      <c r="M123" s="8">
        <v>37900</v>
      </c>
      <c r="N123" s="35">
        <v>0.9</v>
      </c>
      <c r="O123" s="34">
        <f t="shared" si="3"/>
        <v>3790</v>
      </c>
      <c r="P123" s="6" t="s">
        <v>16</v>
      </c>
    </row>
    <row r="124" spans="1:16" x14ac:dyDescent="0.35">
      <c r="A124" s="32" t="s">
        <v>6509</v>
      </c>
      <c r="B124" s="7">
        <f t="shared" si="4"/>
        <v>46121</v>
      </c>
      <c r="C124" s="7">
        <f t="shared" si="5"/>
        <v>46127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17</v>
      </c>
      <c r="J124" s="6">
        <v>63403298</v>
      </c>
      <c r="K124" s="6" t="s">
        <v>1752</v>
      </c>
      <c r="L124" s="6" t="s">
        <v>1753</v>
      </c>
      <c r="M124" s="8">
        <v>37900</v>
      </c>
      <c r="N124" s="35">
        <v>0.9</v>
      </c>
      <c r="O124" s="34">
        <f t="shared" si="3"/>
        <v>3790</v>
      </c>
      <c r="P124" s="6" t="s">
        <v>16</v>
      </c>
    </row>
    <row r="125" spans="1:16" x14ac:dyDescent="0.35">
      <c r="A125" s="32" t="s">
        <v>6509</v>
      </c>
      <c r="B125" s="7">
        <f t="shared" si="4"/>
        <v>46121</v>
      </c>
      <c r="C125" s="7">
        <f t="shared" si="5"/>
        <v>46127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17</v>
      </c>
      <c r="J125" s="6">
        <v>63403305</v>
      </c>
      <c r="K125" s="6" t="s">
        <v>1752</v>
      </c>
      <c r="L125" s="6" t="s">
        <v>1754</v>
      </c>
      <c r="M125" s="8">
        <v>37900</v>
      </c>
      <c r="N125" s="35">
        <v>0.9</v>
      </c>
      <c r="O125" s="34">
        <f t="shared" si="3"/>
        <v>3790</v>
      </c>
      <c r="P125" s="6" t="s">
        <v>16</v>
      </c>
    </row>
    <row r="126" spans="1:16" x14ac:dyDescent="0.35">
      <c r="A126" s="32" t="s">
        <v>6509</v>
      </c>
      <c r="B126" s="7">
        <f t="shared" si="4"/>
        <v>46121</v>
      </c>
      <c r="C126" s="7">
        <f t="shared" si="5"/>
        <v>46127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17</v>
      </c>
      <c r="J126" s="6">
        <v>63403314</v>
      </c>
      <c r="K126" s="6" t="s">
        <v>1752</v>
      </c>
      <c r="L126" s="6" t="s">
        <v>1755</v>
      </c>
      <c r="M126" s="8">
        <v>37900</v>
      </c>
      <c r="N126" s="35">
        <v>0.9</v>
      </c>
      <c r="O126" s="34">
        <f t="shared" si="3"/>
        <v>3790</v>
      </c>
      <c r="P126" s="6" t="s">
        <v>16</v>
      </c>
    </row>
    <row r="127" spans="1:16" x14ac:dyDescent="0.35">
      <c r="A127" s="32" t="s">
        <v>6509</v>
      </c>
      <c r="B127" s="7">
        <f t="shared" si="4"/>
        <v>46121</v>
      </c>
      <c r="C127" s="7">
        <f t="shared" si="5"/>
        <v>46127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17</v>
      </c>
      <c r="J127" s="6">
        <v>63403323</v>
      </c>
      <c r="K127" s="6" t="s">
        <v>1752</v>
      </c>
      <c r="L127" s="6" t="s">
        <v>1756</v>
      </c>
      <c r="M127" s="8">
        <v>37900</v>
      </c>
      <c r="N127" s="35">
        <v>0.9</v>
      </c>
      <c r="O127" s="34">
        <f t="shared" si="3"/>
        <v>3790</v>
      </c>
      <c r="P127" s="6" t="s">
        <v>16</v>
      </c>
    </row>
    <row r="128" spans="1:16" x14ac:dyDescent="0.35">
      <c r="A128" s="32" t="s">
        <v>6509</v>
      </c>
      <c r="B128" s="7">
        <f t="shared" si="4"/>
        <v>46121</v>
      </c>
      <c r="C128" s="7">
        <f t="shared" si="5"/>
        <v>46127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17</v>
      </c>
      <c r="J128" s="6">
        <v>63405705</v>
      </c>
      <c r="K128" s="6" t="s">
        <v>1757</v>
      </c>
      <c r="L128" s="6" t="s">
        <v>1758</v>
      </c>
      <c r="M128" s="8">
        <v>37900</v>
      </c>
      <c r="N128" s="35">
        <v>0.9</v>
      </c>
      <c r="O128" s="34">
        <f t="shared" si="3"/>
        <v>3790</v>
      </c>
      <c r="P128" s="6" t="s">
        <v>16</v>
      </c>
    </row>
    <row r="129" spans="1:16" x14ac:dyDescent="0.35">
      <c r="A129" s="32" t="s">
        <v>6509</v>
      </c>
      <c r="B129" s="7">
        <f t="shared" si="4"/>
        <v>46121</v>
      </c>
      <c r="C129" s="7">
        <f t="shared" si="5"/>
        <v>46127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17</v>
      </c>
      <c r="J129" s="6">
        <v>63405714</v>
      </c>
      <c r="K129" s="6" t="s">
        <v>1757</v>
      </c>
      <c r="L129" s="6" t="s">
        <v>1759</v>
      </c>
      <c r="M129" s="8">
        <v>37900</v>
      </c>
      <c r="N129" s="35">
        <v>0.9</v>
      </c>
      <c r="O129" s="34">
        <f t="shared" si="3"/>
        <v>3790</v>
      </c>
      <c r="P129" s="6" t="s">
        <v>16</v>
      </c>
    </row>
    <row r="130" spans="1:16" x14ac:dyDescent="0.35">
      <c r="A130" s="32" t="s">
        <v>6509</v>
      </c>
      <c r="B130" s="7">
        <f t="shared" si="4"/>
        <v>46121</v>
      </c>
      <c r="C130" s="7">
        <f t="shared" si="5"/>
        <v>46127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17</v>
      </c>
      <c r="J130" s="6">
        <v>63405723</v>
      </c>
      <c r="K130" s="6" t="s">
        <v>1757</v>
      </c>
      <c r="L130" s="6" t="s">
        <v>5015</v>
      </c>
      <c r="M130" s="8">
        <v>37900</v>
      </c>
      <c r="N130" s="35">
        <v>0.9</v>
      </c>
      <c r="O130" s="34">
        <f t="shared" si="3"/>
        <v>3790</v>
      </c>
      <c r="P130" s="6" t="s">
        <v>16</v>
      </c>
    </row>
    <row r="131" spans="1:16" x14ac:dyDescent="0.35">
      <c r="A131" s="32" t="s">
        <v>6509</v>
      </c>
      <c r="B131" s="7">
        <f t="shared" si="4"/>
        <v>46121</v>
      </c>
      <c r="C131" s="7">
        <f t="shared" si="5"/>
        <v>46127</v>
      </c>
      <c r="D131" s="6">
        <v>3287</v>
      </c>
      <c r="E131" s="6">
        <v>338</v>
      </c>
      <c r="F131" s="6">
        <v>4</v>
      </c>
      <c r="G131" s="6">
        <v>3</v>
      </c>
      <c r="H131" s="6">
        <v>81574</v>
      </c>
      <c r="I131" s="6" t="s">
        <v>17</v>
      </c>
      <c r="J131" s="6">
        <v>63405732</v>
      </c>
      <c r="K131" s="6" t="s">
        <v>1757</v>
      </c>
      <c r="L131" s="6" t="s">
        <v>5016</v>
      </c>
      <c r="M131" s="8">
        <v>37900</v>
      </c>
      <c r="N131" s="35">
        <v>0.9</v>
      </c>
      <c r="O131" s="34">
        <f t="shared" ref="O131:O194" si="6">M131-((90*M131)/100)</f>
        <v>3790</v>
      </c>
      <c r="P131" s="6" t="s">
        <v>16</v>
      </c>
    </row>
    <row r="132" spans="1:16" x14ac:dyDescent="0.35">
      <c r="A132" s="32" t="s">
        <v>6509</v>
      </c>
      <c r="B132" s="7">
        <f t="shared" ref="B132:B195" si="7">B131</f>
        <v>46121</v>
      </c>
      <c r="C132" s="7">
        <f t="shared" ref="C132:C195" si="8">C131</f>
        <v>46127</v>
      </c>
      <c r="D132" s="6">
        <v>3287</v>
      </c>
      <c r="E132" s="6">
        <v>338</v>
      </c>
      <c r="F132" s="6">
        <v>4</v>
      </c>
      <c r="G132" s="6">
        <v>3</v>
      </c>
      <c r="H132" s="6">
        <v>81574</v>
      </c>
      <c r="I132" s="6" t="s">
        <v>17</v>
      </c>
      <c r="J132" s="6">
        <v>70245802</v>
      </c>
      <c r="K132" s="6" t="s">
        <v>1830</v>
      </c>
      <c r="L132" s="6" t="s">
        <v>1831</v>
      </c>
      <c r="M132" s="8">
        <v>37900</v>
      </c>
      <c r="N132" s="35">
        <v>0.9</v>
      </c>
      <c r="O132" s="34">
        <f t="shared" si="6"/>
        <v>3790</v>
      </c>
      <c r="P132" s="6" t="s">
        <v>16</v>
      </c>
    </row>
    <row r="133" spans="1:16" x14ac:dyDescent="0.35">
      <c r="A133" s="32" t="s">
        <v>6509</v>
      </c>
      <c r="B133" s="7">
        <f t="shared" si="7"/>
        <v>46121</v>
      </c>
      <c r="C133" s="7">
        <f t="shared" si="8"/>
        <v>46127</v>
      </c>
      <c r="D133" s="6">
        <v>3287</v>
      </c>
      <c r="E133" s="6">
        <v>338</v>
      </c>
      <c r="F133" s="6">
        <v>4</v>
      </c>
      <c r="G133" s="6">
        <v>3</v>
      </c>
      <c r="H133" s="6">
        <v>81574</v>
      </c>
      <c r="I133" s="6" t="s">
        <v>17</v>
      </c>
      <c r="J133" s="6">
        <v>70245811</v>
      </c>
      <c r="K133" s="6" t="s">
        <v>1830</v>
      </c>
      <c r="L133" s="6" t="s">
        <v>1832</v>
      </c>
      <c r="M133" s="8">
        <v>37900</v>
      </c>
      <c r="N133" s="35">
        <v>0.9</v>
      </c>
      <c r="O133" s="34">
        <f t="shared" si="6"/>
        <v>3790</v>
      </c>
      <c r="P133" s="6" t="s">
        <v>16</v>
      </c>
    </row>
    <row r="134" spans="1:16" x14ac:dyDescent="0.35">
      <c r="A134" s="32" t="s">
        <v>6509</v>
      </c>
      <c r="B134" s="7">
        <f t="shared" si="7"/>
        <v>46121</v>
      </c>
      <c r="C134" s="7">
        <f t="shared" si="8"/>
        <v>46127</v>
      </c>
      <c r="D134" s="6">
        <v>3287</v>
      </c>
      <c r="E134" s="6">
        <v>338</v>
      </c>
      <c r="F134" s="6">
        <v>4</v>
      </c>
      <c r="G134" s="6">
        <v>3</v>
      </c>
      <c r="H134" s="6">
        <v>81574</v>
      </c>
      <c r="I134" s="6" t="s">
        <v>17</v>
      </c>
      <c r="J134" s="6">
        <v>70245820</v>
      </c>
      <c r="K134" s="6" t="s">
        <v>1830</v>
      </c>
      <c r="L134" s="6" t="s">
        <v>1833</v>
      </c>
      <c r="M134" s="8">
        <v>37900</v>
      </c>
      <c r="N134" s="35">
        <v>0.9</v>
      </c>
      <c r="O134" s="34">
        <f t="shared" si="6"/>
        <v>3790</v>
      </c>
      <c r="P134" s="6" t="s">
        <v>16</v>
      </c>
    </row>
    <row r="135" spans="1:16" x14ac:dyDescent="0.35">
      <c r="A135" s="32" t="s">
        <v>6509</v>
      </c>
      <c r="B135" s="7">
        <f t="shared" si="7"/>
        <v>46121</v>
      </c>
      <c r="C135" s="7">
        <f t="shared" si="8"/>
        <v>46127</v>
      </c>
      <c r="D135" s="6">
        <v>3287</v>
      </c>
      <c r="E135" s="6">
        <v>338</v>
      </c>
      <c r="F135" s="6">
        <v>4</v>
      </c>
      <c r="G135" s="6">
        <v>3</v>
      </c>
      <c r="H135" s="6">
        <v>81574</v>
      </c>
      <c r="I135" s="6" t="s">
        <v>17</v>
      </c>
      <c r="J135" s="6">
        <v>70245839</v>
      </c>
      <c r="K135" s="6" t="s">
        <v>1830</v>
      </c>
      <c r="L135" s="6" t="s">
        <v>1834</v>
      </c>
      <c r="M135" s="8">
        <v>37900</v>
      </c>
      <c r="N135" s="35">
        <v>0.9</v>
      </c>
      <c r="O135" s="34">
        <f t="shared" si="6"/>
        <v>3790</v>
      </c>
      <c r="P135" s="6" t="s">
        <v>16</v>
      </c>
    </row>
    <row r="136" spans="1:16" x14ac:dyDescent="0.35">
      <c r="A136" s="32" t="s">
        <v>6509</v>
      </c>
      <c r="B136" s="7">
        <f t="shared" si="7"/>
        <v>46121</v>
      </c>
      <c r="C136" s="7">
        <f t="shared" si="8"/>
        <v>46127</v>
      </c>
      <c r="D136" s="6">
        <v>3287</v>
      </c>
      <c r="E136" s="6">
        <v>338</v>
      </c>
      <c r="F136" s="6">
        <v>4</v>
      </c>
      <c r="G136" s="6">
        <v>3</v>
      </c>
      <c r="H136" s="6">
        <v>81574</v>
      </c>
      <c r="I136" s="6" t="s">
        <v>17</v>
      </c>
      <c r="J136" s="6">
        <v>71648447</v>
      </c>
      <c r="K136" s="6" t="s">
        <v>1867</v>
      </c>
      <c r="L136" s="6" t="s">
        <v>1868</v>
      </c>
      <c r="M136" s="8">
        <v>37900</v>
      </c>
      <c r="N136" s="35">
        <v>0.9</v>
      </c>
      <c r="O136" s="34">
        <f t="shared" si="6"/>
        <v>3790</v>
      </c>
      <c r="P136" s="6" t="s">
        <v>16</v>
      </c>
    </row>
    <row r="137" spans="1:16" x14ac:dyDescent="0.35">
      <c r="A137" s="32" t="s">
        <v>6509</v>
      </c>
      <c r="B137" s="7">
        <f t="shared" si="7"/>
        <v>46121</v>
      </c>
      <c r="C137" s="7">
        <f t="shared" si="8"/>
        <v>46127</v>
      </c>
      <c r="D137" s="6">
        <v>3287</v>
      </c>
      <c r="E137" s="6">
        <v>338</v>
      </c>
      <c r="F137" s="6">
        <v>4</v>
      </c>
      <c r="G137" s="6">
        <v>3</v>
      </c>
      <c r="H137" s="6">
        <v>81574</v>
      </c>
      <c r="I137" s="6" t="s">
        <v>17</v>
      </c>
      <c r="J137" s="6">
        <v>71648456</v>
      </c>
      <c r="K137" s="6" t="s">
        <v>1867</v>
      </c>
      <c r="L137" s="6" t="s">
        <v>1869</v>
      </c>
      <c r="M137" s="8">
        <v>37900</v>
      </c>
      <c r="N137" s="35">
        <v>0.9</v>
      </c>
      <c r="O137" s="34">
        <f t="shared" si="6"/>
        <v>3790</v>
      </c>
      <c r="P137" s="6" t="s">
        <v>16</v>
      </c>
    </row>
    <row r="138" spans="1:16" x14ac:dyDescent="0.35">
      <c r="A138" s="32" t="s">
        <v>6509</v>
      </c>
      <c r="B138" s="7">
        <f t="shared" si="7"/>
        <v>46121</v>
      </c>
      <c r="C138" s="7">
        <f t="shared" si="8"/>
        <v>46127</v>
      </c>
      <c r="D138" s="6">
        <v>3287</v>
      </c>
      <c r="E138" s="6">
        <v>338</v>
      </c>
      <c r="F138" s="6">
        <v>4</v>
      </c>
      <c r="G138" s="6">
        <v>3</v>
      </c>
      <c r="H138" s="6">
        <v>81574</v>
      </c>
      <c r="I138" s="6" t="s">
        <v>17</v>
      </c>
      <c r="J138" s="6">
        <v>71648465</v>
      </c>
      <c r="K138" s="6" t="s">
        <v>1867</v>
      </c>
      <c r="L138" s="6" t="s">
        <v>1870</v>
      </c>
      <c r="M138" s="8">
        <v>37900</v>
      </c>
      <c r="N138" s="35">
        <v>0.9</v>
      </c>
      <c r="O138" s="34">
        <f t="shared" si="6"/>
        <v>3790</v>
      </c>
      <c r="P138" s="6" t="s">
        <v>16</v>
      </c>
    </row>
    <row r="139" spans="1:16" x14ac:dyDescent="0.35">
      <c r="A139" s="32" t="s">
        <v>6509</v>
      </c>
      <c r="B139" s="7">
        <f t="shared" si="7"/>
        <v>46121</v>
      </c>
      <c r="C139" s="7">
        <f t="shared" si="8"/>
        <v>46127</v>
      </c>
      <c r="D139" s="6">
        <v>3287</v>
      </c>
      <c r="E139" s="6">
        <v>338</v>
      </c>
      <c r="F139" s="6">
        <v>4</v>
      </c>
      <c r="G139" s="6">
        <v>3</v>
      </c>
      <c r="H139" s="6">
        <v>81574</v>
      </c>
      <c r="I139" s="6" t="s">
        <v>17</v>
      </c>
      <c r="J139" s="6">
        <v>71648474</v>
      </c>
      <c r="K139" s="6" t="s">
        <v>1867</v>
      </c>
      <c r="L139" s="6" t="s">
        <v>1871</v>
      </c>
      <c r="M139" s="8">
        <v>37900</v>
      </c>
      <c r="N139" s="35">
        <v>0.9</v>
      </c>
      <c r="O139" s="34">
        <f t="shared" si="6"/>
        <v>3790</v>
      </c>
      <c r="P139" s="6" t="s">
        <v>16</v>
      </c>
    </row>
    <row r="140" spans="1:16" x14ac:dyDescent="0.35">
      <c r="A140" s="32" t="s">
        <v>6509</v>
      </c>
      <c r="B140" s="7">
        <f t="shared" si="7"/>
        <v>46121</v>
      </c>
      <c r="C140" s="7">
        <f t="shared" si="8"/>
        <v>46127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17</v>
      </c>
      <c r="J140" s="6">
        <v>60636453</v>
      </c>
      <c r="K140" s="6" t="s">
        <v>1727</v>
      </c>
      <c r="L140" s="6" t="s">
        <v>1728</v>
      </c>
      <c r="M140" s="8">
        <v>189900</v>
      </c>
      <c r="N140" s="35">
        <v>0.9</v>
      </c>
      <c r="O140" s="34">
        <f t="shared" si="6"/>
        <v>18990</v>
      </c>
      <c r="P140" s="6" t="s">
        <v>16</v>
      </c>
    </row>
    <row r="141" spans="1:16" x14ac:dyDescent="0.35">
      <c r="A141" s="32" t="s">
        <v>6509</v>
      </c>
      <c r="B141" s="7">
        <f t="shared" si="7"/>
        <v>46121</v>
      </c>
      <c r="C141" s="7">
        <f t="shared" si="8"/>
        <v>46127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17</v>
      </c>
      <c r="J141" s="6">
        <v>60636462</v>
      </c>
      <c r="K141" s="6" t="s">
        <v>1727</v>
      </c>
      <c r="L141" s="6" t="s">
        <v>1729</v>
      </c>
      <c r="M141" s="8">
        <v>189900</v>
      </c>
      <c r="N141" s="35">
        <v>0.9</v>
      </c>
      <c r="O141" s="34">
        <f t="shared" si="6"/>
        <v>18990</v>
      </c>
      <c r="P141" s="6" t="s">
        <v>16</v>
      </c>
    </row>
    <row r="142" spans="1:16" x14ac:dyDescent="0.35">
      <c r="A142" s="32" t="s">
        <v>6509</v>
      </c>
      <c r="B142" s="7">
        <f t="shared" si="7"/>
        <v>46121</v>
      </c>
      <c r="C142" s="7">
        <f t="shared" si="8"/>
        <v>46127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17</v>
      </c>
      <c r="J142" s="6">
        <v>60636480</v>
      </c>
      <c r="K142" s="6" t="s">
        <v>1727</v>
      </c>
      <c r="L142" s="6" t="s">
        <v>1730</v>
      </c>
      <c r="M142" s="8">
        <v>199900</v>
      </c>
      <c r="N142" s="35">
        <v>0.9</v>
      </c>
      <c r="O142" s="34">
        <f t="shared" si="6"/>
        <v>19990</v>
      </c>
      <c r="P142" s="6" t="s">
        <v>16</v>
      </c>
    </row>
    <row r="143" spans="1:16" x14ac:dyDescent="0.35">
      <c r="A143" s="32" t="s">
        <v>6509</v>
      </c>
      <c r="B143" s="7">
        <f t="shared" si="7"/>
        <v>46121</v>
      </c>
      <c r="C143" s="7">
        <f t="shared" si="8"/>
        <v>46127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17</v>
      </c>
      <c r="J143" s="6">
        <v>60636499</v>
      </c>
      <c r="K143" s="6" t="s">
        <v>1727</v>
      </c>
      <c r="L143" s="6" t="s">
        <v>1731</v>
      </c>
      <c r="M143" s="8">
        <v>199900</v>
      </c>
      <c r="N143" s="35">
        <v>0.9</v>
      </c>
      <c r="O143" s="34">
        <f t="shared" si="6"/>
        <v>19990</v>
      </c>
      <c r="P143" s="6" t="s">
        <v>16</v>
      </c>
    </row>
    <row r="144" spans="1:16" x14ac:dyDescent="0.35">
      <c r="A144" s="32" t="s">
        <v>6509</v>
      </c>
      <c r="B144" s="7">
        <f t="shared" si="7"/>
        <v>46121</v>
      </c>
      <c r="C144" s="7">
        <f t="shared" si="8"/>
        <v>46127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17</v>
      </c>
      <c r="J144" s="6">
        <v>60636506</v>
      </c>
      <c r="K144" s="6" t="s">
        <v>1727</v>
      </c>
      <c r="L144" s="6" t="s">
        <v>1732</v>
      </c>
      <c r="M144" s="8">
        <v>199900</v>
      </c>
      <c r="N144" s="35">
        <v>0.9</v>
      </c>
      <c r="O144" s="34">
        <f t="shared" si="6"/>
        <v>19990</v>
      </c>
      <c r="P144" s="6" t="s">
        <v>16</v>
      </c>
    </row>
    <row r="145" spans="1:16" x14ac:dyDescent="0.35">
      <c r="A145" s="32" t="s">
        <v>6509</v>
      </c>
      <c r="B145" s="7">
        <f t="shared" si="7"/>
        <v>46121</v>
      </c>
      <c r="C145" s="7">
        <f t="shared" si="8"/>
        <v>46127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17</v>
      </c>
      <c r="J145" s="6">
        <v>60636515</v>
      </c>
      <c r="K145" s="6" t="s">
        <v>1727</v>
      </c>
      <c r="L145" s="6" t="s">
        <v>1733</v>
      </c>
      <c r="M145" s="8">
        <v>199900</v>
      </c>
      <c r="N145" s="35">
        <v>0.9</v>
      </c>
      <c r="O145" s="34">
        <f t="shared" si="6"/>
        <v>19990</v>
      </c>
      <c r="P145" s="6" t="s">
        <v>16</v>
      </c>
    </row>
    <row r="146" spans="1:16" x14ac:dyDescent="0.35">
      <c r="A146" s="32" t="s">
        <v>6509</v>
      </c>
      <c r="B146" s="7">
        <f t="shared" si="7"/>
        <v>46121</v>
      </c>
      <c r="C146" s="7">
        <f t="shared" si="8"/>
        <v>46127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17</v>
      </c>
      <c r="J146" s="6">
        <v>60636524</v>
      </c>
      <c r="K146" s="6" t="s">
        <v>1727</v>
      </c>
      <c r="L146" s="6" t="s">
        <v>1734</v>
      </c>
      <c r="M146" s="8">
        <v>189900</v>
      </c>
      <c r="N146" s="35">
        <v>0.9</v>
      </c>
      <c r="O146" s="34">
        <f t="shared" si="6"/>
        <v>18990</v>
      </c>
      <c r="P146" s="6" t="s">
        <v>16</v>
      </c>
    </row>
    <row r="147" spans="1:16" x14ac:dyDescent="0.35">
      <c r="A147" s="32" t="s">
        <v>6509</v>
      </c>
      <c r="B147" s="7">
        <f t="shared" si="7"/>
        <v>46121</v>
      </c>
      <c r="C147" s="7">
        <f t="shared" si="8"/>
        <v>46127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17</v>
      </c>
      <c r="J147" s="6">
        <v>63407650</v>
      </c>
      <c r="K147" s="6" t="s">
        <v>1801</v>
      </c>
      <c r="L147" s="6" t="s">
        <v>1802</v>
      </c>
      <c r="M147" s="8">
        <v>189900</v>
      </c>
      <c r="N147" s="35">
        <v>0.9</v>
      </c>
      <c r="O147" s="34">
        <f t="shared" si="6"/>
        <v>18990</v>
      </c>
      <c r="P147" s="6" t="s">
        <v>16</v>
      </c>
    </row>
    <row r="148" spans="1:16" x14ac:dyDescent="0.35">
      <c r="A148" s="32" t="s">
        <v>6509</v>
      </c>
      <c r="B148" s="7">
        <f t="shared" si="7"/>
        <v>46121</v>
      </c>
      <c r="C148" s="7">
        <f t="shared" si="8"/>
        <v>46127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17</v>
      </c>
      <c r="J148" s="6">
        <v>63407669</v>
      </c>
      <c r="K148" s="6" t="s">
        <v>1801</v>
      </c>
      <c r="L148" s="6" t="s">
        <v>1803</v>
      </c>
      <c r="M148" s="8">
        <v>189900</v>
      </c>
      <c r="N148" s="35">
        <v>0.9</v>
      </c>
      <c r="O148" s="34">
        <f t="shared" si="6"/>
        <v>18990</v>
      </c>
      <c r="P148" s="6" t="s">
        <v>16</v>
      </c>
    </row>
    <row r="149" spans="1:16" x14ac:dyDescent="0.35">
      <c r="A149" s="32" t="s">
        <v>6509</v>
      </c>
      <c r="B149" s="7">
        <f t="shared" si="7"/>
        <v>46121</v>
      </c>
      <c r="C149" s="7">
        <f t="shared" si="8"/>
        <v>46127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17</v>
      </c>
      <c r="J149" s="6">
        <v>63407678</v>
      </c>
      <c r="K149" s="6" t="s">
        <v>1801</v>
      </c>
      <c r="L149" s="6" t="s">
        <v>1804</v>
      </c>
      <c r="M149" s="8">
        <v>189900</v>
      </c>
      <c r="N149" s="35">
        <v>0.9</v>
      </c>
      <c r="O149" s="34">
        <f t="shared" si="6"/>
        <v>18990</v>
      </c>
      <c r="P149" s="6" t="s">
        <v>16</v>
      </c>
    </row>
    <row r="150" spans="1:16" x14ac:dyDescent="0.35">
      <c r="A150" s="32" t="s">
        <v>6509</v>
      </c>
      <c r="B150" s="7">
        <f t="shared" si="7"/>
        <v>46121</v>
      </c>
      <c r="C150" s="7">
        <f t="shared" si="8"/>
        <v>46127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17</v>
      </c>
      <c r="J150" s="6">
        <v>63407703</v>
      </c>
      <c r="K150" s="6" t="s">
        <v>1801</v>
      </c>
      <c r="L150" s="6" t="s">
        <v>1805</v>
      </c>
      <c r="M150" s="8">
        <v>199900</v>
      </c>
      <c r="N150" s="35">
        <v>0.9</v>
      </c>
      <c r="O150" s="34">
        <f t="shared" si="6"/>
        <v>19990</v>
      </c>
      <c r="P150" s="6" t="s">
        <v>16</v>
      </c>
    </row>
    <row r="151" spans="1:16" x14ac:dyDescent="0.35">
      <c r="A151" s="32" t="s">
        <v>6509</v>
      </c>
      <c r="B151" s="7">
        <f t="shared" si="7"/>
        <v>46121</v>
      </c>
      <c r="C151" s="7">
        <f t="shared" si="8"/>
        <v>46127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17</v>
      </c>
      <c r="J151" s="6">
        <v>63407721</v>
      </c>
      <c r="K151" s="6" t="s">
        <v>1765</v>
      </c>
      <c r="L151" s="6" t="s">
        <v>1766</v>
      </c>
      <c r="M151" s="8">
        <v>199900</v>
      </c>
      <c r="N151" s="35">
        <v>0.9</v>
      </c>
      <c r="O151" s="34">
        <f t="shared" si="6"/>
        <v>19990</v>
      </c>
      <c r="P151" s="6" t="s">
        <v>16</v>
      </c>
    </row>
    <row r="152" spans="1:16" x14ac:dyDescent="0.35">
      <c r="A152" s="32" t="s">
        <v>6509</v>
      </c>
      <c r="B152" s="7">
        <f t="shared" si="7"/>
        <v>46121</v>
      </c>
      <c r="C152" s="7">
        <f t="shared" si="8"/>
        <v>46127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17</v>
      </c>
      <c r="J152" s="6">
        <v>63407730</v>
      </c>
      <c r="K152" s="6" t="s">
        <v>1765</v>
      </c>
      <c r="L152" s="6" t="s">
        <v>1806</v>
      </c>
      <c r="M152" s="8">
        <v>199900</v>
      </c>
      <c r="N152" s="35">
        <v>0.9</v>
      </c>
      <c r="O152" s="34">
        <f t="shared" si="6"/>
        <v>19990</v>
      </c>
      <c r="P152" s="6" t="s">
        <v>16</v>
      </c>
    </row>
    <row r="153" spans="1:16" x14ac:dyDescent="0.35">
      <c r="A153" s="32" t="s">
        <v>6509</v>
      </c>
      <c r="B153" s="7">
        <f t="shared" si="7"/>
        <v>46121</v>
      </c>
      <c r="C153" s="7">
        <f t="shared" si="8"/>
        <v>46127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17</v>
      </c>
      <c r="J153" s="6">
        <v>63407749</v>
      </c>
      <c r="K153" s="6" t="s">
        <v>1765</v>
      </c>
      <c r="L153" s="6" t="s">
        <v>1767</v>
      </c>
      <c r="M153" s="8">
        <v>199900</v>
      </c>
      <c r="N153" s="35">
        <v>0.9</v>
      </c>
      <c r="O153" s="34">
        <f t="shared" si="6"/>
        <v>19990</v>
      </c>
      <c r="P153" s="6" t="s">
        <v>16</v>
      </c>
    </row>
    <row r="154" spans="1:16" x14ac:dyDescent="0.35">
      <c r="A154" s="32" t="s">
        <v>6509</v>
      </c>
      <c r="B154" s="7">
        <f t="shared" si="7"/>
        <v>46121</v>
      </c>
      <c r="C154" s="7">
        <f t="shared" si="8"/>
        <v>46127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17</v>
      </c>
      <c r="J154" s="6">
        <v>63407758</v>
      </c>
      <c r="K154" s="6" t="s">
        <v>1765</v>
      </c>
      <c r="L154" s="6" t="s">
        <v>1768</v>
      </c>
      <c r="M154" s="8">
        <v>199900</v>
      </c>
      <c r="N154" s="35">
        <v>0.9</v>
      </c>
      <c r="O154" s="34">
        <f t="shared" si="6"/>
        <v>19990</v>
      </c>
      <c r="P154" s="6" t="s">
        <v>16</v>
      </c>
    </row>
    <row r="155" spans="1:16" x14ac:dyDescent="0.35">
      <c r="A155" s="32" t="s">
        <v>6509</v>
      </c>
      <c r="B155" s="7">
        <f t="shared" si="7"/>
        <v>46121</v>
      </c>
      <c r="C155" s="7">
        <f t="shared" si="8"/>
        <v>46127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17</v>
      </c>
      <c r="J155" s="6">
        <v>70843639</v>
      </c>
      <c r="K155" s="6" t="s">
        <v>1842</v>
      </c>
      <c r="L155" s="6" t="s">
        <v>1843</v>
      </c>
      <c r="M155" s="8">
        <v>209900</v>
      </c>
      <c r="N155" s="35">
        <v>0.9</v>
      </c>
      <c r="O155" s="34">
        <f t="shared" si="6"/>
        <v>20990</v>
      </c>
      <c r="P155" s="6" t="s">
        <v>16</v>
      </c>
    </row>
    <row r="156" spans="1:16" x14ac:dyDescent="0.35">
      <c r="A156" s="32" t="s">
        <v>6509</v>
      </c>
      <c r="B156" s="7">
        <f t="shared" si="7"/>
        <v>46121</v>
      </c>
      <c r="C156" s="7">
        <f t="shared" si="8"/>
        <v>46127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17</v>
      </c>
      <c r="J156" s="6">
        <v>70843648</v>
      </c>
      <c r="K156" s="6" t="s">
        <v>1842</v>
      </c>
      <c r="L156" s="6" t="s">
        <v>1844</v>
      </c>
      <c r="M156" s="8">
        <v>209900</v>
      </c>
      <c r="N156" s="35">
        <v>0.9</v>
      </c>
      <c r="O156" s="34">
        <f t="shared" si="6"/>
        <v>20990</v>
      </c>
      <c r="P156" s="6" t="s">
        <v>16</v>
      </c>
    </row>
    <row r="157" spans="1:16" x14ac:dyDescent="0.35">
      <c r="A157" s="32" t="s">
        <v>6509</v>
      </c>
      <c r="B157" s="7">
        <f t="shared" si="7"/>
        <v>46121</v>
      </c>
      <c r="C157" s="7">
        <f t="shared" si="8"/>
        <v>46127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17</v>
      </c>
      <c r="J157" s="6">
        <v>70843657</v>
      </c>
      <c r="K157" s="6" t="s">
        <v>1842</v>
      </c>
      <c r="L157" s="6" t="s">
        <v>1845</v>
      </c>
      <c r="M157" s="8">
        <v>209900</v>
      </c>
      <c r="N157" s="35">
        <v>0.9</v>
      </c>
      <c r="O157" s="34">
        <f t="shared" si="6"/>
        <v>20990</v>
      </c>
      <c r="P157" s="6" t="s">
        <v>16</v>
      </c>
    </row>
    <row r="158" spans="1:16" x14ac:dyDescent="0.35">
      <c r="A158" s="32" t="s">
        <v>6509</v>
      </c>
      <c r="B158" s="7">
        <f t="shared" si="7"/>
        <v>46121</v>
      </c>
      <c r="C158" s="7">
        <f t="shared" si="8"/>
        <v>46127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17</v>
      </c>
      <c r="J158" s="6">
        <v>70843666</v>
      </c>
      <c r="K158" s="6" t="s">
        <v>1842</v>
      </c>
      <c r="L158" s="6" t="s">
        <v>1846</v>
      </c>
      <c r="M158" s="8">
        <v>209900</v>
      </c>
      <c r="N158" s="35">
        <v>0.9</v>
      </c>
      <c r="O158" s="34">
        <f t="shared" si="6"/>
        <v>20990</v>
      </c>
      <c r="P158" s="6" t="s">
        <v>16</v>
      </c>
    </row>
    <row r="159" spans="1:16" x14ac:dyDescent="0.35">
      <c r="A159" s="32" t="s">
        <v>6509</v>
      </c>
      <c r="B159" s="7">
        <f t="shared" si="7"/>
        <v>46121</v>
      </c>
      <c r="C159" s="7">
        <f t="shared" si="8"/>
        <v>46127</v>
      </c>
      <c r="D159" s="6">
        <v>3287</v>
      </c>
      <c r="E159" s="6">
        <v>338</v>
      </c>
      <c r="F159" s="6">
        <v>4</v>
      </c>
      <c r="G159" s="6">
        <v>4</v>
      </c>
      <c r="H159" s="6">
        <v>81379</v>
      </c>
      <c r="I159" s="6" t="s">
        <v>17</v>
      </c>
      <c r="J159" s="6">
        <v>70843755</v>
      </c>
      <c r="K159" s="6" t="s">
        <v>1847</v>
      </c>
      <c r="L159" s="6" t="s">
        <v>1848</v>
      </c>
      <c r="M159" s="8">
        <v>199900</v>
      </c>
      <c r="N159" s="35">
        <v>0.9</v>
      </c>
      <c r="O159" s="34">
        <f t="shared" si="6"/>
        <v>19990</v>
      </c>
      <c r="P159" s="6" t="s">
        <v>16</v>
      </c>
    </row>
    <row r="160" spans="1:16" x14ac:dyDescent="0.35">
      <c r="A160" s="32" t="s">
        <v>6509</v>
      </c>
      <c r="B160" s="7">
        <f t="shared" si="7"/>
        <v>46121</v>
      </c>
      <c r="C160" s="7">
        <f t="shared" si="8"/>
        <v>46127</v>
      </c>
      <c r="D160" s="6">
        <v>3287</v>
      </c>
      <c r="E160" s="6">
        <v>338</v>
      </c>
      <c r="F160" s="6">
        <v>4</v>
      </c>
      <c r="G160" s="6">
        <v>4</v>
      </c>
      <c r="H160" s="6">
        <v>81379</v>
      </c>
      <c r="I160" s="6" t="s">
        <v>17</v>
      </c>
      <c r="J160" s="6">
        <v>70843808</v>
      </c>
      <c r="K160" s="6" t="s">
        <v>1849</v>
      </c>
      <c r="L160" s="6" t="s">
        <v>1850</v>
      </c>
      <c r="M160" s="8">
        <v>209900</v>
      </c>
      <c r="N160" s="35">
        <v>0.9</v>
      </c>
      <c r="O160" s="34">
        <f t="shared" si="6"/>
        <v>20990</v>
      </c>
      <c r="P160" s="6" t="s">
        <v>16</v>
      </c>
    </row>
    <row r="161" spans="1:16" x14ac:dyDescent="0.35">
      <c r="A161" s="32" t="s">
        <v>6509</v>
      </c>
      <c r="B161" s="7">
        <f t="shared" si="7"/>
        <v>46121</v>
      </c>
      <c r="C161" s="7">
        <f t="shared" si="8"/>
        <v>46127</v>
      </c>
      <c r="D161" s="6">
        <v>3287</v>
      </c>
      <c r="E161" s="6">
        <v>338</v>
      </c>
      <c r="F161" s="6">
        <v>4</v>
      </c>
      <c r="G161" s="6">
        <v>4</v>
      </c>
      <c r="H161" s="6">
        <v>81379</v>
      </c>
      <c r="I161" s="6" t="s">
        <v>17</v>
      </c>
      <c r="J161" s="6">
        <v>70843817</v>
      </c>
      <c r="K161" s="6" t="s">
        <v>1849</v>
      </c>
      <c r="L161" s="6" t="s">
        <v>1851</v>
      </c>
      <c r="M161" s="8">
        <v>209900</v>
      </c>
      <c r="N161" s="35">
        <v>0.9</v>
      </c>
      <c r="O161" s="34">
        <f t="shared" si="6"/>
        <v>20990</v>
      </c>
      <c r="P161" s="6" t="s">
        <v>16</v>
      </c>
    </row>
    <row r="162" spans="1:16" x14ac:dyDescent="0.35">
      <c r="A162" s="32" t="s">
        <v>6509</v>
      </c>
      <c r="B162" s="7">
        <f t="shared" si="7"/>
        <v>46121</v>
      </c>
      <c r="C162" s="7">
        <f t="shared" si="8"/>
        <v>46127</v>
      </c>
      <c r="D162" s="6">
        <v>3287</v>
      </c>
      <c r="E162" s="6">
        <v>338</v>
      </c>
      <c r="F162" s="6">
        <v>4</v>
      </c>
      <c r="G162" s="6">
        <v>4</v>
      </c>
      <c r="H162" s="6">
        <v>81379</v>
      </c>
      <c r="I162" s="6" t="s">
        <v>17</v>
      </c>
      <c r="J162" s="6">
        <v>70843826</v>
      </c>
      <c r="K162" s="6" t="s">
        <v>1849</v>
      </c>
      <c r="L162" s="6" t="s">
        <v>1852</v>
      </c>
      <c r="M162" s="8">
        <v>209900</v>
      </c>
      <c r="N162" s="35">
        <v>0.9</v>
      </c>
      <c r="O162" s="34">
        <f t="shared" si="6"/>
        <v>20990</v>
      </c>
      <c r="P162" s="6" t="s">
        <v>16</v>
      </c>
    </row>
    <row r="163" spans="1:16" x14ac:dyDescent="0.35">
      <c r="A163" s="32" t="s">
        <v>6509</v>
      </c>
      <c r="B163" s="7">
        <f t="shared" si="7"/>
        <v>46121</v>
      </c>
      <c r="C163" s="7">
        <f t="shared" si="8"/>
        <v>46127</v>
      </c>
      <c r="D163" s="6">
        <v>3287</v>
      </c>
      <c r="E163" s="6">
        <v>338</v>
      </c>
      <c r="F163" s="6">
        <v>4</v>
      </c>
      <c r="G163" s="6">
        <v>4</v>
      </c>
      <c r="H163" s="6">
        <v>81379</v>
      </c>
      <c r="I163" s="6" t="s">
        <v>17</v>
      </c>
      <c r="J163" s="6">
        <v>73800509</v>
      </c>
      <c r="K163" s="6" t="s">
        <v>1959</v>
      </c>
      <c r="L163" s="6" t="s">
        <v>1960</v>
      </c>
      <c r="M163" s="8">
        <v>219900</v>
      </c>
      <c r="N163" s="35">
        <v>0.9</v>
      </c>
      <c r="O163" s="34">
        <f t="shared" si="6"/>
        <v>21990</v>
      </c>
      <c r="P163" s="6" t="s">
        <v>16</v>
      </c>
    </row>
    <row r="164" spans="1:16" x14ac:dyDescent="0.35">
      <c r="A164" s="32" t="s">
        <v>6509</v>
      </c>
      <c r="B164" s="7">
        <f t="shared" si="7"/>
        <v>46121</v>
      </c>
      <c r="C164" s="7">
        <f t="shared" si="8"/>
        <v>46127</v>
      </c>
      <c r="D164" s="6">
        <v>3287</v>
      </c>
      <c r="E164" s="6">
        <v>338</v>
      </c>
      <c r="F164" s="6">
        <v>4</v>
      </c>
      <c r="G164" s="6">
        <v>4</v>
      </c>
      <c r="H164" s="6">
        <v>81379</v>
      </c>
      <c r="I164" s="6" t="s">
        <v>17</v>
      </c>
      <c r="J164" s="6">
        <v>73800518</v>
      </c>
      <c r="K164" s="6" t="s">
        <v>1959</v>
      </c>
      <c r="L164" s="6" t="s">
        <v>1961</v>
      </c>
      <c r="M164" s="8">
        <v>219900</v>
      </c>
      <c r="N164" s="35">
        <v>0.9</v>
      </c>
      <c r="O164" s="34">
        <f t="shared" si="6"/>
        <v>21990</v>
      </c>
      <c r="P164" s="6" t="s">
        <v>16</v>
      </c>
    </row>
    <row r="165" spans="1:16" x14ac:dyDescent="0.35">
      <c r="A165" s="32" t="s">
        <v>6509</v>
      </c>
      <c r="B165" s="7">
        <f t="shared" si="7"/>
        <v>46121</v>
      </c>
      <c r="C165" s="7">
        <f t="shared" si="8"/>
        <v>46127</v>
      </c>
      <c r="D165" s="6">
        <v>3287</v>
      </c>
      <c r="E165" s="6">
        <v>338</v>
      </c>
      <c r="F165" s="6">
        <v>4</v>
      </c>
      <c r="G165" s="6">
        <v>4</v>
      </c>
      <c r="H165" s="6">
        <v>81379</v>
      </c>
      <c r="I165" s="6" t="s">
        <v>17</v>
      </c>
      <c r="J165" s="6">
        <v>73800527</v>
      </c>
      <c r="K165" s="6" t="s">
        <v>1959</v>
      </c>
      <c r="L165" s="6" t="s">
        <v>1962</v>
      </c>
      <c r="M165" s="8">
        <v>219900</v>
      </c>
      <c r="N165" s="35">
        <v>0.9</v>
      </c>
      <c r="O165" s="34">
        <f t="shared" si="6"/>
        <v>21990</v>
      </c>
      <c r="P165" s="6" t="s">
        <v>16</v>
      </c>
    </row>
    <row r="166" spans="1:16" x14ac:dyDescent="0.35">
      <c r="A166" s="32" t="s">
        <v>6509</v>
      </c>
      <c r="B166" s="7">
        <f t="shared" si="7"/>
        <v>46121</v>
      </c>
      <c r="C166" s="7">
        <f t="shared" si="8"/>
        <v>46127</v>
      </c>
      <c r="D166" s="6">
        <v>3287</v>
      </c>
      <c r="E166" s="6">
        <v>338</v>
      </c>
      <c r="F166" s="6">
        <v>4</v>
      </c>
      <c r="G166" s="6">
        <v>4</v>
      </c>
      <c r="H166" s="6">
        <v>81676</v>
      </c>
      <c r="I166" s="6" t="s">
        <v>17</v>
      </c>
      <c r="J166" s="6">
        <v>76174413</v>
      </c>
      <c r="K166" s="6" t="s">
        <v>1977</v>
      </c>
      <c r="L166" s="6" t="s">
        <v>1978</v>
      </c>
      <c r="M166" s="8">
        <v>219900</v>
      </c>
      <c r="N166" s="35">
        <v>0.9</v>
      </c>
      <c r="O166" s="34">
        <f t="shared" si="6"/>
        <v>21990</v>
      </c>
      <c r="P166" s="6" t="s">
        <v>16</v>
      </c>
    </row>
    <row r="167" spans="1:16" x14ac:dyDescent="0.35">
      <c r="A167" s="32" t="s">
        <v>6509</v>
      </c>
      <c r="B167" s="7">
        <f t="shared" si="7"/>
        <v>46121</v>
      </c>
      <c r="C167" s="7">
        <f t="shared" si="8"/>
        <v>46127</v>
      </c>
      <c r="D167" s="6">
        <v>3287</v>
      </c>
      <c r="E167" s="6">
        <v>338</v>
      </c>
      <c r="F167" s="6">
        <v>4</v>
      </c>
      <c r="G167" s="6">
        <v>4</v>
      </c>
      <c r="H167" s="6">
        <v>81676</v>
      </c>
      <c r="I167" s="6" t="s">
        <v>17</v>
      </c>
      <c r="J167" s="6">
        <v>76174422</v>
      </c>
      <c r="K167" s="6" t="s">
        <v>1977</v>
      </c>
      <c r="L167" s="6" t="s">
        <v>1979</v>
      </c>
      <c r="M167" s="8">
        <v>219900</v>
      </c>
      <c r="N167" s="35">
        <v>0.9</v>
      </c>
      <c r="O167" s="34">
        <f t="shared" si="6"/>
        <v>21990</v>
      </c>
      <c r="P167" s="6" t="s">
        <v>16</v>
      </c>
    </row>
    <row r="168" spans="1:16" x14ac:dyDescent="0.35">
      <c r="A168" s="32" t="s">
        <v>6509</v>
      </c>
      <c r="B168" s="7">
        <f t="shared" si="7"/>
        <v>46121</v>
      </c>
      <c r="C168" s="7">
        <f t="shared" si="8"/>
        <v>46127</v>
      </c>
      <c r="D168" s="6">
        <v>3287</v>
      </c>
      <c r="E168" s="6">
        <v>338</v>
      </c>
      <c r="F168" s="6">
        <v>4</v>
      </c>
      <c r="G168" s="6">
        <v>4</v>
      </c>
      <c r="H168" s="6">
        <v>81676</v>
      </c>
      <c r="I168" s="6" t="s">
        <v>17</v>
      </c>
      <c r="J168" s="6">
        <v>76174431</v>
      </c>
      <c r="K168" s="6" t="s">
        <v>1977</v>
      </c>
      <c r="L168" s="6" t="s">
        <v>1980</v>
      </c>
      <c r="M168" s="8">
        <v>219900</v>
      </c>
      <c r="N168" s="35">
        <v>0.9</v>
      </c>
      <c r="O168" s="34">
        <f t="shared" si="6"/>
        <v>21990</v>
      </c>
      <c r="P168" s="6" t="s">
        <v>16</v>
      </c>
    </row>
    <row r="169" spans="1:16" x14ac:dyDescent="0.35">
      <c r="A169" s="32" t="s">
        <v>6509</v>
      </c>
      <c r="B169" s="7">
        <f t="shared" si="7"/>
        <v>46121</v>
      </c>
      <c r="C169" s="7">
        <f t="shared" si="8"/>
        <v>46127</v>
      </c>
      <c r="D169" s="6">
        <v>3287</v>
      </c>
      <c r="E169" s="6">
        <v>338</v>
      </c>
      <c r="F169" s="6">
        <v>4</v>
      </c>
      <c r="G169" s="6">
        <v>4</v>
      </c>
      <c r="H169" s="6">
        <v>81676</v>
      </c>
      <c r="I169" s="6" t="s">
        <v>17</v>
      </c>
      <c r="J169" s="6">
        <v>76740042</v>
      </c>
      <c r="K169" s="6" t="s">
        <v>1977</v>
      </c>
      <c r="L169" s="6" t="s">
        <v>1981</v>
      </c>
      <c r="M169" s="8">
        <v>219900</v>
      </c>
      <c r="N169" s="35">
        <v>0.9</v>
      </c>
      <c r="O169" s="34">
        <f t="shared" si="6"/>
        <v>21990</v>
      </c>
      <c r="P169" s="6" t="s">
        <v>16</v>
      </c>
    </row>
    <row r="170" spans="1:16" x14ac:dyDescent="0.35">
      <c r="A170" s="32" t="s">
        <v>6509</v>
      </c>
      <c r="B170" s="7">
        <f t="shared" si="7"/>
        <v>46121</v>
      </c>
      <c r="C170" s="7">
        <f t="shared" si="8"/>
        <v>46127</v>
      </c>
      <c r="D170" s="6">
        <v>3287</v>
      </c>
      <c r="E170" s="6">
        <v>338</v>
      </c>
      <c r="F170" s="6">
        <v>4</v>
      </c>
      <c r="G170" s="6">
        <v>4</v>
      </c>
      <c r="H170" s="6">
        <v>81676</v>
      </c>
      <c r="I170" s="6" t="s">
        <v>17</v>
      </c>
      <c r="J170" s="6">
        <v>67333820</v>
      </c>
      <c r="K170" s="6" t="s">
        <v>1807</v>
      </c>
      <c r="L170" s="6" t="s">
        <v>1808</v>
      </c>
      <c r="M170" s="8">
        <v>219900</v>
      </c>
      <c r="N170" s="35">
        <v>0.9</v>
      </c>
      <c r="O170" s="34">
        <f t="shared" si="6"/>
        <v>21990</v>
      </c>
      <c r="P170" s="6" t="s">
        <v>16</v>
      </c>
    </row>
    <row r="171" spans="1:16" x14ac:dyDescent="0.35">
      <c r="A171" s="32" t="s">
        <v>6509</v>
      </c>
      <c r="B171" s="7">
        <f t="shared" si="7"/>
        <v>46121</v>
      </c>
      <c r="C171" s="7">
        <f t="shared" si="8"/>
        <v>46127</v>
      </c>
      <c r="D171" s="6">
        <v>3287</v>
      </c>
      <c r="E171" s="6">
        <v>338</v>
      </c>
      <c r="F171" s="6">
        <v>4</v>
      </c>
      <c r="G171" s="6">
        <v>4</v>
      </c>
      <c r="H171" s="6">
        <v>81676</v>
      </c>
      <c r="I171" s="6" t="s">
        <v>17</v>
      </c>
      <c r="J171" s="6">
        <v>67333839</v>
      </c>
      <c r="K171" s="6" t="s">
        <v>1807</v>
      </c>
      <c r="L171" s="6" t="s">
        <v>1809</v>
      </c>
      <c r="M171" s="8">
        <v>219900</v>
      </c>
      <c r="N171" s="35">
        <v>0.9</v>
      </c>
      <c r="O171" s="34">
        <f t="shared" si="6"/>
        <v>21990</v>
      </c>
      <c r="P171" s="6" t="s">
        <v>16</v>
      </c>
    </row>
    <row r="172" spans="1:16" x14ac:dyDescent="0.35">
      <c r="A172" s="32" t="s">
        <v>6509</v>
      </c>
      <c r="B172" s="7">
        <f t="shared" si="7"/>
        <v>46121</v>
      </c>
      <c r="C172" s="7">
        <f t="shared" si="8"/>
        <v>46127</v>
      </c>
      <c r="D172" s="6">
        <v>3287</v>
      </c>
      <c r="E172" s="6">
        <v>338</v>
      </c>
      <c r="F172" s="6">
        <v>4</v>
      </c>
      <c r="G172" s="6">
        <v>4</v>
      </c>
      <c r="H172" s="6">
        <v>81676</v>
      </c>
      <c r="I172" s="6" t="s">
        <v>17</v>
      </c>
      <c r="J172" s="6">
        <v>67333848</v>
      </c>
      <c r="K172" s="6" t="s">
        <v>1807</v>
      </c>
      <c r="L172" s="6" t="s">
        <v>1810</v>
      </c>
      <c r="M172" s="8">
        <v>219900</v>
      </c>
      <c r="N172" s="35">
        <v>0.9</v>
      </c>
      <c r="O172" s="34">
        <f t="shared" si="6"/>
        <v>21990</v>
      </c>
      <c r="P172" s="6" t="s">
        <v>16</v>
      </c>
    </row>
    <row r="173" spans="1:16" x14ac:dyDescent="0.35">
      <c r="A173" s="32" t="s">
        <v>6509</v>
      </c>
      <c r="B173" s="7">
        <f t="shared" si="7"/>
        <v>46121</v>
      </c>
      <c r="C173" s="7">
        <f t="shared" si="8"/>
        <v>46127</v>
      </c>
      <c r="D173" s="6">
        <v>3287</v>
      </c>
      <c r="E173" s="6">
        <v>338</v>
      </c>
      <c r="F173" s="6">
        <v>4</v>
      </c>
      <c r="G173" s="6">
        <v>4</v>
      </c>
      <c r="H173" s="6">
        <v>81676</v>
      </c>
      <c r="I173" s="6" t="s">
        <v>17</v>
      </c>
      <c r="J173" s="6">
        <v>70843844</v>
      </c>
      <c r="K173" s="6" t="s">
        <v>1872</v>
      </c>
      <c r="L173" s="6" t="s">
        <v>1873</v>
      </c>
      <c r="M173" s="8">
        <v>199900</v>
      </c>
      <c r="N173" s="35">
        <v>0.9</v>
      </c>
      <c r="O173" s="34">
        <f t="shared" si="6"/>
        <v>19990</v>
      </c>
      <c r="P173" s="6" t="s">
        <v>16</v>
      </c>
    </row>
    <row r="174" spans="1:16" x14ac:dyDescent="0.35">
      <c r="A174" s="32" t="s">
        <v>6509</v>
      </c>
      <c r="B174" s="7">
        <f t="shared" si="7"/>
        <v>46121</v>
      </c>
      <c r="C174" s="7">
        <f t="shared" si="8"/>
        <v>46127</v>
      </c>
      <c r="D174" s="6">
        <v>3287</v>
      </c>
      <c r="E174" s="6">
        <v>338</v>
      </c>
      <c r="F174" s="6">
        <v>4</v>
      </c>
      <c r="G174" s="6">
        <v>4</v>
      </c>
      <c r="H174" s="6">
        <v>81676</v>
      </c>
      <c r="I174" s="6" t="s">
        <v>17</v>
      </c>
      <c r="J174" s="6">
        <v>70843853</v>
      </c>
      <c r="K174" s="6" t="s">
        <v>1872</v>
      </c>
      <c r="L174" s="6" t="s">
        <v>1874</v>
      </c>
      <c r="M174" s="8">
        <v>199900</v>
      </c>
      <c r="N174" s="35">
        <v>0.9</v>
      </c>
      <c r="O174" s="34">
        <f t="shared" si="6"/>
        <v>19990</v>
      </c>
      <c r="P174" s="6" t="s">
        <v>16</v>
      </c>
    </row>
    <row r="175" spans="1:16" x14ac:dyDescent="0.35">
      <c r="A175" s="32" t="s">
        <v>6509</v>
      </c>
      <c r="B175" s="7">
        <f t="shared" si="7"/>
        <v>46121</v>
      </c>
      <c r="C175" s="7">
        <f t="shared" si="8"/>
        <v>46127</v>
      </c>
      <c r="D175" s="6">
        <v>3287</v>
      </c>
      <c r="E175" s="6">
        <v>338</v>
      </c>
      <c r="F175" s="6">
        <v>4</v>
      </c>
      <c r="G175" s="6">
        <v>4</v>
      </c>
      <c r="H175" s="6">
        <v>81676</v>
      </c>
      <c r="I175" s="6" t="s">
        <v>17</v>
      </c>
      <c r="J175" s="6">
        <v>73076721</v>
      </c>
      <c r="K175" s="6" t="s">
        <v>1875</v>
      </c>
      <c r="L175" s="6" t="s">
        <v>1876</v>
      </c>
      <c r="M175" s="8">
        <v>209900</v>
      </c>
      <c r="N175" s="35">
        <v>0.9</v>
      </c>
      <c r="O175" s="34">
        <f t="shared" si="6"/>
        <v>20990</v>
      </c>
      <c r="P175" s="6" t="s">
        <v>16</v>
      </c>
    </row>
    <row r="176" spans="1:16" x14ac:dyDescent="0.35">
      <c r="A176" s="32" t="s">
        <v>6509</v>
      </c>
      <c r="B176" s="7">
        <f t="shared" si="7"/>
        <v>46121</v>
      </c>
      <c r="C176" s="7">
        <f t="shared" si="8"/>
        <v>46127</v>
      </c>
      <c r="D176" s="6">
        <v>3287</v>
      </c>
      <c r="E176" s="6">
        <v>338</v>
      </c>
      <c r="F176" s="6">
        <v>4</v>
      </c>
      <c r="G176" s="6">
        <v>4</v>
      </c>
      <c r="H176" s="6">
        <v>81676</v>
      </c>
      <c r="I176" s="6" t="s">
        <v>17</v>
      </c>
      <c r="J176" s="6">
        <v>73076730</v>
      </c>
      <c r="K176" s="6" t="s">
        <v>1875</v>
      </c>
      <c r="L176" s="6" t="s">
        <v>1877</v>
      </c>
      <c r="M176" s="8">
        <v>209900</v>
      </c>
      <c r="N176" s="35">
        <v>0.9</v>
      </c>
      <c r="O176" s="34">
        <f t="shared" si="6"/>
        <v>20990</v>
      </c>
      <c r="P176" s="6" t="s">
        <v>16</v>
      </c>
    </row>
    <row r="177" spans="1:16" x14ac:dyDescent="0.35">
      <c r="A177" s="32" t="s">
        <v>6509</v>
      </c>
      <c r="B177" s="7">
        <f t="shared" si="7"/>
        <v>46121</v>
      </c>
      <c r="C177" s="7">
        <f t="shared" si="8"/>
        <v>46127</v>
      </c>
      <c r="D177" s="6">
        <v>3287</v>
      </c>
      <c r="E177" s="6">
        <v>338</v>
      </c>
      <c r="F177" s="6">
        <v>4</v>
      </c>
      <c r="G177" s="6">
        <v>4</v>
      </c>
      <c r="H177" s="6">
        <v>81676</v>
      </c>
      <c r="I177" s="6" t="s">
        <v>17</v>
      </c>
      <c r="J177" s="6">
        <v>73529527</v>
      </c>
      <c r="K177" s="6" t="s">
        <v>1950</v>
      </c>
      <c r="L177" s="6" t="s">
        <v>1951</v>
      </c>
      <c r="M177" s="8">
        <v>219900</v>
      </c>
      <c r="N177" s="35">
        <v>0.9</v>
      </c>
      <c r="O177" s="34">
        <f t="shared" si="6"/>
        <v>21990</v>
      </c>
      <c r="P177" s="6" t="s">
        <v>16</v>
      </c>
    </row>
    <row r="178" spans="1:16" x14ac:dyDescent="0.35">
      <c r="A178" s="32" t="s">
        <v>6509</v>
      </c>
      <c r="B178" s="7">
        <f t="shared" si="7"/>
        <v>46121</v>
      </c>
      <c r="C178" s="7">
        <f t="shared" si="8"/>
        <v>46127</v>
      </c>
      <c r="D178" s="6">
        <v>3287</v>
      </c>
      <c r="E178" s="6">
        <v>338</v>
      </c>
      <c r="F178" s="6">
        <v>4</v>
      </c>
      <c r="G178" s="6">
        <v>4</v>
      </c>
      <c r="H178" s="6">
        <v>81676</v>
      </c>
      <c r="I178" s="6" t="s">
        <v>17</v>
      </c>
      <c r="J178" s="6">
        <v>73529536</v>
      </c>
      <c r="K178" s="6" t="s">
        <v>1950</v>
      </c>
      <c r="L178" s="6" t="s">
        <v>1952</v>
      </c>
      <c r="M178" s="8">
        <v>219900</v>
      </c>
      <c r="N178" s="35">
        <v>0.9</v>
      </c>
      <c r="O178" s="34">
        <f t="shared" si="6"/>
        <v>21990</v>
      </c>
      <c r="P178" s="6" t="s">
        <v>16</v>
      </c>
    </row>
    <row r="179" spans="1:16" x14ac:dyDescent="0.35">
      <c r="A179" s="32" t="s">
        <v>6509</v>
      </c>
      <c r="B179" s="7">
        <f t="shared" si="7"/>
        <v>46121</v>
      </c>
      <c r="C179" s="7">
        <f t="shared" si="8"/>
        <v>46127</v>
      </c>
      <c r="D179" s="6">
        <v>3287</v>
      </c>
      <c r="E179" s="6">
        <v>338</v>
      </c>
      <c r="F179" s="6">
        <v>4</v>
      </c>
      <c r="G179" s="6">
        <v>4</v>
      </c>
      <c r="H179" s="6">
        <v>81676</v>
      </c>
      <c r="I179" s="6" t="s">
        <v>17</v>
      </c>
      <c r="J179" s="6">
        <v>73529554</v>
      </c>
      <c r="K179" s="6" t="s">
        <v>1950</v>
      </c>
      <c r="L179" s="6" t="s">
        <v>1953</v>
      </c>
      <c r="M179" s="8">
        <v>219900</v>
      </c>
      <c r="N179" s="35">
        <v>0.9</v>
      </c>
      <c r="O179" s="34">
        <f t="shared" si="6"/>
        <v>21990</v>
      </c>
      <c r="P179" s="6" t="s">
        <v>16</v>
      </c>
    </row>
    <row r="180" spans="1:16" x14ac:dyDescent="0.35">
      <c r="A180" s="32" t="s">
        <v>6509</v>
      </c>
      <c r="B180" s="7">
        <f t="shared" si="7"/>
        <v>46121</v>
      </c>
      <c r="C180" s="7">
        <f t="shared" si="8"/>
        <v>46127</v>
      </c>
      <c r="D180" s="6">
        <v>3287</v>
      </c>
      <c r="E180" s="6">
        <v>338</v>
      </c>
      <c r="F180" s="6">
        <v>4</v>
      </c>
      <c r="G180" s="6">
        <v>4</v>
      </c>
      <c r="H180" s="6">
        <v>81676</v>
      </c>
      <c r="I180" s="6" t="s">
        <v>17</v>
      </c>
      <c r="J180" s="6">
        <v>73800465</v>
      </c>
      <c r="K180" s="6" t="s">
        <v>1954</v>
      </c>
      <c r="L180" s="6" t="s">
        <v>1955</v>
      </c>
      <c r="M180" s="8">
        <v>219900</v>
      </c>
      <c r="N180" s="35">
        <v>0.9</v>
      </c>
      <c r="O180" s="34">
        <f t="shared" si="6"/>
        <v>21990</v>
      </c>
      <c r="P180" s="6" t="s">
        <v>16</v>
      </c>
    </row>
    <row r="181" spans="1:16" x14ac:dyDescent="0.35">
      <c r="A181" s="32" t="s">
        <v>6509</v>
      </c>
      <c r="B181" s="7">
        <f t="shared" si="7"/>
        <v>46121</v>
      </c>
      <c r="C181" s="7">
        <f t="shared" si="8"/>
        <v>46127</v>
      </c>
      <c r="D181" s="6">
        <v>3287</v>
      </c>
      <c r="E181" s="6">
        <v>338</v>
      </c>
      <c r="F181" s="6">
        <v>4</v>
      </c>
      <c r="G181" s="6">
        <v>4</v>
      </c>
      <c r="H181" s="6">
        <v>81676</v>
      </c>
      <c r="I181" s="6" t="s">
        <v>17</v>
      </c>
      <c r="J181" s="6">
        <v>73800474</v>
      </c>
      <c r="K181" s="6" t="s">
        <v>1954</v>
      </c>
      <c r="L181" s="6" t="s">
        <v>1956</v>
      </c>
      <c r="M181" s="8">
        <v>219900</v>
      </c>
      <c r="N181" s="35">
        <v>0.9</v>
      </c>
      <c r="O181" s="34">
        <f t="shared" si="6"/>
        <v>21990</v>
      </c>
      <c r="P181" s="6" t="s">
        <v>16</v>
      </c>
    </row>
    <row r="182" spans="1:16" x14ac:dyDescent="0.35">
      <c r="A182" s="32" t="s">
        <v>6509</v>
      </c>
      <c r="B182" s="7">
        <f t="shared" si="7"/>
        <v>46121</v>
      </c>
      <c r="C182" s="7">
        <f t="shared" si="8"/>
        <v>46127</v>
      </c>
      <c r="D182" s="6">
        <v>3287</v>
      </c>
      <c r="E182" s="6">
        <v>338</v>
      </c>
      <c r="F182" s="6">
        <v>4</v>
      </c>
      <c r="G182" s="6">
        <v>4</v>
      </c>
      <c r="H182" s="6">
        <v>81676</v>
      </c>
      <c r="I182" s="6" t="s">
        <v>17</v>
      </c>
      <c r="J182" s="6">
        <v>73800483</v>
      </c>
      <c r="K182" s="6" t="s">
        <v>1954</v>
      </c>
      <c r="L182" s="6" t="s">
        <v>1957</v>
      </c>
      <c r="M182" s="8">
        <v>219900</v>
      </c>
      <c r="N182" s="35">
        <v>0.9</v>
      </c>
      <c r="O182" s="34">
        <f t="shared" si="6"/>
        <v>21990</v>
      </c>
      <c r="P182" s="6" t="s">
        <v>16</v>
      </c>
    </row>
    <row r="183" spans="1:16" x14ac:dyDescent="0.35">
      <c r="A183" s="32" t="s">
        <v>6509</v>
      </c>
      <c r="B183" s="7">
        <f t="shared" si="7"/>
        <v>46121</v>
      </c>
      <c r="C183" s="7">
        <f t="shared" si="8"/>
        <v>46127</v>
      </c>
      <c r="D183" s="6">
        <v>3287</v>
      </c>
      <c r="E183" s="6">
        <v>338</v>
      </c>
      <c r="F183" s="6">
        <v>4</v>
      </c>
      <c r="G183" s="6">
        <v>4</v>
      </c>
      <c r="H183" s="6">
        <v>81676</v>
      </c>
      <c r="I183" s="6" t="s">
        <v>17</v>
      </c>
      <c r="J183" s="6">
        <v>73800492</v>
      </c>
      <c r="K183" s="6" t="s">
        <v>1954</v>
      </c>
      <c r="L183" s="6" t="s">
        <v>1958</v>
      </c>
      <c r="M183" s="8">
        <v>219900</v>
      </c>
      <c r="N183" s="35">
        <v>0.9</v>
      </c>
      <c r="O183" s="34">
        <f t="shared" si="6"/>
        <v>21990</v>
      </c>
      <c r="P183" s="6" t="s">
        <v>16</v>
      </c>
    </row>
    <row r="184" spans="1:16" x14ac:dyDescent="0.35">
      <c r="A184" s="32" t="s">
        <v>6509</v>
      </c>
      <c r="B184" s="7">
        <f t="shared" si="7"/>
        <v>46121</v>
      </c>
      <c r="C184" s="7">
        <f t="shared" si="8"/>
        <v>46127</v>
      </c>
      <c r="D184" s="6">
        <v>3287</v>
      </c>
      <c r="E184" s="6">
        <v>338</v>
      </c>
      <c r="F184" s="6">
        <v>4</v>
      </c>
      <c r="G184" s="6">
        <v>5</v>
      </c>
      <c r="H184" s="6">
        <v>850</v>
      </c>
      <c r="I184" s="6" t="s">
        <v>17</v>
      </c>
      <c r="J184" s="6">
        <v>70843513</v>
      </c>
      <c r="K184" s="6" t="s">
        <v>1853</v>
      </c>
      <c r="L184" s="6" t="s">
        <v>1854</v>
      </c>
      <c r="M184" s="8">
        <v>37900</v>
      </c>
      <c r="N184" s="35">
        <v>0.9</v>
      </c>
      <c r="O184" s="34">
        <f t="shared" si="6"/>
        <v>3790</v>
      </c>
      <c r="P184" s="6" t="s">
        <v>16</v>
      </c>
    </row>
    <row r="185" spans="1:16" x14ac:dyDescent="0.35">
      <c r="A185" s="32" t="s">
        <v>6509</v>
      </c>
      <c r="B185" s="7">
        <f t="shared" si="7"/>
        <v>46121</v>
      </c>
      <c r="C185" s="7">
        <f t="shared" si="8"/>
        <v>46127</v>
      </c>
      <c r="D185" s="6">
        <v>3287</v>
      </c>
      <c r="E185" s="6">
        <v>338</v>
      </c>
      <c r="F185" s="6">
        <v>4</v>
      </c>
      <c r="G185" s="6">
        <v>5</v>
      </c>
      <c r="H185" s="6">
        <v>850</v>
      </c>
      <c r="I185" s="6" t="s">
        <v>17</v>
      </c>
      <c r="J185" s="6">
        <v>70843531</v>
      </c>
      <c r="K185" s="6" t="s">
        <v>1853</v>
      </c>
      <c r="L185" s="6" t="s">
        <v>1855</v>
      </c>
      <c r="M185" s="8">
        <v>37900</v>
      </c>
      <c r="N185" s="35">
        <v>0.9</v>
      </c>
      <c r="O185" s="34">
        <f t="shared" si="6"/>
        <v>3790</v>
      </c>
      <c r="P185" s="6" t="s">
        <v>16</v>
      </c>
    </row>
    <row r="186" spans="1:16" x14ac:dyDescent="0.35">
      <c r="A186" s="32" t="s">
        <v>6509</v>
      </c>
      <c r="B186" s="7">
        <f t="shared" si="7"/>
        <v>46121</v>
      </c>
      <c r="C186" s="7">
        <f t="shared" si="8"/>
        <v>46127</v>
      </c>
      <c r="D186" s="6">
        <v>3287</v>
      </c>
      <c r="E186" s="6">
        <v>338</v>
      </c>
      <c r="F186" s="6">
        <v>4</v>
      </c>
      <c r="G186" s="6">
        <v>5</v>
      </c>
      <c r="H186" s="6">
        <v>850</v>
      </c>
      <c r="I186" s="6" t="s">
        <v>17</v>
      </c>
      <c r="J186" s="6">
        <v>70843540</v>
      </c>
      <c r="K186" s="6" t="s">
        <v>1853</v>
      </c>
      <c r="L186" s="6" t="s">
        <v>1856</v>
      </c>
      <c r="M186" s="8">
        <v>37900</v>
      </c>
      <c r="N186" s="35">
        <v>0.9</v>
      </c>
      <c r="O186" s="34">
        <f t="shared" si="6"/>
        <v>3790</v>
      </c>
      <c r="P186" s="6" t="s">
        <v>16</v>
      </c>
    </row>
    <row r="187" spans="1:16" x14ac:dyDescent="0.35">
      <c r="A187" s="32" t="s">
        <v>6509</v>
      </c>
      <c r="B187" s="7">
        <f t="shared" si="7"/>
        <v>46121</v>
      </c>
      <c r="C187" s="7">
        <f t="shared" si="8"/>
        <v>46127</v>
      </c>
      <c r="D187" s="6">
        <v>3287</v>
      </c>
      <c r="E187" s="6">
        <v>338</v>
      </c>
      <c r="F187" s="6">
        <v>4</v>
      </c>
      <c r="G187" s="6">
        <v>5</v>
      </c>
      <c r="H187" s="6">
        <v>81574</v>
      </c>
      <c r="I187" s="6" t="s">
        <v>17</v>
      </c>
      <c r="J187" s="6">
        <v>63407445</v>
      </c>
      <c r="K187" s="6" t="s">
        <v>1769</v>
      </c>
      <c r="L187" s="6" t="s">
        <v>1770</v>
      </c>
      <c r="M187" s="8">
        <v>37900</v>
      </c>
      <c r="N187" s="35">
        <v>0.9</v>
      </c>
      <c r="O187" s="34">
        <f t="shared" si="6"/>
        <v>3790</v>
      </c>
      <c r="P187" s="6" t="s">
        <v>16</v>
      </c>
    </row>
    <row r="188" spans="1:16" x14ac:dyDescent="0.35">
      <c r="A188" s="32" t="s">
        <v>6509</v>
      </c>
      <c r="B188" s="7">
        <f t="shared" si="7"/>
        <v>46121</v>
      </c>
      <c r="C188" s="7">
        <f t="shared" si="8"/>
        <v>46127</v>
      </c>
      <c r="D188" s="6">
        <v>3287</v>
      </c>
      <c r="E188" s="6">
        <v>338</v>
      </c>
      <c r="F188" s="6">
        <v>4</v>
      </c>
      <c r="G188" s="6">
        <v>5</v>
      </c>
      <c r="H188" s="6">
        <v>81574</v>
      </c>
      <c r="I188" s="6" t="s">
        <v>17</v>
      </c>
      <c r="J188" s="6">
        <v>63407454</v>
      </c>
      <c r="K188" s="6" t="s">
        <v>1769</v>
      </c>
      <c r="L188" s="6" t="s">
        <v>1771</v>
      </c>
      <c r="M188" s="8">
        <v>37900</v>
      </c>
      <c r="N188" s="35">
        <v>0.9</v>
      </c>
      <c r="O188" s="34">
        <f t="shared" si="6"/>
        <v>3790</v>
      </c>
      <c r="P188" s="6" t="s">
        <v>16</v>
      </c>
    </row>
    <row r="189" spans="1:16" x14ac:dyDescent="0.35">
      <c r="A189" s="32" t="s">
        <v>6509</v>
      </c>
      <c r="B189" s="7">
        <f t="shared" si="7"/>
        <v>46121</v>
      </c>
      <c r="C189" s="7">
        <f t="shared" si="8"/>
        <v>46127</v>
      </c>
      <c r="D189" s="6">
        <v>3287</v>
      </c>
      <c r="E189" s="6">
        <v>338</v>
      </c>
      <c r="F189" s="6">
        <v>4</v>
      </c>
      <c r="G189" s="6">
        <v>5</v>
      </c>
      <c r="H189" s="6">
        <v>81574</v>
      </c>
      <c r="I189" s="6" t="s">
        <v>17</v>
      </c>
      <c r="J189" s="6">
        <v>63407463</v>
      </c>
      <c r="K189" s="6" t="s">
        <v>1769</v>
      </c>
      <c r="L189" s="6" t="s">
        <v>1772</v>
      </c>
      <c r="M189" s="8">
        <v>37900</v>
      </c>
      <c r="N189" s="35">
        <v>0.9</v>
      </c>
      <c r="O189" s="34">
        <f t="shared" si="6"/>
        <v>3790</v>
      </c>
      <c r="P189" s="6" t="s">
        <v>16</v>
      </c>
    </row>
    <row r="190" spans="1:16" x14ac:dyDescent="0.35">
      <c r="A190" s="32" t="s">
        <v>6509</v>
      </c>
      <c r="B190" s="7">
        <f t="shared" si="7"/>
        <v>46121</v>
      </c>
      <c r="C190" s="7">
        <f t="shared" si="8"/>
        <v>46127</v>
      </c>
      <c r="D190" s="6">
        <v>3287</v>
      </c>
      <c r="E190" s="6">
        <v>338</v>
      </c>
      <c r="F190" s="6">
        <v>4</v>
      </c>
      <c r="G190" s="6">
        <v>5</v>
      </c>
      <c r="H190" s="6">
        <v>81574</v>
      </c>
      <c r="I190" s="6" t="s">
        <v>17</v>
      </c>
      <c r="J190" s="6">
        <v>63407472</v>
      </c>
      <c r="K190" s="6" t="s">
        <v>1769</v>
      </c>
      <c r="L190" s="6" t="s">
        <v>1773</v>
      </c>
      <c r="M190" s="8">
        <v>37900</v>
      </c>
      <c r="N190" s="35">
        <v>0.9</v>
      </c>
      <c r="O190" s="34">
        <f t="shared" si="6"/>
        <v>3790</v>
      </c>
      <c r="P190" s="6" t="s">
        <v>16</v>
      </c>
    </row>
    <row r="191" spans="1:16" x14ac:dyDescent="0.35">
      <c r="A191" s="32" t="s">
        <v>6509</v>
      </c>
      <c r="B191" s="7">
        <f t="shared" si="7"/>
        <v>46121</v>
      </c>
      <c r="C191" s="7">
        <f t="shared" si="8"/>
        <v>46127</v>
      </c>
      <c r="D191" s="6">
        <v>3287</v>
      </c>
      <c r="E191" s="6">
        <v>338</v>
      </c>
      <c r="F191" s="6">
        <v>4</v>
      </c>
      <c r="G191" s="6">
        <v>5</v>
      </c>
      <c r="H191" s="6">
        <v>81574</v>
      </c>
      <c r="I191" s="6" t="s">
        <v>17</v>
      </c>
      <c r="J191" s="6">
        <v>63407481</v>
      </c>
      <c r="K191" s="6" t="s">
        <v>1774</v>
      </c>
      <c r="L191" s="6" t="s">
        <v>1775</v>
      </c>
      <c r="M191" s="8">
        <v>37900</v>
      </c>
      <c r="N191" s="35">
        <v>0.9</v>
      </c>
      <c r="O191" s="34">
        <f t="shared" si="6"/>
        <v>3790</v>
      </c>
      <c r="P191" s="6" t="s">
        <v>16</v>
      </c>
    </row>
    <row r="192" spans="1:16" x14ac:dyDescent="0.35">
      <c r="A192" s="32" t="s">
        <v>6509</v>
      </c>
      <c r="B192" s="7">
        <f t="shared" si="7"/>
        <v>46121</v>
      </c>
      <c r="C192" s="7">
        <f t="shared" si="8"/>
        <v>46127</v>
      </c>
      <c r="D192" s="6">
        <v>3287</v>
      </c>
      <c r="E192" s="6">
        <v>338</v>
      </c>
      <c r="F192" s="6">
        <v>4</v>
      </c>
      <c r="G192" s="6">
        <v>5</v>
      </c>
      <c r="H192" s="6">
        <v>81574</v>
      </c>
      <c r="I192" s="6" t="s">
        <v>17</v>
      </c>
      <c r="J192" s="6">
        <v>63407490</v>
      </c>
      <c r="K192" s="6" t="s">
        <v>1774</v>
      </c>
      <c r="L192" s="6" t="s">
        <v>1776</v>
      </c>
      <c r="M192" s="8">
        <v>37900</v>
      </c>
      <c r="N192" s="35">
        <v>0.9</v>
      </c>
      <c r="O192" s="34">
        <f t="shared" si="6"/>
        <v>3790</v>
      </c>
      <c r="P192" s="6" t="s">
        <v>16</v>
      </c>
    </row>
    <row r="193" spans="1:16" x14ac:dyDescent="0.35">
      <c r="A193" s="32" t="s">
        <v>6509</v>
      </c>
      <c r="B193" s="7">
        <f t="shared" si="7"/>
        <v>46121</v>
      </c>
      <c r="C193" s="7">
        <f t="shared" si="8"/>
        <v>46127</v>
      </c>
      <c r="D193" s="6">
        <v>3287</v>
      </c>
      <c r="E193" s="6">
        <v>338</v>
      </c>
      <c r="F193" s="6">
        <v>4</v>
      </c>
      <c r="G193" s="6">
        <v>5</v>
      </c>
      <c r="H193" s="6">
        <v>81574</v>
      </c>
      <c r="I193" s="6" t="s">
        <v>17</v>
      </c>
      <c r="J193" s="6">
        <v>63407507</v>
      </c>
      <c r="K193" s="6" t="s">
        <v>1774</v>
      </c>
      <c r="L193" s="6" t="s">
        <v>1777</v>
      </c>
      <c r="M193" s="8">
        <v>37900</v>
      </c>
      <c r="N193" s="35">
        <v>0.9</v>
      </c>
      <c r="O193" s="34">
        <f t="shared" si="6"/>
        <v>3790</v>
      </c>
      <c r="P193" s="6" t="s">
        <v>16</v>
      </c>
    </row>
    <row r="194" spans="1:16" x14ac:dyDescent="0.35">
      <c r="A194" s="32" t="s">
        <v>6509</v>
      </c>
      <c r="B194" s="7">
        <f t="shared" si="7"/>
        <v>46121</v>
      </c>
      <c r="C194" s="7">
        <f t="shared" si="8"/>
        <v>46127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17</v>
      </c>
      <c r="J194" s="6">
        <v>63407516</v>
      </c>
      <c r="K194" s="6" t="s">
        <v>1774</v>
      </c>
      <c r="L194" s="6" t="s">
        <v>1778</v>
      </c>
      <c r="M194" s="8">
        <v>37900</v>
      </c>
      <c r="N194" s="35">
        <v>0.9</v>
      </c>
      <c r="O194" s="34">
        <f t="shared" si="6"/>
        <v>3790</v>
      </c>
      <c r="P194" s="6" t="s">
        <v>16</v>
      </c>
    </row>
    <row r="195" spans="1:16" x14ac:dyDescent="0.35">
      <c r="A195" s="32" t="s">
        <v>6509</v>
      </c>
      <c r="B195" s="7">
        <f t="shared" si="7"/>
        <v>46121</v>
      </c>
      <c r="C195" s="7">
        <f t="shared" si="8"/>
        <v>46127</v>
      </c>
      <c r="D195" s="6">
        <v>3287</v>
      </c>
      <c r="E195" s="6">
        <v>338</v>
      </c>
      <c r="F195" s="6">
        <v>4</v>
      </c>
      <c r="G195" s="6">
        <v>6</v>
      </c>
      <c r="H195" s="6">
        <v>81379</v>
      </c>
      <c r="I195" s="6" t="s">
        <v>17</v>
      </c>
      <c r="J195" s="6">
        <v>63407785</v>
      </c>
      <c r="K195" s="6" t="s">
        <v>1779</v>
      </c>
      <c r="L195" s="6" t="s">
        <v>1780</v>
      </c>
      <c r="M195" s="8">
        <v>199900</v>
      </c>
      <c r="N195" s="35">
        <v>0.9</v>
      </c>
      <c r="O195" s="34">
        <f t="shared" ref="O195:O248" si="9">M195-((90*M195)/100)</f>
        <v>19990</v>
      </c>
      <c r="P195" s="6" t="s">
        <v>16</v>
      </c>
    </row>
    <row r="196" spans="1:16" x14ac:dyDescent="0.35">
      <c r="A196" s="32" t="s">
        <v>6509</v>
      </c>
      <c r="B196" s="7">
        <f t="shared" ref="B196:B248" si="10">B195</f>
        <v>46121</v>
      </c>
      <c r="C196" s="7">
        <f t="shared" ref="C196:C248" si="11">C195</f>
        <v>46127</v>
      </c>
      <c r="D196" s="6">
        <v>3287</v>
      </c>
      <c r="E196" s="6">
        <v>338</v>
      </c>
      <c r="F196" s="6">
        <v>4</v>
      </c>
      <c r="G196" s="6">
        <v>6</v>
      </c>
      <c r="H196" s="6">
        <v>81379</v>
      </c>
      <c r="I196" s="6" t="s">
        <v>17</v>
      </c>
      <c r="J196" s="6">
        <v>63407794</v>
      </c>
      <c r="K196" s="6" t="s">
        <v>1779</v>
      </c>
      <c r="L196" s="6" t="s">
        <v>1781</v>
      </c>
      <c r="M196" s="8">
        <v>199900</v>
      </c>
      <c r="N196" s="35">
        <v>0.9</v>
      </c>
      <c r="O196" s="34">
        <f t="shared" si="9"/>
        <v>19990</v>
      </c>
      <c r="P196" s="6" t="s">
        <v>16</v>
      </c>
    </row>
    <row r="197" spans="1:16" x14ac:dyDescent="0.35">
      <c r="A197" s="32" t="s">
        <v>6509</v>
      </c>
      <c r="B197" s="7">
        <f t="shared" si="10"/>
        <v>46121</v>
      </c>
      <c r="C197" s="7">
        <f t="shared" si="11"/>
        <v>46127</v>
      </c>
      <c r="D197" s="6">
        <v>3287</v>
      </c>
      <c r="E197" s="6">
        <v>338</v>
      </c>
      <c r="F197" s="6">
        <v>4</v>
      </c>
      <c r="G197" s="6">
        <v>7</v>
      </c>
      <c r="H197" s="6">
        <v>81595</v>
      </c>
      <c r="I197" s="6" t="s">
        <v>17</v>
      </c>
      <c r="J197" s="6">
        <v>70230407</v>
      </c>
      <c r="K197" s="6" t="s">
        <v>1820</v>
      </c>
      <c r="L197" s="6" t="s">
        <v>1821</v>
      </c>
      <c r="M197" s="8">
        <v>27900</v>
      </c>
      <c r="N197" s="35">
        <v>0.9</v>
      </c>
      <c r="O197" s="34">
        <f t="shared" si="9"/>
        <v>2790</v>
      </c>
      <c r="P197" s="6" t="s">
        <v>16</v>
      </c>
    </row>
    <row r="198" spans="1:16" x14ac:dyDescent="0.35">
      <c r="A198" s="32" t="s">
        <v>6509</v>
      </c>
      <c r="B198" s="7">
        <f t="shared" si="10"/>
        <v>46121</v>
      </c>
      <c r="C198" s="7">
        <f t="shared" si="11"/>
        <v>46127</v>
      </c>
      <c r="D198" s="6">
        <v>3287</v>
      </c>
      <c r="E198" s="6">
        <v>338</v>
      </c>
      <c r="F198" s="6">
        <v>4</v>
      </c>
      <c r="G198" s="6">
        <v>7</v>
      </c>
      <c r="H198" s="6">
        <v>81595</v>
      </c>
      <c r="I198" s="6" t="s">
        <v>17</v>
      </c>
      <c r="J198" s="6">
        <v>70230416</v>
      </c>
      <c r="K198" s="6" t="s">
        <v>1820</v>
      </c>
      <c r="L198" s="6" t="s">
        <v>1822</v>
      </c>
      <c r="M198" s="8">
        <v>27900</v>
      </c>
      <c r="N198" s="35">
        <v>0.9</v>
      </c>
      <c r="O198" s="34">
        <f t="shared" si="9"/>
        <v>2790</v>
      </c>
      <c r="P198" s="6" t="s">
        <v>16</v>
      </c>
    </row>
    <row r="199" spans="1:16" x14ac:dyDescent="0.35">
      <c r="A199" s="32" t="s">
        <v>6509</v>
      </c>
      <c r="B199" s="7">
        <f t="shared" si="10"/>
        <v>46121</v>
      </c>
      <c r="C199" s="7">
        <f t="shared" si="11"/>
        <v>46127</v>
      </c>
      <c r="D199" s="6">
        <v>3287</v>
      </c>
      <c r="E199" s="6">
        <v>338</v>
      </c>
      <c r="F199" s="6">
        <v>4</v>
      </c>
      <c r="G199" s="6">
        <v>7</v>
      </c>
      <c r="H199" s="6">
        <v>81595</v>
      </c>
      <c r="I199" s="6" t="s">
        <v>17</v>
      </c>
      <c r="J199" s="6">
        <v>73529429</v>
      </c>
      <c r="K199" s="6" t="s">
        <v>1881</v>
      </c>
      <c r="L199" s="6" t="s">
        <v>1882</v>
      </c>
      <c r="M199" s="8">
        <v>29900</v>
      </c>
      <c r="N199" s="35">
        <v>0.9</v>
      </c>
      <c r="O199" s="34">
        <f t="shared" si="9"/>
        <v>2990</v>
      </c>
      <c r="P199" s="6" t="s">
        <v>16</v>
      </c>
    </row>
    <row r="200" spans="1:16" x14ac:dyDescent="0.35">
      <c r="A200" s="32" t="s">
        <v>6509</v>
      </c>
      <c r="B200" s="7">
        <f t="shared" si="10"/>
        <v>46121</v>
      </c>
      <c r="C200" s="7">
        <f t="shared" si="11"/>
        <v>46127</v>
      </c>
      <c r="D200" s="6">
        <v>3287</v>
      </c>
      <c r="E200" s="6">
        <v>338</v>
      </c>
      <c r="F200" s="6">
        <v>4</v>
      </c>
      <c r="G200" s="6">
        <v>7</v>
      </c>
      <c r="H200" s="6">
        <v>81595</v>
      </c>
      <c r="I200" s="6" t="s">
        <v>17</v>
      </c>
      <c r="J200" s="6">
        <v>73529438</v>
      </c>
      <c r="K200" s="6" t="s">
        <v>1881</v>
      </c>
      <c r="L200" s="6" t="s">
        <v>1883</v>
      </c>
      <c r="M200" s="8">
        <v>29900</v>
      </c>
      <c r="N200" s="35">
        <v>0.9</v>
      </c>
      <c r="O200" s="34">
        <f t="shared" si="9"/>
        <v>2990</v>
      </c>
      <c r="P200" s="6" t="s">
        <v>16</v>
      </c>
    </row>
    <row r="201" spans="1:16" x14ac:dyDescent="0.35">
      <c r="A201" s="32" t="s">
        <v>6509</v>
      </c>
      <c r="B201" s="7">
        <f t="shared" si="10"/>
        <v>46121</v>
      </c>
      <c r="C201" s="7">
        <f t="shared" si="11"/>
        <v>46127</v>
      </c>
      <c r="D201" s="6">
        <v>3287</v>
      </c>
      <c r="E201" s="6">
        <v>338</v>
      </c>
      <c r="F201" s="6">
        <v>4</v>
      </c>
      <c r="G201" s="6">
        <v>7</v>
      </c>
      <c r="H201" s="6">
        <v>81595</v>
      </c>
      <c r="I201" s="6" t="s">
        <v>17</v>
      </c>
      <c r="J201" s="6">
        <v>73529447</v>
      </c>
      <c r="K201" s="6" t="s">
        <v>1884</v>
      </c>
      <c r="L201" s="6" t="s">
        <v>1885</v>
      </c>
      <c r="M201" s="8">
        <v>29900</v>
      </c>
      <c r="N201" s="35">
        <v>0.9</v>
      </c>
      <c r="O201" s="34">
        <f t="shared" si="9"/>
        <v>2990</v>
      </c>
      <c r="P201" s="6" t="s">
        <v>16</v>
      </c>
    </row>
    <row r="202" spans="1:16" x14ac:dyDescent="0.35">
      <c r="A202" s="32" t="s">
        <v>6509</v>
      </c>
      <c r="B202" s="7">
        <f t="shared" si="10"/>
        <v>46121</v>
      </c>
      <c r="C202" s="7">
        <f t="shared" si="11"/>
        <v>46127</v>
      </c>
      <c r="D202" s="6">
        <v>3287</v>
      </c>
      <c r="E202" s="6">
        <v>338</v>
      </c>
      <c r="F202" s="6">
        <v>4</v>
      </c>
      <c r="G202" s="6">
        <v>7</v>
      </c>
      <c r="H202" s="6">
        <v>81595</v>
      </c>
      <c r="I202" s="6" t="s">
        <v>17</v>
      </c>
      <c r="J202" s="6">
        <v>73529456</v>
      </c>
      <c r="K202" s="6" t="s">
        <v>1884</v>
      </c>
      <c r="L202" s="6" t="s">
        <v>1886</v>
      </c>
      <c r="M202" s="8">
        <v>29900</v>
      </c>
      <c r="N202" s="35">
        <v>0.9</v>
      </c>
      <c r="O202" s="34">
        <f t="shared" si="9"/>
        <v>2990</v>
      </c>
      <c r="P202" s="6" t="s">
        <v>16</v>
      </c>
    </row>
    <row r="203" spans="1:16" x14ac:dyDescent="0.35">
      <c r="A203" s="32" t="s">
        <v>6509</v>
      </c>
      <c r="B203" s="7">
        <f t="shared" si="10"/>
        <v>46121</v>
      </c>
      <c r="C203" s="7">
        <f t="shared" si="11"/>
        <v>46127</v>
      </c>
      <c r="D203" s="6">
        <v>3287</v>
      </c>
      <c r="E203" s="6">
        <v>338</v>
      </c>
      <c r="F203" s="6">
        <v>4</v>
      </c>
      <c r="G203" s="6">
        <v>7</v>
      </c>
      <c r="H203" s="6">
        <v>81595</v>
      </c>
      <c r="I203" s="6" t="s">
        <v>17</v>
      </c>
      <c r="J203" s="6">
        <v>73529465</v>
      </c>
      <c r="K203" s="6" t="s">
        <v>1887</v>
      </c>
      <c r="L203" s="6" t="s">
        <v>1888</v>
      </c>
      <c r="M203" s="8">
        <v>29900</v>
      </c>
      <c r="N203" s="35">
        <v>0.9</v>
      </c>
      <c r="O203" s="34">
        <f t="shared" si="9"/>
        <v>2990</v>
      </c>
      <c r="P203" s="6" t="s">
        <v>16</v>
      </c>
    </row>
    <row r="204" spans="1:16" x14ac:dyDescent="0.35">
      <c r="A204" s="32" t="s">
        <v>6509</v>
      </c>
      <c r="B204" s="7">
        <f t="shared" si="10"/>
        <v>46121</v>
      </c>
      <c r="C204" s="7">
        <f t="shared" si="11"/>
        <v>46127</v>
      </c>
      <c r="D204" s="6">
        <v>3287</v>
      </c>
      <c r="E204" s="6">
        <v>338</v>
      </c>
      <c r="F204" s="6">
        <v>4</v>
      </c>
      <c r="G204" s="6">
        <v>7</v>
      </c>
      <c r="H204" s="6">
        <v>81595</v>
      </c>
      <c r="I204" s="6" t="s">
        <v>17</v>
      </c>
      <c r="J204" s="6">
        <v>73529474</v>
      </c>
      <c r="K204" s="6" t="s">
        <v>1887</v>
      </c>
      <c r="L204" s="6" t="s">
        <v>1889</v>
      </c>
      <c r="M204" s="8">
        <v>29900</v>
      </c>
      <c r="N204" s="35">
        <v>0.9</v>
      </c>
      <c r="O204" s="34">
        <f t="shared" si="9"/>
        <v>2990</v>
      </c>
      <c r="P204" s="6" t="s">
        <v>16</v>
      </c>
    </row>
    <row r="205" spans="1:16" x14ac:dyDescent="0.35">
      <c r="A205" s="32" t="s">
        <v>6509</v>
      </c>
      <c r="B205" s="7">
        <f t="shared" si="10"/>
        <v>46121</v>
      </c>
      <c r="C205" s="7">
        <f t="shared" si="11"/>
        <v>46127</v>
      </c>
      <c r="D205" s="6">
        <v>3287</v>
      </c>
      <c r="E205" s="6">
        <v>338</v>
      </c>
      <c r="F205" s="6">
        <v>4</v>
      </c>
      <c r="G205" s="6">
        <v>7</v>
      </c>
      <c r="H205" s="6">
        <v>81595</v>
      </c>
      <c r="I205" s="6" t="s">
        <v>17</v>
      </c>
      <c r="J205" s="6">
        <v>73913450</v>
      </c>
      <c r="K205" s="6" t="s">
        <v>1910</v>
      </c>
      <c r="L205" s="6" t="s">
        <v>1911</v>
      </c>
      <c r="M205" s="8">
        <v>32900</v>
      </c>
      <c r="N205" s="35">
        <v>0.9</v>
      </c>
      <c r="O205" s="34">
        <f t="shared" si="9"/>
        <v>3290</v>
      </c>
      <c r="P205" s="6" t="s">
        <v>16</v>
      </c>
    </row>
    <row r="206" spans="1:16" x14ac:dyDescent="0.35">
      <c r="A206" s="32" t="s">
        <v>6509</v>
      </c>
      <c r="B206" s="7">
        <f t="shared" si="10"/>
        <v>46121</v>
      </c>
      <c r="C206" s="7">
        <f t="shared" si="11"/>
        <v>46127</v>
      </c>
      <c r="D206" s="6">
        <v>3287</v>
      </c>
      <c r="E206" s="6">
        <v>338</v>
      </c>
      <c r="F206" s="6">
        <v>4</v>
      </c>
      <c r="G206" s="6">
        <v>7</v>
      </c>
      <c r="H206" s="6">
        <v>81595</v>
      </c>
      <c r="I206" s="6" t="s">
        <v>17</v>
      </c>
      <c r="J206" s="6">
        <v>73913469</v>
      </c>
      <c r="K206" s="6" t="s">
        <v>1910</v>
      </c>
      <c r="L206" s="6" t="s">
        <v>1912</v>
      </c>
      <c r="M206" s="8">
        <v>32900</v>
      </c>
      <c r="N206" s="35">
        <v>0.9</v>
      </c>
      <c r="O206" s="34">
        <f t="shared" si="9"/>
        <v>3290</v>
      </c>
      <c r="P206" s="6" t="s">
        <v>16</v>
      </c>
    </row>
    <row r="207" spans="1:16" x14ac:dyDescent="0.35">
      <c r="A207" s="32" t="s">
        <v>6509</v>
      </c>
      <c r="B207" s="7">
        <f t="shared" si="10"/>
        <v>46121</v>
      </c>
      <c r="C207" s="7">
        <f t="shared" si="11"/>
        <v>46127</v>
      </c>
      <c r="D207" s="6">
        <v>3287</v>
      </c>
      <c r="E207" s="6">
        <v>338</v>
      </c>
      <c r="F207" s="6">
        <v>4</v>
      </c>
      <c r="G207" s="6">
        <v>7</v>
      </c>
      <c r="H207" s="6">
        <v>81595</v>
      </c>
      <c r="I207" s="6" t="s">
        <v>17</v>
      </c>
      <c r="J207" s="6">
        <v>76173727</v>
      </c>
      <c r="K207" s="6" t="s">
        <v>2005</v>
      </c>
      <c r="L207" s="6" t="s">
        <v>2006</v>
      </c>
      <c r="M207" s="8">
        <v>32900</v>
      </c>
      <c r="N207" s="35">
        <v>0.9</v>
      </c>
      <c r="O207" s="34">
        <f t="shared" si="9"/>
        <v>3290</v>
      </c>
      <c r="P207" s="6" t="s">
        <v>16</v>
      </c>
    </row>
    <row r="208" spans="1:16" x14ac:dyDescent="0.35">
      <c r="A208" s="32" t="s">
        <v>6509</v>
      </c>
      <c r="B208" s="7">
        <f t="shared" si="10"/>
        <v>46121</v>
      </c>
      <c r="C208" s="7">
        <f t="shared" si="11"/>
        <v>46127</v>
      </c>
      <c r="D208" s="6">
        <v>3287</v>
      </c>
      <c r="E208" s="6">
        <v>338</v>
      </c>
      <c r="F208" s="6">
        <v>4</v>
      </c>
      <c r="G208" s="6">
        <v>7</v>
      </c>
      <c r="H208" s="6">
        <v>81595</v>
      </c>
      <c r="I208" s="6" t="s">
        <v>17</v>
      </c>
      <c r="J208" s="6">
        <v>76173736</v>
      </c>
      <c r="K208" s="6" t="s">
        <v>2005</v>
      </c>
      <c r="L208" s="6" t="s">
        <v>2007</v>
      </c>
      <c r="M208" s="8">
        <v>32900</v>
      </c>
      <c r="N208" s="35">
        <v>0.9</v>
      </c>
      <c r="O208" s="34">
        <f t="shared" si="9"/>
        <v>3290</v>
      </c>
      <c r="P208" s="6" t="s">
        <v>16</v>
      </c>
    </row>
    <row r="209" spans="1:16" x14ac:dyDescent="0.35">
      <c r="A209" s="32" t="s">
        <v>6509</v>
      </c>
      <c r="B209" s="7">
        <f t="shared" si="10"/>
        <v>46121</v>
      </c>
      <c r="C209" s="7">
        <f t="shared" si="11"/>
        <v>46127</v>
      </c>
      <c r="D209" s="6">
        <v>3287</v>
      </c>
      <c r="E209" s="6">
        <v>338</v>
      </c>
      <c r="F209" s="6">
        <v>4</v>
      </c>
      <c r="G209" s="6">
        <v>7</v>
      </c>
      <c r="H209" s="6">
        <v>81595</v>
      </c>
      <c r="I209" s="6" t="s">
        <v>17</v>
      </c>
      <c r="J209" s="6">
        <v>76173745</v>
      </c>
      <c r="K209" s="6" t="s">
        <v>1987</v>
      </c>
      <c r="L209" s="6" t="s">
        <v>1988</v>
      </c>
      <c r="M209" s="8">
        <v>32900</v>
      </c>
      <c r="N209" s="35">
        <v>0.9</v>
      </c>
      <c r="O209" s="34">
        <f t="shared" si="9"/>
        <v>3290</v>
      </c>
      <c r="P209" s="6" t="s">
        <v>16</v>
      </c>
    </row>
    <row r="210" spans="1:16" x14ac:dyDescent="0.35">
      <c r="A210" s="32" t="s">
        <v>6509</v>
      </c>
      <c r="B210" s="7">
        <f t="shared" si="10"/>
        <v>46121</v>
      </c>
      <c r="C210" s="7">
        <f t="shared" si="11"/>
        <v>46127</v>
      </c>
      <c r="D210" s="6">
        <v>3287</v>
      </c>
      <c r="E210" s="6">
        <v>338</v>
      </c>
      <c r="F210" s="6">
        <v>4</v>
      </c>
      <c r="G210" s="6">
        <v>7</v>
      </c>
      <c r="H210" s="6">
        <v>81595</v>
      </c>
      <c r="I210" s="6" t="s">
        <v>17</v>
      </c>
      <c r="J210" s="6">
        <v>76173754</v>
      </c>
      <c r="K210" s="6" t="s">
        <v>1987</v>
      </c>
      <c r="L210" s="6" t="s">
        <v>1989</v>
      </c>
      <c r="M210" s="8">
        <v>32900</v>
      </c>
      <c r="N210" s="35">
        <v>0.9</v>
      </c>
      <c r="O210" s="34">
        <f t="shared" si="9"/>
        <v>3290</v>
      </c>
      <c r="P210" s="6" t="s">
        <v>16</v>
      </c>
    </row>
    <row r="211" spans="1:16" x14ac:dyDescent="0.35">
      <c r="A211" s="32" t="s">
        <v>6509</v>
      </c>
      <c r="B211" s="7">
        <f t="shared" si="10"/>
        <v>46121</v>
      </c>
      <c r="C211" s="7">
        <f t="shared" si="11"/>
        <v>46127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76173763</v>
      </c>
      <c r="K211" s="6" t="s">
        <v>1990</v>
      </c>
      <c r="L211" s="6" t="s">
        <v>1991</v>
      </c>
      <c r="M211" s="8">
        <v>32900</v>
      </c>
      <c r="N211" s="35">
        <v>0.9</v>
      </c>
      <c r="O211" s="34">
        <f t="shared" si="9"/>
        <v>3290</v>
      </c>
      <c r="P211" s="6" t="s">
        <v>16</v>
      </c>
    </row>
    <row r="212" spans="1:16" x14ac:dyDescent="0.35">
      <c r="A212" s="32" t="s">
        <v>6509</v>
      </c>
      <c r="B212" s="7">
        <f t="shared" si="10"/>
        <v>46121</v>
      </c>
      <c r="C212" s="7">
        <f t="shared" si="11"/>
        <v>46127</v>
      </c>
      <c r="D212" s="6">
        <v>3287</v>
      </c>
      <c r="E212" s="6">
        <v>338</v>
      </c>
      <c r="F212" s="6">
        <v>4</v>
      </c>
      <c r="G212" s="6">
        <v>7</v>
      </c>
      <c r="H212" s="6">
        <v>81595</v>
      </c>
      <c r="I212" s="6" t="s">
        <v>17</v>
      </c>
      <c r="J212" s="6">
        <v>76173772</v>
      </c>
      <c r="K212" s="6" t="s">
        <v>1990</v>
      </c>
      <c r="L212" s="6" t="s">
        <v>1992</v>
      </c>
      <c r="M212" s="8">
        <v>32900</v>
      </c>
      <c r="N212" s="35">
        <v>0.9</v>
      </c>
      <c r="O212" s="34">
        <f t="shared" si="9"/>
        <v>3290</v>
      </c>
      <c r="P212" s="6" t="s">
        <v>16</v>
      </c>
    </row>
    <row r="213" spans="1:16" x14ac:dyDescent="0.35">
      <c r="A213" s="32" t="s">
        <v>6509</v>
      </c>
      <c r="B213" s="7">
        <f t="shared" si="10"/>
        <v>46121</v>
      </c>
      <c r="C213" s="7">
        <f t="shared" si="11"/>
        <v>46127</v>
      </c>
      <c r="D213" s="6">
        <v>3287</v>
      </c>
      <c r="E213" s="6">
        <v>338</v>
      </c>
      <c r="F213" s="6">
        <v>4</v>
      </c>
      <c r="G213" s="6">
        <v>7</v>
      </c>
      <c r="H213" s="6">
        <v>81595</v>
      </c>
      <c r="I213" s="6" t="s">
        <v>17</v>
      </c>
      <c r="J213" s="6">
        <v>76173807</v>
      </c>
      <c r="K213" s="6" t="s">
        <v>1944</v>
      </c>
      <c r="L213" s="6" t="s">
        <v>1945</v>
      </c>
      <c r="M213" s="8">
        <v>32900</v>
      </c>
      <c r="N213" s="35">
        <v>0.9</v>
      </c>
      <c r="O213" s="34">
        <f t="shared" si="9"/>
        <v>3290</v>
      </c>
      <c r="P213" s="6" t="s">
        <v>16</v>
      </c>
    </row>
    <row r="214" spans="1:16" x14ac:dyDescent="0.35">
      <c r="A214" s="32" t="s">
        <v>6509</v>
      </c>
      <c r="B214" s="7">
        <f t="shared" si="10"/>
        <v>46121</v>
      </c>
      <c r="C214" s="7">
        <f t="shared" si="11"/>
        <v>46127</v>
      </c>
      <c r="D214" s="6">
        <v>3287</v>
      </c>
      <c r="E214" s="6">
        <v>338</v>
      </c>
      <c r="F214" s="6">
        <v>4</v>
      </c>
      <c r="G214" s="6">
        <v>7</v>
      </c>
      <c r="H214" s="6">
        <v>81595</v>
      </c>
      <c r="I214" s="6" t="s">
        <v>17</v>
      </c>
      <c r="J214" s="6">
        <v>76173816</v>
      </c>
      <c r="K214" s="6" t="s">
        <v>1944</v>
      </c>
      <c r="L214" s="6" t="s">
        <v>1946</v>
      </c>
      <c r="M214" s="8">
        <v>32900</v>
      </c>
      <c r="N214" s="35">
        <v>0.9</v>
      </c>
      <c r="O214" s="34">
        <f t="shared" si="9"/>
        <v>3290</v>
      </c>
      <c r="P214" s="6" t="s">
        <v>16</v>
      </c>
    </row>
    <row r="215" spans="1:16" x14ac:dyDescent="0.35">
      <c r="A215" s="32" t="s">
        <v>6509</v>
      </c>
      <c r="B215" s="7">
        <f t="shared" si="10"/>
        <v>46121</v>
      </c>
      <c r="C215" s="7">
        <f t="shared" si="11"/>
        <v>46127</v>
      </c>
      <c r="D215" s="6">
        <v>3287</v>
      </c>
      <c r="E215" s="6">
        <v>338</v>
      </c>
      <c r="F215" s="6">
        <v>4</v>
      </c>
      <c r="G215" s="6">
        <v>7</v>
      </c>
      <c r="H215" s="6">
        <v>81595</v>
      </c>
      <c r="I215" s="6" t="s">
        <v>17</v>
      </c>
      <c r="J215" s="6">
        <v>76173825</v>
      </c>
      <c r="K215" s="6" t="s">
        <v>1947</v>
      </c>
      <c r="L215" s="6" t="s">
        <v>1948</v>
      </c>
      <c r="M215" s="8">
        <v>32900</v>
      </c>
      <c r="N215" s="35">
        <v>0.9</v>
      </c>
      <c r="O215" s="34">
        <f t="shared" si="9"/>
        <v>3290</v>
      </c>
      <c r="P215" s="6" t="s">
        <v>16</v>
      </c>
    </row>
    <row r="216" spans="1:16" x14ac:dyDescent="0.35">
      <c r="A216" s="32" t="s">
        <v>6509</v>
      </c>
      <c r="B216" s="7">
        <f t="shared" si="10"/>
        <v>46121</v>
      </c>
      <c r="C216" s="7">
        <f t="shared" si="11"/>
        <v>46127</v>
      </c>
      <c r="D216" s="6">
        <v>3287</v>
      </c>
      <c r="E216" s="6">
        <v>338</v>
      </c>
      <c r="F216" s="6">
        <v>4</v>
      </c>
      <c r="G216" s="6">
        <v>7</v>
      </c>
      <c r="H216" s="6">
        <v>81595</v>
      </c>
      <c r="I216" s="6" t="s">
        <v>17</v>
      </c>
      <c r="J216" s="6">
        <v>76173834</v>
      </c>
      <c r="K216" s="6" t="s">
        <v>1947</v>
      </c>
      <c r="L216" s="6" t="s">
        <v>1949</v>
      </c>
      <c r="M216" s="8">
        <v>32900</v>
      </c>
      <c r="N216" s="35">
        <v>0.9</v>
      </c>
      <c r="O216" s="34">
        <f t="shared" si="9"/>
        <v>3290</v>
      </c>
      <c r="P216" s="6" t="s">
        <v>16</v>
      </c>
    </row>
    <row r="217" spans="1:16" x14ac:dyDescent="0.35">
      <c r="A217" s="32" t="s">
        <v>6509</v>
      </c>
      <c r="B217" s="7">
        <f t="shared" si="10"/>
        <v>46121</v>
      </c>
      <c r="C217" s="7">
        <f t="shared" si="11"/>
        <v>46127</v>
      </c>
      <c r="D217" s="6">
        <v>3287</v>
      </c>
      <c r="E217" s="6">
        <v>338</v>
      </c>
      <c r="F217" s="6">
        <v>4</v>
      </c>
      <c r="G217" s="6">
        <v>7</v>
      </c>
      <c r="H217" s="6">
        <v>81595</v>
      </c>
      <c r="I217" s="6" t="s">
        <v>17</v>
      </c>
      <c r="J217" s="6">
        <v>76173843</v>
      </c>
      <c r="K217" s="6" t="s">
        <v>1972</v>
      </c>
      <c r="L217" s="6" t="s">
        <v>1973</v>
      </c>
      <c r="M217" s="8">
        <v>32900</v>
      </c>
      <c r="N217" s="35">
        <v>0.9</v>
      </c>
      <c r="O217" s="34">
        <f t="shared" si="9"/>
        <v>3290</v>
      </c>
      <c r="P217" s="6" t="s">
        <v>16</v>
      </c>
    </row>
    <row r="218" spans="1:16" x14ac:dyDescent="0.35">
      <c r="A218" s="32" t="s">
        <v>6509</v>
      </c>
      <c r="B218" s="7">
        <f t="shared" si="10"/>
        <v>46121</v>
      </c>
      <c r="C218" s="7">
        <f t="shared" si="11"/>
        <v>46127</v>
      </c>
      <c r="D218" s="6">
        <v>3287</v>
      </c>
      <c r="E218" s="6">
        <v>338</v>
      </c>
      <c r="F218" s="6">
        <v>4</v>
      </c>
      <c r="G218" s="6">
        <v>7</v>
      </c>
      <c r="H218" s="6">
        <v>81595</v>
      </c>
      <c r="I218" s="6" t="s">
        <v>17</v>
      </c>
      <c r="J218" s="6">
        <v>76173852</v>
      </c>
      <c r="K218" s="6" t="s">
        <v>1972</v>
      </c>
      <c r="L218" s="6" t="s">
        <v>1974</v>
      </c>
      <c r="M218" s="8">
        <v>32900</v>
      </c>
      <c r="N218" s="35">
        <v>0.9</v>
      </c>
      <c r="O218" s="34">
        <f t="shared" si="9"/>
        <v>3290</v>
      </c>
      <c r="P218" s="6" t="s">
        <v>16</v>
      </c>
    </row>
    <row r="219" spans="1:16" x14ac:dyDescent="0.35">
      <c r="A219" s="32" t="s">
        <v>6509</v>
      </c>
      <c r="B219" s="7">
        <f t="shared" si="10"/>
        <v>46121</v>
      </c>
      <c r="C219" s="7">
        <f t="shared" si="11"/>
        <v>46127</v>
      </c>
      <c r="D219" s="6">
        <v>3287</v>
      </c>
      <c r="E219" s="6">
        <v>338</v>
      </c>
      <c r="F219" s="6">
        <v>4</v>
      </c>
      <c r="G219" s="6">
        <v>7</v>
      </c>
      <c r="H219" s="6">
        <v>81595</v>
      </c>
      <c r="I219" s="6" t="s">
        <v>17</v>
      </c>
      <c r="J219" s="6">
        <v>76173861</v>
      </c>
      <c r="K219" s="6" t="s">
        <v>1975</v>
      </c>
      <c r="L219" s="6" t="s">
        <v>1976</v>
      </c>
      <c r="M219" s="8">
        <v>32900</v>
      </c>
      <c r="N219" s="35">
        <v>0.9</v>
      </c>
      <c r="O219" s="34">
        <f t="shared" si="9"/>
        <v>3290</v>
      </c>
      <c r="P219" s="6" t="s">
        <v>16</v>
      </c>
    </row>
    <row r="220" spans="1:16" x14ac:dyDescent="0.35">
      <c r="A220" s="32" t="s">
        <v>6509</v>
      </c>
      <c r="B220" s="7">
        <f t="shared" si="10"/>
        <v>46121</v>
      </c>
      <c r="C220" s="7">
        <f t="shared" si="11"/>
        <v>46127</v>
      </c>
      <c r="D220" s="6">
        <v>3287</v>
      </c>
      <c r="E220" s="6">
        <v>338</v>
      </c>
      <c r="F220" s="6">
        <v>4</v>
      </c>
      <c r="G220" s="6">
        <v>7</v>
      </c>
      <c r="H220" s="6">
        <v>81595</v>
      </c>
      <c r="I220" s="6" t="s">
        <v>17</v>
      </c>
      <c r="J220" s="6">
        <v>76663439</v>
      </c>
      <c r="K220" s="6" t="s">
        <v>2002</v>
      </c>
      <c r="L220" s="6" t="s">
        <v>2003</v>
      </c>
      <c r="M220" s="8">
        <v>32900</v>
      </c>
      <c r="N220" s="35">
        <v>0.9</v>
      </c>
      <c r="O220" s="34">
        <f t="shared" si="9"/>
        <v>3290</v>
      </c>
      <c r="P220" s="6" t="s">
        <v>16</v>
      </c>
    </row>
    <row r="221" spans="1:16" x14ac:dyDescent="0.35">
      <c r="A221" s="32" t="s">
        <v>6509</v>
      </c>
      <c r="B221" s="7">
        <f t="shared" si="10"/>
        <v>46121</v>
      </c>
      <c r="C221" s="7">
        <f t="shared" si="11"/>
        <v>46127</v>
      </c>
      <c r="D221" s="6">
        <v>3287</v>
      </c>
      <c r="E221" s="6">
        <v>338</v>
      </c>
      <c r="F221" s="6">
        <v>4</v>
      </c>
      <c r="G221" s="6">
        <v>7</v>
      </c>
      <c r="H221" s="6">
        <v>81595</v>
      </c>
      <c r="I221" s="6" t="s">
        <v>17</v>
      </c>
      <c r="J221" s="6">
        <v>76663448</v>
      </c>
      <c r="K221" s="6" t="s">
        <v>2002</v>
      </c>
      <c r="L221" s="6" t="s">
        <v>2004</v>
      </c>
      <c r="M221" s="8">
        <v>32900</v>
      </c>
      <c r="N221" s="35">
        <v>0.9</v>
      </c>
      <c r="O221" s="34">
        <f t="shared" si="9"/>
        <v>3290</v>
      </c>
      <c r="P221" s="6" t="s">
        <v>16</v>
      </c>
    </row>
    <row r="222" spans="1:16" x14ac:dyDescent="0.35">
      <c r="A222" s="32" t="s">
        <v>6509</v>
      </c>
      <c r="B222" s="7">
        <f t="shared" si="10"/>
        <v>46121</v>
      </c>
      <c r="C222" s="7">
        <f t="shared" si="11"/>
        <v>46127</v>
      </c>
      <c r="D222" s="6">
        <v>3287</v>
      </c>
      <c r="E222" s="6">
        <v>338</v>
      </c>
      <c r="F222" s="6">
        <v>4</v>
      </c>
      <c r="G222" s="6">
        <v>7</v>
      </c>
      <c r="H222" s="6">
        <v>81595</v>
      </c>
      <c r="I222" s="6" t="s">
        <v>17</v>
      </c>
      <c r="J222" s="6">
        <v>67442346</v>
      </c>
      <c r="K222" s="6" t="s">
        <v>1790</v>
      </c>
      <c r="L222" s="6" t="s">
        <v>1791</v>
      </c>
      <c r="M222" s="8">
        <v>27900</v>
      </c>
      <c r="N222" s="35">
        <v>0.9</v>
      </c>
      <c r="O222" s="34">
        <f t="shared" si="9"/>
        <v>2790</v>
      </c>
      <c r="P222" s="6" t="s">
        <v>16</v>
      </c>
    </row>
    <row r="223" spans="1:16" x14ac:dyDescent="0.35">
      <c r="A223" s="32" t="s">
        <v>6509</v>
      </c>
      <c r="B223" s="7">
        <f t="shared" si="10"/>
        <v>46121</v>
      </c>
      <c r="C223" s="7">
        <f t="shared" si="11"/>
        <v>46127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67442355</v>
      </c>
      <c r="K223" s="6" t="s">
        <v>1790</v>
      </c>
      <c r="L223" s="6" t="s">
        <v>1792</v>
      </c>
      <c r="M223" s="8">
        <v>27900</v>
      </c>
      <c r="N223" s="35">
        <v>0.9</v>
      </c>
      <c r="O223" s="34">
        <f t="shared" si="9"/>
        <v>2790</v>
      </c>
      <c r="P223" s="6" t="s">
        <v>16</v>
      </c>
    </row>
    <row r="224" spans="1:16" x14ac:dyDescent="0.35">
      <c r="A224" s="32" t="s">
        <v>6509</v>
      </c>
      <c r="B224" s="7">
        <f t="shared" si="10"/>
        <v>46121</v>
      </c>
      <c r="C224" s="7">
        <f t="shared" si="11"/>
        <v>46127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67442515</v>
      </c>
      <c r="K224" s="6" t="s">
        <v>1793</v>
      </c>
      <c r="L224" s="6" t="s">
        <v>1794</v>
      </c>
      <c r="M224" s="8">
        <v>27900</v>
      </c>
      <c r="N224" s="35">
        <v>0.9</v>
      </c>
      <c r="O224" s="34">
        <f t="shared" si="9"/>
        <v>2790</v>
      </c>
      <c r="P224" s="6" t="s">
        <v>16</v>
      </c>
    </row>
    <row r="225" spans="1:16" x14ac:dyDescent="0.35">
      <c r="A225" s="32" t="s">
        <v>6509</v>
      </c>
      <c r="B225" s="7">
        <f t="shared" si="10"/>
        <v>46121</v>
      </c>
      <c r="C225" s="7">
        <f t="shared" si="11"/>
        <v>46127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67442524</v>
      </c>
      <c r="K225" s="6" t="s">
        <v>1793</v>
      </c>
      <c r="L225" s="6" t="s">
        <v>1795</v>
      </c>
      <c r="M225" s="8">
        <v>27900</v>
      </c>
      <c r="N225" s="35">
        <v>0.9</v>
      </c>
      <c r="O225" s="34">
        <f t="shared" si="9"/>
        <v>2790</v>
      </c>
      <c r="P225" s="6" t="s">
        <v>16</v>
      </c>
    </row>
    <row r="226" spans="1:16" x14ac:dyDescent="0.35">
      <c r="A226" s="32" t="s">
        <v>6509</v>
      </c>
      <c r="B226" s="7">
        <f t="shared" si="10"/>
        <v>46121</v>
      </c>
      <c r="C226" s="7">
        <f t="shared" si="11"/>
        <v>46127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17</v>
      </c>
      <c r="J226" s="6">
        <v>67442551</v>
      </c>
      <c r="K226" s="6" t="s">
        <v>1796</v>
      </c>
      <c r="L226" s="6" t="s">
        <v>1797</v>
      </c>
      <c r="M226" s="8">
        <v>27900</v>
      </c>
      <c r="N226" s="35">
        <v>0.9</v>
      </c>
      <c r="O226" s="34">
        <f t="shared" si="9"/>
        <v>2790</v>
      </c>
      <c r="P226" s="6" t="s">
        <v>16</v>
      </c>
    </row>
    <row r="227" spans="1:16" x14ac:dyDescent="0.35">
      <c r="A227" s="32" t="s">
        <v>6509</v>
      </c>
      <c r="B227" s="7">
        <f t="shared" si="10"/>
        <v>46121</v>
      </c>
      <c r="C227" s="7">
        <f t="shared" si="11"/>
        <v>46127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17</v>
      </c>
      <c r="J227" s="6">
        <v>67442588</v>
      </c>
      <c r="K227" s="6" t="s">
        <v>1798</v>
      </c>
      <c r="L227" s="6" t="s">
        <v>1799</v>
      </c>
      <c r="M227" s="8">
        <v>27900</v>
      </c>
      <c r="N227" s="35">
        <v>0.9</v>
      </c>
      <c r="O227" s="34">
        <f t="shared" si="9"/>
        <v>2790</v>
      </c>
      <c r="P227" s="6" t="s">
        <v>16</v>
      </c>
    </row>
    <row r="228" spans="1:16" x14ac:dyDescent="0.35">
      <c r="A228" s="32" t="s">
        <v>6509</v>
      </c>
      <c r="B228" s="7">
        <f t="shared" si="10"/>
        <v>46121</v>
      </c>
      <c r="C228" s="7">
        <f t="shared" si="11"/>
        <v>46127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17</v>
      </c>
      <c r="J228" s="6">
        <v>67442597</v>
      </c>
      <c r="K228" s="6" t="s">
        <v>1798</v>
      </c>
      <c r="L228" s="6" t="s">
        <v>1800</v>
      </c>
      <c r="M228" s="8">
        <v>27900</v>
      </c>
      <c r="N228" s="35">
        <v>0.9</v>
      </c>
      <c r="O228" s="34">
        <f t="shared" si="9"/>
        <v>2790</v>
      </c>
      <c r="P228" s="6" t="s">
        <v>16</v>
      </c>
    </row>
    <row r="229" spans="1:16" x14ac:dyDescent="0.35">
      <c r="A229" s="32" t="s">
        <v>6509</v>
      </c>
      <c r="B229" s="7">
        <f t="shared" si="10"/>
        <v>46121</v>
      </c>
      <c r="C229" s="7">
        <f t="shared" si="11"/>
        <v>46127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17</v>
      </c>
      <c r="J229" s="6">
        <v>73801366</v>
      </c>
      <c r="K229" s="6" t="s">
        <v>1920</v>
      </c>
      <c r="L229" s="6" t="s">
        <v>1921</v>
      </c>
      <c r="M229" s="8">
        <v>32900</v>
      </c>
      <c r="N229" s="35">
        <v>0.9</v>
      </c>
      <c r="O229" s="34">
        <f t="shared" si="9"/>
        <v>3290</v>
      </c>
      <c r="P229" s="6" t="s">
        <v>16</v>
      </c>
    </row>
    <row r="230" spans="1:16" x14ac:dyDescent="0.35">
      <c r="A230" s="32" t="s">
        <v>6509</v>
      </c>
      <c r="B230" s="7">
        <f t="shared" si="10"/>
        <v>46121</v>
      </c>
      <c r="C230" s="7">
        <f t="shared" si="11"/>
        <v>46127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17</v>
      </c>
      <c r="J230" s="6">
        <v>73801375</v>
      </c>
      <c r="K230" s="6" t="s">
        <v>1920</v>
      </c>
      <c r="L230" s="6" t="s">
        <v>1922</v>
      </c>
      <c r="M230" s="8">
        <v>32900</v>
      </c>
      <c r="N230" s="35">
        <v>0.9</v>
      </c>
      <c r="O230" s="34">
        <f t="shared" si="9"/>
        <v>3290</v>
      </c>
      <c r="P230" s="6" t="s">
        <v>16</v>
      </c>
    </row>
    <row r="231" spans="1:16" x14ac:dyDescent="0.35">
      <c r="A231" s="32" t="s">
        <v>6509</v>
      </c>
      <c r="B231" s="7">
        <f t="shared" si="10"/>
        <v>46121</v>
      </c>
      <c r="C231" s="7">
        <f t="shared" si="11"/>
        <v>46127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17</v>
      </c>
      <c r="J231" s="6">
        <v>73801384</v>
      </c>
      <c r="K231" s="6" t="s">
        <v>1923</v>
      </c>
      <c r="L231" s="6" t="s">
        <v>1924</v>
      </c>
      <c r="M231" s="8">
        <v>32900</v>
      </c>
      <c r="N231" s="35">
        <v>0.9</v>
      </c>
      <c r="O231" s="34">
        <f t="shared" si="9"/>
        <v>3290</v>
      </c>
      <c r="P231" s="6" t="s">
        <v>16</v>
      </c>
    </row>
    <row r="232" spans="1:16" x14ac:dyDescent="0.35">
      <c r="A232" s="32" t="s">
        <v>6509</v>
      </c>
      <c r="B232" s="7">
        <f t="shared" si="10"/>
        <v>46121</v>
      </c>
      <c r="C232" s="7">
        <f t="shared" si="11"/>
        <v>46127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17</v>
      </c>
      <c r="J232" s="6">
        <v>73801393</v>
      </c>
      <c r="K232" s="6" t="s">
        <v>1923</v>
      </c>
      <c r="L232" s="6" t="s">
        <v>1925</v>
      </c>
      <c r="M232" s="8">
        <v>32900</v>
      </c>
      <c r="N232" s="35">
        <v>0.9</v>
      </c>
      <c r="O232" s="34">
        <f t="shared" si="9"/>
        <v>3290</v>
      </c>
      <c r="P232" s="6" t="s">
        <v>16</v>
      </c>
    </row>
    <row r="233" spans="1:16" x14ac:dyDescent="0.35">
      <c r="A233" s="32" t="s">
        <v>6509</v>
      </c>
      <c r="B233" s="7">
        <f t="shared" si="10"/>
        <v>46121</v>
      </c>
      <c r="C233" s="7">
        <f t="shared" si="11"/>
        <v>46127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17</v>
      </c>
      <c r="J233" s="6">
        <v>73801419</v>
      </c>
      <c r="K233" s="6" t="s">
        <v>1904</v>
      </c>
      <c r="L233" s="6" t="s">
        <v>1905</v>
      </c>
      <c r="M233" s="8">
        <v>32900</v>
      </c>
      <c r="N233" s="35">
        <v>0.9</v>
      </c>
      <c r="O233" s="34">
        <f t="shared" si="9"/>
        <v>3290</v>
      </c>
      <c r="P233" s="6" t="s">
        <v>16</v>
      </c>
    </row>
    <row r="234" spans="1:16" x14ac:dyDescent="0.35">
      <c r="A234" s="32" t="s">
        <v>6509</v>
      </c>
      <c r="B234" s="7">
        <f t="shared" si="10"/>
        <v>46121</v>
      </c>
      <c r="C234" s="7">
        <f t="shared" si="11"/>
        <v>46127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17</v>
      </c>
      <c r="J234" s="6">
        <v>73801428</v>
      </c>
      <c r="K234" s="6" t="s">
        <v>1904</v>
      </c>
      <c r="L234" s="6" t="s">
        <v>1906</v>
      </c>
      <c r="M234" s="8">
        <v>32900</v>
      </c>
      <c r="N234" s="35">
        <v>0.9</v>
      </c>
      <c r="O234" s="34">
        <f t="shared" si="9"/>
        <v>3290</v>
      </c>
      <c r="P234" s="6" t="s">
        <v>16</v>
      </c>
    </row>
    <row r="235" spans="1:16" x14ac:dyDescent="0.35">
      <c r="A235" s="32" t="s">
        <v>6509</v>
      </c>
      <c r="B235" s="7">
        <f t="shared" si="10"/>
        <v>46121</v>
      </c>
      <c r="C235" s="7">
        <f t="shared" si="11"/>
        <v>46127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17</v>
      </c>
      <c r="J235" s="6">
        <v>73801446</v>
      </c>
      <c r="K235" s="6" t="s">
        <v>1907</v>
      </c>
      <c r="L235" s="6" t="s">
        <v>1908</v>
      </c>
      <c r="M235" s="8">
        <v>32900</v>
      </c>
      <c r="N235" s="35">
        <v>0.9</v>
      </c>
      <c r="O235" s="34">
        <f t="shared" si="9"/>
        <v>3290</v>
      </c>
      <c r="P235" s="6" t="s">
        <v>16</v>
      </c>
    </row>
    <row r="236" spans="1:16" x14ac:dyDescent="0.35">
      <c r="A236" s="32" t="s">
        <v>6509</v>
      </c>
      <c r="B236" s="7">
        <f t="shared" si="10"/>
        <v>46121</v>
      </c>
      <c r="C236" s="7">
        <f t="shared" si="11"/>
        <v>46127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17</v>
      </c>
      <c r="J236" s="6">
        <v>73801455</v>
      </c>
      <c r="K236" s="6" t="s">
        <v>1907</v>
      </c>
      <c r="L236" s="6" t="s">
        <v>1909</v>
      </c>
      <c r="M236" s="8">
        <v>32900</v>
      </c>
      <c r="N236" s="35">
        <v>0.9</v>
      </c>
      <c r="O236" s="34">
        <f t="shared" si="9"/>
        <v>3290</v>
      </c>
      <c r="P236" s="6" t="s">
        <v>16</v>
      </c>
    </row>
    <row r="237" spans="1:16" x14ac:dyDescent="0.35">
      <c r="A237" s="32" t="s">
        <v>6509</v>
      </c>
      <c r="B237" s="7">
        <f t="shared" si="10"/>
        <v>46121</v>
      </c>
      <c r="C237" s="7">
        <f t="shared" si="11"/>
        <v>46127</v>
      </c>
      <c r="D237" s="6">
        <v>3287</v>
      </c>
      <c r="E237" s="6">
        <v>338</v>
      </c>
      <c r="F237" s="6">
        <v>4</v>
      </c>
      <c r="G237" s="6">
        <v>8</v>
      </c>
      <c r="H237" s="6">
        <v>81462</v>
      </c>
      <c r="I237" s="6" t="s">
        <v>17</v>
      </c>
      <c r="J237" s="6">
        <v>76704626</v>
      </c>
      <c r="K237" s="6" t="s">
        <v>4992</v>
      </c>
      <c r="L237" s="6" t="s">
        <v>4993</v>
      </c>
      <c r="M237" s="8">
        <v>89900</v>
      </c>
      <c r="N237" s="35">
        <v>0.9</v>
      </c>
      <c r="O237" s="34">
        <f t="shared" si="9"/>
        <v>8990</v>
      </c>
      <c r="P237" s="6" t="s">
        <v>16</v>
      </c>
    </row>
    <row r="238" spans="1:16" x14ac:dyDescent="0.35">
      <c r="A238" s="32" t="s">
        <v>6509</v>
      </c>
      <c r="B238" s="7">
        <f t="shared" si="10"/>
        <v>46121</v>
      </c>
      <c r="C238" s="7">
        <f t="shared" si="11"/>
        <v>46127</v>
      </c>
      <c r="D238" s="6">
        <v>3287</v>
      </c>
      <c r="E238" s="6">
        <v>338</v>
      </c>
      <c r="F238" s="6">
        <v>4</v>
      </c>
      <c r="G238" s="6">
        <v>8</v>
      </c>
      <c r="H238" s="6">
        <v>81462</v>
      </c>
      <c r="I238" s="6" t="s">
        <v>17</v>
      </c>
      <c r="J238" s="6">
        <v>76704635</v>
      </c>
      <c r="K238" s="6" t="s">
        <v>4992</v>
      </c>
      <c r="L238" s="6" t="s">
        <v>4994</v>
      </c>
      <c r="M238" s="8">
        <v>89900</v>
      </c>
      <c r="N238" s="35">
        <v>0.9</v>
      </c>
      <c r="O238" s="34">
        <f t="shared" si="9"/>
        <v>8990</v>
      </c>
      <c r="P238" s="6" t="s">
        <v>16</v>
      </c>
    </row>
    <row r="239" spans="1:16" x14ac:dyDescent="0.35">
      <c r="A239" s="32" t="s">
        <v>6509</v>
      </c>
      <c r="B239" s="7">
        <f t="shared" si="10"/>
        <v>46121</v>
      </c>
      <c r="C239" s="7">
        <f t="shared" si="11"/>
        <v>46127</v>
      </c>
      <c r="D239" s="6">
        <v>3287</v>
      </c>
      <c r="E239" s="6">
        <v>338</v>
      </c>
      <c r="F239" s="6">
        <v>4</v>
      </c>
      <c r="G239" s="6">
        <v>8</v>
      </c>
      <c r="H239" s="6">
        <v>81462</v>
      </c>
      <c r="I239" s="6" t="s">
        <v>17</v>
      </c>
      <c r="J239" s="6">
        <v>76704644</v>
      </c>
      <c r="K239" s="6" t="s">
        <v>4992</v>
      </c>
      <c r="L239" s="6" t="s">
        <v>4995</v>
      </c>
      <c r="M239" s="8">
        <v>89900</v>
      </c>
      <c r="N239" s="35">
        <v>0.9</v>
      </c>
      <c r="O239" s="34">
        <f t="shared" si="9"/>
        <v>8990</v>
      </c>
      <c r="P239" s="6" t="s">
        <v>16</v>
      </c>
    </row>
    <row r="240" spans="1:16" x14ac:dyDescent="0.35">
      <c r="A240" s="32" t="s">
        <v>6509</v>
      </c>
      <c r="B240" s="7">
        <f t="shared" si="10"/>
        <v>46121</v>
      </c>
      <c r="C240" s="7">
        <f t="shared" si="11"/>
        <v>46127</v>
      </c>
      <c r="D240" s="6">
        <v>3287</v>
      </c>
      <c r="E240" s="6">
        <v>338</v>
      </c>
      <c r="F240" s="6">
        <v>4</v>
      </c>
      <c r="G240" s="6">
        <v>8</v>
      </c>
      <c r="H240" s="6">
        <v>81462</v>
      </c>
      <c r="I240" s="6" t="s">
        <v>17</v>
      </c>
      <c r="J240" s="6">
        <v>76704653</v>
      </c>
      <c r="K240" s="6" t="s">
        <v>4992</v>
      </c>
      <c r="L240" s="6" t="s">
        <v>4996</v>
      </c>
      <c r="M240" s="8">
        <v>89900</v>
      </c>
      <c r="N240" s="35">
        <v>0.9</v>
      </c>
      <c r="O240" s="34">
        <f t="shared" si="9"/>
        <v>8990</v>
      </c>
      <c r="P240" s="6" t="s">
        <v>16</v>
      </c>
    </row>
    <row r="241" spans="1:16" x14ac:dyDescent="0.35">
      <c r="A241" s="32" t="s">
        <v>6509</v>
      </c>
      <c r="B241" s="7">
        <f t="shared" si="10"/>
        <v>46121</v>
      </c>
      <c r="C241" s="7">
        <f t="shared" si="11"/>
        <v>46127</v>
      </c>
      <c r="D241" s="6">
        <v>3287</v>
      </c>
      <c r="E241" s="6">
        <v>338</v>
      </c>
      <c r="F241" s="6">
        <v>4</v>
      </c>
      <c r="G241" s="6">
        <v>8</v>
      </c>
      <c r="H241" s="6">
        <v>81462</v>
      </c>
      <c r="I241" s="6" t="s">
        <v>17</v>
      </c>
      <c r="J241" s="6">
        <v>76704706</v>
      </c>
      <c r="K241" s="6" t="s">
        <v>4997</v>
      </c>
      <c r="L241" s="6" t="s">
        <v>4998</v>
      </c>
      <c r="M241" s="8">
        <v>89900</v>
      </c>
      <c r="N241" s="35">
        <v>0.9</v>
      </c>
      <c r="O241" s="34">
        <f t="shared" si="9"/>
        <v>8990</v>
      </c>
      <c r="P241" s="6" t="s">
        <v>16</v>
      </c>
    </row>
    <row r="242" spans="1:16" x14ac:dyDescent="0.35">
      <c r="A242" s="32" t="s">
        <v>6509</v>
      </c>
      <c r="B242" s="7">
        <f t="shared" si="10"/>
        <v>46121</v>
      </c>
      <c r="C242" s="7">
        <f t="shared" si="11"/>
        <v>46127</v>
      </c>
      <c r="D242" s="6">
        <v>3287</v>
      </c>
      <c r="E242" s="6">
        <v>338</v>
      </c>
      <c r="F242" s="6">
        <v>4</v>
      </c>
      <c r="G242" s="6">
        <v>8</v>
      </c>
      <c r="H242" s="6">
        <v>81462</v>
      </c>
      <c r="I242" s="6" t="s">
        <v>17</v>
      </c>
      <c r="J242" s="6">
        <v>76704715</v>
      </c>
      <c r="K242" s="6" t="s">
        <v>4997</v>
      </c>
      <c r="L242" s="6" t="s">
        <v>4999</v>
      </c>
      <c r="M242" s="8">
        <v>89900</v>
      </c>
      <c r="N242" s="35">
        <v>0.9</v>
      </c>
      <c r="O242" s="34">
        <f t="shared" si="9"/>
        <v>8990</v>
      </c>
      <c r="P242" s="6" t="s">
        <v>16</v>
      </c>
    </row>
    <row r="243" spans="1:16" x14ac:dyDescent="0.35">
      <c r="A243" s="32" t="s">
        <v>6509</v>
      </c>
      <c r="B243" s="7">
        <f t="shared" si="10"/>
        <v>46121</v>
      </c>
      <c r="C243" s="7">
        <f t="shared" si="11"/>
        <v>46127</v>
      </c>
      <c r="D243" s="6">
        <v>3287</v>
      </c>
      <c r="E243" s="6">
        <v>338</v>
      </c>
      <c r="F243" s="6">
        <v>4</v>
      </c>
      <c r="G243" s="6">
        <v>8</v>
      </c>
      <c r="H243" s="6">
        <v>81462</v>
      </c>
      <c r="I243" s="6" t="s">
        <v>17</v>
      </c>
      <c r="J243" s="6">
        <v>76704724</v>
      </c>
      <c r="K243" s="6" t="s">
        <v>4997</v>
      </c>
      <c r="L243" s="6" t="s">
        <v>5000</v>
      </c>
      <c r="M243" s="8">
        <v>89900</v>
      </c>
      <c r="N243" s="35">
        <v>0.9</v>
      </c>
      <c r="O243" s="34">
        <f t="shared" si="9"/>
        <v>8990</v>
      </c>
      <c r="P243" s="6" t="s">
        <v>16</v>
      </c>
    </row>
    <row r="244" spans="1:16" x14ac:dyDescent="0.35">
      <c r="A244" s="32" t="s">
        <v>6509</v>
      </c>
      <c r="B244" s="7">
        <f t="shared" si="10"/>
        <v>46121</v>
      </c>
      <c r="C244" s="7">
        <f t="shared" si="11"/>
        <v>46127</v>
      </c>
      <c r="D244" s="6">
        <v>3287</v>
      </c>
      <c r="E244" s="6">
        <v>338</v>
      </c>
      <c r="F244" s="6">
        <v>4</v>
      </c>
      <c r="G244" s="6">
        <v>8</v>
      </c>
      <c r="H244" s="6">
        <v>81462</v>
      </c>
      <c r="I244" s="6" t="s">
        <v>17</v>
      </c>
      <c r="J244" s="6">
        <v>76704733</v>
      </c>
      <c r="K244" s="6" t="s">
        <v>4997</v>
      </c>
      <c r="L244" s="6" t="s">
        <v>5001</v>
      </c>
      <c r="M244" s="8">
        <v>89900</v>
      </c>
      <c r="N244" s="35">
        <v>0.9</v>
      </c>
      <c r="O244" s="34">
        <f t="shared" si="9"/>
        <v>8990</v>
      </c>
      <c r="P244" s="6" t="s">
        <v>16</v>
      </c>
    </row>
    <row r="245" spans="1:16" x14ac:dyDescent="0.35">
      <c r="A245" s="32" t="s">
        <v>6509</v>
      </c>
      <c r="B245" s="7">
        <f t="shared" si="10"/>
        <v>46121</v>
      </c>
      <c r="C245" s="7">
        <f t="shared" si="11"/>
        <v>46127</v>
      </c>
      <c r="D245" s="6">
        <v>3287</v>
      </c>
      <c r="E245" s="6">
        <v>338</v>
      </c>
      <c r="F245" s="6">
        <v>4</v>
      </c>
      <c r="G245" s="6">
        <v>10</v>
      </c>
      <c r="H245" s="6">
        <v>81595</v>
      </c>
      <c r="I245" s="6" t="s">
        <v>17</v>
      </c>
      <c r="J245" s="6">
        <v>76176546</v>
      </c>
      <c r="K245" s="6" t="s">
        <v>5002</v>
      </c>
      <c r="L245" s="6" t="s">
        <v>5003</v>
      </c>
      <c r="M245" s="8">
        <v>32900</v>
      </c>
      <c r="N245" s="35">
        <v>0.9</v>
      </c>
      <c r="O245" s="34">
        <f t="shared" si="9"/>
        <v>3290</v>
      </c>
      <c r="P245" s="6" t="s">
        <v>16</v>
      </c>
    </row>
    <row r="246" spans="1:16" x14ac:dyDescent="0.35">
      <c r="A246" s="32" t="s">
        <v>6509</v>
      </c>
      <c r="B246" s="7">
        <f t="shared" si="10"/>
        <v>46121</v>
      </c>
      <c r="C246" s="7">
        <f t="shared" si="11"/>
        <v>46127</v>
      </c>
      <c r="D246" s="6">
        <v>3287</v>
      </c>
      <c r="E246" s="6">
        <v>338</v>
      </c>
      <c r="F246" s="6">
        <v>4</v>
      </c>
      <c r="G246" s="6">
        <v>10</v>
      </c>
      <c r="H246" s="6">
        <v>81595</v>
      </c>
      <c r="I246" s="6" t="s">
        <v>17</v>
      </c>
      <c r="J246" s="6">
        <v>76176779</v>
      </c>
      <c r="K246" s="6" t="s">
        <v>5002</v>
      </c>
      <c r="L246" s="6" t="s">
        <v>5004</v>
      </c>
      <c r="M246" s="8">
        <v>32900</v>
      </c>
      <c r="N246" s="35">
        <v>0.9</v>
      </c>
      <c r="O246" s="34">
        <f t="shared" si="9"/>
        <v>3290</v>
      </c>
      <c r="P246" s="6" t="s">
        <v>16</v>
      </c>
    </row>
    <row r="247" spans="1:16" x14ac:dyDescent="0.35">
      <c r="A247" s="32" t="s">
        <v>6509</v>
      </c>
      <c r="B247" s="7">
        <f t="shared" si="10"/>
        <v>46121</v>
      </c>
      <c r="C247" s="7">
        <f t="shared" si="11"/>
        <v>46127</v>
      </c>
      <c r="D247" s="6">
        <v>3287</v>
      </c>
      <c r="E247" s="6">
        <v>338</v>
      </c>
      <c r="F247" s="6">
        <v>4</v>
      </c>
      <c r="G247" s="6">
        <v>10</v>
      </c>
      <c r="H247" s="6">
        <v>81595</v>
      </c>
      <c r="I247" s="6" t="s">
        <v>17</v>
      </c>
      <c r="J247" s="6">
        <v>76704180</v>
      </c>
      <c r="K247" s="6" t="s">
        <v>5005</v>
      </c>
      <c r="L247" s="6" t="s">
        <v>5006</v>
      </c>
      <c r="M247" s="8">
        <v>32900</v>
      </c>
      <c r="N247" s="35">
        <v>0.9</v>
      </c>
      <c r="O247" s="34">
        <f t="shared" si="9"/>
        <v>3290</v>
      </c>
      <c r="P247" s="6" t="s">
        <v>16</v>
      </c>
    </row>
    <row r="248" spans="1:16" x14ac:dyDescent="0.35">
      <c r="A248" s="32" t="s">
        <v>6509</v>
      </c>
      <c r="B248" s="7">
        <f t="shared" si="10"/>
        <v>46121</v>
      </c>
      <c r="C248" s="7">
        <f t="shared" si="11"/>
        <v>46127</v>
      </c>
      <c r="D248" s="6">
        <v>3287</v>
      </c>
      <c r="E248" s="6">
        <v>338</v>
      </c>
      <c r="F248" s="6">
        <v>4</v>
      </c>
      <c r="G248" s="6">
        <v>10</v>
      </c>
      <c r="H248" s="6">
        <v>81595</v>
      </c>
      <c r="I248" s="6" t="s">
        <v>17</v>
      </c>
      <c r="J248" s="6">
        <v>76704199</v>
      </c>
      <c r="K248" s="6" t="s">
        <v>5005</v>
      </c>
      <c r="L248" s="6" t="s">
        <v>5007</v>
      </c>
      <c r="M248" s="8">
        <v>32900</v>
      </c>
      <c r="N248" s="35">
        <v>0.9</v>
      </c>
      <c r="O248" s="34">
        <f t="shared" si="9"/>
        <v>3290</v>
      </c>
      <c r="P248" s="6" t="s">
        <v>16</v>
      </c>
    </row>
  </sheetData>
  <autoFilter ref="A1:P1" xr:uid="{00000000-0009-0000-0000-00001F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6"/>
  <sheetViews>
    <sheetView zoomScale="55" zoomScaleNormal="100" workbookViewId="0">
      <pane ySplit="1" topLeftCell="A233" activePane="bottomLeft" state="frozen"/>
      <selection activeCell="M23" sqref="M23"/>
      <selection pane="bottomLeft" activeCell="L254" sqref="L254"/>
    </sheetView>
  </sheetViews>
  <sheetFormatPr defaultColWidth="8.6328125" defaultRowHeight="14.5" x14ac:dyDescent="0.35"/>
  <cols>
    <col min="1" max="1" width="28.81640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1796875" style="2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6508</v>
      </c>
      <c r="B2" s="7">
        <f>'2025 HILITE D80 - 3321'!B2</f>
        <v>46121</v>
      </c>
      <c r="C2" s="7">
        <f>'2025 HILITE D80 - 3321'!C2</f>
        <v>46127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24979008</v>
      </c>
      <c r="K2" s="6" t="s">
        <v>2027</v>
      </c>
      <c r="L2" s="38" t="s">
        <v>2028</v>
      </c>
      <c r="M2" s="8">
        <v>34900</v>
      </c>
      <c r="N2" s="9">
        <v>0.9</v>
      </c>
      <c r="O2" s="8">
        <f>M2-((90*M2)/100)</f>
        <v>3490</v>
      </c>
      <c r="P2" s="6" t="s">
        <v>16</v>
      </c>
    </row>
    <row r="3" spans="1:16" x14ac:dyDescent="0.35">
      <c r="A3" s="6" t="s">
        <v>6508</v>
      </c>
      <c r="B3" s="7">
        <f>B2</f>
        <v>46121</v>
      </c>
      <c r="C3" s="7">
        <f>C2</f>
        <v>46127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24979035</v>
      </c>
      <c r="K3" s="6" t="s">
        <v>2027</v>
      </c>
      <c r="L3" s="38" t="s">
        <v>2029</v>
      </c>
      <c r="M3" s="8">
        <v>34900</v>
      </c>
      <c r="N3" s="35">
        <v>0.9</v>
      </c>
      <c r="O3" s="34">
        <f>M3-((90*M3)/100)</f>
        <v>3490</v>
      </c>
      <c r="P3" s="6" t="s">
        <v>16</v>
      </c>
    </row>
    <row r="4" spans="1:16" x14ac:dyDescent="0.35">
      <c r="A4" s="32" t="s">
        <v>6508</v>
      </c>
      <c r="B4" s="7">
        <f t="shared" ref="B4:B67" si="0">B3</f>
        <v>46121</v>
      </c>
      <c r="C4" s="7">
        <f t="shared" ref="C4:C67" si="1">C3</f>
        <v>46127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24979044</v>
      </c>
      <c r="K4" s="6" t="s">
        <v>2030</v>
      </c>
      <c r="L4" s="38" t="s">
        <v>2031</v>
      </c>
      <c r="M4" s="8">
        <v>34900</v>
      </c>
      <c r="N4" s="35">
        <v>0.9</v>
      </c>
      <c r="O4" s="34">
        <f t="shared" ref="O4:O67" si="2">M4-((90*M4)/100)</f>
        <v>3490</v>
      </c>
      <c r="P4" s="6" t="s">
        <v>16</v>
      </c>
    </row>
    <row r="5" spans="1:16" x14ac:dyDescent="0.35">
      <c r="A5" s="32" t="s">
        <v>6508</v>
      </c>
      <c r="B5" s="7">
        <f t="shared" si="0"/>
        <v>46121</v>
      </c>
      <c r="C5" s="7">
        <f t="shared" si="1"/>
        <v>46127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24979106</v>
      </c>
      <c r="K5" s="6" t="s">
        <v>2032</v>
      </c>
      <c r="L5" s="38" t="s">
        <v>2033</v>
      </c>
      <c r="M5" s="8">
        <v>34900</v>
      </c>
      <c r="N5" s="35">
        <v>0.9</v>
      </c>
      <c r="O5" s="34">
        <f t="shared" si="2"/>
        <v>3490</v>
      </c>
      <c r="P5" s="6" t="s">
        <v>16</v>
      </c>
    </row>
    <row r="6" spans="1:16" x14ac:dyDescent="0.35">
      <c r="A6" s="32" t="s">
        <v>6508</v>
      </c>
      <c r="B6" s="7">
        <f t="shared" si="0"/>
        <v>46121</v>
      </c>
      <c r="C6" s="7">
        <f t="shared" si="1"/>
        <v>46127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17</v>
      </c>
      <c r="J6" s="6">
        <v>24979115</v>
      </c>
      <c r="K6" s="6" t="s">
        <v>2032</v>
      </c>
      <c r="L6" s="38" t="s">
        <v>2034</v>
      </c>
      <c r="M6" s="8">
        <v>34900</v>
      </c>
      <c r="N6" s="35">
        <v>0.9</v>
      </c>
      <c r="O6" s="34">
        <f t="shared" si="2"/>
        <v>3490</v>
      </c>
      <c r="P6" s="6" t="s">
        <v>16</v>
      </c>
    </row>
    <row r="7" spans="1:16" x14ac:dyDescent="0.35">
      <c r="A7" s="32" t="s">
        <v>6508</v>
      </c>
      <c r="B7" s="7">
        <f t="shared" si="0"/>
        <v>46121</v>
      </c>
      <c r="C7" s="7">
        <f t="shared" si="1"/>
        <v>46127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17</v>
      </c>
      <c r="J7" s="6">
        <v>26141926</v>
      </c>
      <c r="K7" s="6" t="s">
        <v>2035</v>
      </c>
      <c r="L7" s="38" t="s">
        <v>2036</v>
      </c>
      <c r="M7" s="8">
        <v>34900</v>
      </c>
      <c r="N7" s="35">
        <v>0.9</v>
      </c>
      <c r="O7" s="34">
        <f t="shared" si="2"/>
        <v>3490</v>
      </c>
      <c r="P7" s="6" t="s">
        <v>16</v>
      </c>
    </row>
    <row r="8" spans="1:16" x14ac:dyDescent="0.35">
      <c r="A8" s="32" t="s">
        <v>6508</v>
      </c>
      <c r="B8" s="7">
        <f t="shared" si="0"/>
        <v>46121</v>
      </c>
      <c r="C8" s="7">
        <f t="shared" si="1"/>
        <v>46127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17</v>
      </c>
      <c r="J8" s="6">
        <v>26389946</v>
      </c>
      <c r="K8" s="6" t="s">
        <v>2037</v>
      </c>
      <c r="L8" s="38" t="s">
        <v>2038</v>
      </c>
      <c r="M8" s="8">
        <v>34900</v>
      </c>
      <c r="N8" s="35">
        <v>0.9</v>
      </c>
      <c r="O8" s="34">
        <f t="shared" si="2"/>
        <v>3490</v>
      </c>
      <c r="P8" s="6" t="s">
        <v>16</v>
      </c>
    </row>
    <row r="9" spans="1:16" x14ac:dyDescent="0.35">
      <c r="A9" s="32" t="s">
        <v>6508</v>
      </c>
      <c r="B9" s="7">
        <f t="shared" si="0"/>
        <v>46121</v>
      </c>
      <c r="C9" s="7">
        <f t="shared" si="1"/>
        <v>46127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17</v>
      </c>
      <c r="J9" s="6">
        <v>26389973</v>
      </c>
      <c r="K9" s="6" t="s">
        <v>2037</v>
      </c>
      <c r="L9" s="38" t="s">
        <v>5028</v>
      </c>
      <c r="M9" s="8">
        <v>34900</v>
      </c>
      <c r="N9" s="35">
        <v>0.9</v>
      </c>
      <c r="O9" s="34">
        <f t="shared" si="2"/>
        <v>3490</v>
      </c>
      <c r="P9" s="6" t="s">
        <v>16</v>
      </c>
    </row>
    <row r="10" spans="1:16" x14ac:dyDescent="0.35">
      <c r="A10" s="32" t="s">
        <v>6508</v>
      </c>
      <c r="B10" s="7">
        <f t="shared" si="0"/>
        <v>46121</v>
      </c>
      <c r="C10" s="7">
        <f t="shared" si="1"/>
        <v>46127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17</v>
      </c>
      <c r="J10" s="6">
        <v>26389982</v>
      </c>
      <c r="K10" s="6" t="s">
        <v>2037</v>
      </c>
      <c r="L10" s="38" t="s">
        <v>2039</v>
      </c>
      <c r="M10" s="8">
        <v>34900</v>
      </c>
      <c r="N10" s="35">
        <v>0.9</v>
      </c>
      <c r="O10" s="34">
        <f t="shared" si="2"/>
        <v>3490</v>
      </c>
      <c r="P10" s="6" t="s">
        <v>16</v>
      </c>
    </row>
    <row r="11" spans="1:16" x14ac:dyDescent="0.35">
      <c r="A11" s="32" t="s">
        <v>6508</v>
      </c>
      <c r="B11" s="7">
        <f t="shared" si="0"/>
        <v>46121</v>
      </c>
      <c r="C11" s="7">
        <f t="shared" si="1"/>
        <v>46127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17</v>
      </c>
      <c r="J11" s="6">
        <v>26390103</v>
      </c>
      <c r="K11" s="6" t="s">
        <v>2040</v>
      </c>
      <c r="L11" s="38" t="s">
        <v>2041</v>
      </c>
      <c r="M11" s="8">
        <v>34900</v>
      </c>
      <c r="N11" s="35">
        <v>0.9</v>
      </c>
      <c r="O11" s="34">
        <f t="shared" si="2"/>
        <v>3490</v>
      </c>
      <c r="P11" s="6" t="s">
        <v>16</v>
      </c>
    </row>
    <row r="12" spans="1:16" x14ac:dyDescent="0.35">
      <c r="A12" s="32" t="s">
        <v>6508</v>
      </c>
      <c r="B12" s="7">
        <f t="shared" si="0"/>
        <v>46121</v>
      </c>
      <c r="C12" s="7">
        <f t="shared" si="1"/>
        <v>46127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17</v>
      </c>
      <c r="J12" s="6">
        <v>26497105</v>
      </c>
      <c r="K12" s="6" t="s">
        <v>2042</v>
      </c>
      <c r="L12" s="38" t="s">
        <v>2043</v>
      </c>
      <c r="M12" s="8">
        <v>34900</v>
      </c>
      <c r="N12" s="35">
        <v>0.9</v>
      </c>
      <c r="O12" s="34">
        <f t="shared" si="2"/>
        <v>3490</v>
      </c>
      <c r="P12" s="6" t="s">
        <v>16</v>
      </c>
    </row>
    <row r="13" spans="1:16" x14ac:dyDescent="0.35">
      <c r="A13" s="32" t="s">
        <v>6508</v>
      </c>
      <c r="B13" s="7">
        <f t="shared" si="0"/>
        <v>46121</v>
      </c>
      <c r="C13" s="7">
        <f t="shared" si="1"/>
        <v>46127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17</v>
      </c>
      <c r="J13" s="6">
        <v>26497114</v>
      </c>
      <c r="K13" s="6" t="s">
        <v>2042</v>
      </c>
      <c r="L13" s="38" t="s">
        <v>2044</v>
      </c>
      <c r="M13" s="8">
        <v>34900</v>
      </c>
      <c r="N13" s="35">
        <v>0.9</v>
      </c>
      <c r="O13" s="34">
        <f t="shared" si="2"/>
        <v>3490</v>
      </c>
      <c r="P13" s="6" t="s">
        <v>16</v>
      </c>
    </row>
    <row r="14" spans="1:16" x14ac:dyDescent="0.35">
      <c r="A14" s="32" t="s">
        <v>6508</v>
      </c>
      <c r="B14" s="7">
        <f t="shared" si="0"/>
        <v>46121</v>
      </c>
      <c r="C14" s="7">
        <f t="shared" si="1"/>
        <v>46127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17</v>
      </c>
      <c r="J14" s="6">
        <v>26497123</v>
      </c>
      <c r="K14" s="6" t="s">
        <v>2042</v>
      </c>
      <c r="L14" s="38" t="s">
        <v>2045</v>
      </c>
      <c r="M14" s="8">
        <v>34900</v>
      </c>
      <c r="N14" s="35">
        <v>0.9</v>
      </c>
      <c r="O14" s="34">
        <f t="shared" si="2"/>
        <v>3490</v>
      </c>
      <c r="P14" s="6" t="s">
        <v>16</v>
      </c>
    </row>
    <row r="15" spans="1:16" x14ac:dyDescent="0.35">
      <c r="A15" s="32" t="s">
        <v>6508</v>
      </c>
      <c r="B15" s="7">
        <f t="shared" si="0"/>
        <v>46121</v>
      </c>
      <c r="C15" s="7">
        <f t="shared" si="1"/>
        <v>46127</v>
      </c>
      <c r="D15" s="6">
        <v>3287</v>
      </c>
      <c r="E15" s="6">
        <v>338</v>
      </c>
      <c r="F15" s="6">
        <v>4</v>
      </c>
      <c r="G15" s="6">
        <v>1</v>
      </c>
      <c r="H15" s="6">
        <v>850</v>
      </c>
      <c r="I15" s="6" t="s">
        <v>17</v>
      </c>
      <c r="J15" s="6">
        <v>27022928</v>
      </c>
      <c r="K15" s="6" t="s">
        <v>2008</v>
      </c>
      <c r="L15" s="38" t="s">
        <v>2009</v>
      </c>
      <c r="M15" s="8">
        <v>34900</v>
      </c>
      <c r="N15" s="35">
        <v>0.9</v>
      </c>
      <c r="O15" s="34">
        <f t="shared" si="2"/>
        <v>3490</v>
      </c>
      <c r="P15" s="6" t="s">
        <v>16</v>
      </c>
    </row>
    <row r="16" spans="1:16" x14ac:dyDescent="0.35">
      <c r="A16" s="32" t="s">
        <v>6508</v>
      </c>
      <c r="B16" s="7">
        <f t="shared" si="0"/>
        <v>46121</v>
      </c>
      <c r="C16" s="7">
        <f t="shared" si="1"/>
        <v>46127</v>
      </c>
      <c r="D16" s="6">
        <v>3287</v>
      </c>
      <c r="E16" s="6">
        <v>338</v>
      </c>
      <c r="F16" s="6">
        <v>4</v>
      </c>
      <c r="G16" s="6">
        <v>1</v>
      </c>
      <c r="H16" s="6">
        <v>850</v>
      </c>
      <c r="I16" s="6" t="s">
        <v>17</v>
      </c>
      <c r="J16" s="6">
        <v>27022937</v>
      </c>
      <c r="K16" s="6" t="s">
        <v>2008</v>
      </c>
      <c r="L16" s="38" t="s">
        <v>2010</v>
      </c>
      <c r="M16" s="8">
        <v>34900</v>
      </c>
      <c r="N16" s="35">
        <v>0.9</v>
      </c>
      <c r="O16" s="34">
        <f t="shared" si="2"/>
        <v>3490</v>
      </c>
      <c r="P16" s="6" t="s">
        <v>16</v>
      </c>
    </row>
    <row r="17" spans="1:16" x14ac:dyDescent="0.35">
      <c r="A17" s="32" t="s">
        <v>6508</v>
      </c>
      <c r="B17" s="7">
        <f t="shared" si="0"/>
        <v>46121</v>
      </c>
      <c r="C17" s="7">
        <f t="shared" si="1"/>
        <v>46127</v>
      </c>
      <c r="D17" s="6">
        <v>3287</v>
      </c>
      <c r="E17" s="6">
        <v>338</v>
      </c>
      <c r="F17" s="6">
        <v>4</v>
      </c>
      <c r="G17" s="6">
        <v>1</v>
      </c>
      <c r="H17" s="6">
        <v>850</v>
      </c>
      <c r="I17" s="6" t="s">
        <v>17</v>
      </c>
      <c r="J17" s="6">
        <v>27022946</v>
      </c>
      <c r="K17" s="6" t="s">
        <v>2008</v>
      </c>
      <c r="L17" s="38" t="s">
        <v>2011</v>
      </c>
      <c r="M17" s="8">
        <v>34900</v>
      </c>
      <c r="N17" s="35">
        <v>0.9</v>
      </c>
      <c r="O17" s="34">
        <f t="shared" si="2"/>
        <v>3490</v>
      </c>
      <c r="P17" s="6" t="s">
        <v>16</v>
      </c>
    </row>
    <row r="18" spans="1:16" x14ac:dyDescent="0.35">
      <c r="A18" s="32" t="s">
        <v>6508</v>
      </c>
      <c r="B18" s="7">
        <f t="shared" si="0"/>
        <v>46121</v>
      </c>
      <c r="C18" s="7">
        <f t="shared" si="1"/>
        <v>46127</v>
      </c>
      <c r="D18" s="6">
        <v>3287</v>
      </c>
      <c r="E18" s="6">
        <v>338</v>
      </c>
      <c r="F18" s="6">
        <v>4</v>
      </c>
      <c r="G18" s="6">
        <v>1</v>
      </c>
      <c r="H18" s="6">
        <v>850</v>
      </c>
      <c r="I18" s="6" t="s">
        <v>17</v>
      </c>
      <c r="J18" s="6">
        <v>31302706</v>
      </c>
      <c r="K18" s="6" t="s">
        <v>2046</v>
      </c>
      <c r="L18" s="38" t="s">
        <v>2047</v>
      </c>
      <c r="M18" s="8">
        <v>34900</v>
      </c>
      <c r="N18" s="35">
        <v>0.9</v>
      </c>
      <c r="O18" s="34">
        <f t="shared" si="2"/>
        <v>3490</v>
      </c>
      <c r="P18" s="6" t="s">
        <v>16</v>
      </c>
    </row>
    <row r="19" spans="1:16" x14ac:dyDescent="0.35">
      <c r="A19" s="32" t="s">
        <v>6508</v>
      </c>
      <c r="B19" s="7">
        <f t="shared" si="0"/>
        <v>46121</v>
      </c>
      <c r="C19" s="7">
        <f t="shared" si="1"/>
        <v>46127</v>
      </c>
      <c r="D19" s="6">
        <v>3287</v>
      </c>
      <c r="E19" s="6">
        <v>338</v>
      </c>
      <c r="F19" s="6">
        <v>4</v>
      </c>
      <c r="G19" s="6">
        <v>1</v>
      </c>
      <c r="H19" s="6">
        <v>850</v>
      </c>
      <c r="I19" s="6" t="s">
        <v>17</v>
      </c>
      <c r="J19" s="6">
        <v>31302715</v>
      </c>
      <c r="K19" s="6" t="s">
        <v>2046</v>
      </c>
      <c r="L19" s="38" t="s">
        <v>2048</v>
      </c>
      <c r="M19" s="8">
        <v>34900</v>
      </c>
      <c r="N19" s="35">
        <v>0.9</v>
      </c>
      <c r="O19" s="34">
        <f t="shared" si="2"/>
        <v>3490</v>
      </c>
      <c r="P19" s="6" t="s">
        <v>16</v>
      </c>
    </row>
    <row r="20" spans="1:16" x14ac:dyDescent="0.35">
      <c r="A20" s="32" t="s">
        <v>6508</v>
      </c>
      <c r="B20" s="7">
        <f t="shared" si="0"/>
        <v>46121</v>
      </c>
      <c r="C20" s="7">
        <f t="shared" si="1"/>
        <v>46127</v>
      </c>
      <c r="D20" s="6">
        <v>3287</v>
      </c>
      <c r="E20" s="6">
        <v>338</v>
      </c>
      <c r="F20" s="6">
        <v>4</v>
      </c>
      <c r="G20" s="6">
        <v>1</v>
      </c>
      <c r="H20" s="6">
        <v>850</v>
      </c>
      <c r="I20" s="6" t="s">
        <v>17</v>
      </c>
      <c r="J20" s="6">
        <v>31302733</v>
      </c>
      <c r="K20" s="6" t="s">
        <v>2046</v>
      </c>
      <c r="L20" s="38" t="s">
        <v>2049</v>
      </c>
      <c r="M20" s="8">
        <v>34900</v>
      </c>
      <c r="N20" s="35">
        <v>0.9</v>
      </c>
      <c r="O20" s="34">
        <f t="shared" si="2"/>
        <v>3490</v>
      </c>
      <c r="P20" s="6" t="s">
        <v>16</v>
      </c>
    </row>
    <row r="21" spans="1:16" x14ac:dyDescent="0.35">
      <c r="A21" s="32" t="s">
        <v>6508</v>
      </c>
      <c r="B21" s="7">
        <f t="shared" si="0"/>
        <v>46121</v>
      </c>
      <c r="C21" s="7">
        <f t="shared" si="1"/>
        <v>46127</v>
      </c>
      <c r="D21" s="6">
        <v>3287</v>
      </c>
      <c r="E21" s="6">
        <v>338</v>
      </c>
      <c r="F21" s="6">
        <v>4</v>
      </c>
      <c r="G21" s="6">
        <v>1</v>
      </c>
      <c r="H21" s="6">
        <v>850</v>
      </c>
      <c r="I21" s="6" t="s">
        <v>17</v>
      </c>
      <c r="J21" s="6">
        <v>31302742</v>
      </c>
      <c r="K21" s="6" t="s">
        <v>2046</v>
      </c>
      <c r="L21" s="38" t="s">
        <v>2050</v>
      </c>
      <c r="M21" s="8">
        <v>34900</v>
      </c>
      <c r="N21" s="35">
        <v>0.9</v>
      </c>
      <c r="O21" s="34">
        <f t="shared" si="2"/>
        <v>3490</v>
      </c>
      <c r="P21" s="6" t="s">
        <v>16</v>
      </c>
    </row>
    <row r="22" spans="1:16" x14ac:dyDescent="0.35">
      <c r="A22" s="32" t="s">
        <v>6508</v>
      </c>
      <c r="B22" s="7">
        <f t="shared" si="0"/>
        <v>46121</v>
      </c>
      <c r="C22" s="7">
        <f t="shared" si="1"/>
        <v>46127</v>
      </c>
      <c r="D22" s="6">
        <v>3287</v>
      </c>
      <c r="E22" s="6">
        <v>338</v>
      </c>
      <c r="F22" s="6">
        <v>4</v>
      </c>
      <c r="G22" s="6">
        <v>1</v>
      </c>
      <c r="H22" s="6">
        <v>850</v>
      </c>
      <c r="I22" s="6" t="s">
        <v>17</v>
      </c>
      <c r="J22" s="6">
        <v>31302797</v>
      </c>
      <c r="K22" s="6" t="s">
        <v>2051</v>
      </c>
      <c r="L22" s="38" t="s">
        <v>2052</v>
      </c>
      <c r="M22" s="8">
        <v>34900</v>
      </c>
      <c r="N22" s="35">
        <v>0.9</v>
      </c>
      <c r="O22" s="34">
        <f t="shared" si="2"/>
        <v>3490</v>
      </c>
      <c r="P22" s="6" t="s">
        <v>16</v>
      </c>
    </row>
    <row r="23" spans="1:16" x14ac:dyDescent="0.35">
      <c r="A23" s="32" t="s">
        <v>6508</v>
      </c>
      <c r="B23" s="7">
        <f t="shared" si="0"/>
        <v>46121</v>
      </c>
      <c r="C23" s="7">
        <f t="shared" si="1"/>
        <v>46127</v>
      </c>
      <c r="D23" s="6">
        <v>3287</v>
      </c>
      <c r="E23" s="6">
        <v>338</v>
      </c>
      <c r="F23" s="6">
        <v>4</v>
      </c>
      <c r="G23" s="6">
        <v>1</v>
      </c>
      <c r="H23" s="6">
        <v>850</v>
      </c>
      <c r="I23" s="6" t="s">
        <v>17</v>
      </c>
      <c r="J23" s="6">
        <v>31302822</v>
      </c>
      <c r="K23" s="6" t="s">
        <v>2051</v>
      </c>
      <c r="L23" s="38" t="s">
        <v>2053</v>
      </c>
      <c r="M23" s="8">
        <v>34900</v>
      </c>
      <c r="N23" s="35">
        <v>0.9</v>
      </c>
      <c r="O23" s="34">
        <f t="shared" si="2"/>
        <v>3490</v>
      </c>
      <c r="P23" s="6" t="s">
        <v>16</v>
      </c>
    </row>
    <row r="24" spans="1:16" x14ac:dyDescent="0.35">
      <c r="A24" s="32" t="s">
        <v>6508</v>
      </c>
      <c r="B24" s="7">
        <f t="shared" si="0"/>
        <v>46121</v>
      </c>
      <c r="C24" s="7">
        <f t="shared" si="1"/>
        <v>46127</v>
      </c>
      <c r="D24" s="6">
        <v>3287</v>
      </c>
      <c r="E24" s="6">
        <v>338</v>
      </c>
      <c r="F24" s="6">
        <v>4</v>
      </c>
      <c r="G24" s="6">
        <v>1</v>
      </c>
      <c r="H24" s="6">
        <v>850</v>
      </c>
      <c r="I24" s="6" t="s">
        <v>17</v>
      </c>
      <c r="J24" s="6">
        <v>31302831</v>
      </c>
      <c r="K24" s="6" t="s">
        <v>2051</v>
      </c>
      <c r="L24" s="38" t="s">
        <v>2054</v>
      </c>
      <c r="M24" s="8">
        <v>34900</v>
      </c>
      <c r="N24" s="35">
        <v>0.9</v>
      </c>
      <c r="O24" s="34">
        <f t="shared" si="2"/>
        <v>3490</v>
      </c>
      <c r="P24" s="6" t="s">
        <v>16</v>
      </c>
    </row>
    <row r="25" spans="1:16" x14ac:dyDescent="0.35">
      <c r="A25" s="32" t="s">
        <v>6508</v>
      </c>
      <c r="B25" s="7">
        <f t="shared" si="0"/>
        <v>46121</v>
      </c>
      <c r="C25" s="7">
        <f t="shared" si="1"/>
        <v>46127</v>
      </c>
      <c r="D25" s="6">
        <v>3287</v>
      </c>
      <c r="E25" s="6">
        <v>338</v>
      </c>
      <c r="F25" s="6">
        <v>4</v>
      </c>
      <c r="G25" s="6">
        <v>1</v>
      </c>
      <c r="H25" s="6">
        <v>81421</v>
      </c>
      <c r="I25" s="6" t="s">
        <v>17</v>
      </c>
      <c r="J25" s="6">
        <v>32719112</v>
      </c>
      <c r="K25" s="6" t="s">
        <v>2055</v>
      </c>
      <c r="L25" s="38" t="s">
        <v>2056</v>
      </c>
      <c r="M25" s="8">
        <v>34900</v>
      </c>
      <c r="N25" s="35">
        <v>0.9</v>
      </c>
      <c r="O25" s="34">
        <f t="shared" si="2"/>
        <v>3490</v>
      </c>
      <c r="P25" s="6" t="s">
        <v>16</v>
      </c>
    </row>
    <row r="26" spans="1:16" x14ac:dyDescent="0.35">
      <c r="A26" s="32" t="s">
        <v>6508</v>
      </c>
      <c r="B26" s="7">
        <f t="shared" si="0"/>
        <v>46121</v>
      </c>
      <c r="C26" s="7">
        <f t="shared" si="1"/>
        <v>46127</v>
      </c>
      <c r="D26" s="6">
        <v>3287</v>
      </c>
      <c r="E26" s="6">
        <v>338</v>
      </c>
      <c r="F26" s="6">
        <v>4</v>
      </c>
      <c r="G26" s="6">
        <v>1</v>
      </c>
      <c r="H26" s="6">
        <v>81421</v>
      </c>
      <c r="I26" s="6" t="s">
        <v>17</v>
      </c>
      <c r="J26" s="6">
        <v>32719121</v>
      </c>
      <c r="K26" s="6" t="s">
        <v>2055</v>
      </c>
      <c r="L26" s="38" t="s">
        <v>2057</v>
      </c>
      <c r="M26" s="8">
        <v>34900</v>
      </c>
      <c r="N26" s="35">
        <v>0.9</v>
      </c>
      <c r="O26" s="34">
        <f t="shared" si="2"/>
        <v>3490</v>
      </c>
      <c r="P26" s="6" t="s">
        <v>16</v>
      </c>
    </row>
    <row r="27" spans="1:16" x14ac:dyDescent="0.35">
      <c r="A27" s="32" t="s">
        <v>6508</v>
      </c>
      <c r="B27" s="7">
        <f t="shared" si="0"/>
        <v>46121</v>
      </c>
      <c r="C27" s="7">
        <f t="shared" si="1"/>
        <v>46127</v>
      </c>
      <c r="D27" s="6">
        <v>3287</v>
      </c>
      <c r="E27" s="6">
        <v>338</v>
      </c>
      <c r="F27" s="6">
        <v>4</v>
      </c>
      <c r="G27" s="6">
        <v>1</v>
      </c>
      <c r="H27" s="6">
        <v>81421</v>
      </c>
      <c r="I27" s="6" t="s">
        <v>17</v>
      </c>
      <c r="J27" s="6">
        <v>33030327</v>
      </c>
      <c r="K27" s="6" t="s">
        <v>2058</v>
      </c>
      <c r="L27" s="38" t="s">
        <v>2059</v>
      </c>
      <c r="M27" s="8">
        <v>34900</v>
      </c>
      <c r="N27" s="35">
        <v>0.9</v>
      </c>
      <c r="O27" s="34">
        <f t="shared" si="2"/>
        <v>3490</v>
      </c>
      <c r="P27" s="6" t="s">
        <v>16</v>
      </c>
    </row>
    <row r="28" spans="1:16" x14ac:dyDescent="0.35">
      <c r="A28" s="32" t="s">
        <v>6508</v>
      </c>
      <c r="B28" s="7">
        <f t="shared" si="0"/>
        <v>46121</v>
      </c>
      <c r="C28" s="7">
        <f t="shared" si="1"/>
        <v>46127</v>
      </c>
      <c r="D28" s="6">
        <v>3287</v>
      </c>
      <c r="E28" s="6">
        <v>338</v>
      </c>
      <c r="F28" s="6">
        <v>4</v>
      </c>
      <c r="G28" s="6">
        <v>1</v>
      </c>
      <c r="H28" s="6">
        <v>81421</v>
      </c>
      <c r="I28" s="6" t="s">
        <v>17</v>
      </c>
      <c r="J28" s="6">
        <v>33030336</v>
      </c>
      <c r="K28" s="6" t="s">
        <v>2058</v>
      </c>
      <c r="L28" s="38" t="s">
        <v>2060</v>
      </c>
      <c r="M28" s="8">
        <v>34900</v>
      </c>
      <c r="N28" s="35">
        <v>0.9</v>
      </c>
      <c r="O28" s="34">
        <f t="shared" si="2"/>
        <v>3490</v>
      </c>
      <c r="P28" s="6" t="s">
        <v>16</v>
      </c>
    </row>
    <row r="29" spans="1:16" x14ac:dyDescent="0.35">
      <c r="A29" s="32" t="s">
        <v>6508</v>
      </c>
      <c r="B29" s="7">
        <f t="shared" si="0"/>
        <v>46121</v>
      </c>
      <c r="C29" s="7">
        <f t="shared" si="1"/>
        <v>46127</v>
      </c>
      <c r="D29" s="6">
        <v>3287</v>
      </c>
      <c r="E29" s="6">
        <v>338</v>
      </c>
      <c r="F29" s="6">
        <v>4</v>
      </c>
      <c r="G29" s="6">
        <v>1</v>
      </c>
      <c r="H29" s="6">
        <v>81421</v>
      </c>
      <c r="I29" s="6" t="s">
        <v>17</v>
      </c>
      <c r="J29" s="6">
        <v>33030345</v>
      </c>
      <c r="K29" s="6" t="s">
        <v>2058</v>
      </c>
      <c r="L29" s="38" t="s">
        <v>2061</v>
      </c>
      <c r="M29" s="8">
        <v>34900</v>
      </c>
      <c r="N29" s="35">
        <v>0.9</v>
      </c>
      <c r="O29" s="34">
        <f t="shared" si="2"/>
        <v>3490</v>
      </c>
      <c r="P29" s="6" t="s">
        <v>16</v>
      </c>
    </row>
    <row r="30" spans="1:16" x14ac:dyDescent="0.35">
      <c r="A30" s="32" t="s">
        <v>6508</v>
      </c>
      <c r="B30" s="7">
        <f t="shared" si="0"/>
        <v>46121</v>
      </c>
      <c r="C30" s="7">
        <f t="shared" si="1"/>
        <v>46127</v>
      </c>
      <c r="D30" s="6">
        <v>3287</v>
      </c>
      <c r="E30" s="6">
        <v>338</v>
      </c>
      <c r="F30" s="6">
        <v>4</v>
      </c>
      <c r="G30" s="6">
        <v>1</v>
      </c>
      <c r="H30" s="6">
        <v>81421</v>
      </c>
      <c r="I30" s="6" t="s">
        <v>17</v>
      </c>
      <c r="J30" s="6">
        <v>33030363</v>
      </c>
      <c r="K30" s="6" t="s">
        <v>2062</v>
      </c>
      <c r="L30" s="38" t="s">
        <v>2063</v>
      </c>
      <c r="M30" s="8">
        <v>34900</v>
      </c>
      <c r="N30" s="35">
        <v>0.9</v>
      </c>
      <c r="O30" s="34">
        <f t="shared" si="2"/>
        <v>3490</v>
      </c>
      <c r="P30" s="6" t="s">
        <v>16</v>
      </c>
    </row>
    <row r="31" spans="1:16" x14ac:dyDescent="0.35">
      <c r="A31" s="32" t="s">
        <v>6508</v>
      </c>
      <c r="B31" s="7">
        <f t="shared" si="0"/>
        <v>46121</v>
      </c>
      <c r="C31" s="7">
        <f t="shared" si="1"/>
        <v>46127</v>
      </c>
      <c r="D31" s="6">
        <v>3287</v>
      </c>
      <c r="E31" s="6">
        <v>338</v>
      </c>
      <c r="F31" s="6">
        <v>4</v>
      </c>
      <c r="G31" s="6">
        <v>1</v>
      </c>
      <c r="H31" s="6">
        <v>81421</v>
      </c>
      <c r="I31" s="6" t="s">
        <v>17</v>
      </c>
      <c r="J31" s="6">
        <v>33030372</v>
      </c>
      <c r="K31" s="6" t="s">
        <v>2062</v>
      </c>
      <c r="L31" s="38" t="s">
        <v>2064</v>
      </c>
      <c r="M31" s="8">
        <v>34900</v>
      </c>
      <c r="N31" s="35">
        <v>0.9</v>
      </c>
      <c r="O31" s="34">
        <f t="shared" si="2"/>
        <v>3490</v>
      </c>
      <c r="P31" s="6" t="s">
        <v>16</v>
      </c>
    </row>
    <row r="32" spans="1:16" x14ac:dyDescent="0.35">
      <c r="A32" s="32" t="s">
        <v>6508</v>
      </c>
      <c r="B32" s="7">
        <f t="shared" si="0"/>
        <v>46121</v>
      </c>
      <c r="C32" s="7">
        <f t="shared" si="1"/>
        <v>46127</v>
      </c>
      <c r="D32" s="6">
        <v>3287</v>
      </c>
      <c r="E32" s="6">
        <v>338</v>
      </c>
      <c r="F32" s="6">
        <v>4</v>
      </c>
      <c r="G32" s="6">
        <v>1</v>
      </c>
      <c r="H32" s="6">
        <v>81421</v>
      </c>
      <c r="I32" s="6" t="s">
        <v>17</v>
      </c>
      <c r="J32" s="6">
        <v>33030381</v>
      </c>
      <c r="K32" s="6" t="s">
        <v>2062</v>
      </c>
      <c r="L32" s="38" t="s">
        <v>2065</v>
      </c>
      <c r="M32" s="8">
        <v>34900</v>
      </c>
      <c r="N32" s="35">
        <v>0.9</v>
      </c>
      <c r="O32" s="34">
        <f t="shared" si="2"/>
        <v>3490</v>
      </c>
      <c r="P32" s="6" t="s">
        <v>16</v>
      </c>
    </row>
    <row r="33" spans="1:16" x14ac:dyDescent="0.35">
      <c r="A33" s="32" t="s">
        <v>6508</v>
      </c>
      <c r="B33" s="7">
        <f t="shared" si="0"/>
        <v>46121</v>
      </c>
      <c r="C33" s="7">
        <f t="shared" si="1"/>
        <v>46127</v>
      </c>
      <c r="D33" s="6">
        <v>3287</v>
      </c>
      <c r="E33" s="6">
        <v>338</v>
      </c>
      <c r="F33" s="6">
        <v>4</v>
      </c>
      <c r="G33" s="6">
        <v>1</v>
      </c>
      <c r="H33" s="6">
        <v>81421</v>
      </c>
      <c r="I33" s="6" t="s">
        <v>17</v>
      </c>
      <c r="J33" s="6">
        <v>33030390</v>
      </c>
      <c r="K33" s="6" t="s">
        <v>2062</v>
      </c>
      <c r="L33" s="38" t="s">
        <v>2066</v>
      </c>
      <c r="M33" s="8">
        <v>34900</v>
      </c>
      <c r="N33" s="35">
        <v>0.9</v>
      </c>
      <c r="O33" s="34">
        <f t="shared" si="2"/>
        <v>3490</v>
      </c>
      <c r="P33" s="6" t="s">
        <v>16</v>
      </c>
    </row>
    <row r="34" spans="1:16" x14ac:dyDescent="0.35">
      <c r="A34" s="32" t="s">
        <v>6508</v>
      </c>
      <c r="B34" s="7">
        <f t="shared" si="0"/>
        <v>46121</v>
      </c>
      <c r="C34" s="7">
        <f t="shared" si="1"/>
        <v>46127</v>
      </c>
      <c r="D34" s="6">
        <v>3287</v>
      </c>
      <c r="E34" s="6">
        <v>338</v>
      </c>
      <c r="F34" s="6">
        <v>4</v>
      </c>
      <c r="G34" s="6">
        <v>1</v>
      </c>
      <c r="H34" s="6">
        <v>81676</v>
      </c>
      <c r="I34" s="6" t="s">
        <v>17</v>
      </c>
      <c r="J34" s="6">
        <v>25336914</v>
      </c>
      <c r="K34" s="6" t="s">
        <v>2012</v>
      </c>
      <c r="L34" s="38" t="s">
        <v>2013</v>
      </c>
      <c r="M34" s="8">
        <v>39900</v>
      </c>
      <c r="N34" s="35">
        <v>0.9</v>
      </c>
      <c r="O34" s="34">
        <f t="shared" si="2"/>
        <v>3990</v>
      </c>
      <c r="P34" s="6" t="s">
        <v>16</v>
      </c>
    </row>
    <row r="35" spans="1:16" x14ac:dyDescent="0.35">
      <c r="A35" s="32" t="s">
        <v>6508</v>
      </c>
      <c r="B35" s="7">
        <f t="shared" si="0"/>
        <v>46121</v>
      </c>
      <c r="C35" s="7">
        <f t="shared" si="1"/>
        <v>46127</v>
      </c>
      <c r="D35" s="6">
        <v>3287</v>
      </c>
      <c r="E35" s="6">
        <v>338</v>
      </c>
      <c r="F35" s="6">
        <v>4</v>
      </c>
      <c r="G35" s="6">
        <v>1</v>
      </c>
      <c r="H35" s="6">
        <v>81676</v>
      </c>
      <c r="I35" s="6" t="s">
        <v>17</v>
      </c>
      <c r="J35" s="6">
        <v>25336987</v>
      </c>
      <c r="K35" s="6" t="s">
        <v>2067</v>
      </c>
      <c r="L35" s="38" t="s">
        <v>2068</v>
      </c>
      <c r="M35" s="8">
        <v>39900</v>
      </c>
      <c r="N35" s="35">
        <v>0.9</v>
      </c>
      <c r="O35" s="34">
        <f t="shared" si="2"/>
        <v>3990</v>
      </c>
      <c r="P35" s="6" t="s">
        <v>16</v>
      </c>
    </row>
    <row r="36" spans="1:16" x14ac:dyDescent="0.35">
      <c r="A36" s="32" t="s">
        <v>6508</v>
      </c>
      <c r="B36" s="7">
        <f t="shared" si="0"/>
        <v>46121</v>
      </c>
      <c r="C36" s="7">
        <f t="shared" si="1"/>
        <v>46127</v>
      </c>
      <c r="D36" s="6">
        <v>3287</v>
      </c>
      <c r="E36" s="6">
        <v>338</v>
      </c>
      <c r="F36" s="6">
        <v>4</v>
      </c>
      <c r="G36" s="6">
        <v>1</v>
      </c>
      <c r="H36" s="6">
        <v>81676</v>
      </c>
      <c r="I36" s="6" t="s">
        <v>17</v>
      </c>
      <c r="J36" s="6">
        <v>25336996</v>
      </c>
      <c r="K36" s="6" t="s">
        <v>2067</v>
      </c>
      <c r="L36" s="38" t="s">
        <v>2069</v>
      </c>
      <c r="M36" s="8">
        <v>39900</v>
      </c>
      <c r="N36" s="35">
        <v>0.9</v>
      </c>
      <c r="O36" s="34">
        <f t="shared" si="2"/>
        <v>3990</v>
      </c>
      <c r="P36" s="6" t="s">
        <v>16</v>
      </c>
    </row>
    <row r="37" spans="1:16" x14ac:dyDescent="0.35">
      <c r="A37" s="32" t="s">
        <v>6508</v>
      </c>
      <c r="B37" s="7">
        <f t="shared" si="0"/>
        <v>46121</v>
      </c>
      <c r="C37" s="7">
        <f t="shared" si="1"/>
        <v>46127</v>
      </c>
      <c r="D37" s="6">
        <v>3287</v>
      </c>
      <c r="E37" s="6">
        <v>338</v>
      </c>
      <c r="F37" s="6">
        <v>4</v>
      </c>
      <c r="G37" s="6">
        <v>1</v>
      </c>
      <c r="H37" s="6">
        <v>81676</v>
      </c>
      <c r="I37" s="6" t="s">
        <v>17</v>
      </c>
      <c r="J37" s="6">
        <v>26494948</v>
      </c>
      <c r="K37" s="6" t="s">
        <v>2014</v>
      </c>
      <c r="L37" s="38" t="s">
        <v>2015</v>
      </c>
      <c r="M37" s="8">
        <v>34900</v>
      </c>
      <c r="N37" s="35">
        <v>0.9</v>
      </c>
      <c r="O37" s="34">
        <f t="shared" si="2"/>
        <v>3490</v>
      </c>
      <c r="P37" s="6" t="s">
        <v>16</v>
      </c>
    </row>
    <row r="38" spans="1:16" x14ac:dyDescent="0.35">
      <c r="A38" s="32" t="s">
        <v>6508</v>
      </c>
      <c r="B38" s="7">
        <f t="shared" si="0"/>
        <v>46121</v>
      </c>
      <c r="C38" s="7">
        <f t="shared" si="1"/>
        <v>46127</v>
      </c>
      <c r="D38" s="6">
        <v>3287</v>
      </c>
      <c r="E38" s="6">
        <v>338</v>
      </c>
      <c r="F38" s="6">
        <v>4</v>
      </c>
      <c r="G38" s="6">
        <v>1</v>
      </c>
      <c r="H38" s="6">
        <v>81676</v>
      </c>
      <c r="I38" s="6" t="s">
        <v>17</v>
      </c>
      <c r="J38" s="6">
        <v>26495349</v>
      </c>
      <c r="K38" s="6" t="s">
        <v>2016</v>
      </c>
      <c r="L38" s="38" t="s">
        <v>2017</v>
      </c>
      <c r="M38" s="8">
        <v>34900</v>
      </c>
      <c r="N38" s="35">
        <v>0.9</v>
      </c>
      <c r="O38" s="34">
        <f t="shared" si="2"/>
        <v>3490</v>
      </c>
      <c r="P38" s="6" t="s">
        <v>16</v>
      </c>
    </row>
    <row r="39" spans="1:16" x14ac:dyDescent="0.35">
      <c r="A39" s="32" t="s">
        <v>6508</v>
      </c>
      <c r="B39" s="7">
        <f t="shared" si="0"/>
        <v>46121</v>
      </c>
      <c r="C39" s="7">
        <f t="shared" si="1"/>
        <v>46127</v>
      </c>
      <c r="D39" s="6">
        <v>3287</v>
      </c>
      <c r="E39" s="6">
        <v>338</v>
      </c>
      <c r="F39" s="6">
        <v>4</v>
      </c>
      <c r="G39" s="6">
        <v>1</v>
      </c>
      <c r="H39" s="6">
        <v>81676</v>
      </c>
      <c r="I39" s="6" t="s">
        <v>17</v>
      </c>
      <c r="J39" s="6">
        <v>26495367</v>
      </c>
      <c r="K39" s="6" t="s">
        <v>2016</v>
      </c>
      <c r="L39" s="38" t="s">
        <v>2018</v>
      </c>
      <c r="M39" s="8">
        <v>34900</v>
      </c>
      <c r="N39" s="35">
        <v>0.9</v>
      </c>
      <c r="O39" s="34">
        <f t="shared" si="2"/>
        <v>3490</v>
      </c>
      <c r="P39" s="6" t="s">
        <v>16</v>
      </c>
    </row>
    <row r="40" spans="1:16" x14ac:dyDescent="0.35">
      <c r="A40" s="32" t="s">
        <v>6508</v>
      </c>
      <c r="B40" s="7">
        <f t="shared" si="0"/>
        <v>46121</v>
      </c>
      <c r="C40" s="7">
        <f t="shared" si="1"/>
        <v>46127</v>
      </c>
      <c r="D40" s="6">
        <v>3287</v>
      </c>
      <c r="E40" s="6">
        <v>338</v>
      </c>
      <c r="F40" s="6">
        <v>4</v>
      </c>
      <c r="G40" s="6">
        <v>1</v>
      </c>
      <c r="H40" s="6">
        <v>81676</v>
      </c>
      <c r="I40" s="6" t="s">
        <v>17</v>
      </c>
      <c r="J40" s="6">
        <v>26495732</v>
      </c>
      <c r="K40" s="6" t="s">
        <v>2019</v>
      </c>
      <c r="L40" s="38" t="s">
        <v>2020</v>
      </c>
      <c r="M40" s="8">
        <v>34900</v>
      </c>
      <c r="N40" s="35">
        <v>0.9</v>
      </c>
      <c r="O40" s="34">
        <f t="shared" si="2"/>
        <v>3490</v>
      </c>
      <c r="P40" s="6" t="s">
        <v>16</v>
      </c>
    </row>
    <row r="41" spans="1:16" x14ac:dyDescent="0.35">
      <c r="A41" s="32" t="s">
        <v>6508</v>
      </c>
      <c r="B41" s="7">
        <f t="shared" si="0"/>
        <v>46121</v>
      </c>
      <c r="C41" s="7">
        <f t="shared" si="1"/>
        <v>46127</v>
      </c>
      <c r="D41" s="6">
        <v>3287</v>
      </c>
      <c r="E41" s="6">
        <v>338</v>
      </c>
      <c r="F41" s="6">
        <v>4</v>
      </c>
      <c r="G41" s="6">
        <v>1</v>
      </c>
      <c r="H41" s="6">
        <v>81676</v>
      </c>
      <c r="I41" s="6" t="s">
        <v>17</v>
      </c>
      <c r="J41" s="6">
        <v>26495750</v>
      </c>
      <c r="K41" s="6" t="s">
        <v>2019</v>
      </c>
      <c r="L41" s="38" t="s">
        <v>2021</v>
      </c>
      <c r="M41" s="8">
        <v>34900</v>
      </c>
      <c r="N41" s="35">
        <v>0.9</v>
      </c>
      <c r="O41" s="34">
        <f t="shared" si="2"/>
        <v>3490</v>
      </c>
      <c r="P41" s="6" t="s">
        <v>16</v>
      </c>
    </row>
    <row r="42" spans="1:16" x14ac:dyDescent="0.35">
      <c r="A42" s="32" t="s">
        <v>6508</v>
      </c>
      <c r="B42" s="7">
        <f t="shared" si="0"/>
        <v>46121</v>
      </c>
      <c r="C42" s="7">
        <f t="shared" si="1"/>
        <v>46127</v>
      </c>
      <c r="D42" s="6">
        <v>3287</v>
      </c>
      <c r="E42" s="6">
        <v>338</v>
      </c>
      <c r="F42" s="6">
        <v>4</v>
      </c>
      <c r="G42" s="6">
        <v>1</v>
      </c>
      <c r="H42" s="6">
        <v>81676</v>
      </c>
      <c r="I42" s="6" t="s">
        <v>17</v>
      </c>
      <c r="J42" s="6">
        <v>26495769</v>
      </c>
      <c r="K42" s="6" t="s">
        <v>2019</v>
      </c>
      <c r="L42" s="38" t="s">
        <v>2022</v>
      </c>
      <c r="M42" s="8">
        <v>34900</v>
      </c>
      <c r="N42" s="35">
        <v>0.9</v>
      </c>
      <c r="O42" s="34">
        <f t="shared" si="2"/>
        <v>3490</v>
      </c>
      <c r="P42" s="6" t="s">
        <v>16</v>
      </c>
    </row>
    <row r="43" spans="1:16" x14ac:dyDescent="0.35">
      <c r="A43" s="32" t="s">
        <v>6508</v>
      </c>
      <c r="B43" s="7">
        <f t="shared" si="0"/>
        <v>46121</v>
      </c>
      <c r="C43" s="7">
        <f t="shared" si="1"/>
        <v>46127</v>
      </c>
      <c r="D43" s="6">
        <v>3287</v>
      </c>
      <c r="E43" s="6">
        <v>338</v>
      </c>
      <c r="F43" s="6">
        <v>4</v>
      </c>
      <c r="G43" s="6">
        <v>1</v>
      </c>
      <c r="H43" s="6">
        <v>81574</v>
      </c>
      <c r="I43" s="6" t="s">
        <v>17</v>
      </c>
      <c r="J43" s="6">
        <v>33029866</v>
      </c>
      <c r="K43" s="6" t="s">
        <v>2023</v>
      </c>
      <c r="L43" s="38" t="s">
        <v>2024</v>
      </c>
      <c r="M43" s="8">
        <v>34900</v>
      </c>
      <c r="N43" s="35">
        <v>0.9</v>
      </c>
      <c r="O43" s="34">
        <f t="shared" si="2"/>
        <v>3490</v>
      </c>
      <c r="P43" s="6" t="s">
        <v>16</v>
      </c>
    </row>
    <row r="44" spans="1:16" x14ac:dyDescent="0.35">
      <c r="A44" s="32" t="s">
        <v>6508</v>
      </c>
      <c r="B44" s="7">
        <f t="shared" si="0"/>
        <v>46121</v>
      </c>
      <c r="C44" s="7">
        <f t="shared" si="1"/>
        <v>46127</v>
      </c>
      <c r="D44" s="6">
        <v>3287</v>
      </c>
      <c r="E44" s="6">
        <v>338</v>
      </c>
      <c r="F44" s="6">
        <v>4</v>
      </c>
      <c r="G44" s="6">
        <v>1</v>
      </c>
      <c r="H44" s="6">
        <v>81574</v>
      </c>
      <c r="I44" s="6" t="s">
        <v>17</v>
      </c>
      <c r="J44" s="6">
        <v>33029875</v>
      </c>
      <c r="K44" s="6" t="s">
        <v>2023</v>
      </c>
      <c r="L44" s="38" t="s">
        <v>2025</v>
      </c>
      <c r="M44" s="8">
        <v>34900</v>
      </c>
      <c r="N44" s="35">
        <v>0.9</v>
      </c>
      <c r="O44" s="34">
        <f t="shared" si="2"/>
        <v>3490</v>
      </c>
      <c r="P44" s="6" t="s">
        <v>16</v>
      </c>
    </row>
    <row r="45" spans="1:16" x14ac:dyDescent="0.35">
      <c r="A45" s="32" t="s">
        <v>6508</v>
      </c>
      <c r="B45" s="7">
        <f t="shared" si="0"/>
        <v>46121</v>
      </c>
      <c r="C45" s="7">
        <f t="shared" si="1"/>
        <v>46127</v>
      </c>
      <c r="D45" s="6">
        <v>3287</v>
      </c>
      <c r="E45" s="6">
        <v>338</v>
      </c>
      <c r="F45" s="6">
        <v>4</v>
      </c>
      <c r="G45" s="6">
        <v>1</v>
      </c>
      <c r="H45" s="6">
        <v>81574</v>
      </c>
      <c r="I45" s="6" t="s">
        <v>17</v>
      </c>
      <c r="J45" s="6">
        <v>33029884</v>
      </c>
      <c r="K45" s="6" t="s">
        <v>2023</v>
      </c>
      <c r="L45" s="38" t="s">
        <v>2026</v>
      </c>
      <c r="M45" s="8">
        <v>34900</v>
      </c>
      <c r="N45" s="35">
        <v>0.9</v>
      </c>
      <c r="O45" s="34">
        <f t="shared" si="2"/>
        <v>3490</v>
      </c>
      <c r="P45" s="6" t="s">
        <v>16</v>
      </c>
    </row>
    <row r="46" spans="1:16" x14ac:dyDescent="0.35">
      <c r="A46" s="32" t="s">
        <v>6508</v>
      </c>
      <c r="B46" s="7">
        <f t="shared" si="0"/>
        <v>46121</v>
      </c>
      <c r="C46" s="7">
        <f t="shared" si="1"/>
        <v>46127</v>
      </c>
      <c r="D46" s="6">
        <v>3287</v>
      </c>
      <c r="E46" s="6">
        <v>338</v>
      </c>
      <c r="F46" s="6">
        <v>4</v>
      </c>
      <c r="G46" s="6">
        <v>1</v>
      </c>
      <c r="H46" s="6">
        <v>81574</v>
      </c>
      <c r="I46" s="6" t="s">
        <v>17</v>
      </c>
      <c r="J46" s="6">
        <v>33258994</v>
      </c>
      <c r="K46" s="6" t="s">
        <v>2079</v>
      </c>
      <c r="L46" s="38" t="s">
        <v>2080</v>
      </c>
      <c r="M46" s="8">
        <v>34900</v>
      </c>
      <c r="N46" s="35">
        <v>0.9</v>
      </c>
      <c r="O46" s="34">
        <f t="shared" si="2"/>
        <v>3490</v>
      </c>
      <c r="P46" s="6" t="s">
        <v>16</v>
      </c>
    </row>
    <row r="47" spans="1:16" x14ac:dyDescent="0.35">
      <c r="A47" s="32" t="s">
        <v>6508</v>
      </c>
      <c r="B47" s="7">
        <f t="shared" si="0"/>
        <v>46121</v>
      </c>
      <c r="C47" s="7">
        <f t="shared" si="1"/>
        <v>46127</v>
      </c>
      <c r="D47" s="6">
        <v>3287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33259000</v>
      </c>
      <c r="K47" s="6" t="s">
        <v>2079</v>
      </c>
      <c r="L47" s="38" t="s">
        <v>2081</v>
      </c>
      <c r="M47" s="8">
        <v>34900</v>
      </c>
      <c r="N47" s="35">
        <v>0.9</v>
      </c>
      <c r="O47" s="34">
        <f t="shared" si="2"/>
        <v>3490</v>
      </c>
      <c r="P47" s="6" t="s">
        <v>16</v>
      </c>
    </row>
    <row r="48" spans="1:16" x14ac:dyDescent="0.35">
      <c r="A48" s="32" t="s">
        <v>6508</v>
      </c>
      <c r="B48" s="7">
        <f t="shared" si="0"/>
        <v>46121</v>
      </c>
      <c r="C48" s="7">
        <f t="shared" si="1"/>
        <v>46127</v>
      </c>
      <c r="D48" s="6">
        <v>3287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33259028</v>
      </c>
      <c r="K48" s="6" t="s">
        <v>2079</v>
      </c>
      <c r="L48" s="38" t="s">
        <v>2082</v>
      </c>
      <c r="M48" s="8">
        <v>34900</v>
      </c>
      <c r="N48" s="35">
        <v>0.9</v>
      </c>
      <c r="O48" s="34">
        <f t="shared" si="2"/>
        <v>3490</v>
      </c>
      <c r="P48" s="6" t="s">
        <v>16</v>
      </c>
    </row>
    <row r="49" spans="1:16" x14ac:dyDescent="0.35">
      <c r="A49" s="32" t="s">
        <v>6508</v>
      </c>
      <c r="B49" s="7">
        <f t="shared" si="0"/>
        <v>46121</v>
      </c>
      <c r="C49" s="7">
        <f t="shared" si="1"/>
        <v>46127</v>
      </c>
      <c r="D49" s="6">
        <v>3287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32631117</v>
      </c>
      <c r="K49" s="6" t="s">
        <v>2070</v>
      </c>
      <c r="L49" s="38" t="s">
        <v>2071</v>
      </c>
      <c r="M49" s="8">
        <v>34900</v>
      </c>
      <c r="N49" s="35">
        <v>0.9</v>
      </c>
      <c r="O49" s="34">
        <f t="shared" si="2"/>
        <v>3490</v>
      </c>
      <c r="P49" s="6" t="s">
        <v>16</v>
      </c>
    </row>
    <row r="50" spans="1:16" x14ac:dyDescent="0.35">
      <c r="A50" s="32" t="s">
        <v>6508</v>
      </c>
      <c r="B50" s="7">
        <f t="shared" si="0"/>
        <v>46121</v>
      </c>
      <c r="C50" s="7">
        <f t="shared" si="1"/>
        <v>46127</v>
      </c>
      <c r="D50" s="6">
        <v>3287</v>
      </c>
      <c r="E50" s="6">
        <v>338</v>
      </c>
      <c r="F50" s="6">
        <v>4</v>
      </c>
      <c r="G50" s="6">
        <v>1</v>
      </c>
      <c r="H50" s="6">
        <v>81574</v>
      </c>
      <c r="I50" s="6" t="s">
        <v>17</v>
      </c>
      <c r="J50" s="6">
        <v>32631126</v>
      </c>
      <c r="K50" s="6" t="s">
        <v>2070</v>
      </c>
      <c r="L50" s="38" t="s">
        <v>2072</v>
      </c>
      <c r="M50" s="8">
        <v>34900</v>
      </c>
      <c r="N50" s="35">
        <v>0.9</v>
      </c>
      <c r="O50" s="34">
        <f t="shared" si="2"/>
        <v>3490</v>
      </c>
      <c r="P50" s="6" t="s">
        <v>16</v>
      </c>
    </row>
    <row r="51" spans="1:16" x14ac:dyDescent="0.35">
      <c r="A51" s="32" t="s">
        <v>6508</v>
      </c>
      <c r="B51" s="7">
        <f t="shared" si="0"/>
        <v>46121</v>
      </c>
      <c r="C51" s="7">
        <f t="shared" si="1"/>
        <v>46127</v>
      </c>
      <c r="D51" s="6">
        <v>3287</v>
      </c>
      <c r="E51" s="6">
        <v>338</v>
      </c>
      <c r="F51" s="6">
        <v>4</v>
      </c>
      <c r="G51" s="6">
        <v>1</v>
      </c>
      <c r="H51" s="6">
        <v>81574</v>
      </c>
      <c r="I51" s="6" t="s">
        <v>17</v>
      </c>
      <c r="J51" s="6">
        <v>32631135</v>
      </c>
      <c r="K51" s="6" t="s">
        <v>2070</v>
      </c>
      <c r="L51" s="38" t="s">
        <v>2073</v>
      </c>
      <c r="M51" s="8">
        <v>34900</v>
      </c>
      <c r="N51" s="35">
        <v>0.9</v>
      </c>
      <c r="O51" s="34">
        <f t="shared" si="2"/>
        <v>3490</v>
      </c>
      <c r="P51" s="6" t="s">
        <v>16</v>
      </c>
    </row>
    <row r="52" spans="1:16" x14ac:dyDescent="0.35">
      <c r="A52" s="32" t="s">
        <v>6508</v>
      </c>
      <c r="B52" s="7">
        <f t="shared" si="0"/>
        <v>46121</v>
      </c>
      <c r="C52" s="7">
        <f t="shared" si="1"/>
        <v>46127</v>
      </c>
      <c r="D52" s="6">
        <v>3287</v>
      </c>
      <c r="E52" s="6">
        <v>338</v>
      </c>
      <c r="F52" s="6">
        <v>4</v>
      </c>
      <c r="G52" s="6">
        <v>1</v>
      </c>
      <c r="H52" s="6">
        <v>81574</v>
      </c>
      <c r="I52" s="6" t="s">
        <v>17</v>
      </c>
      <c r="J52" s="6">
        <v>32631144</v>
      </c>
      <c r="K52" s="6" t="s">
        <v>2070</v>
      </c>
      <c r="L52" s="38" t="s">
        <v>2074</v>
      </c>
      <c r="M52" s="8">
        <v>34900</v>
      </c>
      <c r="N52" s="35">
        <v>0.9</v>
      </c>
      <c r="O52" s="34">
        <f t="shared" si="2"/>
        <v>3490</v>
      </c>
      <c r="P52" s="6" t="s">
        <v>16</v>
      </c>
    </row>
    <row r="53" spans="1:16" x14ac:dyDescent="0.35">
      <c r="A53" s="32" t="s">
        <v>6508</v>
      </c>
      <c r="B53" s="7">
        <f t="shared" si="0"/>
        <v>46121</v>
      </c>
      <c r="C53" s="7">
        <f t="shared" si="1"/>
        <v>46127</v>
      </c>
      <c r="D53" s="6">
        <v>3287</v>
      </c>
      <c r="E53" s="6">
        <v>338</v>
      </c>
      <c r="F53" s="6">
        <v>4</v>
      </c>
      <c r="G53" s="6">
        <v>1</v>
      </c>
      <c r="H53" s="6">
        <v>81574</v>
      </c>
      <c r="I53" s="6" t="s">
        <v>17</v>
      </c>
      <c r="J53" s="6">
        <v>32631199</v>
      </c>
      <c r="K53" s="6" t="s">
        <v>2075</v>
      </c>
      <c r="L53" s="38" t="s">
        <v>2076</v>
      </c>
      <c r="M53" s="8">
        <v>34900</v>
      </c>
      <c r="N53" s="35">
        <v>0.9</v>
      </c>
      <c r="O53" s="34">
        <f t="shared" si="2"/>
        <v>3490</v>
      </c>
      <c r="P53" s="6" t="s">
        <v>16</v>
      </c>
    </row>
    <row r="54" spans="1:16" x14ac:dyDescent="0.35">
      <c r="A54" s="32" t="s">
        <v>6508</v>
      </c>
      <c r="B54" s="7">
        <f t="shared" si="0"/>
        <v>46121</v>
      </c>
      <c r="C54" s="7">
        <f t="shared" si="1"/>
        <v>46127</v>
      </c>
      <c r="D54" s="6">
        <v>3287</v>
      </c>
      <c r="E54" s="6">
        <v>338</v>
      </c>
      <c r="F54" s="6">
        <v>4</v>
      </c>
      <c r="G54" s="6">
        <v>1</v>
      </c>
      <c r="H54" s="6">
        <v>81574</v>
      </c>
      <c r="I54" s="6" t="s">
        <v>17</v>
      </c>
      <c r="J54" s="6">
        <v>32631206</v>
      </c>
      <c r="K54" s="6" t="s">
        <v>2075</v>
      </c>
      <c r="L54" s="38" t="s">
        <v>2077</v>
      </c>
      <c r="M54" s="8">
        <v>34900</v>
      </c>
      <c r="N54" s="35">
        <v>0.9</v>
      </c>
      <c r="O54" s="34">
        <f t="shared" si="2"/>
        <v>3490</v>
      </c>
      <c r="P54" s="6" t="s">
        <v>16</v>
      </c>
    </row>
    <row r="55" spans="1:16" x14ac:dyDescent="0.35">
      <c r="A55" s="32" t="s">
        <v>6508</v>
      </c>
      <c r="B55" s="7">
        <f t="shared" si="0"/>
        <v>46121</v>
      </c>
      <c r="C55" s="7">
        <f t="shared" si="1"/>
        <v>46127</v>
      </c>
      <c r="D55" s="6">
        <v>3287</v>
      </c>
      <c r="E55" s="6">
        <v>338</v>
      </c>
      <c r="F55" s="6">
        <v>4</v>
      </c>
      <c r="G55" s="6">
        <v>1</v>
      </c>
      <c r="H55" s="6">
        <v>81574</v>
      </c>
      <c r="I55" s="6" t="s">
        <v>17</v>
      </c>
      <c r="J55" s="6">
        <v>32631215</v>
      </c>
      <c r="K55" s="6" t="s">
        <v>2075</v>
      </c>
      <c r="L55" s="38" t="s">
        <v>2078</v>
      </c>
      <c r="M55" s="8">
        <v>34900</v>
      </c>
      <c r="N55" s="35">
        <v>0.9</v>
      </c>
      <c r="O55" s="34">
        <f t="shared" si="2"/>
        <v>3490</v>
      </c>
      <c r="P55" s="6" t="s">
        <v>16</v>
      </c>
    </row>
    <row r="56" spans="1:16" x14ac:dyDescent="0.35">
      <c r="A56" s="32" t="s">
        <v>6508</v>
      </c>
      <c r="B56" s="7">
        <f t="shared" si="0"/>
        <v>46121</v>
      </c>
      <c r="C56" s="7">
        <f t="shared" si="1"/>
        <v>46127</v>
      </c>
      <c r="D56" s="6">
        <v>3287</v>
      </c>
      <c r="E56" s="6">
        <v>338</v>
      </c>
      <c r="F56" s="6">
        <v>4</v>
      </c>
      <c r="G56" s="6">
        <v>2</v>
      </c>
      <c r="H56" s="6">
        <v>81419</v>
      </c>
      <c r="I56" s="6" t="s">
        <v>17</v>
      </c>
      <c r="J56" s="6">
        <v>25336665</v>
      </c>
      <c r="K56" s="6" t="s">
        <v>2129</v>
      </c>
      <c r="L56" s="38" t="s">
        <v>2130</v>
      </c>
      <c r="M56" s="8">
        <v>179900</v>
      </c>
      <c r="N56" s="35">
        <v>0.9</v>
      </c>
      <c r="O56" s="34">
        <f t="shared" si="2"/>
        <v>17990</v>
      </c>
      <c r="P56" s="6" t="s">
        <v>16</v>
      </c>
    </row>
    <row r="57" spans="1:16" x14ac:dyDescent="0.35">
      <c r="A57" s="32" t="s">
        <v>6508</v>
      </c>
      <c r="B57" s="7">
        <f t="shared" si="0"/>
        <v>46121</v>
      </c>
      <c r="C57" s="7">
        <f t="shared" si="1"/>
        <v>46127</v>
      </c>
      <c r="D57" s="6">
        <v>3287</v>
      </c>
      <c r="E57" s="6">
        <v>338</v>
      </c>
      <c r="F57" s="6">
        <v>4</v>
      </c>
      <c r="G57" s="6">
        <v>2</v>
      </c>
      <c r="H57" s="6">
        <v>81419</v>
      </c>
      <c r="I57" s="6" t="s">
        <v>17</v>
      </c>
      <c r="J57" s="6">
        <v>25336674</v>
      </c>
      <c r="K57" s="6" t="s">
        <v>2129</v>
      </c>
      <c r="L57" s="38" t="s">
        <v>2131</v>
      </c>
      <c r="M57" s="8">
        <v>179900</v>
      </c>
      <c r="N57" s="35">
        <v>0.9</v>
      </c>
      <c r="O57" s="34">
        <f t="shared" si="2"/>
        <v>17990</v>
      </c>
      <c r="P57" s="6" t="s">
        <v>16</v>
      </c>
    </row>
    <row r="58" spans="1:16" x14ac:dyDescent="0.35">
      <c r="A58" s="32" t="s">
        <v>6508</v>
      </c>
      <c r="B58" s="7">
        <f t="shared" si="0"/>
        <v>46121</v>
      </c>
      <c r="C58" s="7">
        <f t="shared" si="1"/>
        <v>46127</v>
      </c>
      <c r="D58" s="6">
        <v>3287</v>
      </c>
      <c r="E58" s="6">
        <v>338</v>
      </c>
      <c r="F58" s="6">
        <v>4</v>
      </c>
      <c r="G58" s="6">
        <v>2</v>
      </c>
      <c r="H58" s="6">
        <v>81419</v>
      </c>
      <c r="I58" s="6" t="s">
        <v>17</v>
      </c>
      <c r="J58" s="6">
        <v>25336692</v>
      </c>
      <c r="K58" s="6" t="s">
        <v>2129</v>
      </c>
      <c r="L58" s="38" t="s">
        <v>2132</v>
      </c>
      <c r="M58" s="8">
        <v>179900</v>
      </c>
      <c r="N58" s="35">
        <v>0.9</v>
      </c>
      <c r="O58" s="34">
        <f t="shared" si="2"/>
        <v>17990</v>
      </c>
      <c r="P58" s="6" t="s">
        <v>16</v>
      </c>
    </row>
    <row r="59" spans="1:16" x14ac:dyDescent="0.35">
      <c r="A59" s="32" t="s">
        <v>6508</v>
      </c>
      <c r="B59" s="7">
        <f t="shared" si="0"/>
        <v>46121</v>
      </c>
      <c r="C59" s="7">
        <f t="shared" si="1"/>
        <v>46127</v>
      </c>
      <c r="D59" s="6">
        <v>3287</v>
      </c>
      <c r="E59" s="6">
        <v>338</v>
      </c>
      <c r="F59" s="6">
        <v>4</v>
      </c>
      <c r="G59" s="6">
        <v>2</v>
      </c>
      <c r="H59" s="6">
        <v>81419</v>
      </c>
      <c r="I59" s="6" t="s">
        <v>17</v>
      </c>
      <c r="J59" s="6">
        <v>25336816</v>
      </c>
      <c r="K59" s="6" t="s">
        <v>2133</v>
      </c>
      <c r="L59" s="38" t="s">
        <v>2134</v>
      </c>
      <c r="M59" s="8">
        <v>189900</v>
      </c>
      <c r="N59" s="35">
        <v>0.9</v>
      </c>
      <c r="O59" s="34">
        <f t="shared" si="2"/>
        <v>18990</v>
      </c>
      <c r="P59" s="6" t="s">
        <v>16</v>
      </c>
    </row>
    <row r="60" spans="1:16" x14ac:dyDescent="0.35">
      <c r="A60" s="32" t="s">
        <v>6508</v>
      </c>
      <c r="B60" s="7">
        <f t="shared" si="0"/>
        <v>46121</v>
      </c>
      <c r="C60" s="7">
        <f t="shared" si="1"/>
        <v>46127</v>
      </c>
      <c r="D60" s="6">
        <v>3287</v>
      </c>
      <c r="E60" s="6">
        <v>338</v>
      </c>
      <c r="F60" s="6">
        <v>4</v>
      </c>
      <c r="G60" s="6">
        <v>2</v>
      </c>
      <c r="H60" s="6">
        <v>81419</v>
      </c>
      <c r="I60" s="6" t="s">
        <v>17</v>
      </c>
      <c r="J60" s="6">
        <v>25336825</v>
      </c>
      <c r="K60" s="6" t="s">
        <v>2133</v>
      </c>
      <c r="L60" s="38" t="s">
        <v>2135</v>
      </c>
      <c r="M60" s="8">
        <v>189900</v>
      </c>
      <c r="N60" s="35">
        <v>0.9</v>
      </c>
      <c r="O60" s="34">
        <f t="shared" si="2"/>
        <v>18990</v>
      </c>
      <c r="P60" s="6" t="s">
        <v>16</v>
      </c>
    </row>
    <row r="61" spans="1:16" x14ac:dyDescent="0.35">
      <c r="A61" s="32" t="s">
        <v>6508</v>
      </c>
      <c r="B61" s="7">
        <f t="shared" si="0"/>
        <v>46121</v>
      </c>
      <c r="C61" s="7">
        <f t="shared" si="1"/>
        <v>46127</v>
      </c>
      <c r="D61" s="6">
        <v>3287</v>
      </c>
      <c r="E61" s="6">
        <v>338</v>
      </c>
      <c r="F61" s="6">
        <v>4</v>
      </c>
      <c r="G61" s="6">
        <v>2</v>
      </c>
      <c r="H61" s="6">
        <v>81379</v>
      </c>
      <c r="I61" s="6" t="s">
        <v>17</v>
      </c>
      <c r="J61" s="6">
        <v>27068157</v>
      </c>
      <c r="K61" s="6" t="s">
        <v>2118</v>
      </c>
      <c r="L61" s="38" t="s">
        <v>2119</v>
      </c>
      <c r="M61" s="8">
        <v>189900</v>
      </c>
      <c r="N61" s="35">
        <v>0.9</v>
      </c>
      <c r="O61" s="34">
        <f t="shared" si="2"/>
        <v>18990</v>
      </c>
      <c r="P61" s="6" t="s">
        <v>16</v>
      </c>
    </row>
    <row r="62" spans="1:16" x14ac:dyDescent="0.35">
      <c r="A62" s="32" t="s">
        <v>6508</v>
      </c>
      <c r="B62" s="7">
        <f t="shared" si="0"/>
        <v>46121</v>
      </c>
      <c r="C62" s="7">
        <f t="shared" si="1"/>
        <v>46127</v>
      </c>
      <c r="D62" s="6">
        <v>3287</v>
      </c>
      <c r="E62" s="6">
        <v>338</v>
      </c>
      <c r="F62" s="6">
        <v>4</v>
      </c>
      <c r="G62" s="6">
        <v>2</v>
      </c>
      <c r="H62" s="6">
        <v>850</v>
      </c>
      <c r="I62" s="6" t="s">
        <v>17</v>
      </c>
      <c r="J62" s="6">
        <v>24414144</v>
      </c>
      <c r="K62" s="6" t="s">
        <v>2136</v>
      </c>
      <c r="L62" s="38" t="s">
        <v>2137</v>
      </c>
      <c r="M62" s="8">
        <v>189900</v>
      </c>
      <c r="N62" s="35">
        <v>0.9</v>
      </c>
      <c r="O62" s="34">
        <f t="shared" si="2"/>
        <v>18990</v>
      </c>
      <c r="P62" s="6" t="s">
        <v>16</v>
      </c>
    </row>
    <row r="63" spans="1:16" x14ac:dyDescent="0.35">
      <c r="A63" s="32" t="s">
        <v>6508</v>
      </c>
      <c r="B63" s="7">
        <f t="shared" si="0"/>
        <v>46121</v>
      </c>
      <c r="C63" s="7">
        <f t="shared" si="1"/>
        <v>46127</v>
      </c>
      <c r="D63" s="6">
        <v>3287</v>
      </c>
      <c r="E63" s="6">
        <v>338</v>
      </c>
      <c r="F63" s="6">
        <v>4</v>
      </c>
      <c r="G63" s="6">
        <v>2</v>
      </c>
      <c r="H63" s="6">
        <v>850</v>
      </c>
      <c r="I63" s="6" t="s">
        <v>17</v>
      </c>
      <c r="J63" s="6">
        <v>26515880</v>
      </c>
      <c r="K63" s="6" t="s">
        <v>2138</v>
      </c>
      <c r="L63" s="38" t="s">
        <v>2139</v>
      </c>
      <c r="M63" s="8">
        <v>189900</v>
      </c>
      <c r="N63" s="35">
        <v>0.9</v>
      </c>
      <c r="O63" s="34">
        <f t="shared" si="2"/>
        <v>18990</v>
      </c>
      <c r="P63" s="6" t="s">
        <v>16</v>
      </c>
    </row>
    <row r="64" spans="1:16" x14ac:dyDescent="0.35">
      <c r="A64" s="32" t="s">
        <v>6508</v>
      </c>
      <c r="B64" s="7">
        <f t="shared" si="0"/>
        <v>46121</v>
      </c>
      <c r="C64" s="7">
        <f t="shared" si="1"/>
        <v>46127</v>
      </c>
      <c r="D64" s="6">
        <v>3287</v>
      </c>
      <c r="E64" s="6">
        <v>338</v>
      </c>
      <c r="F64" s="6">
        <v>4</v>
      </c>
      <c r="G64" s="6">
        <v>2</v>
      </c>
      <c r="H64" s="6">
        <v>850</v>
      </c>
      <c r="I64" s="6" t="s">
        <v>17</v>
      </c>
      <c r="J64" s="6">
        <v>26515899</v>
      </c>
      <c r="K64" s="6" t="s">
        <v>2138</v>
      </c>
      <c r="L64" s="38" t="s">
        <v>5031</v>
      </c>
      <c r="M64" s="8">
        <v>189900</v>
      </c>
      <c r="N64" s="35">
        <v>0.9</v>
      </c>
      <c r="O64" s="34">
        <f t="shared" si="2"/>
        <v>18990</v>
      </c>
      <c r="P64" s="6" t="s">
        <v>16</v>
      </c>
    </row>
    <row r="65" spans="1:16" x14ac:dyDescent="0.35">
      <c r="A65" s="32" t="s">
        <v>6508</v>
      </c>
      <c r="B65" s="7">
        <f t="shared" si="0"/>
        <v>46121</v>
      </c>
      <c r="C65" s="7">
        <f t="shared" si="1"/>
        <v>46127</v>
      </c>
      <c r="D65" s="6">
        <v>3287</v>
      </c>
      <c r="E65" s="6">
        <v>338</v>
      </c>
      <c r="F65" s="6">
        <v>4</v>
      </c>
      <c r="G65" s="6">
        <v>2</v>
      </c>
      <c r="H65" s="6">
        <v>850</v>
      </c>
      <c r="I65" s="6" t="s">
        <v>17</v>
      </c>
      <c r="J65" s="6">
        <v>26515906</v>
      </c>
      <c r="K65" s="6" t="s">
        <v>2138</v>
      </c>
      <c r="L65" s="38" t="s">
        <v>2140</v>
      </c>
      <c r="M65" s="8">
        <v>189900</v>
      </c>
      <c r="N65" s="35">
        <v>0.9</v>
      </c>
      <c r="O65" s="34">
        <f t="shared" si="2"/>
        <v>18990</v>
      </c>
      <c r="P65" s="6" t="s">
        <v>16</v>
      </c>
    </row>
    <row r="66" spans="1:16" x14ac:dyDescent="0.35">
      <c r="A66" s="32" t="s">
        <v>6508</v>
      </c>
      <c r="B66" s="7">
        <f t="shared" si="0"/>
        <v>46121</v>
      </c>
      <c r="C66" s="7">
        <f t="shared" si="1"/>
        <v>46127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17</v>
      </c>
      <c r="J66" s="6">
        <v>26515915</v>
      </c>
      <c r="K66" s="6" t="s">
        <v>2138</v>
      </c>
      <c r="L66" s="38" t="s">
        <v>2141</v>
      </c>
      <c r="M66" s="8">
        <v>189900</v>
      </c>
      <c r="N66" s="35">
        <v>0.9</v>
      </c>
      <c r="O66" s="34">
        <f t="shared" si="2"/>
        <v>18990</v>
      </c>
      <c r="P66" s="6" t="s">
        <v>16</v>
      </c>
    </row>
    <row r="67" spans="1:16" x14ac:dyDescent="0.35">
      <c r="A67" s="32" t="s">
        <v>6508</v>
      </c>
      <c r="B67" s="7">
        <f t="shared" si="0"/>
        <v>46121</v>
      </c>
      <c r="C67" s="7">
        <f t="shared" si="1"/>
        <v>46127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17</v>
      </c>
      <c r="J67" s="6">
        <v>26515924</v>
      </c>
      <c r="K67" s="6" t="s">
        <v>2138</v>
      </c>
      <c r="L67" s="38" t="s">
        <v>2142</v>
      </c>
      <c r="M67" s="8">
        <v>189900</v>
      </c>
      <c r="N67" s="35">
        <v>0.9</v>
      </c>
      <c r="O67" s="34">
        <f t="shared" si="2"/>
        <v>18990</v>
      </c>
      <c r="P67" s="6" t="s">
        <v>16</v>
      </c>
    </row>
    <row r="68" spans="1:16" x14ac:dyDescent="0.35">
      <c r="A68" s="32" t="s">
        <v>6508</v>
      </c>
      <c r="B68" s="7">
        <f t="shared" ref="B68:B130" si="3">B67</f>
        <v>46121</v>
      </c>
      <c r="C68" s="7">
        <f t="shared" ref="C68:C130" si="4">C67</f>
        <v>46127</v>
      </c>
      <c r="D68" s="6">
        <v>3287</v>
      </c>
      <c r="E68" s="6">
        <v>338</v>
      </c>
      <c r="F68" s="6">
        <v>4</v>
      </c>
      <c r="G68" s="6">
        <v>2</v>
      </c>
      <c r="H68" s="6">
        <v>850</v>
      </c>
      <c r="I68" s="6" t="s">
        <v>17</v>
      </c>
      <c r="J68" s="6">
        <v>26516414</v>
      </c>
      <c r="K68" s="6" t="s">
        <v>2143</v>
      </c>
      <c r="L68" s="38" t="s">
        <v>2144</v>
      </c>
      <c r="M68" s="8">
        <v>189900</v>
      </c>
      <c r="N68" s="35">
        <v>0.9</v>
      </c>
      <c r="O68" s="34">
        <f t="shared" ref="O68:O131" si="5">M68-((90*M68)/100)</f>
        <v>18990</v>
      </c>
      <c r="P68" s="6" t="s">
        <v>16</v>
      </c>
    </row>
    <row r="69" spans="1:16" x14ac:dyDescent="0.35">
      <c r="A69" s="32" t="s">
        <v>6508</v>
      </c>
      <c r="B69" s="7">
        <f t="shared" si="3"/>
        <v>46121</v>
      </c>
      <c r="C69" s="7">
        <f t="shared" si="4"/>
        <v>46127</v>
      </c>
      <c r="D69" s="6">
        <v>3287</v>
      </c>
      <c r="E69" s="6">
        <v>338</v>
      </c>
      <c r="F69" s="6">
        <v>4</v>
      </c>
      <c r="G69" s="6">
        <v>2</v>
      </c>
      <c r="H69" s="6">
        <v>850</v>
      </c>
      <c r="I69" s="6" t="s">
        <v>17</v>
      </c>
      <c r="J69" s="6">
        <v>26516423</v>
      </c>
      <c r="K69" s="6" t="s">
        <v>2143</v>
      </c>
      <c r="L69" s="38" t="s">
        <v>2145</v>
      </c>
      <c r="M69" s="8">
        <v>189900</v>
      </c>
      <c r="N69" s="35">
        <v>0.9</v>
      </c>
      <c r="O69" s="34">
        <f t="shared" si="5"/>
        <v>18990</v>
      </c>
      <c r="P69" s="6" t="s">
        <v>16</v>
      </c>
    </row>
    <row r="70" spans="1:16" x14ac:dyDescent="0.35">
      <c r="A70" s="32" t="s">
        <v>6508</v>
      </c>
      <c r="B70" s="7">
        <f t="shared" si="3"/>
        <v>46121</v>
      </c>
      <c r="C70" s="7">
        <f t="shared" si="4"/>
        <v>46127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17</v>
      </c>
      <c r="J70" s="6">
        <v>26516432</v>
      </c>
      <c r="K70" s="6" t="s">
        <v>2143</v>
      </c>
      <c r="L70" s="38" t="s">
        <v>2146</v>
      </c>
      <c r="M70" s="8">
        <v>189900</v>
      </c>
      <c r="N70" s="35">
        <v>0.9</v>
      </c>
      <c r="O70" s="34">
        <f t="shared" si="5"/>
        <v>18990</v>
      </c>
      <c r="P70" s="6" t="s">
        <v>16</v>
      </c>
    </row>
    <row r="71" spans="1:16" x14ac:dyDescent="0.35">
      <c r="A71" s="32" t="s">
        <v>6508</v>
      </c>
      <c r="B71" s="7">
        <f t="shared" si="3"/>
        <v>46121</v>
      </c>
      <c r="C71" s="7">
        <f t="shared" si="4"/>
        <v>46127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17</v>
      </c>
      <c r="J71" s="6">
        <v>26516450</v>
      </c>
      <c r="K71" s="6" t="s">
        <v>2143</v>
      </c>
      <c r="L71" s="38" t="s">
        <v>2147</v>
      </c>
      <c r="M71" s="8">
        <v>189900</v>
      </c>
      <c r="N71" s="35">
        <v>0.9</v>
      </c>
      <c r="O71" s="34">
        <f t="shared" si="5"/>
        <v>18990</v>
      </c>
      <c r="P71" s="6" t="s">
        <v>16</v>
      </c>
    </row>
    <row r="72" spans="1:16" x14ac:dyDescent="0.35">
      <c r="A72" s="32" t="s">
        <v>6508</v>
      </c>
      <c r="B72" s="7">
        <f t="shared" si="3"/>
        <v>46121</v>
      </c>
      <c r="C72" s="7">
        <f t="shared" si="4"/>
        <v>46127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17</v>
      </c>
      <c r="J72" s="6">
        <v>26516469</v>
      </c>
      <c r="K72" s="6" t="s">
        <v>2143</v>
      </c>
      <c r="L72" s="38" t="s">
        <v>2148</v>
      </c>
      <c r="M72" s="8">
        <v>189900</v>
      </c>
      <c r="N72" s="35">
        <v>0.9</v>
      </c>
      <c r="O72" s="34">
        <f t="shared" si="5"/>
        <v>18990</v>
      </c>
      <c r="P72" s="6" t="s">
        <v>16</v>
      </c>
    </row>
    <row r="73" spans="1:16" x14ac:dyDescent="0.35">
      <c r="A73" s="32" t="s">
        <v>6508</v>
      </c>
      <c r="B73" s="7">
        <f t="shared" si="3"/>
        <v>46121</v>
      </c>
      <c r="C73" s="7">
        <f t="shared" si="4"/>
        <v>46127</v>
      </c>
      <c r="D73" s="6">
        <v>3287</v>
      </c>
      <c r="E73" s="6">
        <v>338</v>
      </c>
      <c r="F73" s="6">
        <v>4</v>
      </c>
      <c r="G73" s="6">
        <v>2</v>
      </c>
      <c r="H73" s="6">
        <v>850</v>
      </c>
      <c r="I73" s="6" t="s">
        <v>17</v>
      </c>
      <c r="J73" s="6">
        <v>26516656</v>
      </c>
      <c r="K73" s="6" t="s">
        <v>2149</v>
      </c>
      <c r="L73" s="38" t="s">
        <v>2150</v>
      </c>
      <c r="M73" s="8">
        <v>189900</v>
      </c>
      <c r="N73" s="35">
        <v>0.9</v>
      </c>
      <c r="O73" s="34">
        <f t="shared" si="5"/>
        <v>18990</v>
      </c>
      <c r="P73" s="6" t="s">
        <v>16</v>
      </c>
    </row>
    <row r="74" spans="1:16" x14ac:dyDescent="0.35">
      <c r="A74" s="32" t="s">
        <v>6508</v>
      </c>
      <c r="B74" s="7">
        <f t="shared" si="3"/>
        <v>46121</v>
      </c>
      <c r="C74" s="7">
        <f t="shared" si="4"/>
        <v>46127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17</v>
      </c>
      <c r="J74" s="6">
        <v>26516665</v>
      </c>
      <c r="K74" s="6" t="s">
        <v>2149</v>
      </c>
      <c r="L74" s="38" t="s">
        <v>2151</v>
      </c>
      <c r="M74" s="8">
        <v>189900</v>
      </c>
      <c r="N74" s="35">
        <v>0.9</v>
      </c>
      <c r="O74" s="34">
        <f t="shared" si="5"/>
        <v>18990</v>
      </c>
      <c r="P74" s="6" t="s">
        <v>16</v>
      </c>
    </row>
    <row r="75" spans="1:16" x14ac:dyDescent="0.35">
      <c r="A75" s="32" t="s">
        <v>6508</v>
      </c>
      <c r="B75" s="7">
        <f t="shared" si="3"/>
        <v>46121</v>
      </c>
      <c r="C75" s="7">
        <f t="shared" si="4"/>
        <v>46127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17</v>
      </c>
      <c r="J75" s="6">
        <v>26516674</v>
      </c>
      <c r="K75" s="6" t="s">
        <v>2149</v>
      </c>
      <c r="L75" s="38" t="s">
        <v>2152</v>
      </c>
      <c r="M75" s="8">
        <v>189900</v>
      </c>
      <c r="N75" s="35">
        <v>0.9</v>
      </c>
      <c r="O75" s="34">
        <f t="shared" si="5"/>
        <v>18990</v>
      </c>
      <c r="P75" s="6" t="s">
        <v>16</v>
      </c>
    </row>
    <row r="76" spans="1:16" x14ac:dyDescent="0.35">
      <c r="A76" s="32" t="s">
        <v>6508</v>
      </c>
      <c r="B76" s="7">
        <f t="shared" si="3"/>
        <v>46121</v>
      </c>
      <c r="C76" s="7">
        <f t="shared" si="4"/>
        <v>46127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17</v>
      </c>
      <c r="J76" s="6">
        <v>26516683</v>
      </c>
      <c r="K76" s="6" t="s">
        <v>2149</v>
      </c>
      <c r="L76" s="38" t="s">
        <v>2153</v>
      </c>
      <c r="M76" s="8">
        <v>189900</v>
      </c>
      <c r="N76" s="35">
        <v>0.9</v>
      </c>
      <c r="O76" s="34">
        <f t="shared" si="5"/>
        <v>18990</v>
      </c>
      <c r="P76" s="6" t="s">
        <v>16</v>
      </c>
    </row>
    <row r="77" spans="1:16" x14ac:dyDescent="0.35">
      <c r="A77" s="32" t="s">
        <v>6508</v>
      </c>
      <c r="B77" s="7">
        <f t="shared" si="3"/>
        <v>46121</v>
      </c>
      <c r="C77" s="7">
        <f t="shared" si="4"/>
        <v>46127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17</v>
      </c>
      <c r="J77" s="6">
        <v>28486837</v>
      </c>
      <c r="K77" s="6" t="s">
        <v>2154</v>
      </c>
      <c r="L77" s="38" t="s">
        <v>2155</v>
      </c>
      <c r="M77" s="8">
        <v>189900</v>
      </c>
      <c r="N77" s="35">
        <v>0.9</v>
      </c>
      <c r="O77" s="34">
        <f t="shared" si="5"/>
        <v>18990</v>
      </c>
      <c r="P77" s="6" t="s">
        <v>16</v>
      </c>
    </row>
    <row r="78" spans="1:16" x14ac:dyDescent="0.35">
      <c r="A78" s="32" t="s">
        <v>6508</v>
      </c>
      <c r="B78" s="7">
        <f t="shared" si="3"/>
        <v>46121</v>
      </c>
      <c r="C78" s="7">
        <f t="shared" si="4"/>
        <v>46127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17</v>
      </c>
      <c r="J78" s="6">
        <v>28486846</v>
      </c>
      <c r="K78" s="6" t="s">
        <v>2154</v>
      </c>
      <c r="L78" s="38" t="s">
        <v>2156</v>
      </c>
      <c r="M78" s="8">
        <v>189900</v>
      </c>
      <c r="N78" s="35">
        <v>0.9</v>
      </c>
      <c r="O78" s="34">
        <f t="shared" si="5"/>
        <v>18990</v>
      </c>
      <c r="P78" s="6" t="s">
        <v>16</v>
      </c>
    </row>
    <row r="79" spans="1:16" x14ac:dyDescent="0.35">
      <c r="A79" s="32" t="s">
        <v>6508</v>
      </c>
      <c r="B79" s="7">
        <f t="shared" si="3"/>
        <v>46121</v>
      </c>
      <c r="C79" s="7">
        <f t="shared" si="4"/>
        <v>46127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17</v>
      </c>
      <c r="J79" s="6">
        <v>28486864</v>
      </c>
      <c r="K79" s="6" t="s">
        <v>2154</v>
      </c>
      <c r="L79" s="38" t="s">
        <v>2157</v>
      </c>
      <c r="M79" s="8">
        <v>189900</v>
      </c>
      <c r="N79" s="35">
        <v>0.9</v>
      </c>
      <c r="O79" s="34">
        <f t="shared" si="5"/>
        <v>18990</v>
      </c>
      <c r="P79" s="6" t="s">
        <v>16</v>
      </c>
    </row>
    <row r="80" spans="1:16" x14ac:dyDescent="0.35">
      <c r="A80" s="32" t="s">
        <v>6508</v>
      </c>
      <c r="B80" s="7">
        <f t="shared" si="3"/>
        <v>46121</v>
      </c>
      <c r="C80" s="7">
        <f t="shared" si="4"/>
        <v>46127</v>
      </c>
      <c r="D80" s="6">
        <v>3287</v>
      </c>
      <c r="E80" s="6">
        <v>338</v>
      </c>
      <c r="F80" s="6">
        <v>4</v>
      </c>
      <c r="G80" s="6">
        <v>2</v>
      </c>
      <c r="H80" s="6">
        <v>850</v>
      </c>
      <c r="I80" s="6" t="s">
        <v>17</v>
      </c>
      <c r="J80" s="6">
        <v>28486882</v>
      </c>
      <c r="K80" s="6" t="s">
        <v>2154</v>
      </c>
      <c r="L80" s="38" t="s">
        <v>2158</v>
      </c>
      <c r="M80" s="8">
        <v>199900</v>
      </c>
      <c r="N80" s="35">
        <v>0.9</v>
      </c>
      <c r="O80" s="34">
        <f t="shared" si="5"/>
        <v>19990</v>
      </c>
      <c r="P80" s="6" t="s">
        <v>16</v>
      </c>
    </row>
    <row r="81" spans="1:16" x14ac:dyDescent="0.35">
      <c r="A81" s="32" t="s">
        <v>6508</v>
      </c>
      <c r="B81" s="7">
        <f t="shared" si="3"/>
        <v>46121</v>
      </c>
      <c r="C81" s="7">
        <f t="shared" si="4"/>
        <v>46127</v>
      </c>
      <c r="D81" s="6">
        <v>3287</v>
      </c>
      <c r="E81" s="6">
        <v>338</v>
      </c>
      <c r="F81" s="6">
        <v>4</v>
      </c>
      <c r="G81" s="6">
        <v>2</v>
      </c>
      <c r="H81" s="6">
        <v>850</v>
      </c>
      <c r="I81" s="6" t="s">
        <v>17</v>
      </c>
      <c r="J81" s="6">
        <v>28486891</v>
      </c>
      <c r="K81" s="6" t="s">
        <v>2154</v>
      </c>
      <c r="L81" s="38" t="s">
        <v>2159</v>
      </c>
      <c r="M81" s="8">
        <v>199900</v>
      </c>
      <c r="N81" s="35">
        <v>0.9</v>
      </c>
      <c r="O81" s="34">
        <f t="shared" si="5"/>
        <v>19990</v>
      </c>
      <c r="P81" s="6" t="s">
        <v>16</v>
      </c>
    </row>
    <row r="82" spans="1:16" x14ac:dyDescent="0.35">
      <c r="A82" s="32" t="s">
        <v>6508</v>
      </c>
      <c r="B82" s="7">
        <f t="shared" si="3"/>
        <v>46121</v>
      </c>
      <c r="C82" s="7">
        <f t="shared" si="4"/>
        <v>46127</v>
      </c>
      <c r="D82" s="6">
        <v>3287</v>
      </c>
      <c r="E82" s="6">
        <v>338</v>
      </c>
      <c r="F82" s="6">
        <v>4</v>
      </c>
      <c r="G82" s="6">
        <v>2</v>
      </c>
      <c r="H82" s="6">
        <v>850</v>
      </c>
      <c r="I82" s="6" t="s">
        <v>17</v>
      </c>
      <c r="J82" s="6">
        <v>28486908</v>
      </c>
      <c r="K82" s="6" t="s">
        <v>2154</v>
      </c>
      <c r="L82" s="38" t="s">
        <v>2160</v>
      </c>
      <c r="M82" s="8">
        <v>199900</v>
      </c>
      <c r="N82" s="35">
        <v>0.9</v>
      </c>
      <c r="O82" s="34">
        <f t="shared" si="5"/>
        <v>19990</v>
      </c>
      <c r="P82" s="6" t="s">
        <v>16</v>
      </c>
    </row>
    <row r="83" spans="1:16" x14ac:dyDescent="0.35">
      <c r="A83" s="32" t="s">
        <v>6508</v>
      </c>
      <c r="B83" s="7">
        <f t="shared" si="3"/>
        <v>46121</v>
      </c>
      <c r="C83" s="7">
        <f t="shared" si="4"/>
        <v>46127</v>
      </c>
      <c r="D83" s="6">
        <v>3287</v>
      </c>
      <c r="E83" s="6">
        <v>338</v>
      </c>
      <c r="F83" s="6">
        <v>4</v>
      </c>
      <c r="G83" s="6">
        <v>2</v>
      </c>
      <c r="H83" s="6">
        <v>81421</v>
      </c>
      <c r="I83" s="6" t="s">
        <v>17</v>
      </c>
      <c r="J83" s="6">
        <v>27034657</v>
      </c>
      <c r="K83" s="6" t="s">
        <v>2161</v>
      </c>
      <c r="L83" s="38" t="s">
        <v>2162</v>
      </c>
      <c r="M83" s="8">
        <v>189900</v>
      </c>
      <c r="N83" s="35">
        <v>0.9</v>
      </c>
      <c r="O83" s="34">
        <f t="shared" si="5"/>
        <v>18990</v>
      </c>
      <c r="P83" s="6" t="s">
        <v>16</v>
      </c>
    </row>
    <row r="84" spans="1:16" x14ac:dyDescent="0.35">
      <c r="A84" s="32" t="s">
        <v>6508</v>
      </c>
      <c r="B84" s="7">
        <f t="shared" si="3"/>
        <v>46121</v>
      </c>
      <c r="C84" s="7">
        <f t="shared" si="4"/>
        <v>46127</v>
      </c>
      <c r="D84" s="6">
        <v>3287</v>
      </c>
      <c r="E84" s="6">
        <v>338</v>
      </c>
      <c r="F84" s="6">
        <v>4</v>
      </c>
      <c r="G84" s="6">
        <v>2</v>
      </c>
      <c r="H84" s="6">
        <v>81421</v>
      </c>
      <c r="I84" s="6" t="s">
        <v>17</v>
      </c>
      <c r="J84" s="6">
        <v>27034675</v>
      </c>
      <c r="K84" s="6" t="s">
        <v>2161</v>
      </c>
      <c r="L84" s="38" t="s">
        <v>2163</v>
      </c>
      <c r="M84" s="8">
        <v>189900</v>
      </c>
      <c r="N84" s="35">
        <v>0.9</v>
      </c>
      <c r="O84" s="34">
        <f t="shared" si="5"/>
        <v>18990</v>
      </c>
      <c r="P84" s="6" t="s">
        <v>16</v>
      </c>
    </row>
    <row r="85" spans="1:16" x14ac:dyDescent="0.35">
      <c r="A85" s="32" t="s">
        <v>6508</v>
      </c>
      <c r="B85" s="7">
        <f t="shared" si="3"/>
        <v>46121</v>
      </c>
      <c r="C85" s="7">
        <f t="shared" si="4"/>
        <v>46127</v>
      </c>
      <c r="D85" s="6">
        <v>3287</v>
      </c>
      <c r="E85" s="6">
        <v>338</v>
      </c>
      <c r="F85" s="6">
        <v>4</v>
      </c>
      <c r="G85" s="6">
        <v>2</v>
      </c>
      <c r="H85" s="6">
        <v>81421</v>
      </c>
      <c r="I85" s="6" t="s">
        <v>17</v>
      </c>
      <c r="J85" s="6">
        <v>32631322</v>
      </c>
      <c r="K85" s="6" t="s">
        <v>2164</v>
      </c>
      <c r="L85" s="38" t="s">
        <v>2165</v>
      </c>
      <c r="M85" s="8">
        <v>159900</v>
      </c>
      <c r="N85" s="35">
        <v>0.9</v>
      </c>
      <c r="O85" s="34">
        <f t="shared" si="5"/>
        <v>15990</v>
      </c>
      <c r="P85" s="6" t="s">
        <v>16</v>
      </c>
    </row>
    <row r="86" spans="1:16" x14ac:dyDescent="0.35">
      <c r="A86" s="32" t="s">
        <v>6508</v>
      </c>
      <c r="B86" s="7">
        <f t="shared" si="3"/>
        <v>46121</v>
      </c>
      <c r="C86" s="7">
        <f t="shared" si="4"/>
        <v>46127</v>
      </c>
      <c r="D86" s="6">
        <v>3287</v>
      </c>
      <c r="E86" s="6">
        <v>338</v>
      </c>
      <c r="F86" s="6">
        <v>4</v>
      </c>
      <c r="G86" s="6">
        <v>2</v>
      </c>
      <c r="H86" s="6">
        <v>81421</v>
      </c>
      <c r="I86" s="6" t="s">
        <v>17</v>
      </c>
      <c r="J86" s="6">
        <v>32631359</v>
      </c>
      <c r="K86" s="6" t="s">
        <v>2164</v>
      </c>
      <c r="L86" s="38" t="s">
        <v>2166</v>
      </c>
      <c r="M86" s="8">
        <v>169900</v>
      </c>
      <c r="N86" s="35">
        <v>0.9</v>
      </c>
      <c r="O86" s="34">
        <f t="shared" si="5"/>
        <v>16990</v>
      </c>
      <c r="P86" s="6" t="s">
        <v>16</v>
      </c>
    </row>
    <row r="87" spans="1:16" x14ac:dyDescent="0.35">
      <c r="A87" s="32" t="s">
        <v>6508</v>
      </c>
      <c r="B87" s="7">
        <f t="shared" si="3"/>
        <v>46121</v>
      </c>
      <c r="C87" s="7">
        <f t="shared" si="4"/>
        <v>46127</v>
      </c>
      <c r="D87" s="6">
        <v>3287</v>
      </c>
      <c r="E87" s="6">
        <v>338</v>
      </c>
      <c r="F87" s="6">
        <v>4</v>
      </c>
      <c r="G87" s="6">
        <v>2</v>
      </c>
      <c r="H87" s="6">
        <v>81421</v>
      </c>
      <c r="I87" s="6" t="s">
        <v>17</v>
      </c>
      <c r="J87" s="6">
        <v>32631368</v>
      </c>
      <c r="K87" s="6" t="s">
        <v>2164</v>
      </c>
      <c r="L87" s="38" t="s">
        <v>2167</v>
      </c>
      <c r="M87" s="8">
        <v>169900</v>
      </c>
      <c r="N87" s="35">
        <v>0.9</v>
      </c>
      <c r="O87" s="34">
        <f t="shared" si="5"/>
        <v>16990</v>
      </c>
      <c r="P87" s="6" t="s">
        <v>16</v>
      </c>
    </row>
    <row r="88" spans="1:16" x14ac:dyDescent="0.35">
      <c r="A88" s="32" t="s">
        <v>6508</v>
      </c>
      <c r="B88" s="7">
        <f t="shared" si="3"/>
        <v>46121</v>
      </c>
      <c r="C88" s="7">
        <f t="shared" si="4"/>
        <v>46127</v>
      </c>
      <c r="D88" s="6">
        <v>3287</v>
      </c>
      <c r="E88" s="6">
        <v>338</v>
      </c>
      <c r="F88" s="6">
        <v>4</v>
      </c>
      <c r="G88" s="6">
        <v>2</v>
      </c>
      <c r="H88" s="6">
        <v>81421</v>
      </c>
      <c r="I88" s="6" t="s">
        <v>17</v>
      </c>
      <c r="J88" s="6">
        <v>32631377</v>
      </c>
      <c r="K88" s="6" t="s">
        <v>2164</v>
      </c>
      <c r="L88" s="38" t="s">
        <v>2168</v>
      </c>
      <c r="M88" s="8">
        <v>169900</v>
      </c>
      <c r="N88" s="35">
        <v>0.9</v>
      </c>
      <c r="O88" s="34">
        <f t="shared" si="5"/>
        <v>16990</v>
      </c>
      <c r="P88" s="6" t="s">
        <v>16</v>
      </c>
    </row>
    <row r="89" spans="1:16" x14ac:dyDescent="0.35">
      <c r="A89" s="32" t="s">
        <v>6508</v>
      </c>
      <c r="B89" s="7">
        <f t="shared" si="3"/>
        <v>46121</v>
      </c>
      <c r="C89" s="7">
        <f t="shared" si="4"/>
        <v>46127</v>
      </c>
      <c r="D89" s="6">
        <v>3287</v>
      </c>
      <c r="E89" s="6">
        <v>338</v>
      </c>
      <c r="F89" s="6">
        <v>4</v>
      </c>
      <c r="G89" s="6">
        <v>2</v>
      </c>
      <c r="H89" s="6">
        <v>81421</v>
      </c>
      <c r="I89" s="6" t="s">
        <v>17</v>
      </c>
      <c r="J89" s="6">
        <v>32631386</v>
      </c>
      <c r="K89" s="6" t="s">
        <v>2164</v>
      </c>
      <c r="L89" s="38" t="s">
        <v>2169</v>
      </c>
      <c r="M89" s="8">
        <v>169900</v>
      </c>
      <c r="N89" s="35">
        <v>0.9</v>
      </c>
      <c r="O89" s="34">
        <f t="shared" si="5"/>
        <v>16990</v>
      </c>
      <c r="P89" s="6" t="s">
        <v>16</v>
      </c>
    </row>
    <row r="90" spans="1:16" x14ac:dyDescent="0.35">
      <c r="A90" s="32" t="s">
        <v>6508</v>
      </c>
      <c r="B90" s="7">
        <f t="shared" si="3"/>
        <v>46121</v>
      </c>
      <c r="C90" s="7">
        <f t="shared" si="4"/>
        <v>46127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17</v>
      </c>
      <c r="J90" s="6">
        <v>26389302</v>
      </c>
      <c r="K90" s="6" t="s">
        <v>2120</v>
      </c>
      <c r="L90" s="38" t="s">
        <v>2121</v>
      </c>
      <c r="M90" s="8">
        <v>199900</v>
      </c>
      <c r="N90" s="35">
        <v>0.9</v>
      </c>
      <c r="O90" s="34">
        <f t="shared" si="5"/>
        <v>19990</v>
      </c>
      <c r="P90" s="6" t="s">
        <v>16</v>
      </c>
    </row>
    <row r="91" spans="1:16" x14ac:dyDescent="0.35">
      <c r="A91" s="32" t="s">
        <v>6508</v>
      </c>
      <c r="B91" s="7">
        <f t="shared" si="3"/>
        <v>46121</v>
      </c>
      <c r="C91" s="7">
        <f t="shared" si="4"/>
        <v>46127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17</v>
      </c>
      <c r="J91" s="6">
        <v>26389311</v>
      </c>
      <c r="K91" s="6" t="s">
        <v>2120</v>
      </c>
      <c r="L91" s="38" t="s">
        <v>2122</v>
      </c>
      <c r="M91" s="8">
        <v>199900</v>
      </c>
      <c r="N91" s="35">
        <v>0.9</v>
      </c>
      <c r="O91" s="34">
        <f t="shared" si="5"/>
        <v>19990</v>
      </c>
      <c r="P91" s="6" t="s">
        <v>16</v>
      </c>
    </row>
    <row r="92" spans="1:16" x14ac:dyDescent="0.35">
      <c r="A92" s="32" t="s">
        <v>6508</v>
      </c>
      <c r="B92" s="7">
        <f t="shared" si="3"/>
        <v>46121</v>
      </c>
      <c r="C92" s="7">
        <f t="shared" si="4"/>
        <v>46127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17</v>
      </c>
      <c r="J92" s="6">
        <v>26389320</v>
      </c>
      <c r="K92" s="6" t="s">
        <v>2120</v>
      </c>
      <c r="L92" s="38" t="s">
        <v>2123</v>
      </c>
      <c r="M92" s="8">
        <v>199900</v>
      </c>
      <c r="N92" s="35">
        <v>0.9</v>
      </c>
      <c r="O92" s="34">
        <f t="shared" si="5"/>
        <v>19990</v>
      </c>
      <c r="P92" s="6" t="s">
        <v>16</v>
      </c>
    </row>
    <row r="93" spans="1:16" x14ac:dyDescent="0.35">
      <c r="A93" s="32" t="s">
        <v>6508</v>
      </c>
      <c r="B93" s="7">
        <f t="shared" si="3"/>
        <v>46121</v>
      </c>
      <c r="C93" s="7">
        <f t="shared" si="4"/>
        <v>46127</v>
      </c>
      <c r="D93" s="6">
        <v>3287</v>
      </c>
      <c r="E93" s="6">
        <v>338</v>
      </c>
      <c r="F93" s="6">
        <v>4</v>
      </c>
      <c r="G93" s="6">
        <v>2</v>
      </c>
      <c r="H93" s="6">
        <v>81588</v>
      </c>
      <c r="I93" s="6" t="s">
        <v>17</v>
      </c>
      <c r="J93" s="6">
        <v>26389339</v>
      </c>
      <c r="K93" s="6" t="s">
        <v>2120</v>
      </c>
      <c r="L93" s="38" t="s">
        <v>2124</v>
      </c>
      <c r="M93" s="8">
        <v>199900</v>
      </c>
      <c r="N93" s="35">
        <v>0.9</v>
      </c>
      <c r="O93" s="34">
        <f t="shared" si="5"/>
        <v>19990</v>
      </c>
      <c r="P93" s="6" t="s">
        <v>16</v>
      </c>
    </row>
    <row r="94" spans="1:16" x14ac:dyDescent="0.35">
      <c r="A94" s="32" t="s">
        <v>6508</v>
      </c>
      <c r="B94" s="7">
        <f t="shared" si="3"/>
        <v>46121</v>
      </c>
      <c r="C94" s="7">
        <f t="shared" si="4"/>
        <v>46127</v>
      </c>
      <c r="D94" s="6">
        <v>3287</v>
      </c>
      <c r="E94" s="6">
        <v>338</v>
      </c>
      <c r="F94" s="6">
        <v>4</v>
      </c>
      <c r="G94" s="6">
        <v>2</v>
      </c>
      <c r="H94" s="6">
        <v>81588</v>
      </c>
      <c r="I94" s="6" t="s">
        <v>17</v>
      </c>
      <c r="J94" s="6">
        <v>26389348</v>
      </c>
      <c r="K94" s="6" t="s">
        <v>2120</v>
      </c>
      <c r="L94" s="38" t="s">
        <v>2125</v>
      </c>
      <c r="M94" s="8">
        <v>199900</v>
      </c>
      <c r="N94" s="35">
        <v>0.9</v>
      </c>
      <c r="O94" s="34">
        <f t="shared" si="5"/>
        <v>19990</v>
      </c>
      <c r="P94" s="6" t="s">
        <v>16</v>
      </c>
    </row>
    <row r="95" spans="1:16" x14ac:dyDescent="0.35">
      <c r="A95" s="32" t="s">
        <v>6508</v>
      </c>
      <c r="B95" s="7">
        <f t="shared" si="3"/>
        <v>46121</v>
      </c>
      <c r="C95" s="7">
        <f t="shared" si="4"/>
        <v>46127</v>
      </c>
      <c r="D95" s="6">
        <v>3287</v>
      </c>
      <c r="E95" s="6">
        <v>338</v>
      </c>
      <c r="F95" s="6">
        <v>4</v>
      </c>
      <c r="G95" s="6">
        <v>2</v>
      </c>
      <c r="H95" s="6">
        <v>81588</v>
      </c>
      <c r="I95" s="6" t="s">
        <v>17</v>
      </c>
      <c r="J95" s="6">
        <v>26389606</v>
      </c>
      <c r="K95" s="6" t="s">
        <v>2126</v>
      </c>
      <c r="L95" s="38" t="s">
        <v>2127</v>
      </c>
      <c r="M95" s="8">
        <v>199900</v>
      </c>
      <c r="N95" s="35">
        <v>0.9</v>
      </c>
      <c r="O95" s="34">
        <f t="shared" si="5"/>
        <v>19990</v>
      </c>
      <c r="P95" s="6" t="s">
        <v>16</v>
      </c>
    </row>
    <row r="96" spans="1:16" x14ac:dyDescent="0.35">
      <c r="A96" s="32" t="s">
        <v>6508</v>
      </c>
      <c r="B96" s="7">
        <f t="shared" si="3"/>
        <v>46121</v>
      </c>
      <c r="C96" s="7">
        <f t="shared" si="4"/>
        <v>46127</v>
      </c>
      <c r="D96" s="6">
        <v>3287</v>
      </c>
      <c r="E96" s="6">
        <v>338</v>
      </c>
      <c r="F96" s="6">
        <v>4</v>
      </c>
      <c r="G96" s="6">
        <v>2</v>
      </c>
      <c r="H96" s="6">
        <v>81588</v>
      </c>
      <c r="I96" s="6" t="s">
        <v>17</v>
      </c>
      <c r="J96" s="6">
        <v>26389615</v>
      </c>
      <c r="K96" s="6" t="s">
        <v>2126</v>
      </c>
      <c r="L96" s="38" t="s">
        <v>2128</v>
      </c>
      <c r="M96" s="8">
        <v>199900</v>
      </c>
      <c r="N96" s="35">
        <v>0.9</v>
      </c>
      <c r="O96" s="34">
        <f t="shared" si="5"/>
        <v>19990</v>
      </c>
      <c r="P96" s="6" t="s">
        <v>16</v>
      </c>
    </row>
    <row r="97" spans="1:16" x14ac:dyDescent="0.35">
      <c r="A97" s="32" t="s">
        <v>6508</v>
      </c>
      <c r="B97" s="7">
        <f t="shared" si="3"/>
        <v>46121</v>
      </c>
      <c r="C97" s="7">
        <f t="shared" si="4"/>
        <v>46127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17</v>
      </c>
      <c r="J97" s="6">
        <v>27022893</v>
      </c>
      <c r="K97" s="6" t="s">
        <v>2170</v>
      </c>
      <c r="L97" s="38" t="s">
        <v>2171</v>
      </c>
      <c r="M97" s="8">
        <v>34900</v>
      </c>
      <c r="N97" s="35">
        <v>0.9</v>
      </c>
      <c r="O97" s="34">
        <f t="shared" si="5"/>
        <v>3490</v>
      </c>
      <c r="P97" s="6" t="s">
        <v>16</v>
      </c>
    </row>
    <row r="98" spans="1:16" x14ac:dyDescent="0.35">
      <c r="A98" s="32" t="s">
        <v>6508</v>
      </c>
      <c r="B98" s="7">
        <f t="shared" si="3"/>
        <v>46121</v>
      </c>
      <c r="C98" s="7">
        <f t="shared" si="4"/>
        <v>46127</v>
      </c>
      <c r="D98" s="6">
        <v>3287</v>
      </c>
      <c r="E98" s="6">
        <v>338</v>
      </c>
      <c r="F98" s="6">
        <v>4</v>
      </c>
      <c r="G98" s="6">
        <v>3</v>
      </c>
      <c r="H98" s="6">
        <v>81421</v>
      </c>
      <c r="I98" s="6" t="s">
        <v>17</v>
      </c>
      <c r="J98" s="6">
        <v>28085618</v>
      </c>
      <c r="K98" s="6" t="s">
        <v>2172</v>
      </c>
      <c r="L98" s="38" t="s">
        <v>2173</v>
      </c>
      <c r="M98" s="8">
        <v>34900</v>
      </c>
      <c r="N98" s="35">
        <v>0.9</v>
      </c>
      <c r="O98" s="34">
        <f t="shared" si="5"/>
        <v>3490</v>
      </c>
      <c r="P98" s="6" t="s">
        <v>16</v>
      </c>
    </row>
    <row r="99" spans="1:16" x14ac:dyDescent="0.35">
      <c r="A99" s="32" t="s">
        <v>6508</v>
      </c>
      <c r="B99" s="7">
        <f t="shared" si="3"/>
        <v>46121</v>
      </c>
      <c r="C99" s="7">
        <f t="shared" si="4"/>
        <v>46127</v>
      </c>
      <c r="D99" s="6">
        <v>3287</v>
      </c>
      <c r="E99" s="6">
        <v>338</v>
      </c>
      <c r="F99" s="6">
        <v>4</v>
      </c>
      <c r="G99" s="6">
        <v>3</v>
      </c>
      <c r="H99" s="6">
        <v>81421</v>
      </c>
      <c r="I99" s="6" t="s">
        <v>17</v>
      </c>
      <c r="J99" s="6">
        <v>28085627</v>
      </c>
      <c r="K99" s="6" t="s">
        <v>2172</v>
      </c>
      <c r="L99" s="38" t="s">
        <v>2174</v>
      </c>
      <c r="M99" s="8">
        <v>34900</v>
      </c>
      <c r="N99" s="35">
        <v>0.9</v>
      </c>
      <c r="O99" s="34">
        <f t="shared" si="5"/>
        <v>3490</v>
      </c>
      <c r="P99" s="6" t="s">
        <v>16</v>
      </c>
    </row>
    <row r="100" spans="1:16" x14ac:dyDescent="0.35">
      <c r="A100" s="32" t="s">
        <v>6508</v>
      </c>
      <c r="B100" s="7">
        <f t="shared" si="3"/>
        <v>46121</v>
      </c>
      <c r="C100" s="7">
        <f t="shared" si="4"/>
        <v>46127</v>
      </c>
      <c r="D100" s="6">
        <v>3287</v>
      </c>
      <c r="E100" s="6">
        <v>338</v>
      </c>
      <c r="F100" s="6">
        <v>4</v>
      </c>
      <c r="G100" s="6">
        <v>3</v>
      </c>
      <c r="H100" s="6">
        <v>81421</v>
      </c>
      <c r="I100" s="6" t="s">
        <v>17</v>
      </c>
      <c r="J100" s="6">
        <v>28085636</v>
      </c>
      <c r="K100" s="6" t="s">
        <v>2172</v>
      </c>
      <c r="L100" s="38" t="s">
        <v>2175</v>
      </c>
      <c r="M100" s="8">
        <v>34900</v>
      </c>
      <c r="N100" s="35">
        <v>0.9</v>
      </c>
      <c r="O100" s="34">
        <f t="shared" si="5"/>
        <v>3490</v>
      </c>
      <c r="P100" s="6" t="s">
        <v>16</v>
      </c>
    </row>
    <row r="101" spans="1:16" x14ac:dyDescent="0.35">
      <c r="A101" s="32" t="s">
        <v>6508</v>
      </c>
      <c r="B101" s="7">
        <f t="shared" si="3"/>
        <v>46121</v>
      </c>
      <c r="C101" s="7">
        <f t="shared" si="4"/>
        <v>46127</v>
      </c>
      <c r="D101" s="6">
        <v>3287</v>
      </c>
      <c r="E101" s="6">
        <v>338</v>
      </c>
      <c r="F101" s="6">
        <v>4</v>
      </c>
      <c r="G101" s="6">
        <v>3</v>
      </c>
      <c r="H101" s="6">
        <v>81421</v>
      </c>
      <c r="I101" s="6" t="s">
        <v>17</v>
      </c>
      <c r="J101" s="6">
        <v>32631788</v>
      </c>
      <c r="K101" s="6" t="s">
        <v>2176</v>
      </c>
      <c r="L101" s="38" t="s">
        <v>2177</v>
      </c>
      <c r="M101" s="8">
        <v>34900</v>
      </c>
      <c r="N101" s="35">
        <v>0.9</v>
      </c>
      <c r="O101" s="34">
        <f t="shared" si="5"/>
        <v>3490</v>
      </c>
      <c r="P101" s="6" t="s">
        <v>16</v>
      </c>
    </row>
    <row r="102" spans="1:16" x14ac:dyDescent="0.35">
      <c r="A102" s="32" t="s">
        <v>6508</v>
      </c>
      <c r="B102" s="7">
        <f t="shared" si="3"/>
        <v>46121</v>
      </c>
      <c r="C102" s="7">
        <f t="shared" si="4"/>
        <v>46127</v>
      </c>
      <c r="D102" s="6">
        <v>3287</v>
      </c>
      <c r="E102" s="6">
        <v>338</v>
      </c>
      <c r="F102" s="6">
        <v>4</v>
      </c>
      <c r="G102" s="6">
        <v>3</v>
      </c>
      <c r="H102" s="6">
        <v>81421</v>
      </c>
      <c r="I102" s="6" t="s">
        <v>17</v>
      </c>
      <c r="J102" s="6">
        <v>32631822</v>
      </c>
      <c r="K102" s="6" t="s">
        <v>2178</v>
      </c>
      <c r="L102" s="38" t="s">
        <v>2179</v>
      </c>
      <c r="M102" s="8">
        <v>34900</v>
      </c>
      <c r="N102" s="35">
        <v>0.9</v>
      </c>
      <c r="O102" s="34">
        <f t="shared" si="5"/>
        <v>3490</v>
      </c>
      <c r="P102" s="6" t="s">
        <v>16</v>
      </c>
    </row>
    <row r="103" spans="1:16" x14ac:dyDescent="0.35">
      <c r="A103" s="32" t="s">
        <v>6508</v>
      </c>
      <c r="B103" s="7">
        <f t="shared" si="3"/>
        <v>46121</v>
      </c>
      <c r="C103" s="7">
        <f t="shared" si="4"/>
        <v>46127</v>
      </c>
      <c r="D103" s="6">
        <v>3287</v>
      </c>
      <c r="E103" s="6">
        <v>338</v>
      </c>
      <c r="F103" s="6">
        <v>4</v>
      </c>
      <c r="G103" s="6">
        <v>3</v>
      </c>
      <c r="H103" s="6">
        <v>81574</v>
      </c>
      <c r="I103" s="6" t="s">
        <v>17</v>
      </c>
      <c r="J103" s="6">
        <v>32631671</v>
      </c>
      <c r="K103" s="6" t="s">
        <v>2180</v>
      </c>
      <c r="L103" s="38" t="s">
        <v>2181</v>
      </c>
      <c r="M103" s="8">
        <v>34900</v>
      </c>
      <c r="N103" s="35">
        <v>0.9</v>
      </c>
      <c r="O103" s="34">
        <f t="shared" si="5"/>
        <v>3490</v>
      </c>
      <c r="P103" s="6" t="s">
        <v>16</v>
      </c>
    </row>
    <row r="104" spans="1:16" x14ac:dyDescent="0.35">
      <c r="A104" s="32" t="s">
        <v>6508</v>
      </c>
      <c r="B104" s="7">
        <f t="shared" si="3"/>
        <v>46121</v>
      </c>
      <c r="C104" s="7">
        <f t="shared" si="4"/>
        <v>46127</v>
      </c>
      <c r="D104" s="6">
        <v>3287</v>
      </c>
      <c r="E104" s="6">
        <v>338</v>
      </c>
      <c r="F104" s="6">
        <v>4</v>
      </c>
      <c r="G104" s="6">
        <v>3</v>
      </c>
      <c r="H104" s="6">
        <v>81574</v>
      </c>
      <c r="I104" s="6" t="s">
        <v>17</v>
      </c>
      <c r="J104" s="6">
        <v>32631680</v>
      </c>
      <c r="K104" s="6" t="s">
        <v>2180</v>
      </c>
      <c r="L104" s="38" t="s">
        <v>2182</v>
      </c>
      <c r="M104" s="8">
        <v>34900</v>
      </c>
      <c r="N104" s="35">
        <v>0.9</v>
      </c>
      <c r="O104" s="34">
        <f t="shared" si="5"/>
        <v>3490</v>
      </c>
      <c r="P104" s="6" t="s">
        <v>16</v>
      </c>
    </row>
    <row r="105" spans="1:16" x14ac:dyDescent="0.35">
      <c r="A105" s="32" t="s">
        <v>6508</v>
      </c>
      <c r="B105" s="7">
        <f t="shared" si="3"/>
        <v>46121</v>
      </c>
      <c r="C105" s="7">
        <f t="shared" si="4"/>
        <v>46127</v>
      </c>
      <c r="D105" s="6">
        <v>3287</v>
      </c>
      <c r="E105" s="6">
        <v>338</v>
      </c>
      <c r="F105" s="6">
        <v>4</v>
      </c>
      <c r="G105" s="6">
        <v>3</v>
      </c>
      <c r="H105" s="6">
        <v>81574</v>
      </c>
      <c r="I105" s="6" t="s">
        <v>17</v>
      </c>
      <c r="J105" s="6">
        <v>32631706</v>
      </c>
      <c r="K105" s="6" t="s">
        <v>2180</v>
      </c>
      <c r="L105" s="38" t="s">
        <v>2183</v>
      </c>
      <c r="M105" s="8">
        <v>34900</v>
      </c>
      <c r="N105" s="35">
        <v>0.9</v>
      </c>
      <c r="O105" s="34">
        <f t="shared" si="5"/>
        <v>3490</v>
      </c>
      <c r="P105" s="6" t="s">
        <v>16</v>
      </c>
    </row>
    <row r="106" spans="1:16" x14ac:dyDescent="0.35">
      <c r="A106" s="32" t="s">
        <v>6508</v>
      </c>
      <c r="B106" s="7">
        <f t="shared" si="3"/>
        <v>46121</v>
      </c>
      <c r="C106" s="7">
        <f t="shared" si="4"/>
        <v>46127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17</v>
      </c>
      <c r="J106" s="6">
        <v>32631715</v>
      </c>
      <c r="K106" s="6" t="s">
        <v>2184</v>
      </c>
      <c r="L106" s="38" t="s">
        <v>2185</v>
      </c>
      <c r="M106" s="8">
        <v>34900</v>
      </c>
      <c r="N106" s="35">
        <v>0.9</v>
      </c>
      <c r="O106" s="34">
        <f t="shared" si="5"/>
        <v>3490</v>
      </c>
      <c r="P106" s="6" t="s">
        <v>16</v>
      </c>
    </row>
    <row r="107" spans="1:16" x14ac:dyDescent="0.35">
      <c r="A107" s="32" t="s">
        <v>6508</v>
      </c>
      <c r="B107" s="7">
        <f t="shared" si="3"/>
        <v>46121</v>
      </c>
      <c r="C107" s="7">
        <f t="shared" si="4"/>
        <v>46127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17</v>
      </c>
      <c r="J107" s="6">
        <v>32631724</v>
      </c>
      <c r="K107" s="6" t="s">
        <v>2184</v>
      </c>
      <c r="L107" s="38" t="s">
        <v>2186</v>
      </c>
      <c r="M107" s="8">
        <v>34900</v>
      </c>
      <c r="N107" s="35">
        <v>0.9</v>
      </c>
      <c r="O107" s="34">
        <f t="shared" si="5"/>
        <v>3490</v>
      </c>
      <c r="P107" s="6" t="s">
        <v>16</v>
      </c>
    </row>
    <row r="108" spans="1:16" x14ac:dyDescent="0.35">
      <c r="A108" s="32" t="s">
        <v>6508</v>
      </c>
      <c r="B108" s="7">
        <f t="shared" si="3"/>
        <v>46121</v>
      </c>
      <c r="C108" s="7">
        <f t="shared" si="4"/>
        <v>46127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17</v>
      </c>
      <c r="J108" s="6">
        <v>32631733</v>
      </c>
      <c r="K108" s="6" t="s">
        <v>2184</v>
      </c>
      <c r="L108" s="38" t="s">
        <v>2187</v>
      </c>
      <c r="M108" s="8">
        <v>34900</v>
      </c>
      <c r="N108" s="35">
        <v>0.9</v>
      </c>
      <c r="O108" s="34">
        <f t="shared" si="5"/>
        <v>3490</v>
      </c>
      <c r="P108" s="6" t="s">
        <v>16</v>
      </c>
    </row>
    <row r="109" spans="1:16" x14ac:dyDescent="0.35">
      <c r="A109" s="32" t="s">
        <v>6508</v>
      </c>
      <c r="B109" s="7">
        <f t="shared" si="3"/>
        <v>46121</v>
      </c>
      <c r="C109" s="7">
        <f t="shared" si="4"/>
        <v>46127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17</v>
      </c>
      <c r="J109" s="6">
        <v>32631742</v>
      </c>
      <c r="K109" s="6" t="s">
        <v>2184</v>
      </c>
      <c r="L109" s="38" t="s">
        <v>2188</v>
      </c>
      <c r="M109" s="8">
        <v>34900</v>
      </c>
      <c r="N109" s="35">
        <v>0.9</v>
      </c>
      <c r="O109" s="34">
        <f t="shared" si="5"/>
        <v>3490</v>
      </c>
      <c r="P109" s="6" t="s">
        <v>16</v>
      </c>
    </row>
    <row r="110" spans="1:16" x14ac:dyDescent="0.35">
      <c r="A110" s="32" t="s">
        <v>6508</v>
      </c>
      <c r="B110" s="7">
        <f t="shared" si="3"/>
        <v>46121</v>
      </c>
      <c r="C110" s="7">
        <f t="shared" si="4"/>
        <v>46127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17</v>
      </c>
      <c r="J110" s="6">
        <v>33220032</v>
      </c>
      <c r="K110" s="6" t="s">
        <v>2189</v>
      </c>
      <c r="L110" s="38" t="s">
        <v>2190</v>
      </c>
      <c r="M110" s="8">
        <v>34900</v>
      </c>
      <c r="N110" s="35">
        <v>0.9</v>
      </c>
      <c r="O110" s="34">
        <f t="shared" si="5"/>
        <v>3490</v>
      </c>
      <c r="P110" s="6" t="s">
        <v>16</v>
      </c>
    </row>
    <row r="111" spans="1:16" x14ac:dyDescent="0.35">
      <c r="A111" s="32" t="s">
        <v>6508</v>
      </c>
      <c r="B111" s="7">
        <f t="shared" si="3"/>
        <v>46121</v>
      </c>
      <c r="C111" s="7">
        <f t="shared" si="4"/>
        <v>46127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17</v>
      </c>
      <c r="J111" s="6">
        <v>33220041</v>
      </c>
      <c r="K111" s="6" t="s">
        <v>2189</v>
      </c>
      <c r="L111" s="38" t="s">
        <v>2191</v>
      </c>
      <c r="M111" s="8">
        <v>34900</v>
      </c>
      <c r="N111" s="35">
        <v>0.9</v>
      </c>
      <c r="O111" s="34">
        <f t="shared" si="5"/>
        <v>3490</v>
      </c>
      <c r="P111" s="6" t="s">
        <v>16</v>
      </c>
    </row>
    <row r="112" spans="1:16" x14ac:dyDescent="0.35">
      <c r="A112" s="32" t="s">
        <v>6508</v>
      </c>
      <c r="B112" s="7">
        <f t="shared" si="3"/>
        <v>46121</v>
      </c>
      <c r="C112" s="7">
        <f t="shared" si="4"/>
        <v>46127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17</v>
      </c>
      <c r="J112" s="6">
        <v>33220130</v>
      </c>
      <c r="K112" s="6" t="s">
        <v>2192</v>
      </c>
      <c r="L112" s="38" t="s">
        <v>2193</v>
      </c>
      <c r="M112" s="8">
        <v>34900</v>
      </c>
      <c r="N112" s="35">
        <v>0.9</v>
      </c>
      <c r="O112" s="34">
        <f t="shared" si="5"/>
        <v>3490</v>
      </c>
      <c r="P112" s="6" t="s">
        <v>16</v>
      </c>
    </row>
    <row r="113" spans="1:16" x14ac:dyDescent="0.35">
      <c r="A113" s="32" t="s">
        <v>6508</v>
      </c>
      <c r="B113" s="7">
        <f t="shared" si="3"/>
        <v>46121</v>
      </c>
      <c r="C113" s="7">
        <f t="shared" si="4"/>
        <v>46127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17</v>
      </c>
      <c r="J113" s="6">
        <v>33220149</v>
      </c>
      <c r="K113" s="6" t="s">
        <v>2192</v>
      </c>
      <c r="L113" s="38" t="s">
        <v>2194</v>
      </c>
      <c r="M113" s="8">
        <v>34900</v>
      </c>
      <c r="N113" s="35">
        <v>0.9</v>
      </c>
      <c r="O113" s="34">
        <f t="shared" si="5"/>
        <v>3490</v>
      </c>
      <c r="P113" s="6" t="s">
        <v>16</v>
      </c>
    </row>
    <row r="114" spans="1:16" x14ac:dyDescent="0.35">
      <c r="A114" s="32" t="s">
        <v>6508</v>
      </c>
      <c r="B114" s="7">
        <f t="shared" si="3"/>
        <v>46121</v>
      </c>
      <c r="C114" s="7">
        <f t="shared" si="4"/>
        <v>46127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17</v>
      </c>
      <c r="J114" s="6">
        <v>33220201</v>
      </c>
      <c r="K114" s="6" t="s">
        <v>2195</v>
      </c>
      <c r="L114" s="38" t="s">
        <v>2196</v>
      </c>
      <c r="M114" s="8">
        <v>34900</v>
      </c>
      <c r="N114" s="35">
        <v>0.9</v>
      </c>
      <c r="O114" s="34">
        <f t="shared" si="5"/>
        <v>3490</v>
      </c>
      <c r="P114" s="6" t="s">
        <v>16</v>
      </c>
    </row>
    <row r="115" spans="1:16" x14ac:dyDescent="0.35">
      <c r="A115" s="32" t="s">
        <v>6508</v>
      </c>
      <c r="B115" s="7">
        <f t="shared" si="3"/>
        <v>46121</v>
      </c>
      <c r="C115" s="7">
        <f t="shared" si="4"/>
        <v>46127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17</v>
      </c>
      <c r="J115" s="6">
        <v>33220210</v>
      </c>
      <c r="K115" s="6" t="s">
        <v>2195</v>
      </c>
      <c r="L115" s="38" t="s">
        <v>2197</v>
      </c>
      <c r="M115" s="8">
        <v>34900</v>
      </c>
      <c r="N115" s="35">
        <v>0.9</v>
      </c>
      <c r="O115" s="34">
        <f t="shared" si="5"/>
        <v>3490</v>
      </c>
      <c r="P115" s="6" t="s">
        <v>16</v>
      </c>
    </row>
    <row r="116" spans="1:16" x14ac:dyDescent="0.35">
      <c r="A116" s="32" t="s">
        <v>6508</v>
      </c>
      <c r="B116" s="7">
        <f t="shared" si="3"/>
        <v>46121</v>
      </c>
      <c r="C116" s="7">
        <f t="shared" si="4"/>
        <v>46127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17</v>
      </c>
      <c r="J116" s="6">
        <v>33220229</v>
      </c>
      <c r="K116" s="6" t="s">
        <v>2195</v>
      </c>
      <c r="L116" s="38" t="s">
        <v>2198</v>
      </c>
      <c r="M116" s="8">
        <v>34900</v>
      </c>
      <c r="N116" s="35">
        <v>0.9</v>
      </c>
      <c r="O116" s="34">
        <f t="shared" si="5"/>
        <v>3490</v>
      </c>
      <c r="P116" s="6" t="s">
        <v>16</v>
      </c>
    </row>
    <row r="117" spans="1:16" x14ac:dyDescent="0.35">
      <c r="A117" s="32" t="s">
        <v>6508</v>
      </c>
      <c r="B117" s="7">
        <f t="shared" si="3"/>
        <v>46121</v>
      </c>
      <c r="C117" s="7">
        <f t="shared" si="4"/>
        <v>46127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17</v>
      </c>
      <c r="J117" s="6">
        <v>33220238</v>
      </c>
      <c r="K117" s="6" t="s">
        <v>2195</v>
      </c>
      <c r="L117" s="38" t="s">
        <v>2199</v>
      </c>
      <c r="M117" s="8">
        <v>34900</v>
      </c>
      <c r="N117" s="35">
        <v>0.9</v>
      </c>
      <c r="O117" s="34">
        <f t="shared" si="5"/>
        <v>3490</v>
      </c>
      <c r="P117" s="6" t="s">
        <v>16</v>
      </c>
    </row>
    <row r="118" spans="1:16" x14ac:dyDescent="0.35">
      <c r="A118" s="32" t="s">
        <v>6508</v>
      </c>
      <c r="B118" s="7">
        <f t="shared" si="3"/>
        <v>46121</v>
      </c>
      <c r="C118" s="7">
        <f t="shared" si="4"/>
        <v>46127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17</v>
      </c>
      <c r="J118" s="6">
        <v>33260936</v>
      </c>
      <c r="K118" s="6" t="s">
        <v>2200</v>
      </c>
      <c r="L118" s="38" t="s">
        <v>2201</v>
      </c>
      <c r="M118" s="8">
        <v>34900</v>
      </c>
      <c r="N118" s="35">
        <v>0.9</v>
      </c>
      <c r="O118" s="34">
        <f t="shared" si="5"/>
        <v>3490</v>
      </c>
      <c r="P118" s="6" t="s">
        <v>16</v>
      </c>
    </row>
    <row r="119" spans="1:16" x14ac:dyDescent="0.35">
      <c r="A119" s="32" t="s">
        <v>6508</v>
      </c>
      <c r="B119" s="7">
        <f t="shared" si="3"/>
        <v>46121</v>
      </c>
      <c r="C119" s="7">
        <f t="shared" si="4"/>
        <v>46127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17</v>
      </c>
      <c r="J119" s="6">
        <v>33260945</v>
      </c>
      <c r="K119" s="6" t="s">
        <v>2200</v>
      </c>
      <c r="L119" s="38" t="s">
        <v>2202</v>
      </c>
      <c r="M119" s="8">
        <v>34900</v>
      </c>
      <c r="N119" s="35">
        <v>0.9</v>
      </c>
      <c r="O119" s="34">
        <f t="shared" si="5"/>
        <v>3490</v>
      </c>
      <c r="P119" s="6" t="s">
        <v>16</v>
      </c>
    </row>
    <row r="120" spans="1:16" x14ac:dyDescent="0.35">
      <c r="A120" s="32" t="s">
        <v>6508</v>
      </c>
      <c r="B120" s="7">
        <f t="shared" si="3"/>
        <v>46121</v>
      </c>
      <c r="C120" s="7">
        <f t="shared" si="4"/>
        <v>46127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17</v>
      </c>
      <c r="J120" s="6">
        <v>33261079</v>
      </c>
      <c r="K120" s="6" t="s">
        <v>2203</v>
      </c>
      <c r="L120" s="38" t="s">
        <v>2204</v>
      </c>
      <c r="M120" s="8">
        <v>34900</v>
      </c>
      <c r="N120" s="35">
        <v>0.9</v>
      </c>
      <c r="O120" s="34">
        <f t="shared" si="5"/>
        <v>3490</v>
      </c>
      <c r="P120" s="6" t="s">
        <v>16</v>
      </c>
    </row>
    <row r="121" spans="1:16" x14ac:dyDescent="0.35">
      <c r="A121" s="32" t="s">
        <v>6508</v>
      </c>
      <c r="B121" s="7">
        <f t="shared" si="3"/>
        <v>46121</v>
      </c>
      <c r="C121" s="7">
        <f t="shared" si="4"/>
        <v>46127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17</v>
      </c>
      <c r="J121" s="6">
        <v>33261088</v>
      </c>
      <c r="K121" s="6" t="s">
        <v>2203</v>
      </c>
      <c r="L121" s="38" t="s">
        <v>2205</v>
      </c>
      <c r="M121" s="8">
        <v>34900</v>
      </c>
      <c r="N121" s="35">
        <v>0.9</v>
      </c>
      <c r="O121" s="34">
        <f t="shared" si="5"/>
        <v>3490</v>
      </c>
      <c r="P121" s="6" t="s">
        <v>16</v>
      </c>
    </row>
    <row r="122" spans="1:16" x14ac:dyDescent="0.35">
      <c r="A122" s="32" t="s">
        <v>6508</v>
      </c>
      <c r="B122" s="7">
        <f t="shared" si="3"/>
        <v>46121</v>
      </c>
      <c r="C122" s="7">
        <f t="shared" si="4"/>
        <v>46127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17</v>
      </c>
      <c r="J122" s="6">
        <v>33261097</v>
      </c>
      <c r="K122" s="6" t="s">
        <v>2203</v>
      </c>
      <c r="L122" s="38" t="s">
        <v>2206</v>
      </c>
      <c r="M122" s="8">
        <v>34900</v>
      </c>
      <c r="N122" s="35">
        <v>0.9</v>
      </c>
      <c r="O122" s="34">
        <f t="shared" si="5"/>
        <v>3490</v>
      </c>
      <c r="P122" s="6" t="s">
        <v>16</v>
      </c>
    </row>
    <row r="123" spans="1:16" x14ac:dyDescent="0.35">
      <c r="A123" s="32" t="s">
        <v>6508</v>
      </c>
      <c r="B123" s="7">
        <f t="shared" si="3"/>
        <v>46121</v>
      </c>
      <c r="C123" s="7">
        <f t="shared" si="4"/>
        <v>46127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17</v>
      </c>
      <c r="J123" s="6">
        <v>33261104</v>
      </c>
      <c r="K123" s="6" t="s">
        <v>2203</v>
      </c>
      <c r="L123" s="38" t="s">
        <v>2207</v>
      </c>
      <c r="M123" s="8">
        <v>34900</v>
      </c>
      <c r="N123" s="35">
        <v>0.9</v>
      </c>
      <c r="O123" s="34">
        <f t="shared" si="5"/>
        <v>3490</v>
      </c>
      <c r="P123" s="6" t="s">
        <v>16</v>
      </c>
    </row>
    <row r="124" spans="1:16" x14ac:dyDescent="0.35">
      <c r="A124" s="32" t="s">
        <v>6508</v>
      </c>
      <c r="B124" s="7">
        <f t="shared" si="3"/>
        <v>46121</v>
      </c>
      <c r="C124" s="7">
        <f t="shared" si="4"/>
        <v>46127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17</v>
      </c>
      <c r="J124" s="6">
        <v>33417320</v>
      </c>
      <c r="K124" s="6" t="s">
        <v>2208</v>
      </c>
      <c r="L124" s="38" t="s">
        <v>2209</v>
      </c>
      <c r="M124" s="8">
        <v>34900</v>
      </c>
      <c r="N124" s="35">
        <v>0.9</v>
      </c>
      <c r="O124" s="34">
        <f t="shared" si="5"/>
        <v>3490</v>
      </c>
      <c r="P124" s="6" t="s">
        <v>16</v>
      </c>
    </row>
    <row r="125" spans="1:16" x14ac:dyDescent="0.35">
      <c r="A125" s="32" t="s">
        <v>6508</v>
      </c>
      <c r="B125" s="7">
        <f t="shared" si="3"/>
        <v>46121</v>
      </c>
      <c r="C125" s="7">
        <f t="shared" si="4"/>
        <v>46127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17</v>
      </c>
      <c r="J125" s="6">
        <v>33417339</v>
      </c>
      <c r="K125" s="6" t="s">
        <v>2208</v>
      </c>
      <c r="L125" s="38" t="s">
        <v>2210</v>
      </c>
      <c r="M125" s="8">
        <v>34900</v>
      </c>
      <c r="N125" s="35">
        <v>0.9</v>
      </c>
      <c r="O125" s="34">
        <f t="shared" si="5"/>
        <v>3490</v>
      </c>
      <c r="P125" s="6" t="s">
        <v>16</v>
      </c>
    </row>
    <row r="126" spans="1:16" x14ac:dyDescent="0.35">
      <c r="A126" s="32" t="s">
        <v>6508</v>
      </c>
      <c r="B126" s="7">
        <f t="shared" si="3"/>
        <v>46121</v>
      </c>
      <c r="C126" s="7">
        <f t="shared" si="4"/>
        <v>46127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17</v>
      </c>
      <c r="J126" s="6">
        <v>33417348</v>
      </c>
      <c r="K126" s="6" t="s">
        <v>2208</v>
      </c>
      <c r="L126" s="38" t="s">
        <v>2211</v>
      </c>
      <c r="M126" s="8">
        <v>34900</v>
      </c>
      <c r="N126" s="35">
        <v>0.9</v>
      </c>
      <c r="O126" s="34">
        <f t="shared" si="5"/>
        <v>3490</v>
      </c>
      <c r="P126" s="6" t="s">
        <v>16</v>
      </c>
    </row>
    <row r="127" spans="1:16" x14ac:dyDescent="0.35">
      <c r="A127" s="32" t="s">
        <v>6508</v>
      </c>
      <c r="B127" s="7">
        <f t="shared" si="3"/>
        <v>46121</v>
      </c>
      <c r="C127" s="7">
        <f t="shared" si="4"/>
        <v>46127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17</v>
      </c>
      <c r="J127" s="6">
        <v>33417357</v>
      </c>
      <c r="K127" s="6" t="s">
        <v>2208</v>
      </c>
      <c r="L127" s="38" t="s">
        <v>2212</v>
      </c>
      <c r="M127" s="8">
        <v>34900</v>
      </c>
      <c r="N127" s="35">
        <v>0.9</v>
      </c>
      <c r="O127" s="34">
        <f t="shared" si="5"/>
        <v>3490</v>
      </c>
      <c r="P127" s="6" t="s">
        <v>16</v>
      </c>
    </row>
    <row r="128" spans="1:16" x14ac:dyDescent="0.35">
      <c r="A128" s="32" t="s">
        <v>6508</v>
      </c>
      <c r="B128" s="7">
        <f t="shared" si="3"/>
        <v>46121</v>
      </c>
      <c r="C128" s="7">
        <f t="shared" si="4"/>
        <v>46127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17</v>
      </c>
      <c r="J128" s="6">
        <v>33417366</v>
      </c>
      <c r="K128" s="6" t="s">
        <v>2213</v>
      </c>
      <c r="L128" s="38" t="s">
        <v>2214</v>
      </c>
      <c r="M128" s="8">
        <v>34900</v>
      </c>
      <c r="N128" s="35">
        <v>0.9</v>
      </c>
      <c r="O128" s="34">
        <f t="shared" si="5"/>
        <v>3490</v>
      </c>
      <c r="P128" s="6" t="s">
        <v>16</v>
      </c>
    </row>
    <row r="129" spans="1:16" x14ac:dyDescent="0.35">
      <c r="A129" s="32" t="s">
        <v>6508</v>
      </c>
      <c r="B129" s="7">
        <f t="shared" si="3"/>
        <v>46121</v>
      </c>
      <c r="C129" s="7">
        <f t="shared" si="4"/>
        <v>46127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17</v>
      </c>
      <c r="J129" s="6">
        <v>33417375</v>
      </c>
      <c r="K129" s="6" t="s">
        <v>2213</v>
      </c>
      <c r="L129" s="38" t="s">
        <v>2215</v>
      </c>
      <c r="M129" s="8">
        <v>34900</v>
      </c>
      <c r="N129" s="35">
        <v>0.9</v>
      </c>
      <c r="O129" s="34">
        <f t="shared" si="5"/>
        <v>3490</v>
      </c>
      <c r="P129" s="6" t="s">
        <v>16</v>
      </c>
    </row>
    <row r="130" spans="1:16" x14ac:dyDescent="0.35">
      <c r="A130" s="32" t="s">
        <v>6508</v>
      </c>
      <c r="B130" s="7">
        <f t="shared" si="3"/>
        <v>46121</v>
      </c>
      <c r="C130" s="7">
        <f t="shared" si="4"/>
        <v>46127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17</v>
      </c>
      <c r="J130" s="6">
        <v>33417393</v>
      </c>
      <c r="K130" s="6" t="s">
        <v>2213</v>
      </c>
      <c r="L130" s="38" t="s">
        <v>2216</v>
      </c>
      <c r="M130" s="8">
        <v>34900</v>
      </c>
      <c r="N130" s="35">
        <v>0.9</v>
      </c>
      <c r="O130" s="34">
        <f t="shared" si="5"/>
        <v>3490</v>
      </c>
      <c r="P130" s="6" t="s">
        <v>16</v>
      </c>
    </row>
    <row r="131" spans="1:16" x14ac:dyDescent="0.35">
      <c r="A131" s="32" t="s">
        <v>6508</v>
      </c>
      <c r="B131" s="7">
        <f>B130</f>
        <v>46121</v>
      </c>
      <c r="C131" s="7">
        <f>C130</f>
        <v>46127</v>
      </c>
      <c r="D131" s="6">
        <v>3287</v>
      </c>
      <c r="E131" s="6">
        <v>338</v>
      </c>
      <c r="F131" s="6">
        <v>4</v>
      </c>
      <c r="G131" s="6">
        <v>4</v>
      </c>
      <c r="H131" s="6">
        <v>81379</v>
      </c>
      <c r="I131" s="6" t="s">
        <v>17</v>
      </c>
      <c r="J131" s="6">
        <v>31303250</v>
      </c>
      <c r="K131" s="6" t="s">
        <v>2255</v>
      </c>
      <c r="L131" s="38" t="s">
        <v>2256</v>
      </c>
      <c r="M131" s="8">
        <v>179900</v>
      </c>
      <c r="N131" s="35">
        <v>0.9</v>
      </c>
      <c r="O131" s="34">
        <f t="shared" si="5"/>
        <v>17990</v>
      </c>
      <c r="P131" s="6" t="s">
        <v>16</v>
      </c>
    </row>
    <row r="132" spans="1:16" x14ac:dyDescent="0.35">
      <c r="A132" s="32" t="s">
        <v>6508</v>
      </c>
      <c r="B132" s="7">
        <f t="shared" ref="B132:B189" si="6">B131</f>
        <v>46121</v>
      </c>
      <c r="C132" s="7">
        <f t="shared" ref="C132:C189" si="7">C131</f>
        <v>46127</v>
      </c>
      <c r="D132" s="6">
        <v>3287</v>
      </c>
      <c r="E132" s="6">
        <v>338</v>
      </c>
      <c r="F132" s="6">
        <v>4</v>
      </c>
      <c r="G132" s="6">
        <v>4</v>
      </c>
      <c r="H132" s="6">
        <v>81379</v>
      </c>
      <c r="I132" s="6" t="s">
        <v>17</v>
      </c>
      <c r="J132" s="6">
        <v>31303303</v>
      </c>
      <c r="K132" s="6" t="s">
        <v>2255</v>
      </c>
      <c r="L132" s="38" t="s">
        <v>2257</v>
      </c>
      <c r="M132" s="8">
        <v>189900</v>
      </c>
      <c r="N132" s="35">
        <v>0.9</v>
      </c>
      <c r="O132" s="34">
        <f t="shared" ref="O132:O195" si="8">M132-((90*M132)/100)</f>
        <v>18990</v>
      </c>
      <c r="P132" s="6" t="s">
        <v>16</v>
      </c>
    </row>
    <row r="133" spans="1:16" x14ac:dyDescent="0.35">
      <c r="A133" s="32" t="s">
        <v>6508</v>
      </c>
      <c r="B133" s="7">
        <f t="shared" si="6"/>
        <v>46121</v>
      </c>
      <c r="C133" s="7">
        <f t="shared" si="7"/>
        <v>46127</v>
      </c>
      <c r="D133" s="6">
        <v>3287</v>
      </c>
      <c r="E133" s="6">
        <v>338</v>
      </c>
      <c r="F133" s="6">
        <v>4</v>
      </c>
      <c r="G133" s="6">
        <v>4</v>
      </c>
      <c r="H133" s="6">
        <v>81379</v>
      </c>
      <c r="I133" s="6" t="s">
        <v>17</v>
      </c>
      <c r="J133" s="6">
        <v>31303312</v>
      </c>
      <c r="K133" s="6" t="s">
        <v>2255</v>
      </c>
      <c r="L133" s="38" t="s">
        <v>2258</v>
      </c>
      <c r="M133" s="8">
        <v>189900</v>
      </c>
      <c r="N133" s="35">
        <v>0.9</v>
      </c>
      <c r="O133" s="34">
        <f t="shared" si="8"/>
        <v>18990</v>
      </c>
      <c r="P133" s="6" t="s">
        <v>16</v>
      </c>
    </row>
    <row r="134" spans="1:16" x14ac:dyDescent="0.35">
      <c r="A134" s="32" t="s">
        <v>6508</v>
      </c>
      <c r="B134" s="7">
        <f t="shared" si="6"/>
        <v>46121</v>
      </c>
      <c r="C134" s="7">
        <f t="shared" si="7"/>
        <v>46127</v>
      </c>
      <c r="D134" s="6">
        <v>3287</v>
      </c>
      <c r="E134" s="6">
        <v>338</v>
      </c>
      <c r="F134" s="6">
        <v>4</v>
      </c>
      <c r="G134" s="6">
        <v>4</v>
      </c>
      <c r="H134" s="6">
        <v>81379</v>
      </c>
      <c r="I134" s="6" t="s">
        <v>17</v>
      </c>
      <c r="J134" s="6">
        <v>26874715</v>
      </c>
      <c r="K134" s="6" t="s">
        <v>2233</v>
      </c>
      <c r="L134" s="38" t="s">
        <v>2234</v>
      </c>
      <c r="M134" s="8">
        <v>189900</v>
      </c>
      <c r="N134" s="35">
        <v>0.9</v>
      </c>
      <c r="O134" s="34">
        <f t="shared" si="8"/>
        <v>18990</v>
      </c>
      <c r="P134" s="6" t="s">
        <v>16</v>
      </c>
    </row>
    <row r="135" spans="1:16" x14ac:dyDescent="0.35">
      <c r="A135" s="32" t="s">
        <v>6508</v>
      </c>
      <c r="B135" s="7">
        <f t="shared" si="6"/>
        <v>46121</v>
      </c>
      <c r="C135" s="7">
        <f t="shared" si="7"/>
        <v>46127</v>
      </c>
      <c r="D135" s="6">
        <v>3287</v>
      </c>
      <c r="E135" s="6">
        <v>338</v>
      </c>
      <c r="F135" s="6">
        <v>4</v>
      </c>
      <c r="G135" s="6">
        <v>4</v>
      </c>
      <c r="H135" s="6">
        <v>81379</v>
      </c>
      <c r="I135" s="6" t="s">
        <v>17</v>
      </c>
      <c r="J135" s="6">
        <v>26874742</v>
      </c>
      <c r="K135" s="6" t="s">
        <v>2233</v>
      </c>
      <c r="L135" s="38" t="s">
        <v>2235</v>
      </c>
      <c r="M135" s="8">
        <v>189900</v>
      </c>
      <c r="N135" s="35">
        <v>0.9</v>
      </c>
      <c r="O135" s="34">
        <f t="shared" si="8"/>
        <v>18990</v>
      </c>
      <c r="P135" s="6" t="s">
        <v>16</v>
      </c>
    </row>
    <row r="136" spans="1:16" x14ac:dyDescent="0.35">
      <c r="A136" s="32" t="s">
        <v>6508</v>
      </c>
      <c r="B136" s="7">
        <f t="shared" si="6"/>
        <v>46121</v>
      </c>
      <c r="C136" s="7">
        <f t="shared" si="7"/>
        <v>46127</v>
      </c>
      <c r="D136" s="6">
        <v>3287</v>
      </c>
      <c r="E136" s="6">
        <v>338</v>
      </c>
      <c r="F136" s="6">
        <v>4</v>
      </c>
      <c r="G136" s="6">
        <v>4</v>
      </c>
      <c r="H136" s="6">
        <v>81379</v>
      </c>
      <c r="I136" s="6" t="s">
        <v>17</v>
      </c>
      <c r="J136" s="6">
        <v>26874751</v>
      </c>
      <c r="K136" s="6" t="s">
        <v>2233</v>
      </c>
      <c r="L136" s="38" t="s">
        <v>2236</v>
      </c>
      <c r="M136" s="8">
        <v>189900</v>
      </c>
      <c r="N136" s="35">
        <v>0.9</v>
      </c>
      <c r="O136" s="34">
        <f t="shared" si="8"/>
        <v>18990</v>
      </c>
      <c r="P136" s="6" t="s">
        <v>16</v>
      </c>
    </row>
    <row r="137" spans="1:16" x14ac:dyDescent="0.35">
      <c r="A137" s="32" t="s">
        <v>6508</v>
      </c>
      <c r="B137" s="7">
        <f t="shared" si="6"/>
        <v>46121</v>
      </c>
      <c r="C137" s="7">
        <f t="shared" si="7"/>
        <v>46127</v>
      </c>
      <c r="D137" s="6">
        <v>3287</v>
      </c>
      <c r="E137" s="6">
        <v>338</v>
      </c>
      <c r="F137" s="6">
        <v>4</v>
      </c>
      <c r="G137" s="6">
        <v>4</v>
      </c>
      <c r="H137" s="6">
        <v>81379</v>
      </c>
      <c r="I137" s="6" t="s">
        <v>17</v>
      </c>
      <c r="J137" s="6">
        <v>27046859</v>
      </c>
      <c r="K137" s="6" t="s">
        <v>2237</v>
      </c>
      <c r="L137" s="38" t="s">
        <v>2238</v>
      </c>
      <c r="M137" s="8">
        <v>189900</v>
      </c>
      <c r="N137" s="35">
        <v>0.9</v>
      </c>
      <c r="O137" s="34">
        <f t="shared" si="8"/>
        <v>18990</v>
      </c>
      <c r="P137" s="6" t="s">
        <v>16</v>
      </c>
    </row>
    <row r="138" spans="1:16" x14ac:dyDescent="0.35">
      <c r="A138" s="32" t="s">
        <v>6508</v>
      </c>
      <c r="B138" s="7">
        <f t="shared" si="6"/>
        <v>46121</v>
      </c>
      <c r="C138" s="7">
        <f t="shared" si="7"/>
        <v>46127</v>
      </c>
      <c r="D138" s="6">
        <v>3287</v>
      </c>
      <c r="E138" s="6">
        <v>338</v>
      </c>
      <c r="F138" s="6">
        <v>4</v>
      </c>
      <c r="G138" s="6">
        <v>4</v>
      </c>
      <c r="H138" s="6">
        <v>81379</v>
      </c>
      <c r="I138" s="6" t="s">
        <v>17</v>
      </c>
      <c r="J138" s="6">
        <v>27046886</v>
      </c>
      <c r="K138" s="6" t="s">
        <v>2237</v>
      </c>
      <c r="L138" s="38" t="s">
        <v>2239</v>
      </c>
      <c r="M138" s="8">
        <v>189900</v>
      </c>
      <c r="N138" s="35">
        <v>0.9</v>
      </c>
      <c r="O138" s="34">
        <f t="shared" si="8"/>
        <v>18990</v>
      </c>
      <c r="P138" s="6" t="s">
        <v>16</v>
      </c>
    </row>
    <row r="139" spans="1:16" x14ac:dyDescent="0.35">
      <c r="A139" s="32" t="s">
        <v>6508</v>
      </c>
      <c r="B139" s="7">
        <f t="shared" si="6"/>
        <v>46121</v>
      </c>
      <c r="C139" s="7">
        <f t="shared" si="7"/>
        <v>46127</v>
      </c>
      <c r="D139" s="6">
        <v>3287</v>
      </c>
      <c r="E139" s="6">
        <v>338</v>
      </c>
      <c r="F139" s="6">
        <v>4</v>
      </c>
      <c r="G139" s="6">
        <v>4</v>
      </c>
      <c r="H139" s="6">
        <v>81379</v>
      </c>
      <c r="I139" s="6" t="s">
        <v>17</v>
      </c>
      <c r="J139" s="6">
        <v>27046895</v>
      </c>
      <c r="K139" s="6" t="s">
        <v>2237</v>
      </c>
      <c r="L139" s="38" t="s">
        <v>2240</v>
      </c>
      <c r="M139" s="8">
        <v>199900</v>
      </c>
      <c r="N139" s="35">
        <v>0.9</v>
      </c>
      <c r="O139" s="34">
        <f t="shared" si="8"/>
        <v>19990</v>
      </c>
      <c r="P139" s="6" t="s">
        <v>16</v>
      </c>
    </row>
    <row r="140" spans="1:16" x14ac:dyDescent="0.35">
      <c r="A140" s="32" t="s">
        <v>6508</v>
      </c>
      <c r="B140" s="7">
        <f t="shared" si="6"/>
        <v>46121</v>
      </c>
      <c r="C140" s="7">
        <f t="shared" si="7"/>
        <v>46127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17</v>
      </c>
      <c r="J140" s="6">
        <v>28032460</v>
      </c>
      <c r="K140" s="6" t="s">
        <v>2241</v>
      </c>
      <c r="L140" s="38" t="s">
        <v>2242</v>
      </c>
      <c r="M140" s="8">
        <v>169900</v>
      </c>
      <c r="N140" s="35">
        <v>0.9</v>
      </c>
      <c r="O140" s="34">
        <f t="shared" si="8"/>
        <v>16990</v>
      </c>
      <c r="P140" s="6" t="s">
        <v>16</v>
      </c>
    </row>
    <row r="141" spans="1:16" x14ac:dyDescent="0.35">
      <c r="A141" s="32" t="s">
        <v>6508</v>
      </c>
      <c r="B141" s="7">
        <f t="shared" si="6"/>
        <v>46121</v>
      </c>
      <c r="C141" s="7">
        <f t="shared" si="7"/>
        <v>46127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17</v>
      </c>
      <c r="J141" s="6">
        <v>28032488</v>
      </c>
      <c r="K141" s="6" t="s">
        <v>2241</v>
      </c>
      <c r="L141" s="38" t="s">
        <v>2243</v>
      </c>
      <c r="M141" s="8">
        <v>179900</v>
      </c>
      <c r="N141" s="35">
        <v>0.9</v>
      </c>
      <c r="O141" s="34">
        <f t="shared" si="8"/>
        <v>17990</v>
      </c>
      <c r="P141" s="6" t="s">
        <v>16</v>
      </c>
    </row>
    <row r="142" spans="1:16" x14ac:dyDescent="0.35">
      <c r="A142" s="32" t="s">
        <v>6508</v>
      </c>
      <c r="B142" s="7">
        <f t="shared" si="6"/>
        <v>46121</v>
      </c>
      <c r="C142" s="7">
        <f t="shared" si="7"/>
        <v>46127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17</v>
      </c>
      <c r="J142" s="6">
        <v>28124674</v>
      </c>
      <c r="K142" s="6" t="s">
        <v>2244</v>
      </c>
      <c r="L142" s="38" t="s">
        <v>2245</v>
      </c>
      <c r="M142" s="8">
        <v>189900</v>
      </c>
      <c r="N142" s="35">
        <v>0.9</v>
      </c>
      <c r="O142" s="34">
        <f t="shared" si="8"/>
        <v>18990</v>
      </c>
      <c r="P142" s="6" t="s">
        <v>16</v>
      </c>
    </row>
    <row r="143" spans="1:16" x14ac:dyDescent="0.35">
      <c r="A143" s="32" t="s">
        <v>6508</v>
      </c>
      <c r="B143" s="7">
        <f t="shared" si="6"/>
        <v>46121</v>
      </c>
      <c r="C143" s="7">
        <f t="shared" si="7"/>
        <v>46127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17</v>
      </c>
      <c r="J143" s="6">
        <v>28124683</v>
      </c>
      <c r="K143" s="6" t="s">
        <v>2244</v>
      </c>
      <c r="L143" s="38" t="s">
        <v>2246</v>
      </c>
      <c r="M143" s="8">
        <v>189900</v>
      </c>
      <c r="N143" s="35">
        <v>0.9</v>
      </c>
      <c r="O143" s="34">
        <f t="shared" si="8"/>
        <v>18990</v>
      </c>
      <c r="P143" s="6" t="s">
        <v>16</v>
      </c>
    </row>
    <row r="144" spans="1:16" x14ac:dyDescent="0.35">
      <c r="A144" s="32" t="s">
        <v>6508</v>
      </c>
      <c r="B144" s="7">
        <f t="shared" si="6"/>
        <v>46121</v>
      </c>
      <c r="C144" s="7">
        <f t="shared" si="7"/>
        <v>46127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17</v>
      </c>
      <c r="J144" s="6">
        <v>28124709</v>
      </c>
      <c r="K144" s="6" t="s">
        <v>2244</v>
      </c>
      <c r="L144" s="38" t="s">
        <v>2247</v>
      </c>
      <c r="M144" s="8">
        <v>189900</v>
      </c>
      <c r="N144" s="35">
        <v>0.9</v>
      </c>
      <c r="O144" s="34">
        <f t="shared" si="8"/>
        <v>18990</v>
      </c>
      <c r="P144" s="6" t="s">
        <v>16</v>
      </c>
    </row>
    <row r="145" spans="1:16" x14ac:dyDescent="0.35">
      <c r="A145" s="32" t="s">
        <v>6508</v>
      </c>
      <c r="B145" s="7">
        <f t="shared" si="6"/>
        <v>46121</v>
      </c>
      <c r="C145" s="7">
        <f t="shared" si="7"/>
        <v>46127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17</v>
      </c>
      <c r="J145" s="6">
        <v>28124745</v>
      </c>
      <c r="K145" s="6" t="s">
        <v>2244</v>
      </c>
      <c r="L145" s="38" t="s">
        <v>2248</v>
      </c>
      <c r="M145" s="8">
        <v>199900</v>
      </c>
      <c r="N145" s="35">
        <v>0.9</v>
      </c>
      <c r="O145" s="34">
        <f t="shared" si="8"/>
        <v>19990</v>
      </c>
      <c r="P145" s="6" t="s">
        <v>16</v>
      </c>
    </row>
    <row r="146" spans="1:16" x14ac:dyDescent="0.35">
      <c r="A146" s="32" t="s">
        <v>6508</v>
      </c>
      <c r="B146" s="7">
        <f t="shared" si="6"/>
        <v>46121</v>
      </c>
      <c r="C146" s="7">
        <f t="shared" si="7"/>
        <v>46127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17</v>
      </c>
      <c r="J146" s="6">
        <v>28124754</v>
      </c>
      <c r="K146" s="6" t="s">
        <v>2249</v>
      </c>
      <c r="L146" s="38" t="s">
        <v>2250</v>
      </c>
      <c r="M146" s="8">
        <v>169900</v>
      </c>
      <c r="N146" s="35">
        <v>0.9</v>
      </c>
      <c r="O146" s="34">
        <f t="shared" si="8"/>
        <v>16990</v>
      </c>
      <c r="P146" s="6" t="s">
        <v>16</v>
      </c>
    </row>
    <row r="147" spans="1:16" x14ac:dyDescent="0.35">
      <c r="A147" s="32" t="s">
        <v>6508</v>
      </c>
      <c r="B147" s="7">
        <f t="shared" si="6"/>
        <v>46121</v>
      </c>
      <c r="C147" s="7">
        <f t="shared" si="7"/>
        <v>46127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17</v>
      </c>
      <c r="J147" s="6">
        <v>28124772</v>
      </c>
      <c r="K147" s="6" t="s">
        <v>2249</v>
      </c>
      <c r="L147" s="38" t="s">
        <v>2251</v>
      </c>
      <c r="M147" s="8">
        <v>169900</v>
      </c>
      <c r="N147" s="35">
        <v>0.9</v>
      </c>
      <c r="O147" s="34">
        <f t="shared" si="8"/>
        <v>16990</v>
      </c>
      <c r="P147" s="6" t="s">
        <v>16</v>
      </c>
    </row>
    <row r="148" spans="1:16" x14ac:dyDescent="0.35">
      <c r="A148" s="32" t="s">
        <v>6508</v>
      </c>
      <c r="B148" s="7">
        <f t="shared" si="6"/>
        <v>46121</v>
      </c>
      <c r="C148" s="7">
        <f t="shared" si="7"/>
        <v>46127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17</v>
      </c>
      <c r="J148" s="6">
        <v>28124807</v>
      </c>
      <c r="K148" s="6" t="s">
        <v>2249</v>
      </c>
      <c r="L148" s="38" t="s">
        <v>2252</v>
      </c>
      <c r="M148" s="8">
        <v>179900</v>
      </c>
      <c r="N148" s="35">
        <v>0.9</v>
      </c>
      <c r="O148" s="34">
        <f t="shared" si="8"/>
        <v>17990</v>
      </c>
      <c r="P148" s="6" t="s">
        <v>16</v>
      </c>
    </row>
    <row r="149" spans="1:16" x14ac:dyDescent="0.35">
      <c r="A149" s="32" t="s">
        <v>6508</v>
      </c>
      <c r="B149" s="7">
        <f t="shared" si="6"/>
        <v>46121</v>
      </c>
      <c r="C149" s="7">
        <f t="shared" si="7"/>
        <v>46127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17</v>
      </c>
      <c r="J149" s="6">
        <v>28487005</v>
      </c>
      <c r="K149" s="6" t="s">
        <v>2253</v>
      </c>
      <c r="L149" s="38" t="s">
        <v>2254</v>
      </c>
      <c r="M149" s="8">
        <v>189900</v>
      </c>
      <c r="N149" s="35">
        <v>0.9</v>
      </c>
      <c r="O149" s="34">
        <f t="shared" si="8"/>
        <v>18990</v>
      </c>
      <c r="P149" s="6" t="s">
        <v>16</v>
      </c>
    </row>
    <row r="150" spans="1:16" x14ac:dyDescent="0.35">
      <c r="A150" s="32" t="s">
        <v>6508</v>
      </c>
      <c r="B150" s="7">
        <f t="shared" si="6"/>
        <v>46121</v>
      </c>
      <c r="C150" s="7">
        <f t="shared" si="7"/>
        <v>46127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17</v>
      </c>
      <c r="J150" s="6">
        <v>33032932</v>
      </c>
      <c r="K150" s="6" t="s">
        <v>2259</v>
      </c>
      <c r="L150" s="38" t="s">
        <v>2260</v>
      </c>
      <c r="M150" s="8">
        <v>179900</v>
      </c>
      <c r="N150" s="35">
        <v>0.9</v>
      </c>
      <c r="O150" s="34">
        <f t="shared" si="8"/>
        <v>17990</v>
      </c>
      <c r="P150" s="6" t="s">
        <v>16</v>
      </c>
    </row>
    <row r="151" spans="1:16" x14ac:dyDescent="0.35">
      <c r="A151" s="32" t="s">
        <v>6508</v>
      </c>
      <c r="B151" s="7">
        <f t="shared" si="6"/>
        <v>46121</v>
      </c>
      <c r="C151" s="7">
        <f t="shared" si="7"/>
        <v>46127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17</v>
      </c>
      <c r="J151" s="6">
        <v>33032941</v>
      </c>
      <c r="K151" s="6" t="s">
        <v>2259</v>
      </c>
      <c r="L151" s="38" t="s">
        <v>2261</v>
      </c>
      <c r="M151" s="8">
        <v>179900</v>
      </c>
      <c r="N151" s="35">
        <v>0.9</v>
      </c>
      <c r="O151" s="34">
        <f t="shared" si="8"/>
        <v>17990</v>
      </c>
      <c r="P151" s="6" t="s">
        <v>16</v>
      </c>
    </row>
    <row r="152" spans="1:16" x14ac:dyDescent="0.35">
      <c r="A152" s="32" t="s">
        <v>6508</v>
      </c>
      <c r="B152" s="7">
        <f t="shared" si="6"/>
        <v>46121</v>
      </c>
      <c r="C152" s="7">
        <f t="shared" si="7"/>
        <v>46127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17</v>
      </c>
      <c r="J152" s="6">
        <v>33032969</v>
      </c>
      <c r="K152" s="6" t="s">
        <v>2259</v>
      </c>
      <c r="L152" s="38" t="s">
        <v>2262</v>
      </c>
      <c r="M152" s="8">
        <v>179900</v>
      </c>
      <c r="N152" s="35">
        <v>0.9</v>
      </c>
      <c r="O152" s="34">
        <f t="shared" si="8"/>
        <v>17990</v>
      </c>
      <c r="P152" s="6" t="s">
        <v>16</v>
      </c>
    </row>
    <row r="153" spans="1:16" x14ac:dyDescent="0.35">
      <c r="A153" s="32" t="s">
        <v>6508</v>
      </c>
      <c r="B153" s="7">
        <f t="shared" si="6"/>
        <v>46121</v>
      </c>
      <c r="C153" s="7">
        <f t="shared" si="7"/>
        <v>46127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17</v>
      </c>
      <c r="J153" s="6">
        <v>33033173</v>
      </c>
      <c r="K153" s="6" t="s">
        <v>2263</v>
      </c>
      <c r="L153" s="38" t="s">
        <v>2264</v>
      </c>
      <c r="M153" s="8">
        <v>189900</v>
      </c>
      <c r="N153" s="35">
        <v>0.9</v>
      </c>
      <c r="O153" s="34">
        <f t="shared" si="8"/>
        <v>18990</v>
      </c>
      <c r="P153" s="6" t="s">
        <v>16</v>
      </c>
    </row>
    <row r="154" spans="1:16" x14ac:dyDescent="0.35">
      <c r="A154" s="32" t="s">
        <v>6508</v>
      </c>
      <c r="B154" s="7">
        <f t="shared" si="6"/>
        <v>46121</v>
      </c>
      <c r="C154" s="7">
        <f t="shared" si="7"/>
        <v>46127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17</v>
      </c>
      <c r="J154" s="6">
        <v>33033182</v>
      </c>
      <c r="K154" s="6" t="s">
        <v>2263</v>
      </c>
      <c r="L154" s="38" t="s">
        <v>2265</v>
      </c>
      <c r="M154" s="8">
        <v>189900</v>
      </c>
      <c r="N154" s="35">
        <v>0.9</v>
      </c>
      <c r="O154" s="34">
        <f t="shared" si="8"/>
        <v>18990</v>
      </c>
      <c r="P154" s="6" t="s">
        <v>16</v>
      </c>
    </row>
    <row r="155" spans="1:16" x14ac:dyDescent="0.35">
      <c r="A155" s="32" t="s">
        <v>6508</v>
      </c>
      <c r="B155" s="7">
        <f t="shared" si="6"/>
        <v>46121</v>
      </c>
      <c r="C155" s="7">
        <f t="shared" si="7"/>
        <v>46127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17</v>
      </c>
      <c r="J155" s="6">
        <v>33033244</v>
      </c>
      <c r="K155" s="6" t="s">
        <v>2263</v>
      </c>
      <c r="L155" s="38" t="s">
        <v>2266</v>
      </c>
      <c r="M155" s="8">
        <v>199900</v>
      </c>
      <c r="N155" s="35">
        <v>0.9</v>
      </c>
      <c r="O155" s="34">
        <f t="shared" si="8"/>
        <v>19990</v>
      </c>
      <c r="P155" s="6" t="s">
        <v>16</v>
      </c>
    </row>
    <row r="156" spans="1:16" x14ac:dyDescent="0.35">
      <c r="A156" s="32" t="s">
        <v>6508</v>
      </c>
      <c r="B156" s="7">
        <f t="shared" si="6"/>
        <v>46121</v>
      </c>
      <c r="C156" s="7">
        <f t="shared" si="7"/>
        <v>46127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17</v>
      </c>
      <c r="J156" s="6">
        <v>33942897</v>
      </c>
      <c r="K156" s="6" t="s">
        <v>2267</v>
      </c>
      <c r="L156" s="38" t="s">
        <v>2268</v>
      </c>
      <c r="M156" s="8">
        <v>179900</v>
      </c>
      <c r="N156" s="35">
        <v>0.9</v>
      </c>
      <c r="O156" s="34">
        <f t="shared" si="8"/>
        <v>17990</v>
      </c>
      <c r="P156" s="6" t="s">
        <v>16</v>
      </c>
    </row>
    <row r="157" spans="1:16" x14ac:dyDescent="0.35">
      <c r="A157" s="32" t="s">
        <v>6508</v>
      </c>
      <c r="B157" s="7">
        <f t="shared" si="6"/>
        <v>46121</v>
      </c>
      <c r="C157" s="7">
        <f t="shared" si="7"/>
        <v>46127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17</v>
      </c>
      <c r="J157" s="6">
        <v>33942922</v>
      </c>
      <c r="K157" s="6" t="s">
        <v>2267</v>
      </c>
      <c r="L157" s="38" t="s">
        <v>2269</v>
      </c>
      <c r="M157" s="8">
        <v>189900</v>
      </c>
      <c r="N157" s="35">
        <v>0.9</v>
      </c>
      <c r="O157" s="34">
        <f t="shared" si="8"/>
        <v>18990</v>
      </c>
      <c r="P157" s="6" t="s">
        <v>16</v>
      </c>
    </row>
    <row r="158" spans="1:16" x14ac:dyDescent="0.35">
      <c r="A158" s="32" t="s">
        <v>6508</v>
      </c>
      <c r="B158" s="7">
        <f t="shared" si="6"/>
        <v>46121</v>
      </c>
      <c r="C158" s="7">
        <f t="shared" si="7"/>
        <v>46127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17</v>
      </c>
      <c r="J158" s="6">
        <v>33942940</v>
      </c>
      <c r="K158" s="6" t="s">
        <v>2267</v>
      </c>
      <c r="L158" s="38" t="s">
        <v>2270</v>
      </c>
      <c r="M158" s="8">
        <v>189900</v>
      </c>
      <c r="N158" s="35">
        <v>0.9</v>
      </c>
      <c r="O158" s="34">
        <f t="shared" si="8"/>
        <v>18990</v>
      </c>
      <c r="P158" s="6" t="s">
        <v>16</v>
      </c>
    </row>
    <row r="159" spans="1:16" x14ac:dyDescent="0.35">
      <c r="A159" s="32" t="s">
        <v>6508</v>
      </c>
      <c r="B159" s="7">
        <f t="shared" si="6"/>
        <v>46121</v>
      </c>
      <c r="C159" s="7">
        <f t="shared" si="7"/>
        <v>46127</v>
      </c>
      <c r="D159" s="6">
        <v>3287</v>
      </c>
      <c r="E159" s="6">
        <v>338</v>
      </c>
      <c r="F159" s="6">
        <v>4</v>
      </c>
      <c r="G159" s="6">
        <v>4</v>
      </c>
      <c r="H159" s="6">
        <v>81574</v>
      </c>
      <c r="I159" s="6" t="s">
        <v>17</v>
      </c>
      <c r="J159" s="6">
        <v>32631886</v>
      </c>
      <c r="K159" s="6" t="s">
        <v>2271</v>
      </c>
      <c r="L159" s="38" t="s">
        <v>2272</v>
      </c>
      <c r="M159" s="8">
        <v>159900</v>
      </c>
      <c r="N159" s="35">
        <v>0.9</v>
      </c>
      <c r="O159" s="34">
        <f t="shared" si="8"/>
        <v>15990</v>
      </c>
      <c r="P159" s="6" t="s">
        <v>16</v>
      </c>
    </row>
    <row r="160" spans="1:16" x14ac:dyDescent="0.35">
      <c r="A160" s="32" t="s">
        <v>6508</v>
      </c>
      <c r="B160" s="7">
        <f t="shared" si="6"/>
        <v>46121</v>
      </c>
      <c r="C160" s="7">
        <f t="shared" si="7"/>
        <v>46127</v>
      </c>
      <c r="D160" s="6">
        <v>3287</v>
      </c>
      <c r="E160" s="6">
        <v>338</v>
      </c>
      <c r="F160" s="6">
        <v>4</v>
      </c>
      <c r="G160" s="6">
        <v>4</v>
      </c>
      <c r="H160" s="6">
        <v>81574</v>
      </c>
      <c r="I160" s="6" t="s">
        <v>17</v>
      </c>
      <c r="J160" s="6">
        <v>32631895</v>
      </c>
      <c r="K160" s="6" t="s">
        <v>2271</v>
      </c>
      <c r="L160" s="38" t="s">
        <v>2273</v>
      </c>
      <c r="M160" s="8">
        <v>159900</v>
      </c>
      <c r="N160" s="35">
        <v>0.9</v>
      </c>
      <c r="O160" s="34">
        <f t="shared" si="8"/>
        <v>15990</v>
      </c>
      <c r="P160" s="6" t="s">
        <v>16</v>
      </c>
    </row>
    <row r="161" spans="1:16" x14ac:dyDescent="0.35">
      <c r="A161" s="32" t="s">
        <v>6508</v>
      </c>
      <c r="B161" s="7">
        <f t="shared" si="6"/>
        <v>46121</v>
      </c>
      <c r="C161" s="7">
        <f t="shared" si="7"/>
        <v>46127</v>
      </c>
      <c r="D161" s="6">
        <v>3287</v>
      </c>
      <c r="E161" s="6">
        <v>338</v>
      </c>
      <c r="F161" s="6">
        <v>4</v>
      </c>
      <c r="G161" s="6">
        <v>4</v>
      </c>
      <c r="H161" s="6">
        <v>81574</v>
      </c>
      <c r="I161" s="6" t="s">
        <v>17</v>
      </c>
      <c r="J161" s="6">
        <v>32631902</v>
      </c>
      <c r="K161" s="6" t="s">
        <v>2271</v>
      </c>
      <c r="L161" s="38" t="s">
        <v>2274</v>
      </c>
      <c r="M161" s="8">
        <v>159900</v>
      </c>
      <c r="N161" s="35">
        <v>0.9</v>
      </c>
      <c r="O161" s="34">
        <f t="shared" si="8"/>
        <v>15990</v>
      </c>
      <c r="P161" s="6" t="s">
        <v>16</v>
      </c>
    </row>
    <row r="162" spans="1:16" x14ac:dyDescent="0.35">
      <c r="A162" s="32" t="s">
        <v>6508</v>
      </c>
      <c r="B162" s="7">
        <f t="shared" si="6"/>
        <v>46121</v>
      </c>
      <c r="C162" s="7">
        <f t="shared" si="7"/>
        <v>46127</v>
      </c>
      <c r="D162" s="6">
        <v>3287</v>
      </c>
      <c r="E162" s="6">
        <v>338</v>
      </c>
      <c r="F162" s="6">
        <v>4</v>
      </c>
      <c r="G162" s="6">
        <v>4</v>
      </c>
      <c r="H162" s="6">
        <v>81574</v>
      </c>
      <c r="I162" s="6" t="s">
        <v>17</v>
      </c>
      <c r="J162" s="6">
        <v>32631911</v>
      </c>
      <c r="K162" s="6" t="s">
        <v>2271</v>
      </c>
      <c r="L162" s="38" t="s">
        <v>2275</v>
      </c>
      <c r="M162" s="8">
        <v>169900</v>
      </c>
      <c r="N162" s="35">
        <v>0.9</v>
      </c>
      <c r="O162" s="34">
        <f t="shared" si="8"/>
        <v>16990</v>
      </c>
      <c r="P162" s="6" t="s">
        <v>16</v>
      </c>
    </row>
    <row r="163" spans="1:16" x14ac:dyDescent="0.35">
      <c r="A163" s="32" t="s">
        <v>6508</v>
      </c>
      <c r="B163" s="7">
        <f t="shared" si="6"/>
        <v>46121</v>
      </c>
      <c r="C163" s="7">
        <f t="shared" si="7"/>
        <v>46127</v>
      </c>
      <c r="D163" s="6">
        <v>3287</v>
      </c>
      <c r="E163" s="6">
        <v>338</v>
      </c>
      <c r="F163" s="6">
        <v>4</v>
      </c>
      <c r="G163" s="6">
        <v>4</v>
      </c>
      <c r="H163" s="6">
        <v>81574</v>
      </c>
      <c r="I163" s="6" t="s">
        <v>17</v>
      </c>
      <c r="J163" s="6">
        <v>32631920</v>
      </c>
      <c r="K163" s="6" t="s">
        <v>2271</v>
      </c>
      <c r="L163" s="38" t="s">
        <v>2276</v>
      </c>
      <c r="M163" s="8">
        <v>169900</v>
      </c>
      <c r="N163" s="35">
        <v>0.9</v>
      </c>
      <c r="O163" s="34">
        <f t="shared" si="8"/>
        <v>16990</v>
      </c>
      <c r="P163" s="6" t="s">
        <v>16</v>
      </c>
    </row>
    <row r="164" spans="1:16" x14ac:dyDescent="0.35">
      <c r="A164" s="32" t="s">
        <v>6508</v>
      </c>
      <c r="B164" s="7">
        <f t="shared" si="6"/>
        <v>46121</v>
      </c>
      <c r="C164" s="7">
        <f t="shared" si="7"/>
        <v>46127</v>
      </c>
      <c r="D164" s="6">
        <v>3287</v>
      </c>
      <c r="E164" s="6">
        <v>338</v>
      </c>
      <c r="F164" s="6">
        <v>4</v>
      </c>
      <c r="G164" s="6">
        <v>4</v>
      </c>
      <c r="H164" s="6">
        <v>81574</v>
      </c>
      <c r="I164" s="6" t="s">
        <v>17</v>
      </c>
      <c r="J164" s="6">
        <v>32631939</v>
      </c>
      <c r="K164" s="6" t="s">
        <v>2271</v>
      </c>
      <c r="L164" s="38" t="s">
        <v>2277</v>
      </c>
      <c r="M164" s="8">
        <v>169900</v>
      </c>
      <c r="N164" s="35">
        <v>0.9</v>
      </c>
      <c r="O164" s="34">
        <f t="shared" si="8"/>
        <v>16990</v>
      </c>
      <c r="P164" s="6" t="s">
        <v>16</v>
      </c>
    </row>
    <row r="165" spans="1:16" x14ac:dyDescent="0.35">
      <c r="A165" s="32" t="s">
        <v>6508</v>
      </c>
      <c r="B165" s="7">
        <f t="shared" si="6"/>
        <v>46121</v>
      </c>
      <c r="C165" s="7">
        <f t="shared" si="7"/>
        <v>46127</v>
      </c>
      <c r="D165" s="6">
        <v>3287</v>
      </c>
      <c r="E165" s="6">
        <v>338</v>
      </c>
      <c r="F165" s="6">
        <v>4</v>
      </c>
      <c r="G165" s="6">
        <v>4</v>
      </c>
      <c r="H165" s="6">
        <v>81574</v>
      </c>
      <c r="I165" s="6" t="s">
        <v>17</v>
      </c>
      <c r="J165" s="6">
        <v>32631948</v>
      </c>
      <c r="K165" s="6" t="s">
        <v>2271</v>
      </c>
      <c r="L165" s="38" t="s">
        <v>2278</v>
      </c>
      <c r="M165" s="8">
        <v>169900</v>
      </c>
      <c r="N165" s="35">
        <v>0.9</v>
      </c>
      <c r="O165" s="34">
        <f t="shared" si="8"/>
        <v>16990</v>
      </c>
      <c r="P165" s="6" t="s">
        <v>16</v>
      </c>
    </row>
    <row r="166" spans="1:16" x14ac:dyDescent="0.35">
      <c r="A166" s="32" t="s">
        <v>6508</v>
      </c>
      <c r="B166" s="7">
        <f t="shared" si="6"/>
        <v>46121</v>
      </c>
      <c r="C166" s="7">
        <f t="shared" si="7"/>
        <v>46127</v>
      </c>
      <c r="D166" s="6">
        <v>3287</v>
      </c>
      <c r="E166" s="6">
        <v>338</v>
      </c>
      <c r="F166" s="6">
        <v>4</v>
      </c>
      <c r="G166" s="6">
        <v>4</v>
      </c>
      <c r="H166" s="6">
        <v>81574</v>
      </c>
      <c r="I166" s="6" t="s">
        <v>17</v>
      </c>
      <c r="J166" s="6">
        <v>33259037</v>
      </c>
      <c r="K166" s="6" t="s">
        <v>2279</v>
      </c>
      <c r="L166" s="38" t="s">
        <v>2280</v>
      </c>
      <c r="M166" s="8">
        <v>189900</v>
      </c>
      <c r="N166" s="35">
        <v>0.9</v>
      </c>
      <c r="O166" s="34">
        <f t="shared" si="8"/>
        <v>18990</v>
      </c>
      <c r="P166" s="6" t="s">
        <v>16</v>
      </c>
    </row>
    <row r="167" spans="1:16" x14ac:dyDescent="0.35">
      <c r="A167" s="32" t="s">
        <v>6508</v>
      </c>
      <c r="B167" s="7">
        <f t="shared" si="6"/>
        <v>46121</v>
      </c>
      <c r="C167" s="7">
        <f t="shared" si="7"/>
        <v>46127</v>
      </c>
      <c r="D167" s="6">
        <v>3287</v>
      </c>
      <c r="E167" s="6">
        <v>338</v>
      </c>
      <c r="F167" s="6">
        <v>4</v>
      </c>
      <c r="G167" s="6">
        <v>4</v>
      </c>
      <c r="H167" s="6">
        <v>81574</v>
      </c>
      <c r="I167" s="6" t="s">
        <v>17</v>
      </c>
      <c r="J167" s="6">
        <v>33259055</v>
      </c>
      <c r="K167" s="6" t="s">
        <v>2279</v>
      </c>
      <c r="L167" s="38" t="s">
        <v>2281</v>
      </c>
      <c r="M167" s="8">
        <v>189900</v>
      </c>
      <c r="N167" s="35">
        <v>0.9</v>
      </c>
      <c r="O167" s="34">
        <f t="shared" si="8"/>
        <v>18990</v>
      </c>
      <c r="P167" s="6" t="s">
        <v>16</v>
      </c>
    </row>
    <row r="168" spans="1:16" x14ac:dyDescent="0.35">
      <c r="A168" s="32" t="s">
        <v>6508</v>
      </c>
      <c r="B168" s="7">
        <f t="shared" si="6"/>
        <v>46121</v>
      </c>
      <c r="C168" s="7">
        <f t="shared" si="7"/>
        <v>46127</v>
      </c>
      <c r="D168" s="6">
        <v>3287</v>
      </c>
      <c r="E168" s="6">
        <v>338</v>
      </c>
      <c r="F168" s="6">
        <v>4</v>
      </c>
      <c r="G168" s="6">
        <v>4</v>
      </c>
      <c r="H168" s="6">
        <v>81574</v>
      </c>
      <c r="I168" s="6" t="s">
        <v>17</v>
      </c>
      <c r="J168" s="6">
        <v>33259073</v>
      </c>
      <c r="K168" s="6" t="s">
        <v>2279</v>
      </c>
      <c r="L168" s="38" t="s">
        <v>2282</v>
      </c>
      <c r="M168" s="8">
        <v>199900</v>
      </c>
      <c r="N168" s="35">
        <v>0.9</v>
      </c>
      <c r="O168" s="34">
        <f t="shared" si="8"/>
        <v>19990</v>
      </c>
      <c r="P168" s="6" t="s">
        <v>16</v>
      </c>
    </row>
    <row r="169" spans="1:16" x14ac:dyDescent="0.35">
      <c r="A169" s="32" t="s">
        <v>6508</v>
      </c>
      <c r="B169" s="7">
        <f t="shared" si="6"/>
        <v>46121</v>
      </c>
      <c r="C169" s="7">
        <f t="shared" si="7"/>
        <v>46127</v>
      </c>
      <c r="D169" s="6">
        <v>3287</v>
      </c>
      <c r="E169" s="6">
        <v>338</v>
      </c>
      <c r="F169" s="6">
        <v>4</v>
      </c>
      <c r="G169" s="6">
        <v>4</v>
      </c>
      <c r="H169" s="6">
        <v>81574</v>
      </c>
      <c r="I169" s="6" t="s">
        <v>17</v>
      </c>
      <c r="J169" s="6">
        <v>33259108</v>
      </c>
      <c r="K169" s="6" t="s">
        <v>2279</v>
      </c>
      <c r="L169" s="38" t="s">
        <v>2283</v>
      </c>
      <c r="M169" s="8">
        <v>199900</v>
      </c>
      <c r="N169" s="35">
        <v>0.9</v>
      </c>
      <c r="O169" s="34">
        <f t="shared" si="8"/>
        <v>19990</v>
      </c>
      <c r="P169" s="6" t="s">
        <v>16</v>
      </c>
    </row>
    <row r="170" spans="1:16" x14ac:dyDescent="0.35">
      <c r="A170" s="32" t="s">
        <v>6508</v>
      </c>
      <c r="B170" s="7">
        <f t="shared" si="6"/>
        <v>46121</v>
      </c>
      <c r="C170" s="7">
        <f t="shared" si="7"/>
        <v>46127</v>
      </c>
      <c r="D170" s="6">
        <v>3287</v>
      </c>
      <c r="E170" s="6">
        <v>338</v>
      </c>
      <c r="F170" s="6">
        <v>4</v>
      </c>
      <c r="G170" s="6">
        <v>4</v>
      </c>
      <c r="H170" s="6">
        <v>81588</v>
      </c>
      <c r="I170" s="6" t="s">
        <v>17</v>
      </c>
      <c r="J170" s="6">
        <v>26391200</v>
      </c>
      <c r="K170" s="6" t="s">
        <v>2301</v>
      </c>
      <c r="L170" s="38" t="s">
        <v>2302</v>
      </c>
      <c r="M170" s="8">
        <v>189900</v>
      </c>
      <c r="N170" s="35">
        <v>0.9</v>
      </c>
      <c r="O170" s="34">
        <f t="shared" si="8"/>
        <v>18990</v>
      </c>
      <c r="P170" s="6" t="s">
        <v>16</v>
      </c>
    </row>
    <row r="171" spans="1:16" x14ac:dyDescent="0.35">
      <c r="A171" s="32" t="s">
        <v>6508</v>
      </c>
      <c r="B171" s="7">
        <f t="shared" si="6"/>
        <v>46121</v>
      </c>
      <c r="C171" s="7">
        <f t="shared" si="7"/>
        <v>46127</v>
      </c>
      <c r="D171" s="6">
        <v>3287</v>
      </c>
      <c r="E171" s="6">
        <v>338</v>
      </c>
      <c r="F171" s="6">
        <v>4</v>
      </c>
      <c r="G171" s="6">
        <v>4</v>
      </c>
      <c r="H171" s="6">
        <v>81588</v>
      </c>
      <c r="I171" s="6" t="s">
        <v>17</v>
      </c>
      <c r="J171" s="6">
        <v>26391219</v>
      </c>
      <c r="K171" s="6" t="s">
        <v>2301</v>
      </c>
      <c r="L171" s="38" t="s">
        <v>2303</v>
      </c>
      <c r="M171" s="8">
        <v>189900</v>
      </c>
      <c r="N171" s="35">
        <v>0.9</v>
      </c>
      <c r="O171" s="34">
        <f t="shared" si="8"/>
        <v>18990</v>
      </c>
      <c r="P171" s="6" t="s">
        <v>16</v>
      </c>
    </row>
    <row r="172" spans="1:16" x14ac:dyDescent="0.35">
      <c r="A172" s="32" t="s">
        <v>6508</v>
      </c>
      <c r="B172" s="7">
        <f t="shared" si="6"/>
        <v>46121</v>
      </c>
      <c r="C172" s="7">
        <f t="shared" si="7"/>
        <v>46127</v>
      </c>
      <c r="D172" s="6">
        <v>3287</v>
      </c>
      <c r="E172" s="6">
        <v>338</v>
      </c>
      <c r="F172" s="6">
        <v>4</v>
      </c>
      <c r="G172" s="6">
        <v>4</v>
      </c>
      <c r="H172" s="6">
        <v>81588</v>
      </c>
      <c r="I172" s="6" t="s">
        <v>17</v>
      </c>
      <c r="J172" s="6">
        <v>26391228</v>
      </c>
      <c r="K172" s="6" t="s">
        <v>2301</v>
      </c>
      <c r="L172" s="38" t="s">
        <v>2304</v>
      </c>
      <c r="M172" s="8">
        <v>189900</v>
      </c>
      <c r="N172" s="35">
        <v>0.9</v>
      </c>
      <c r="O172" s="34">
        <f t="shared" si="8"/>
        <v>18990</v>
      </c>
      <c r="P172" s="6" t="s">
        <v>16</v>
      </c>
    </row>
    <row r="173" spans="1:16" x14ac:dyDescent="0.35">
      <c r="A173" s="32" t="s">
        <v>6508</v>
      </c>
      <c r="B173" s="7">
        <f t="shared" si="6"/>
        <v>46121</v>
      </c>
      <c r="C173" s="7">
        <f t="shared" si="7"/>
        <v>46127</v>
      </c>
      <c r="D173" s="6">
        <v>3287</v>
      </c>
      <c r="E173" s="6">
        <v>338</v>
      </c>
      <c r="F173" s="6">
        <v>4</v>
      </c>
      <c r="G173" s="6">
        <v>4</v>
      </c>
      <c r="H173" s="6">
        <v>81588</v>
      </c>
      <c r="I173" s="6" t="s">
        <v>17</v>
      </c>
      <c r="J173" s="6">
        <v>26391264</v>
      </c>
      <c r="K173" s="6" t="s">
        <v>2301</v>
      </c>
      <c r="L173" s="38" t="s">
        <v>2305</v>
      </c>
      <c r="M173" s="8">
        <v>189900</v>
      </c>
      <c r="N173" s="35">
        <v>0.9</v>
      </c>
      <c r="O173" s="34">
        <f t="shared" si="8"/>
        <v>18990</v>
      </c>
      <c r="P173" s="6" t="s">
        <v>16</v>
      </c>
    </row>
    <row r="174" spans="1:16" x14ac:dyDescent="0.35">
      <c r="A174" s="32" t="s">
        <v>6508</v>
      </c>
      <c r="B174" s="7">
        <f t="shared" si="6"/>
        <v>46121</v>
      </c>
      <c r="C174" s="7">
        <f t="shared" si="7"/>
        <v>46127</v>
      </c>
      <c r="D174" s="6">
        <v>3287</v>
      </c>
      <c r="E174" s="6">
        <v>338</v>
      </c>
      <c r="F174" s="6">
        <v>4</v>
      </c>
      <c r="G174" s="6">
        <v>4</v>
      </c>
      <c r="H174" s="6">
        <v>81588</v>
      </c>
      <c r="I174" s="6" t="s">
        <v>17</v>
      </c>
      <c r="J174" s="6">
        <v>26391335</v>
      </c>
      <c r="K174" s="6" t="s">
        <v>2306</v>
      </c>
      <c r="L174" s="38" t="s">
        <v>2307</v>
      </c>
      <c r="M174" s="8">
        <v>189900</v>
      </c>
      <c r="N174" s="35">
        <v>0.9</v>
      </c>
      <c r="O174" s="34">
        <f t="shared" si="8"/>
        <v>18990</v>
      </c>
      <c r="P174" s="6" t="s">
        <v>16</v>
      </c>
    </row>
    <row r="175" spans="1:16" x14ac:dyDescent="0.35">
      <c r="A175" s="32" t="s">
        <v>6508</v>
      </c>
      <c r="B175" s="7">
        <f t="shared" si="6"/>
        <v>46121</v>
      </c>
      <c r="C175" s="7">
        <f t="shared" si="7"/>
        <v>46127</v>
      </c>
      <c r="D175" s="6">
        <v>3287</v>
      </c>
      <c r="E175" s="6">
        <v>338</v>
      </c>
      <c r="F175" s="6">
        <v>4</v>
      </c>
      <c r="G175" s="6">
        <v>4</v>
      </c>
      <c r="H175" s="6">
        <v>81588</v>
      </c>
      <c r="I175" s="6" t="s">
        <v>17</v>
      </c>
      <c r="J175" s="6">
        <v>26516174</v>
      </c>
      <c r="K175" s="6" t="s">
        <v>2308</v>
      </c>
      <c r="L175" s="38" t="s">
        <v>2309</v>
      </c>
      <c r="M175" s="8">
        <v>199900</v>
      </c>
      <c r="N175" s="35">
        <v>0.9</v>
      </c>
      <c r="O175" s="34">
        <f t="shared" si="8"/>
        <v>19990</v>
      </c>
      <c r="P175" s="6" t="s">
        <v>16</v>
      </c>
    </row>
    <row r="176" spans="1:16" x14ac:dyDescent="0.35">
      <c r="A176" s="32" t="s">
        <v>6508</v>
      </c>
      <c r="B176" s="7">
        <f t="shared" si="6"/>
        <v>46121</v>
      </c>
      <c r="C176" s="7">
        <f t="shared" si="7"/>
        <v>46127</v>
      </c>
      <c r="D176" s="6">
        <v>3287</v>
      </c>
      <c r="E176" s="6">
        <v>338</v>
      </c>
      <c r="F176" s="6">
        <v>4</v>
      </c>
      <c r="G176" s="6">
        <v>4</v>
      </c>
      <c r="H176" s="6">
        <v>81588</v>
      </c>
      <c r="I176" s="6" t="s">
        <v>17</v>
      </c>
      <c r="J176" s="6">
        <v>26516209</v>
      </c>
      <c r="K176" s="6" t="s">
        <v>2308</v>
      </c>
      <c r="L176" s="38" t="s">
        <v>2310</v>
      </c>
      <c r="M176" s="8">
        <v>199900</v>
      </c>
      <c r="N176" s="35">
        <v>0.9</v>
      </c>
      <c r="O176" s="34">
        <f t="shared" si="8"/>
        <v>19990</v>
      </c>
      <c r="P176" s="6" t="s">
        <v>16</v>
      </c>
    </row>
    <row r="177" spans="1:16" x14ac:dyDescent="0.35">
      <c r="A177" s="32" t="s">
        <v>6508</v>
      </c>
      <c r="B177" s="7">
        <f t="shared" si="6"/>
        <v>46121</v>
      </c>
      <c r="C177" s="7">
        <f t="shared" si="7"/>
        <v>46127</v>
      </c>
      <c r="D177" s="6">
        <v>3287</v>
      </c>
      <c r="E177" s="6">
        <v>338</v>
      </c>
      <c r="F177" s="6">
        <v>4</v>
      </c>
      <c r="G177" s="6">
        <v>4</v>
      </c>
      <c r="H177" s="6">
        <v>81588</v>
      </c>
      <c r="I177" s="6" t="s">
        <v>17</v>
      </c>
      <c r="J177" s="6">
        <v>26516227</v>
      </c>
      <c r="K177" s="6" t="s">
        <v>2308</v>
      </c>
      <c r="L177" s="38" t="s">
        <v>2311</v>
      </c>
      <c r="M177" s="8">
        <v>199900</v>
      </c>
      <c r="N177" s="35">
        <v>0.9</v>
      </c>
      <c r="O177" s="34">
        <f t="shared" si="8"/>
        <v>19990</v>
      </c>
      <c r="P177" s="6" t="s">
        <v>16</v>
      </c>
    </row>
    <row r="178" spans="1:16" x14ac:dyDescent="0.35">
      <c r="A178" s="32" t="s">
        <v>6508</v>
      </c>
      <c r="B178" s="7">
        <f t="shared" si="6"/>
        <v>46121</v>
      </c>
      <c r="C178" s="7">
        <f t="shared" si="7"/>
        <v>46127</v>
      </c>
      <c r="D178" s="6">
        <v>3287</v>
      </c>
      <c r="E178" s="6">
        <v>338</v>
      </c>
      <c r="F178" s="6">
        <v>4</v>
      </c>
      <c r="G178" s="6">
        <v>4</v>
      </c>
      <c r="H178" s="6">
        <v>81588</v>
      </c>
      <c r="I178" s="6" t="s">
        <v>17</v>
      </c>
      <c r="J178" s="6">
        <v>26516530</v>
      </c>
      <c r="K178" s="6" t="s">
        <v>2312</v>
      </c>
      <c r="L178" s="38" t="s">
        <v>2313</v>
      </c>
      <c r="M178" s="8">
        <v>189900</v>
      </c>
      <c r="N178" s="35">
        <v>0.9</v>
      </c>
      <c r="O178" s="34">
        <f t="shared" si="8"/>
        <v>18990</v>
      </c>
      <c r="P178" s="6" t="s">
        <v>16</v>
      </c>
    </row>
    <row r="179" spans="1:16" x14ac:dyDescent="0.35">
      <c r="A179" s="32" t="s">
        <v>6508</v>
      </c>
      <c r="B179" s="7">
        <f t="shared" si="6"/>
        <v>46121</v>
      </c>
      <c r="C179" s="7">
        <f t="shared" si="7"/>
        <v>46127</v>
      </c>
      <c r="D179" s="6">
        <v>3287</v>
      </c>
      <c r="E179" s="6">
        <v>338</v>
      </c>
      <c r="F179" s="6">
        <v>4</v>
      </c>
      <c r="G179" s="6">
        <v>4</v>
      </c>
      <c r="H179" s="6">
        <v>81588</v>
      </c>
      <c r="I179" s="6" t="s">
        <v>17</v>
      </c>
      <c r="J179" s="6">
        <v>26516549</v>
      </c>
      <c r="K179" s="6" t="s">
        <v>2312</v>
      </c>
      <c r="L179" s="38" t="s">
        <v>2314</v>
      </c>
      <c r="M179" s="8">
        <v>189900</v>
      </c>
      <c r="N179" s="35">
        <v>0.9</v>
      </c>
      <c r="O179" s="34">
        <f t="shared" si="8"/>
        <v>18990</v>
      </c>
      <c r="P179" s="6" t="s">
        <v>16</v>
      </c>
    </row>
    <row r="180" spans="1:16" x14ac:dyDescent="0.35">
      <c r="A180" s="32" t="s">
        <v>6508</v>
      </c>
      <c r="B180" s="7">
        <f t="shared" si="6"/>
        <v>46121</v>
      </c>
      <c r="C180" s="7">
        <f t="shared" si="7"/>
        <v>46127</v>
      </c>
      <c r="D180" s="6">
        <v>3287</v>
      </c>
      <c r="E180" s="6">
        <v>338</v>
      </c>
      <c r="F180" s="6">
        <v>4</v>
      </c>
      <c r="G180" s="6">
        <v>4</v>
      </c>
      <c r="H180" s="6">
        <v>81588</v>
      </c>
      <c r="I180" s="6" t="s">
        <v>17</v>
      </c>
      <c r="J180" s="6">
        <v>26516585</v>
      </c>
      <c r="K180" s="6" t="s">
        <v>2312</v>
      </c>
      <c r="L180" s="38" t="s">
        <v>2315</v>
      </c>
      <c r="M180" s="8">
        <v>189900</v>
      </c>
      <c r="N180" s="35">
        <v>0.9</v>
      </c>
      <c r="O180" s="34">
        <f t="shared" si="8"/>
        <v>18990</v>
      </c>
      <c r="P180" s="6" t="s">
        <v>16</v>
      </c>
    </row>
    <row r="181" spans="1:16" x14ac:dyDescent="0.35">
      <c r="A181" s="32" t="s">
        <v>6508</v>
      </c>
      <c r="B181" s="7">
        <f t="shared" si="6"/>
        <v>46121</v>
      </c>
      <c r="C181" s="7">
        <f t="shared" si="7"/>
        <v>46127</v>
      </c>
      <c r="D181" s="6">
        <v>3287</v>
      </c>
      <c r="E181" s="6">
        <v>338</v>
      </c>
      <c r="F181" s="6">
        <v>4</v>
      </c>
      <c r="G181" s="6">
        <v>4</v>
      </c>
      <c r="H181" s="6">
        <v>81588</v>
      </c>
      <c r="I181" s="6" t="s">
        <v>17</v>
      </c>
      <c r="J181" s="6">
        <v>26141426</v>
      </c>
      <c r="K181" s="6" t="s">
        <v>2284</v>
      </c>
      <c r="L181" s="38" t="s">
        <v>2285</v>
      </c>
      <c r="M181" s="8">
        <v>189900</v>
      </c>
      <c r="N181" s="35">
        <v>0.9</v>
      </c>
      <c r="O181" s="34">
        <f t="shared" si="8"/>
        <v>18990</v>
      </c>
      <c r="P181" s="6" t="s">
        <v>16</v>
      </c>
    </row>
    <row r="182" spans="1:16" x14ac:dyDescent="0.35">
      <c r="A182" s="32" t="s">
        <v>6508</v>
      </c>
      <c r="B182" s="7">
        <f t="shared" si="6"/>
        <v>46121</v>
      </c>
      <c r="C182" s="7">
        <f t="shared" si="7"/>
        <v>46127</v>
      </c>
      <c r="D182" s="6">
        <v>3287</v>
      </c>
      <c r="E182" s="6">
        <v>338</v>
      </c>
      <c r="F182" s="6">
        <v>4</v>
      </c>
      <c r="G182" s="6">
        <v>4</v>
      </c>
      <c r="H182" s="6">
        <v>81588</v>
      </c>
      <c r="I182" s="6" t="s">
        <v>17</v>
      </c>
      <c r="J182" s="6">
        <v>26141444</v>
      </c>
      <c r="K182" s="6" t="s">
        <v>2284</v>
      </c>
      <c r="L182" s="38" t="s">
        <v>2286</v>
      </c>
      <c r="M182" s="8">
        <v>189900</v>
      </c>
      <c r="N182" s="35">
        <v>0.9</v>
      </c>
      <c r="O182" s="34">
        <f t="shared" si="8"/>
        <v>18990</v>
      </c>
      <c r="P182" s="6" t="s">
        <v>16</v>
      </c>
    </row>
    <row r="183" spans="1:16" x14ac:dyDescent="0.35">
      <c r="A183" s="32" t="s">
        <v>6508</v>
      </c>
      <c r="B183" s="7">
        <f t="shared" si="6"/>
        <v>46121</v>
      </c>
      <c r="C183" s="7">
        <f t="shared" si="7"/>
        <v>46127</v>
      </c>
      <c r="D183" s="6">
        <v>3287</v>
      </c>
      <c r="E183" s="6">
        <v>338</v>
      </c>
      <c r="F183" s="6">
        <v>4</v>
      </c>
      <c r="G183" s="6">
        <v>4</v>
      </c>
      <c r="H183" s="6">
        <v>81588</v>
      </c>
      <c r="I183" s="6" t="s">
        <v>17</v>
      </c>
      <c r="J183" s="6">
        <v>26141462</v>
      </c>
      <c r="K183" s="6" t="s">
        <v>2284</v>
      </c>
      <c r="L183" s="38" t="s">
        <v>2287</v>
      </c>
      <c r="M183" s="8">
        <v>189900</v>
      </c>
      <c r="N183" s="35">
        <v>0.9</v>
      </c>
      <c r="O183" s="34">
        <f t="shared" si="8"/>
        <v>18990</v>
      </c>
      <c r="P183" s="6" t="s">
        <v>16</v>
      </c>
    </row>
    <row r="184" spans="1:16" x14ac:dyDescent="0.35">
      <c r="A184" s="32" t="s">
        <v>6508</v>
      </c>
      <c r="B184" s="7">
        <f t="shared" si="6"/>
        <v>46121</v>
      </c>
      <c r="C184" s="7">
        <f t="shared" si="7"/>
        <v>46127</v>
      </c>
      <c r="D184" s="6">
        <v>3287</v>
      </c>
      <c r="E184" s="6">
        <v>338</v>
      </c>
      <c r="F184" s="6">
        <v>4</v>
      </c>
      <c r="G184" s="6">
        <v>4</v>
      </c>
      <c r="H184" s="6">
        <v>81588</v>
      </c>
      <c r="I184" s="6" t="s">
        <v>17</v>
      </c>
      <c r="J184" s="6">
        <v>26141846</v>
      </c>
      <c r="K184" s="6" t="s">
        <v>2288</v>
      </c>
      <c r="L184" s="38" t="s">
        <v>2289</v>
      </c>
      <c r="M184" s="8">
        <v>189900</v>
      </c>
      <c r="N184" s="35">
        <v>0.9</v>
      </c>
      <c r="O184" s="34">
        <f t="shared" si="8"/>
        <v>18990</v>
      </c>
      <c r="P184" s="6" t="s">
        <v>16</v>
      </c>
    </row>
    <row r="185" spans="1:16" x14ac:dyDescent="0.35">
      <c r="A185" s="32" t="s">
        <v>6508</v>
      </c>
      <c r="B185" s="7">
        <f t="shared" si="6"/>
        <v>46121</v>
      </c>
      <c r="C185" s="7">
        <f t="shared" si="7"/>
        <v>46127</v>
      </c>
      <c r="D185" s="6">
        <v>3287</v>
      </c>
      <c r="E185" s="6">
        <v>338</v>
      </c>
      <c r="F185" s="6">
        <v>4</v>
      </c>
      <c r="G185" s="6">
        <v>4</v>
      </c>
      <c r="H185" s="6">
        <v>81588</v>
      </c>
      <c r="I185" s="6" t="s">
        <v>17</v>
      </c>
      <c r="J185" s="6">
        <v>26141855</v>
      </c>
      <c r="K185" s="6" t="s">
        <v>2288</v>
      </c>
      <c r="L185" s="38" t="s">
        <v>2290</v>
      </c>
      <c r="M185" s="8">
        <v>189900</v>
      </c>
      <c r="N185" s="35">
        <v>0.9</v>
      </c>
      <c r="O185" s="34">
        <f t="shared" si="8"/>
        <v>18990</v>
      </c>
      <c r="P185" s="6" t="s">
        <v>16</v>
      </c>
    </row>
    <row r="186" spans="1:16" x14ac:dyDescent="0.35">
      <c r="A186" s="32" t="s">
        <v>6508</v>
      </c>
      <c r="B186" s="7">
        <f t="shared" si="6"/>
        <v>46121</v>
      </c>
      <c r="C186" s="7">
        <f t="shared" si="7"/>
        <v>46127</v>
      </c>
      <c r="D186" s="6">
        <v>3287</v>
      </c>
      <c r="E186" s="6">
        <v>338</v>
      </c>
      <c r="F186" s="6">
        <v>4</v>
      </c>
      <c r="G186" s="6">
        <v>4</v>
      </c>
      <c r="H186" s="6">
        <v>81588</v>
      </c>
      <c r="I186" s="6" t="s">
        <v>17</v>
      </c>
      <c r="J186" s="6">
        <v>26141864</v>
      </c>
      <c r="K186" s="6" t="s">
        <v>2288</v>
      </c>
      <c r="L186" s="38" t="s">
        <v>2291</v>
      </c>
      <c r="M186" s="8">
        <v>189900</v>
      </c>
      <c r="N186" s="35">
        <v>0.9</v>
      </c>
      <c r="O186" s="34">
        <f t="shared" si="8"/>
        <v>18990</v>
      </c>
      <c r="P186" s="6" t="s">
        <v>16</v>
      </c>
    </row>
    <row r="187" spans="1:16" x14ac:dyDescent="0.35">
      <c r="A187" s="32" t="s">
        <v>6508</v>
      </c>
      <c r="B187" s="7">
        <f t="shared" si="6"/>
        <v>46121</v>
      </c>
      <c r="C187" s="7">
        <f t="shared" si="7"/>
        <v>46127</v>
      </c>
      <c r="D187" s="6">
        <v>3287</v>
      </c>
      <c r="E187" s="6">
        <v>338</v>
      </c>
      <c r="F187" s="6">
        <v>4</v>
      </c>
      <c r="G187" s="6">
        <v>4</v>
      </c>
      <c r="H187" s="6">
        <v>81588</v>
      </c>
      <c r="I187" s="6" t="s">
        <v>17</v>
      </c>
      <c r="J187" s="6">
        <v>26141873</v>
      </c>
      <c r="K187" s="6" t="s">
        <v>2288</v>
      </c>
      <c r="L187" s="38" t="s">
        <v>2292</v>
      </c>
      <c r="M187" s="8">
        <v>189900</v>
      </c>
      <c r="N187" s="35">
        <v>0.9</v>
      </c>
      <c r="O187" s="34">
        <f t="shared" si="8"/>
        <v>18990</v>
      </c>
      <c r="P187" s="6" t="s">
        <v>16</v>
      </c>
    </row>
    <row r="188" spans="1:16" x14ac:dyDescent="0.35">
      <c r="A188" s="32" t="s">
        <v>6508</v>
      </c>
      <c r="B188" s="7">
        <f t="shared" si="6"/>
        <v>46121</v>
      </c>
      <c r="C188" s="7">
        <f t="shared" si="7"/>
        <v>46127</v>
      </c>
      <c r="D188" s="6">
        <v>3287</v>
      </c>
      <c r="E188" s="6">
        <v>338</v>
      </c>
      <c r="F188" s="6">
        <v>4</v>
      </c>
      <c r="G188" s="6">
        <v>4</v>
      </c>
      <c r="H188" s="6">
        <v>81588</v>
      </c>
      <c r="I188" s="6" t="s">
        <v>17</v>
      </c>
      <c r="J188" s="6">
        <v>26141891</v>
      </c>
      <c r="K188" s="6" t="s">
        <v>2288</v>
      </c>
      <c r="L188" s="38" t="s">
        <v>2293</v>
      </c>
      <c r="M188" s="8">
        <v>189900</v>
      </c>
      <c r="N188" s="35">
        <v>0.9</v>
      </c>
      <c r="O188" s="34">
        <f t="shared" si="8"/>
        <v>18990</v>
      </c>
      <c r="P188" s="6" t="s">
        <v>16</v>
      </c>
    </row>
    <row r="189" spans="1:16" x14ac:dyDescent="0.35">
      <c r="A189" s="32" t="s">
        <v>6508</v>
      </c>
      <c r="B189" s="7">
        <f t="shared" si="6"/>
        <v>46121</v>
      </c>
      <c r="C189" s="7">
        <f t="shared" si="7"/>
        <v>46127</v>
      </c>
      <c r="D189" s="6">
        <v>3287</v>
      </c>
      <c r="E189" s="6">
        <v>338</v>
      </c>
      <c r="F189" s="6">
        <v>4</v>
      </c>
      <c r="G189" s="6">
        <v>4</v>
      </c>
      <c r="H189" s="6">
        <v>81588</v>
      </c>
      <c r="I189" s="6" t="s">
        <v>17</v>
      </c>
      <c r="J189" s="6">
        <v>26141908</v>
      </c>
      <c r="K189" s="6" t="s">
        <v>2288</v>
      </c>
      <c r="L189" s="38" t="s">
        <v>2294</v>
      </c>
      <c r="M189" s="8">
        <v>189900</v>
      </c>
      <c r="N189" s="35">
        <v>0.9</v>
      </c>
      <c r="O189" s="34">
        <f t="shared" si="8"/>
        <v>18990</v>
      </c>
      <c r="P189" s="6" t="s">
        <v>16</v>
      </c>
    </row>
    <row r="190" spans="1:16" x14ac:dyDescent="0.35">
      <c r="A190" s="32" t="s">
        <v>6508</v>
      </c>
      <c r="B190" s="7">
        <f t="shared" ref="B190:B253" si="9">B189</f>
        <v>46121</v>
      </c>
      <c r="C190" s="7">
        <f t="shared" ref="C190:C253" si="10">C189</f>
        <v>46127</v>
      </c>
      <c r="D190" s="6">
        <v>3287</v>
      </c>
      <c r="E190" s="6">
        <v>338</v>
      </c>
      <c r="F190" s="6">
        <v>4</v>
      </c>
      <c r="G190" s="6">
        <v>4</v>
      </c>
      <c r="H190" s="6">
        <v>81588</v>
      </c>
      <c r="I190" s="6" t="s">
        <v>17</v>
      </c>
      <c r="J190" s="6">
        <v>26366685</v>
      </c>
      <c r="K190" s="6" t="s">
        <v>2295</v>
      </c>
      <c r="L190" s="38" t="s">
        <v>2296</v>
      </c>
      <c r="M190" s="8">
        <v>189900</v>
      </c>
      <c r="N190" s="35">
        <v>0.9</v>
      </c>
      <c r="O190" s="34">
        <f t="shared" si="8"/>
        <v>18990</v>
      </c>
      <c r="P190" s="6" t="s">
        <v>16</v>
      </c>
    </row>
    <row r="191" spans="1:16" x14ac:dyDescent="0.35">
      <c r="A191" s="32" t="s">
        <v>6508</v>
      </c>
      <c r="B191" s="7">
        <f t="shared" si="9"/>
        <v>46121</v>
      </c>
      <c r="C191" s="7">
        <f t="shared" si="10"/>
        <v>46127</v>
      </c>
      <c r="D191" s="6">
        <v>3287</v>
      </c>
      <c r="E191" s="6">
        <v>338</v>
      </c>
      <c r="F191" s="6">
        <v>4</v>
      </c>
      <c r="G191" s="6">
        <v>4</v>
      </c>
      <c r="H191" s="6">
        <v>81588</v>
      </c>
      <c r="I191" s="6" t="s">
        <v>17</v>
      </c>
      <c r="J191" s="6">
        <v>26366694</v>
      </c>
      <c r="K191" s="6" t="s">
        <v>2295</v>
      </c>
      <c r="L191" s="38" t="s">
        <v>2297</v>
      </c>
      <c r="M191" s="8">
        <v>189900</v>
      </c>
      <c r="N191" s="35">
        <v>0.9</v>
      </c>
      <c r="O191" s="34">
        <f t="shared" si="8"/>
        <v>18990</v>
      </c>
      <c r="P191" s="6" t="s">
        <v>16</v>
      </c>
    </row>
    <row r="192" spans="1:16" x14ac:dyDescent="0.35">
      <c r="A192" s="32" t="s">
        <v>6508</v>
      </c>
      <c r="B192" s="7">
        <f t="shared" si="9"/>
        <v>46121</v>
      </c>
      <c r="C192" s="7">
        <f t="shared" si="10"/>
        <v>46127</v>
      </c>
      <c r="D192" s="6">
        <v>3287</v>
      </c>
      <c r="E192" s="6">
        <v>338</v>
      </c>
      <c r="F192" s="6">
        <v>4</v>
      </c>
      <c r="G192" s="6">
        <v>4</v>
      </c>
      <c r="H192" s="6">
        <v>81588</v>
      </c>
      <c r="I192" s="6" t="s">
        <v>17</v>
      </c>
      <c r="J192" s="6">
        <v>26366701</v>
      </c>
      <c r="K192" s="6" t="s">
        <v>2295</v>
      </c>
      <c r="L192" s="38" t="s">
        <v>2298</v>
      </c>
      <c r="M192" s="8">
        <v>189900</v>
      </c>
      <c r="N192" s="35">
        <v>0.9</v>
      </c>
      <c r="O192" s="34">
        <f t="shared" si="8"/>
        <v>18990</v>
      </c>
      <c r="P192" s="6" t="s">
        <v>16</v>
      </c>
    </row>
    <row r="193" spans="1:16" x14ac:dyDescent="0.35">
      <c r="A193" s="32" t="s">
        <v>6508</v>
      </c>
      <c r="B193" s="7">
        <f t="shared" si="9"/>
        <v>46121</v>
      </c>
      <c r="C193" s="7">
        <f t="shared" si="10"/>
        <v>46127</v>
      </c>
      <c r="D193" s="6">
        <v>3287</v>
      </c>
      <c r="E193" s="6">
        <v>338</v>
      </c>
      <c r="F193" s="6">
        <v>4</v>
      </c>
      <c r="G193" s="6">
        <v>4</v>
      </c>
      <c r="H193" s="6">
        <v>81588</v>
      </c>
      <c r="I193" s="6" t="s">
        <v>17</v>
      </c>
      <c r="J193" s="6">
        <v>26366710</v>
      </c>
      <c r="K193" s="6" t="s">
        <v>2299</v>
      </c>
      <c r="L193" s="38" t="s">
        <v>2300</v>
      </c>
      <c r="M193" s="8">
        <v>189900</v>
      </c>
      <c r="N193" s="35">
        <v>0.9</v>
      </c>
      <c r="O193" s="34">
        <f t="shared" si="8"/>
        <v>18990</v>
      </c>
      <c r="P193" s="6" t="s">
        <v>16</v>
      </c>
    </row>
    <row r="194" spans="1:16" x14ac:dyDescent="0.35">
      <c r="A194" s="32" t="s">
        <v>6508</v>
      </c>
      <c r="B194" s="7">
        <f t="shared" si="9"/>
        <v>46121</v>
      </c>
      <c r="C194" s="7">
        <f t="shared" si="10"/>
        <v>46127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17</v>
      </c>
      <c r="J194" s="6">
        <v>33033379</v>
      </c>
      <c r="K194" s="6" t="s">
        <v>2316</v>
      </c>
      <c r="L194" s="38" t="s">
        <v>2317</v>
      </c>
      <c r="M194" s="8">
        <v>34900</v>
      </c>
      <c r="N194" s="35">
        <v>0.9</v>
      </c>
      <c r="O194" s="34">
        <f t="shared" si="8"/>
        <v>3490</v>
      </c>
      <c r="P194" s="6" t="s">
        <v>16</v>
      </c>
    </row>
    <row r="195" spans="1:16" x14ac:dyDescent="0.35">
      <c r="A195" s="32" t="s">
        <v>6508</v>
      </c>
      <c r="B195" s="7">
        <f t="shared" si="9"/>
        <v>46121</v>
      </c>
      <c r="C195" s="7">
        <f t="shared" si="10"/>
        <v>46127</v>
      </c>
      <c r="D195" s="6">
        <v>3287</v>
      </c>
      <c r="E195" s="6">
        <v>338</v>
      </c>
      <c r="F195" s="6">
        <v>4</v>
      </c>
      <c r="G195" s="6">
        <v>5</v>
      </c>
      <c r="H195" s="6">
        <v>81574</v>
      </c>
      <c r="I195" s="6" t="s">
        <v>17</v>
      </c>
      <c r="J195" s="6">
        <v>33033388</v>
      </c>
      <c r="K195" s="6" t="s">
        <v>2316</v>
      </c>
      <c r="L195" s="38" t="s">
        <v>2318</v>
      </c>
      <c r="M195" s="8">
        <v>34900</v>
      </c>
      <c r="N195" s="35">
        <v>0.9</v>
      </c>
      <c r="O195" s="34">
        <f t="shared" si="8"/>
        <v>3490</v>
      </c>
      <c r="P195" s="6" t="s">
        <v>16</v>
      </c>
    </row>
    <row r="196" spans="1:16" x14ac:dyDescent="0.35">
      <c r="A196" s="32" t="s">
        <v>6508</v>
      </c>
      <c r="B196" s="7">
        <f t="shared" si="9"/>
        <v>46121</v>
      </c>
      <c r="C196" s="7">
        <f t="shared" si="10"/>
        <v>46127</v>
      </c>
      <c r="D196" s="6">
        <v>3287</v>
      </c>
      <c r="E196" s="6">
        <v>338</v>
      </c>
      <c r="F196" s="6">
        <v>4</v>
      </c>
      <c r="G196" s="6">
        <v>5</v>
      </c>
      <c r="H196" s="6">
        <v>81574</v>
      </c>
      <c r="I196" s="6" t="s">
        <v>17</v>
      </c>
      <c r="J196" s="6">
        <v>33033404</v>
      </c>
      <c r="K196" s="6" t="s">
        <v>2316</v>
      </c>
      <c r="L196" s="38" t="s">
        <v>2319</v>
      </c>
      <c r="M196" s="8">
        <v>34900</v>
      </c>
      <c r="N196" s="35">
        <v>0.9</v>
      </c>
      <c r="O196" s="34">
        <f t="shared" ref="O196:O259" si="11">M196-((90*M196)/100)</f>
        <v>3490</v>
      </c>
      <c r="P196" s="6" t="s">
        <v>16</v>
      </c>
    </row>
    <row r="197" spans="1:16" x14ac:dyDescent="0.35">
      <c r="A197" s="32" t="s">
        <v>6508</v>
      </c>
      <c r="B197" s="7">
        <f t="shared" si="9"/>
        <v>46121</v>
      </c>
      <c r="C197" s="7">
        <f t="shared" si="10"/>
        <v>46127</v>
      </c>
      <c r="D197" s="6">
        <v>3287</v>
      </c>
      <c r="E197" s="6">
        <v>338</v>
      </c>
      <c r="F197" s="6">
        <v>4</v>
      </c>
      <c r="G197" s="6">
        <v>5</v>
      </c>
      <c r="H197" s="6">
        <v>81574</v>
      </c>
      <c r="I197" s="6" t="s">
        <v>17</v>
      </c>
      <c r="J197" s="6">
        <v>33033495</v>
      </c>
      <c r="K197" s="6" t="s">
        <v>2320</v>
      </c>
      <c r="L197" s="38" t="s">
        <v>2321</v>
      </c>
      <c r="M197" s="8">
        <v>34900</v>
      </c>
      <c r="N197" s="35">
        <v>0.9</v>
      </c>
      <c r="O197" s="34">
        <f t="shared" si="11"/>
        <v>3490</v>
      </c>
      <c r="P197" s="6" t="s">
        <v>16</v>
      </c>
    </row>
    <row r="198" spans="1:16" x14ac:dyDescent="0.35">
      <c r="A198" s="32" t="s">
        <v>6508</v>
      </c>
      <c r="B198" s="7">
        <f t="shared" si="9"/>
        <v>46121</v>
      </c>
      <c r="C198" s="7">
        <f t="shared" si="10"/>
        <v>46127</v>
      </c>
      <c r="D198" s="6">
        <v>3287</v>
      </c>
      <c r="E198" s="6">
        <v>338</v>
      </c>
      <c r="F198" s="6">
        <v>4</v>
      </c>
      <c r="G198" s="6">
        <v>5</v>
      </c>
      <c r="H198" s="6">
        <v>81574</v>
      </c>
      <c r="I198" s="6" t="s">
        <v>17</v>
      </c>
      <c r="J198" s="6">
        <v>33033502</v>
      </c>
      <c r="K198" s="6" t="s">
        <v>2320</v>
      </c>
      <c r="L198" s="38" t="s">
        <v>2322</v>
      </c>
      <c r="M198" s="8">
        <v>34900</v>
      </c>
      <c r="N198" s="35">
        <v>0.9</v>
      </c>
      <c r="O198" s="34">
        <f t="shared" si="11"/>
        <v>3490</v>
      </c>
      <c r="P198" s="6" t="s">
        <v>16</v>
      </c>
    </row>
    <row r="199" spans="1:16" x14ac:dyDescent="0.35">
      <c r="A199" s="32" t="s">
        <v>6508</v>
      </c>
      <c r="B199" s="7">
        <f t="shared" si="9"/>
        <v>46121</v>
      </c>
      <c r="C199" s="7">
        <f t="shared" si="10"/>
        <v>46127</v>
      </c>
      <c r="D199" s="6">
        <v>3287</v>
      </c>
      <c r="E199" s="6">
        <v>338</v>
      </c>
      <c r="F199" s="6">
        <v>4</v>
      </c>
      <c r="G199" s="6">
        <v>5</v>
      </c>
      <c r="H199" s="6">
        <v>81574</v>
      </c>
      <c r="I199" s="6" t="s">
        <v>17</v>
      </c>
      <c r="J199" s="6">
        <v>33033511</v>
      </c>
      <c r="K199" s="6" t="s">
        <v>2320</v>
      </c>
      <c r="L199" s="38" t="s">
        <v>2323</v>
      </c>
      <c r="M199" s="8">
        <v>34900</v>
      </c>
      <c r="N199" s="35">
        <v>0.9</v>
      </c>
      <c r="O199" s="34">
        <f t="shared" si="11"/>
        <v>3490</v>
      </c>
      <c r="P199" s="6" t="s">
        <v>16</v>
      </c>
    </row>
    <row r="200" spans="1:16" x14ac:dyDescent="0.35">
      <c r="A200" s="32" t="s">
        <v>6508</v>
      </c>
      <c r="B200" s="7">
        <f t="shared" si="9"/>
        <v>46121</v>
      </c>
      <c r="C200" s="7">
        <f t="shared" si="10"/>
        <v>46127</v>
      </c>
      <c r="D200" s="6">
        <v>3287</v>
      </c>
      <c r="E200" s="6">
        <v>338</v>
      </c>
      <c r="F200" s="6">
        <v>4</v>
      </c>
      <c r="G200" s="6">
        <v>5</v>
      </c>
      <c r="H200" s="6">
        <v>81574</v>
      </c>
      <c r="I200" s="6" t="s">
        <v>17</v>
      </c>
      <c r="J200" s="6">
        <v>33033520</v>
      </c>
      <c r="K200" s="6" t="s">
        <v>2320</v>
      </c>
      <c r="L200" s="38" t="s">
        <v>2324</v>
      </c>
      <c r="M200" s="8">
        <v>34900</v>
      </c>
      <c r="N200" s="35">
        <v>0.9</v>
      </c>
      <c r="O200" s="34">
        <f t="shared" si="11"/>
        <v>3490</v>
      </c>
      <c r="P200" s="6" t="s">
        <v>16</v>
      </c>
    </row>
    <row r="201" spans="1:16" x14ac:dyDescent="0.35">
      <c r="A201" s="32" t="s">
        <v>6508</v>
      </c>
      <c r="B201" s="7">
        <f t="shared" si="9"/>
        <v>46121</v>
      </c>
      <c r="C201" s="7">
        <f t="shared" si="10"/>
        <v>46127</v>
      </c>
      <c r="D201" s="6">
        <v>3287</v>
      </c>
      <c r="E201" s="6">
        <v>338</v>
      </c>
      <c r="F201" s="6">
        <v>4</v>
      </c>
      <c r="G201" s="6">
        <v>6</v>
      </c>
      <c r="H201" s="6">
        <v>81379</v>
      </c>
      <c r="I201" s="6" t="s">
        <v>17</v>
      </c>
      <c r="J201" s="6">
        <v>28032219</v>
      </c>
      <c r="K201" s="6" t="s">
        <v>2338</v>
      </c>
      <c r="L201" s="38" t="s">
        <v>2339</v>
      </c>
      <c r="M201" s="8">
        <v>189900</v>
      </c>
      <c r="N201" s="35">
        <v>0.9</v>
      </c>
      <c r="O201" s="34">
        <f t="shared" si="11"/>
        <v>18990</v>
      </c>
      <c r="P201" s="6" t="s">
        <v>16</v>
      </c>
    </row>
    <row r="202" spans="1:16" x14ac:dyDescent="0.35">
      <c r="A202" s="32" t="s">
        <v>6508</v>
      </c>
      <c r="B202" s="7">
        <f t="shared" si="9"/>
        <v>46121</v>
      </c>
      <c r="C202" s="7">
        <f t="shared" si="10"/>
        <v>46127</v>
      </c>
      <c r="D202" s="6">
        <v>3287</v>
      </c>
      <c r="E202" s="6">
        <v>338</v>
      </c>
      <c r="F202" s="6">
        <v>4</v>
      </c>
      <c r="G202" s="6">
        <v>6</v>
      </c>
      <c r="H202" s="6">
        <v>81379</v>
      </c>
      <c r="I202" s="6" t="s">
        <v>17</v>
      </c>
      <c r="J202" s="6">
        <v>28032228</v>
      </c>
      <c r="K202" s="6" t="s">
        <v>2338</v>
      </c>
      <c r="L202" s="38" t="s">
        <v>2340</v>
      </c>
      <c r="M202" s="8">
        <v>189900</v>
      </c>
      <c r="N202" s="35">
        <v>0.9</v>
      </c>
      <c r="O202" s="34">
        <f t="shared" si="11"/>
        <v>18990</v>
      </c>
      <c r="P202" s="6" t="s">
        <v>16</v>
      </c>
    </row>
    <row r="203" spans="1:16" x14ac:dyDescent="0.35">
      <c r="A203" s="32" t="s">
        <v>6508</v>
      </c>
      <c r="B203" s="7">
        <f t="shared" si="9"/>
        <v>46121</v>
      </c>
      <c r="C203" s="7">
        <f t="shared" si="10"/>
        <v>46127</v>
      </c>
      <c r="D203" s="6">
        <v>3287</v>
      </c>
      <c r="E203" s="6">
        <v>338</v>
      </c>
      <c r="F203" s="6">
        <v>4</v>
      </c>
      <c r="G203" s="6">
        <v>6</v>
      </c>
      <c r="H203" s="6">
        <v>81379</v>
      </c>
      <c r="I203" s="6" t="s">
        <v>17</v>
      </c>
      <c r="J203" s="6">
        <v>28032264</v>
      </c>
      <c r="K203" s="6" t="s">
        <v>2338</v>
      </c>
      <c r="L203" s="38" t="s">
        <v>2341</v>
      </c>
      <c r="M203" s="8">
        <v>199900</v>
      </c>
      <c r="N203" s="35">
        <v>0.9</v>
      </c>
      <c r="O203" s="34">
        <f t="shared" si="11"/>
        <v>19990</v>
      </c>
      <c r="P203" s="6" t="s">
        <v>16</v>
      </c>
    </row>
    <row r="204" spans="1:16" x14ac:dyDescent="0.35">
      <c r="A204" s="32" t="s">
        <v>6508</v>
      </c>
      <c r="B204" s="7">
        <f t="shared" si="9"/>
        <v>46121</v>
      </c>
      <c r="C204" s="7">
        <f t="shared" si="10"/>
        <v>46127</v>
      </c>
      <c r="D204" s="6">
        <v>3287</v>
      </c>
      <c r="E204" s="6">
        <v>338</v>
      </c>
      <c r="F204" s="6">
        <v>4</v>
      </c>
      <c r="G204" s="6">
        <v>6</v>
      </c>
      <c r="H204" s="6">
        <v>81379</v>
      </c>
      <c r="I204" s="6" t="s">
        <v>17</v>
      </c>
      <c r="J204" s="6">
        <v>28124496</v>
      </c>
      <c r="K204" s="6" t="s">
        <v>2342</v>
      </c>
      <c r="L204" s="38" t="s">
        <v>2343</v>
      </c>
      <c r="M204" s="8">
        <v>189900</v>
      </c>
      <c r="N204" s="35">
        <v>0.9</v>
      </c>
      <c r="O204" s="34">
        <f t="shared" si="11"/>
        <v>18990</v>
      </c>
      <c r="P204" s="6" t="s">
        <v>16</v>
      </c>
    </row>
    <row r="205" spans="1:16" x14ac:dyDescent="0.35">
      <c r="A205" s="32" t="s">
        <v>6508</v>
      </c>
      <c r="B205" s="7">
        <f t="shared" si="9"/>
        <v>46121</v>
      </c>
      <c r="C205" s="7">
        <f t="shared" si="10"/>
        <v>46127</v>
      </c>
      <c r="D205" s="6">
        <v>3287</v>
      </c>
      <c r="E205" s="6">
        <v>338</v>
      </c>
      <c r="F205" s="6">
        <v>4</v>
      </c>
      <c r="G205" s="6">
        <v>6</v>
      </c>
      <c r="H205" s="6">
        <v>81379</v>
      </c>
      <c r="I205" s="6" t="s">
        <v>17</v>
      </c>
      <c r="J205" s="6">
        <v>28124503</v>
      </c>
      <c r="K205" s="6" t="s">
        <v>2342</v>
      </c>
      <c r="L205" s="38" t="s">
        <v>2344</v>
      </c>
      <c r="M205" s="8">
        <v>189900</v>
      </c>
      <c r="N205" s="35">
        <v>0.9</v>
      </c>
      <c r="O205" s="34">
        <f t="shared" si="11"/>
        <v>18990</v>
      </c>
      <c r="P205" s="6" t="s">
        <v>16</v>
      </c>
    </row>
    <row r="206" spans="1:16" x14ac:dyDescent="0.35">
      <c r="A206" s="32" t="s">
        <v>6508</v>
      </c>
      <c r="B206" s="7">
        <f t="shared" si="9"/>
        <v>46121</v>
      </c>
      <c r="C206" s="7">
        <f t="shared" si="10"/>
        <v>46127</v>
      </c>
      <c r="D206" s="6">
        <v>3287</v>
      </c>
      <c r="E206" s="6">
        <v>338</v>
      </c>
      <c r="F206" s="6">
        <v>4</v>
      </c>
      <c r="G206" s="6">
        <v>6</v>
      </c>
      <c r="H206" s="6">
        <v>81379</v>
      </c>
      <c r="I206" s="6" t="s">
        <v>17</v>
      </c>
      <c r="J206" s="6">
        <v>28124512</v>
      </c>
      <c r="K206" s="6" t="s">
        <v>2342</v>
      </c>
      <c r="L206" s="38" t="s">
        <v>2345</v>
      </c>
      <c r="M206" s="8">
        <v>189900</v>
      </c>
      <c r="N206" s="35">
        <v>0.9</v>
      </c>
      <c r="O206" s="34">
        <f t="shared" si="11"/>
        <v>18990</v>
      </c>
      <c r="P206" s="6" t="s">
        <v>16</v>
      </c>
    </row>
    <row r="207" spans="1:16" x14ac:dyDescent="0.35">
      <c r="A207" s="32" t="s">
        <v>6508</v>
      </c>
      <c r="B207" s="7">
        <f t="shared" si="9"/>
        <v>46121</v>
      </c>
      <c r="C207" s="7">
        <f t="shared" si="10"/>
        <v>46127</v>
      </c>
      <c r="D207" s="6">
        <v>3287</v>
      </c>
      <c r="E207" s="6">
        <v>338</v>
      </c>
      <c r="F207" s="6">
        <v>4</v>
      </c>
      <c r="G207" s="6">
        <v>6</v>
      </c>
      <c r="H207" s="6">
        <v>81379</v>
      </c>
      <c r="I207" s="6" t="s">
        <v>17</v>
      </c>
      <c r="J207" s="6">
        <v>28124549</v>
      </c>
      <c r="K207" s="6" t="s">
        <v>2342</v>
      </c>
      <c r="L207" s="38" t="s">
        <v>2346</v>
      </c>
      <c r="M207" s="8">
        <v>199900</v>
      </c>
      <c r="N207" s="35">
        <v>0.9</v>
      </c>
      <c r="O207" s="34">
        <f t="shared" si="11"/>
        <v>19990</v>
      </c>
      <c r="P207" s="6" t="s">
        <v>16</v>
      </c>
    </row>
    <row r="208" spans="1:16" x14ac:dyDescent="0.35">
      <c r="A208" s="32" t="s">
        <v>6508</v>
      </c>
      <c r="B208" s="7">
        <f t="shared" si="9"/>
        <v>46121</v>
      </c>
      <c r="C208" s="7">
        <f t="shared" si="10"/>
        <v>46127</v>
      </c>
      <c r="D208" s="6">
        <v>3287</v>
      </c>
      <c r="E208" s="6">
        <v>338</v>
      </c>
      <c r="F208" s="6">
        <v>4</v>
      </c>
      <c r="G208" s="6">
        <v>6</v>
      </c>
      <c r="H208" s="6">
        <v>81379</v>
      </c>
      <c r="I208" s="6" t="s">
        <v>17</v>
      </c>
      <c r="J208" s="6">
        <v>28124558</v>
      </c>
      <c r="K208" s="6" t="s">
        <v>2342</v>
      </c>
      <c r="L208" s="38" t="s">
        <v>2347</v>
      </c>
      <c r="M208" s="8">
        <v>199900</v>
      </c>
      <c r="N208" s="35">
        <v>0.9</v>
      </c>
      <c r="O208" s="34">
        <f t="shared" si="11"/>
        <v>19990</v>
      </c>
      <c r="P208" s="6" t="s">
        <v>16</v>
      </c>
    </row>
    <row r="209" spans="1:16" x14ac:dyDescent="0.35">
      <c r="A209" s="32" t="s">
        <v>6508</v>
      </c>
      <c r="B209" s="7">
        <f t="shared" si="9"/>
        <v>46121</v>
      </c>
      <c r="C209" s="7">
        <f t="shared" si="10"/>
        <v>46127</v>
      </c>
      <c r="D209" s="6">
        <v>3287</v>
      </c>
      <c r="E209" s="6">
        <v>338</v>
      </c>
      <c r="F209" s="6">
        <v>4</v>
      </c>
      <c r="G209" s="6">
        <v>6</v>
      </c>
      <c r="H209" s="6">
        <v>81379</v>
      </c>
      <c r="I209" s="6" t="s">
        <v>17</v>
      </c>
      <c r="J209" s="6">
        <v>28124567</v>
      </c>
      <c r="K209" s="6" t="s">
        <v>2342</v>
      </c>
      <c r="L209" s="38" t="s">
        <v>2348</v>
      </c>
      <c r="M209" s="8">
        <v>199900</v>
      </c>
      <c r="N209" s="35">
        <v>0.9</v>
      </c>
      <c r="O209" s="34">
        <f t="shared" si="11"/>
        <v>19990</v>
      </c>
      <c r="P209" s="6" t="s">
        <v>16</v>
      </c>
    </row>
    <row r="210" spans="1:16" x14ac:dyDescent="0.35">
      <c r="A210" s="32" t="s">
        <v>6508</v>
      </c>
      <c r="B210" s="7">
        <f t="shared" si="9"/>
        <v>46121</v>
      </c>
      <c r="C210" s="7">
        <f t="shared" si="10"/>
        <v>46127</v>
      </c>
      <c r="D210" s="6">
        <v>3287</v>
      </c>
      <c r="E210" s="6">
        <v>338</v>
      </c>
      <c r="F210" s="6">
        <v>4</v>
      </c>
      <c r="G210" s="6">
        <v>6</v>
      </c>
      <c r="H210" s="6">
        <v>81574</v>
      </c>
      <c r="I210" s="6" t="s">
        <v>17</v>
      </c>
      <c r="J210" s="6">
        <v>33417240</v>
      </c>
      <c r="K210" s="6" t="s">
        <v>2349</v>
      </c>
      <c r="L210" s="38" t="s">
        <v>2350</v>
      </c>
      <c r="M210" s="8">
        <v>189900</v>
      </c>
      <c r="N210" s="35">
        <v>0.9</v>
      </c>
      <c r="O210" s="34">
        <f t="shared" si="11"/>
        <v>18990</v>
      </c>
      <c r="P210" s="6" t="s">
        <v>16</v>
      </c>
    </row>
    <row r="211" spans="1:16" x14ac:dyDescent="0.35">
      <c r="A211" s="32" t="s">
        <v>6508</v>
      </c>
      <c r="B211" s="7">
        <f t="shared" si="9"/>
        <v>46121</v>
      </c>
      <c r="C211" s="7">
        <f t="shared" si="10"/>
        <v>46127</v>
      </c>
      <c r="D211" s="6">
        <v>3287</v>
      </c>
      <c r="E211" s="6">
        <v>338</v>
      </c>
      <c r="F211" s="6">
        <v>4</v>
      </c>
      <c r="G211" s="6">
        <v>6</v>
      </c>
      <c r="H211" s="6">
        <v>81574</v>
      </c>
      <c r="I211" s="6" t="s">
        <v>17</v>
      </c>
      <c r="J211" s="6">
        <v>33417259</v>
      </c>
      <c r="K211" s="6" t="s">
        <v>2349</v>
      </c>
      <c r="L211" s="38" t="s">
        <v>2351</v>
      </c>
      <c r="M211" s="8">
        <v>189900</v>
      </c>
      <c r="N211" s="35">
        <v>0.9</v>
      </c>
      <c r="O211" s="34">
        <f t="shared" si="11"/>
        <v>18990</v>
      </c>
      <c r="P211" s="6" t="s">
        <v>16</v>
      </c>
    </row>
    <row r="212" spans="1:16" x14ac:dyDescent="0.35">
      <c r="A212" s="32" t="s">
        <v>6508</v>
      </c>
      <c r="B212" s="7">
        <f t="shared" si="9"/>
        <v>46121</v>
      </c>
      <c r="C212" s="7">
        <f t="shared" si="10"/>
        <v>46127</v>
      </c>
      <c r="D212" s="6">
        <v>3287</v>
      </c>
      <c r="E212" s="6">
        <v>338</v>
      </c>
      <c r="F212" s="6">
        <v>4</v>
      </c>
      <c r="G212" s="6">
        <v>6</v>
      </c>
      <c r="H212" s="6">
        <v>81574</v>
      </c>
      <c r="I212" s="6" t="s">
        <v>17</v>
      </c>
      <c r="J212" s="6">
        <v>33417268</v>
      </c>
      <c r="K212" s="6" t="s">
        <v>2349</v>
      </c>
      <c r="L212" s="38" t="s">
        <v>2352</v>
      </c>
      <c r="M212" s="8">
        <v>189900</v>
      </c>
      <c r="N212" s="35">
        <v>0.9</v>
      </c>
      <c r="O212" s="34">
        <f t="shared" si="11"/>
        <v>18990</v>
      </c>
      <c r="P212" s="6" t="s">
        <v>16</v>
      </c>
    </row>
    <row r="213" spans="1:16" x14ac:dyDescent="0.35">
      <c r="A213" s="32" t="s">
        <v>6508</v>
      </c>
      <c r="B213" s="7">
        <f t="shared" si="9"/>
        <v>46121</v>
      </c>
      <c r="C213" s="7">
        <f t="shared" si="10"/>
        <v>46127</v>
      </c>
      <c r="D213" s="6">
        <v>3287</v>
      </c>
      <c r="E213" s="6">
        <v>338</v>
      </c>
      <c r="F213" s="6">
        <v>4</v>
      </c>
      <c r="G213" s="6">
        <v>6</v>
      </c>
      <c r="H213" s="6">
        <v>81574</v>
      </c>
      <c r="I213" s="6" t="s">
        <v>17</v>
      </c>
      <c r="J213" s="6">
        <v>33417277</v>
      </c>
      <c r="K213" s="6" t="s">
        <v>2349</v>
      </c>
      <c r="L213" s="38" t="s">
        <v>2353</v>
      </c>
      <c r="M213" s="8">
        <v>189900</v>
      </c>
      <c r="N213" s="35">
        <v>0.9</v>
      </c>
      <c r="O213" s="34">
        <f t="shared" si="11"/>
        <v>18990</v>
      </c>
      <c r="P213" s="6" t="s">
        <v>16</v>
      </c>
    </row>
    <row r="214" spans="1:16" x14ac:dyDescent="0.35">
      <c r="A214" s="32" t="s">
        <v>6508</v>
      </c>
      <c r="B214" s="7">
        <f t="shared" si="9"/>
        <v>46121</v>
      </c>
      <c r="C214" s="7">
        <f t="shared" si="10"/>
        <v>46127</v>
      </c>
      <c r="D214" s="6">
        <v>3287</v>
      </c>
      <c r="E214" s="6">
        <v>338</v>
      </c>
      <c r="F214" s="6">
        <v>4</v>
      </c>
      <c r="G214" s="6">
        <v>6</v>
      </c>
      <c r="H214" s="6">
        <v>81574</v>
      </c>
      <c r="I214" s="6" t="s">
        <v>17</v>
      </c>
      <c r="J214" s="6">
        <v>33417286</v>
      </c>
      <c r="K214" s="6" t="s">
        <v>2349</v>
      </c>
      <c r="L214" s="38" t="s">
        <v>2354</v>
      </c>
      <c r="M214" s="8">
        <v>199900</v>
      </c>
      <c r="N214" s="35">
        <v>0.9</v>
      </c>
      <c r="O214" s="34">
        <f t="shared" si="11"/>
        <v>19990</v>
      </c>
      <c r="P214" s="6" t="s">
        <v>16</v>
      </c>
    </row>
    <row r="215" spans="1:16" x14ac:dyDescent="0.35">
      <c r="A215" s="32" t="s">
        <v>6508</v>
      </c>
      <c r="B215" s="7">
        <f t="shared" si="9"/>
        <v>46121</v>
      </c>
      <c r="C215" s="7">
        <f t="shared" si="10"/>
        <v>46127</v>
      </c>
      <c r="D215" s="6">
        <v>3287</v>
      </c>
      <c r="E215" s="6">
        <v>338</v>
      </c>
      <c r="F215" s="6">
        <v>4</v>
      </c>
      <c r="G215" s="6">
        <v>6</v>
      </c>
      <c r="H215" s="6">
        <v>81588</v>
      </c>
      <c r="I215" s="6" t="s">
        <v>17</v>
      </c>
      <c r="J215" s="6">
        <v>26288868</v>
      </c>
      <c r="K215" s="6" t="s">
        <v>2355</v>
      </c>
      <c r="L215" s="38" t="s">
        <v>2356</v>
      </c>
      <c r="M215" s="8">
        <v>179900</v>
      </c>
      <c r="N215" s="35">
        <v>0.9</v>
      </c>
      <c r="O215" s="34">
        <f t="shared" si="11"/>
        <v>17990</v>
      </c>
      <c r="P215" s="6" t="s">
        <v>16</v>
      </c>
    </row>
    <row r="216" spans="1:16" x14ac:dyDescent="0.35">
      <c r="A216" s="32" t="s">
        <v>6508</v>
      </c>
      <c r="B216" s="7">
        <f t="shared" si="9"/>
        <v>46121</v>
      </c>
      <c r="C216" s="7">
        <f t="shared" si="10"/>
        <v>46127</v>
      </c>
      <c r="D216" s="6">
        <v>3287</v>
      </c>
      <c r="E216" s="6">
        <v>338</v>
      </c>
      <c r="F216" s="6">
        <v>4</v>
      </c>
      <c r="G216" s="6">
        <v>6</v>
      </c>
      <c r="H216" s="6">
        <v>81588</v>
      </c>
      <c r="I216" s="6" t="s">
        <v>17</v>
      </c>
      <c r="J216" s="6">
        <v>26288877</v>
      </c>
      <c r="K216" s="6" t="s">
        <v>2355</v>
      </c>
      <c r="L216" s="38" t="s">
        <v>2357</v>
      </c>
      <c r="M216" s="8">
        <v>179900</v>
      </c>
      <c r="N216" s="35">
        <v>0.9</v>
      </c>
      <c r="O216" s="34">
        <f t="shared" si="11"/>
        <v>17990</v>
      </c>
      <c r="P216" s="6" t="s">
        <v>16</v>
      </c>
    </row>
    <row r="217" spans="1:16" x14ac:dyDescent="0.35">
      <c r="A217" s="32" t="s">
        <v>6508</v>
      </c>
      <c r="B217" s="7">
        <f t="shared" si="9"/>
        <v>46121</v>
      </c>
      <c r="C217" s="7">
        <f t="shared" si="10"/>
        <v>46127</v>
      </c>
      <c r="D217" s="6">
        <v>3287</v>
      </c>
      <c r="E217" s="6">
        <v>338</v>
      </c>
      <c r="F217" s="6">
        <v>4</v>
      </c>
      <c r="G217" s="6">
        <v>6</v>
      </c>
      <c r="H217" s="6">
        <v>81588</v>
      </c>
      <c r="I217" s="6" t="s">
        <v>17</v>
      </c>
      <c r="J217" s="6">
        <v>26288886</v>
      </c>
      <c r="K217" s="6" t="s">
        <v>2355</v>
      </c>
      <c r="L217" s="38" t="s">
        <v>2358</v>
      </c>
      <c r="M217" s="8">
        <v>179900</v>
      </c>
      <c r="N217" s="35">
        <v>0.9</v>
      </c>
      <c r="O217" s="34">
        <f t="shared" si="11"/>
        <v>17990</v>
      </c>
      <c r="P217" s="6" t="s">
        <v>16</v>
      </c>
    </row>
    <row r="218" spans="1:16" x14ac:dyDescent="0.35">
      <c r="A218" s="32" t="s">
        <v>6508</v>
      </c>
      <c r="B218" s="7">
        <f t="shared" si="9"/>
        <v>46121</v>
      </c>
      <c r="C218" s="7">
        <f t="shared" si="10"/>
        <v>46127</v>
      </c>
      <c r="D218" s="6">
        <v>3287</v>
      </c>
      <c r="E218" s="6">
        <v>338</v>
      </c>
      <c r="F218" s="6">
        <v>4</v>
      </c>
      <c r="G218" s="6">
        <v>6</v>
      </c>
      <c r="H218" s="6">
        <v>81588</v>
      </c>
      <c r="I218" s="6" t="s">
        <v>17</v>
      </c>
      <c r="J218" s="6">
        <v>26288895</v>
      </c>
      <c r="K218" s="6" t="s">
        <v>2355</v>
      </c>
      <c r="L218" s="38" t="s">
        <v>2359</v>
      </c>
      <c r="M218" s="8">
        <v>179900</v>
      </c>
      <c r="N218" s="35">
        <v>0.9</v>
      </c>
      <c r="O218" s="34">
        <f t="shared" si="11"/>
        <v>17990</v>
      </c>
      <c r="P218" s="6" t="s">
        <v>16</v>
      </c>
    </row>
    <row r="219" spans="1:16" x14ac:dyDescent="0.35">
      <c r="A219" s="32" t="s">
        <v>6508</v>
      </c>
      <c r="B219" s="7">
        <f t="shared" si="9"/>
        <v>46121</v>
      </c>
      <c r="C219" s="7">
        <f t="shared" si="10"/>
        <v>46127</v>
      </c>
      <c r="D219" s="6">
        <v>3287</v>
      </c>
      <c r="E219" s="6">
        <v>338</v>
      </c>
      <c r="F219" s="6">
        <v>4</v>
      </c>
      <c r="G219" s="6">
        <v>6</v>
      </c>
      <c r="H219" s="6">
        <v>81588</v>
      </c>
      <c r="I219" s="6" t="s">
        <v>17</v>
      </c>
      <c r="J219" s="6">
        <v>26288902</v>
      </c>
      <c r="K219" s="6" t="s">
        <v>2355</v>
      </c>
      <c r="L219" s="38" t="s">
        <v>2360</v>
      </c>
      <c r="M219" s="8">
        <v>179900</v>
      </c>
      <c r="N219" s="35">
        <v>0.9</v>
      </c>
      <c r="O219" s="34">
        <f t="shared" si="11"/>
        <v>17990</v>
      </c>
      <c r="P219" s="6" t="s">
        <v>16</v>
      </c>
    </row>
    <row r="220" spans="1:16" x14ac:dyDescent="0.35">
      <c r="A220" s="32" t="s">
        <v>6508</v>
      </c>
      <c r="B220" s="7">
        <f t="shared" si="9"/>
        <v>46121</v>
      </c>
      <c r="C220" s="7">
        <f t="shared" si="10"/>
        <v>46127</v>
      </c>
      <c r="D220" s="6">
        <v>3287</v>
      </c>
      <c r="E220" s="6">
        <v>338</v>
      </c>
      <c r="F220" s="6">
        <v>4</v>
      </c>
      <c r="G220" s="6">
        <v>6</v>
      </c>
      <c r="H220" s="6">
        <v>81588</v>
      </c>
      <c r="I220" s="6" t="s">
        <v>17</v>
      </c>
      <c r="J220" s="6">
        <v>26390023</v>
      </c>
      <c r="K220" s="6" t="s">
        <v>2361</v>
      </c>
      <c r="L220" s="38" t="s">
        <v>2362</v>
      </c>
      <c r="M220" s="8">
        <v>189900</v>
      </c>
      <c r="N220" s="35">
        <v>0.9</v>
      </c>
      <c r="O220" s="34">
        <f t="shared" si="11"/>
        <v>18990</v>
      </c>
      <c r="P220" s="6" t="s">
        <v>16</v>
      </c>
    </row>
    <row r="221" spans="1:16" x14ac:dyDescent="0.35">
      <c r="A221" s="32" t="s">
        <v>6508</v>
      </c>
      <c r="B221" s="7">
        <f t="shared" si="9"/>
        <v>46121</v>
      </c>
      <c r="C221" s="7">
        <f t="shared" si="10"/>
        <v>46127</v>
      </c>
      <c r="D221" s="6">
        <v>3287</v>
      </c>
      <c r="E221" s="6">
        <v>338</v>
      </c>
      <c r="F221" s="6">
        <v>4</v>
      </c>
      <c r="G221" s="6">
        <v>6</v>
      </c>
      <c r="H221" s="6">
        <v>81588</v>
      </c>
      <c r="I221" s="6" t="s">
        <v>17</v>
      </c>
      <c r="J221" s="6">
        <v>26390050</v>
      </c>
      <c r="K221" s="6" t="s">
        <v>2361</v>
      </c>
      <c r="L221" s="38" t="s">
        <v>2363</v>
      </c>
      <c r="M221" s="8">
        <v>189900</v>
      </c>
      <c r="N221" s="35">
        <v>0.9</v>
      </c>
      <c r="O221" s="34">
        <f t="shared" si="11"/>
        <v>18990</v>
      </c>
      <c r="P221" s="6" t="s">
        <v>16</v>
      </c>
    </row>
    <row r="222" spans="1:16" x14ac:dyDescent="0.35">
      <c r="A222" s="32" t="s">
        <v>6508</v>
      </c>
      <c r="B222" s="7">
        <f t="shared" si="9"/>
        <v>46121</v>
      </c>
      <c r="C222" s="7">
        <f t="shared" si="10"/>
        <v>46127</v>
      </c>
      <c r="D222" s="6">
        <v>3287</v>
      </c>
      <c r="E222" s="6">
        <v>338</v>
      </c>
      <c r="F222" s="6">
        <v>4</v>
      </c>
      <c r="G222" s="6">
        <v>6</v>
      </c>
      <c r="H222" s="6">
        <v>81588</v>
      </c>
      <c r="I222" s="6" t="s">
        <v>17</v>
      </c>
      <c r="J222" s="6">
        <v>26390087</v>
      </c>
      <c r="K222" s="6" t="s">
        <v>2361</v>
      </c>
      <c r="L222" s="38" t="s">
        <v>2364</v>
      </c>
      <c r="M222" s="8">
        <v>189900</v>
      </c>
      <c r="N222" s="35">
        <v>0.9</v>
      </c>
      <c r="O222" s="34">
        <f t="shared" si="11"/>
        <v>18990</v>
      </c>
      <c r="P222" s="6" t="s">
        <v>16</v>
      </c>
    </row>
    <row r="223" spans="1:16" x14ac:dyDescent="0.35">
      <c r="A223" s="32" t="s">
        <v>6508</v>
      </c>
      <c r="B223" s="7">
        <f t="shared" si="9"/>
        <v>46121</v>
      </c>
      <c r="C223" s="7">
        <f t="shared" si="10"/>
        <v>46127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24521957</v>
      </c>
      <c r="K223" s="6" t="s">
        <v>2083</v>
      </c>
      <c r="L223" s="38" t="s">
        <v>2084</v>
      </c>
      <c r="M223" s="8">
        <v>27900</v>
      </c>
      <c r="N223" s="35">
        <v>0.9</v>
      </c>
      <c r="O223" s="34">
        <f t="shared" si="11"/>
        <v>2790</v>
      </c>
      <c r="P223" s="6" t="s">
        <v>16</v>
      </c>
    </row>
    <row r="224" spans="1:16" x14ac:dyDescent="0.35">
      <c r="A224" s="32" t="s">
        <v>6508</v>
      </c>
      <c r="B224" s="7">
        <f t="shared" si="9"/>
        <v>46121</v>
      </c>
      <c r="C224" s="7">
        <f t="shared" si="10"/>
        <v>46127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24521966</v>
      </c>
      <c r="K224" s="6" t="s">
        <v>2083</v>
      </c>
      <c r="L224" s="38" t="s">
        <v>2085</v>
      </c>
      <c r="M224" s="8">
        <v>27900</v>
      </c>
      <c r="N224" s="35">
        <v>0.9</v>
      </c>
      <c r="O224" s="34">
        <f t="shared" si="11"/>
        <v>2790</v>
      </c>
      <c r="P224" s="6" t="s">
        <v>16</v>
      </c>
    </row>
    <row r="225" spans="1:16" x14ac:dyDescent="0.35">
      <c r="A225" s="32" t="s">
        <v>6508</v>
      </c>
      <c r="B225" s="7">
        <f t="shared" si="9"/>
        <v>46121</v>
      </c>
      <c r="C225" s="7">
        <f t="shared" si="10"/>
        <v>46127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24521975</v>
      </c>
      <c r="K225" s="6" t="s">
        <v>2086</v>
      </c>
      <c r="L225" s="38" t="s">
        <v>2087</v>
      </c>
      <c r="M225" s="8">
        <v>27900</v>
      </c>
      <c r="N225" s="35">
        <v>0.9</v>
      </c>
      <c r="O225" s="34">
        <f t="shared" si="11"/>
        <v>2790</v>
      </c>
      <c r="P225" s="6" t="s">
        <v>16</v>
      </c>
    </row>
    <row r="226" spans="1:16" x14ac:dyDescent="0.35">
      <c r="A226" s="32" t="s">
        <v>6508</v>
      </c>
      <c r="B226" s="7">
        <f t="shared" si="9"/>
        <v>46121</v>
      </c>
      <c r="C226" s="7">
        <f t="shared" si="10"/>
        <v>46127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17</v>
      </c>
      <c r="J226" s="6">
        <v>24521984</v>
      </c>
      <c r="K226" s="6" t="s">
        <v>2086</v>
      </c>
      <c r="L226" s="38" t="s">
        <v>2088</v>
      </c>
      <c r="M226" s="8">
        <v>27900</v>
      </c>
      <c r="N226" s="35">
        <v>0.9</v>
      </c>
      <c r="O226" s="34">
        <f t="shared" si="11"/>
        <v>2790</v>
      </c>
      <c r="P226" s="6" t="s">
        <v>16</v>
      </c>
    </row>
    <row r="227" spans="1:16" x14ac:dyDescent="0.35">
      <c r="A227" s="32" t="s">
        <v>6508</v>
      </c>
      <c r="B227" s="7">
        <f t="shared" si="9"/>
        <v>46121</v>
      </c>
      <c r="C227" s="7">
        <f t="shared" si="10"/>
        <v>46127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17</v>
      </c>
      <c r="J227" s="6">
        <v>24534381</v>
      </c>
      <c r="K227" s="6" t="s">
        <v>2089</v>
      </c>
      <c r="L227" s="38" t="s">
        <v>2090</v>
      </c>
      <c r="M227" s="8">
        <v>27900</v>
      </c>
      <c r="N227" s="35">
        <v>0.9</v>
      </c>
      <c r="O227" s="34">
        <f t="shared" si="11"/>
        <v>2790</v>
      </c>
      <c r="P227" s="6" t="s">
        <v>16</v>
      </c>
    </row>
    <row r="228" spans="1:16" x14ac:dyDescent="0.35">
      <c r="A228" s="32" t="s">
        <v>6508</v>
      </c>
      <c r="B228" s="7">
        <f t="shared" si="9"/>
        <v>46121</v>
      </c>
      <c r="C228" s="7">
        <f t="shared" si="10"/>
        <v>46127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17</v>
      </c>
      <c r="J228" s="6">
        <v>24534390</v>
      </c>
      <c r="K228" s="6" t="s">
        <v>2089</v>
      </c>
      <c r="L228" s="38" t="s">
        <v>2091</v>
      </c>
      <c r="M228" s="8">
        <v>27900</v>
      </c>
      <c r="N228" s="35">
        <v>0.9</v>
      </c>
      <c r="O228" s="34">
        <f t="shared" si="11"/>
        <v>2790</v>
      </c>
      <c r="P228" s="6" t="s">
        <v>16</v>
      </c>
    </row>
    <row r="229" spans="1:16" x14ac:dyDescent="0.35">
      <c r="A229" s="32" t="s">
        <v>6508</v>
      </c>
      <c r="B229" s="7">
        <f t="shared" si="9"/>
        <v>46121</v>
      </c>
      <c r="C229" s="7">
        <f t="shared" si="10"/>
        <v>46127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17</v>
      </c>
      <c r="J229" s="6">
        <v>24534407</v>
      </c>
      <c r="K229" s="6" t="s">
        <v>2089</v>
      </c>
      <c r="L229" s="38" t="s">
        <v>2092</v>
      </c>
      <c r="M229" s="8">
        <v>27900</v>
      </c>
      <c r="N229" s="35">
        <v>0.9</v>
      </c>
      <c r="O229" s="34">
        <f t="shared" si="11"/>
        <v>2790</v>
      </c>
      <c r="P229" s="6" t="s">
        <v>16</v>
      </c>
    </row>
    <row r="230" spans="1:16" x14ac:dyDescent="0.35">
      <c r="A230" s="32" t="s">
        <v>6508</v>
      </c>
      <c r="B230" s="7">
        <f t="shared" si="9"/>
        <v>46121</v>
      </c>
      <c r="C230" s="7">
        <f t="shared" si="10"/>
        <v>46127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17</v>
      </c>
      <c r="J230" s="6">
        <v>24534416</v>
      </c>
      <c r="K230" s="6" t="s">
        <v>2089</v>
      </c>
      <c r="L230" s="38" t="s">
        <v>2093</v>
      </c>
      <c r="M230" s="8">
        <v>27900</v>
      </c>
      <c r="N230" s="35">
        <v>0.9</v>
      </c>
      <c r="O230" s="34">
        <f t="shared" si="11"/>
        <v>2790</v>
      </c>
      <c r="P230" s="6" t="s">
        <v>16</v>
      </c>
    </row>
    <row r="231" spans="1:16" x14ac:dyDescent="0.35">
      <c r="A231" s="32" t="s">
        <v>6508</v>
      </c>
      <c r="B231" s="7">
        <f t="shared" si="9"/>
        <v>46121</v>
      </c>
      <c r="C231" s="7">
        <f t="shared" si="10"/>
        <v>46127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17</v>
      </c>
      <c r="J231" s="6">
        <v>24534425</v>
      </c>
      <c r="K231" s="6" t="s">
        <v>2089</v>
      </c>
      <c r="L231" s="38" t="s">
        <v>2094</v>
      </c>
      <c r="M231" s="8">
        <v>27900</v>
      </c>
      <c r="N231" s="35">
        <v>0.9</v>
      </c>
      <c r="O231" s="34">
        <f t="shared" si="11"/>
        <v>2790</v>
      </c>
      <c r="P231" s="6" t="s">
        <v>16</v>
      </c>
    </row>
    <row r="232" spans="1:16" x14ac:dyDescent="0.35">
      <c r="A232" s="32" t="s">
        <v>6508</v>
      </c>
      <c r="B232" s="7">
        <f t="shared" si="9"/>
        <v>46121</v>
      </c>
      <c r="C232" s="7">
        <f t="shared" si="10"/>
        <v>46127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17</v>
      </c>
      <c r="J232" s="6">
        <v>24534434</v>
      </c>
      <c r="K232" s="6" t="s">
        <v>2089</v>
      </c>
      <c r="L232" s="38" t="s">
        <v>2095</v>
      </c>
      <c r="M232" s="8">
        <v>27900</v>
      </c>
      <c r="N232" s="35">
        <v>0.9</v>
      </c>
      <c r="O232" s="34">
        <f t="shared" si="11"/>
        <v>2790</v>
      </c>
      <c r="P232" s="6" t="s">
        <v>16</v>
      </c>
    </row>
    <row r="233" spans="1:16" x14ac:dyDescent="0.35">
      <c r="A233" s="32" t="s">
        <v>6508</v>
      </c>
      <c r="B233" s="7">
        <f t="shared" si="9"/>
        <v>46121</v>
      </c>
      <c r="C233" s="7">
        <f t="shared" si="10"/>
        <v>46127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17</v>
      </c>
      <c r="J233" s="6">
        <v>24534443</v>
      </c>
      <c r="K233" s="6" t="s">
        <v>2089</v>
      </c>
      <c r="L233" s="38" t="s">
        <v>2096</v>
      </c>
      <c r="M233" s="8">
        <v>27900</v>
      </c>
      <c r="N233" s="35">
        <v>0.9</v>
      </c>
      <c r="O233" s="34">
        <f t="shared" si="11"/>
        <v>2790</v>
      </c>
      <c r="P233" s="6" t="s">
        <v>16</v>
      </c>
    </row>
    <row r="234" spans="1:16" x14ac:dyDescent="0.35">
      <c r="A234" s="32" t="s">
        <v>6508</v>
      </c>
      <c r="B234" s="7">
        <f t="shared" si="9"/>
        <v>46121</v>
      </c>
      <c r="C234" s="7">
        <f t="shared" si="10"/>
        <v>46127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17</v>
      </c>
      <c r="J234" s="6">
        <v>24846544</v>
      </c>
      <c r="K234" s="6" t="s">
        <v>2097</v>
      </c>
      <c r="L234" s="38" t="s">
        <v>2098</v>
      </c>
      <c r="M234" s="8">
        <v>27900</v>
      </c>
      <c r="N234" s="35">
        <v>0.9</v>
      </c>
      <c r="O234" s="34">
        <f t="shared" si="11"/>
        <v>2790</v>
      </c>
      <c r="P234" s="6" t="s">
        <v>16</v>
      </c>
    </row>
    <row r="235" spans="1:16" x14ac:dyDescent="0.35">
      <c r="A235" s="32" t="s">
        <v>6508</v>
      </c>
      <c r="B235" s="7">
        <f t="shared" si="9"/>
        <v>46121</v>
      </c>
      <c r="C235" s="7">
        <f t="shared" si="10"/>
        <v>46127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17</v>
      </c>
      <c r="J235" s="6">
        <v>24846553</v>
      </c>
      <c r="K235" s="6" t="s">
        <v>2097</v>
      </c>
      <c r="L235" s="38" t="s">
        <v>2099</v>
      </c>
      <c r="M235" s="8">
        <v>27900</v>
      </c>
      <c r="N235" s="35">
        <v>0.9</v>
      </c>
      <c r="O235" s="34">
        <f t="shared" si="11"/>
        <v>2790</v>
      </c>
      <c r="P235" s="6" t="s">
        <v>16</v>
      </c>
    </row>
    <row r="236" spans="1:16" x14ac:dyDescent="0.35">
      <c r="A236" s="32" t="s">
        <v>6508</v>
      </c>
      <c r="B236" s="7">
        <f t="shared" si="9"/>
        <v>46121</v>
      </c>
      <c r="C236" s="7">
        <f t="shared" si="10"/>
        <v>46127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17</v>
      </c>
      <c r="J236" s="6">
        <v>24846562</v>
      </c>
      <c r="K236" s="6" t="s">
        <v>2100</v>
      </c>
      <c r="L236" s="38" t="s">
        <v>2101</v>
      </c>
      <c r="M236" s="8">
        <v>27900</v>
      </c>
      <c r="N236" s="35">
        <v>0.9</v>
      </c>
      <c r="O236" s="34">
        <f t="shared" si="11"/>
        <v>2790</v>
      </c>
      <c r="P236" s="6" t="s">
        <v>16</v>
      </c>
    </row>
    <row r="237" spans="1:16" x14ac:dyDescent="0.35">
      <c r="A237" s="32" t="s">
        <v>6508</v>
      </c>
      <c r="B237" s="7">
        <f t="shared" si="9"/>
        <v>46121</v>
      </c>
      <c r="C237" s="7">
        <f t="shared" si="10"/>
        <v>46127</v>
      </c>
      <c r="D237" s="6">
        <v>3287</v>
      </c>
      <c r="E237" s="6">
        <v>338</v>
      </c>
      <c r="F237" s="6">
        <v>4</v>
      </c>
      <c r="G237" s="6">
        <v>7</v>
      </c>
      <c r="H237" s="6">
        <v>81595</v>
      </c>
      <c r="I237" s="6" t="s">
        <v>17</v>
      </c>
      <c r="J237" s="6">
        <v>26223570</v>
      </c>
      <c r="K237" s="6" t="s">
        <v>2102</v>
      </c>
      <c r="L237" s="38" t="s">
        <v>2103</v>
      </c>
      <c r="M237" s="8">
        <v>34900</v>
      </c>
      <c r="N237" s="35">
        <v>0.9</v>
      </c>
      <c r="O237" s="34">
        <f t="shared" si="11"/>
        <v>3490</v>
      </c>
      <c r="P237" s="6" t="s">
        <v>16</v>
      </c>
    </row>
    <row r="238" spans="1:16" x14ac:dyDescent="0.35">
      <c r="A238" s="32" t="s">
        <v>6508</v>
      </c>
      <c r="B238" s="7">
        <f t="shared" si="9"/>
        <v>46121</v>
      </c>
      <c r="C238" s="7">
        <f t="shared" si="10"/>
        <v>46127</v>
      </c>
      <c r="D238" s="6">
        <v>3287</v>
      </c>
      <c r="E238" s="6">
        <v>338</v>
      </c>
      <c r="F238" s="6">
        <v>4</v>
      </c>
      <c r="G238" s="6">
        <v>7</v>
      </c>
      <c r="H238" s="6">
        <v>81595</v>
      </c>
      <c r="I238" s="6" t="s">
        <v>17</v>
      </c>
      <c r="J238" s="6">
        <v>26223589</v>
      </c>
      <c r="K238" s="6" t="s">
        <v>2102</v>
      </c>
      <c r="L238" s="38" t="s">
        <v>2104</v>
      </c>
      <c r="M238" s="8">
        <v>34900</v>
      </c>
      <c r="N238" s="35">
        <v>0.9</v>
      </c>
      <c r="O238" s="34">
        <f t="shared" si="11"/>
        <v>3490</v>
      </c>
      <c r="P238" s="6" t="s">
        <v>16</v>
      </c>
    </row>
    <row r="239" spans="1:16" x14ac:dyDescent="0.35">
      <c r="A239" s="32" t="s">
        <v>6508</v>
      </c>
      <c r="B239" s="7">
        <f t="shared" si="9"/>
        <v>46121</v>
      </c>
      <c r="C239" s="7">
        <f t="shared" si="10"/>
        <v>46127</v>
      </c>
      <c r="D239" s="6">
        <v>3287</v>
      </c>
      <c r="E239" s="6">
        <v>338</v>
      </c>
      <c r="F239" s="6">
        <v>4</v>
      </c>
      <c r="G239" s="6">
        <v>7</v>
      </c>
      <c r="H239" s="6">
        <v>81595</v>
      </c>
      <c r="I239" s="6" t="s">
        <v>17</v>
      </c>
      <c r="J239" s="6">
        <v>26223598</v>
      </c>
      <c r="K239" s="6" t="s">
        <v>2102</v>
      </c>
      <c r="L239" s="38" t="s">
        <v>2105</v>
      </c>
      <c r="M239" s="8">
        <v>34900</v>
      </c>
      <c r="N239" s="35">
        <v>0.9</v>
      </c>
      <c r="O239" s="34">
        <f t="shared" si="11"/>
        <v>3490</v>
      </c>
      <c r="P239" s="6" t="s">
        <v>16</v>
      </c>
    </row>
    <row r="240" spans="1:16" x14ac:dyDescent="0.35">
      <c r="A240" s="32" t="s">
        <v>6508</v>
      </c>
      <c r="B240" s="7">
        <f t="shared" si="9"/>
        <v>46121</v>
      </c>
      <c r="C240" s="7">
        <f t="shared" si="10"/>
        <v>46127</v>
      </c>
      <c r="D240" s="6">
        <v>3287</v>
      </c>
      <c r="E240" s="6">
        <v>338</v>
      </c>
      <c r="F240" s="6">
        <v>4</v>
      </c>
      <c r="G240" s="6">
        <v>7</v>
      </c>
      <c r="H240" s="6">
        <v>81595</v>
      </c>
      <c r="I240" s="6" t="s">
        <v>17</v>
      </c>
      <c r="J240" s="6">
        <v>26288340</v>
      </c>
      <c r="K240" s="6" t="s">
        <v>2106</v>
      </c>
      <c r="L240" s="38" t="s">
        <v>5029</v>
      </c>
      <c r="M240" s="8">
        <v>27900</v>
      </c>
      <c r="N240" s="35">
        <v>0.9</v>
      </c>
      <c r="O240" s="34">
        <f t="shared" si="11"/>
        <v>2790</v>
      </c>
      <c r="P240" s="6" t="s">
        <v>16</v>
      </c>
    </row>
    <row r="241" spans="1:16" x14ac:dyDescent="0.35">
      <c r="A241" s="32" t="s">
        <v>6508</v>
      </c>
      <c r="B241" s="7">
        <f t="shared" si="9"/>
        <v>46121</v>
      </c>
      <c r="C241" s="7">
        <f t="shared" si="10"/>
        <v>46127</v>
      </c>
      <c r="D241" s="6">
        <v>3287</v>
      </c>
      <c r="E241" s="6">
        <v>338</v>
      </c>
      <c r="F241" s="6">
        <v>4</v>
      </c>
      <c r="G241" s="6">
        <v>7</v>
      </c>
      <c r="H241" s="6">
        <v>81595</v>
      </c>
      <c r="I241" s="6" t="s">
        <v>17</v>
      </c>
      <c r="J241" s="6">
        <v>26288368</v>
      </c>
      <c r="K241" s="6" t="s">
        <v>2106</v>
      </c>
      <c r="L241" s="38" t="s">
        <v>2107</v>
      </c>
      <c r="M241" s="8">
        <v>27900</v>
      </c>
      <c r="N241" s="35">
        <v>0.9</v>
      </c>
      <c r="O241" s="34">
        <f t="shared" si="11"/>
        <v>2790</v>
      </c>
      <c r="P241" s="6" t="s">
        <v>16</v>
      </c>
    </row>
    <row r="242" spans="1:16" x14ac:dyDescent="0.35">
      <c r="A242" s="32" t="s">
        <v>6508</v>
      </c>
      <c r="B242" s="7">
        <f t="shared" si="9"/>
        <v>46121</v>
      </c>
      <c r="C242" s="7">
        <f t="shared" si="10"/>
        <v>46127</v>
      </c>
      <c r="D242" s="6">
        <v>3287</v>
      </c>
      <c r="E242" s="6">
        <v>338</v>
      </c>
      <c r="F242" s="6">
        <v>4</v>
      </c>
      <c r="G242" s="6">
        <v>7</v>
      </c>
      <c r="H242" s="6">
        <v>81595</v>
      </c>
      <c r="I242" s="6" t="s">
        <v>17</v>
      </c>
      <c r="J242" s="6">
        <v>26288500</v>
      </c>
      <c r="K242" s="6" t="s">
        <v>2223</v>
      </c>
      <c r="L242" s="38" t="s">
        <v>2224</v>
      </c>
      <c r="M242" s="8">
        <v>27900</v>
      </c>
      <c r="N242" s="35">
        <v>0.9</v>
      </c>
      <c r="O242" s="34">
        <f t="shared" si="11"/>
        <v>2790</v>
      </c>
      <c r="P242" s="6" t="s">
        <v>16</v>
      </c>
    </row>
    <row r="243" spans="1:16" x14ac:dyDescent="0.35">
      <c r="A243" s="32" t="s">
        <v>6508</v>
      </c>
      <c r="B243" s="7">
        <f t="shared" si="9"/>
        <v>46121</v>
      </c>
      <c r="C243" s="7">
        <f t="shared" si="10"/>
        <v>46127</v>
      </c>
      <c r="D243" s="6">
        <v>3287</v>
      </c>
      <c r="E243" s="6">
        <v>338</v>
      </c>
      <c r="F243" s="6">
        <v>4</v>
      </c>
      <c r="G243" s="6">
        <v>7</v>
      </c>
      <c r="H243" s="6">
        <v>81595</v>
      </c>
      <c r="I243" s="6" t="s">
        <v>17</v>
      </c>
      <c r="J243" s="6">
        <v>26288626</v>
      </c>
      <c r="K243" s="6" t="s">
        <v>2223</v>
      </c>
      <c r="L243" s="38" t="s">
        <v>2225</v>
      </c>
      <c r="M243" s="8">
        <v>27900</v>
      </c>
      <c r="N243" s="35">
        <v>0.9</v>
      </c>
      <c r="O243" s="34">
        <f t="shared" si="11"/>
        <v>2790</v>
      </c>
      <c r="P243" s="6" t="s">
        <v>16</v>
      </c>
    </row>
    <row r="244" spans="1:16" x14ac:dyDescent="0.35">
      <c r="A244" s="32" t="s">
        <v>6508</v>
      </c>
      <c r="B244" s="7">
        <f t="shared" si="9"/>
        <v>46121</v>
      </c>
      <c r="C244" s="7">
        <f t="shared" si="10"/>
        <v>46127</v>
      </c>
      <c r="D244" s="6">
        <v>3287</v>
      </c>
      <c r="E244" s="6">
        <v>338</v>
      </c>
      <c r="F244" s="6">
        <v>4</v>
      </c>
      <c r="G244" s="6">
        <v>7</v>
      </c>
      <c r="H244" s="6">
        <v>81595</v>
      </c>
      <c r="I244" s="6" t="s">
        <v>17</v>
      </c>
      <c r="J244" s="6">
        <v>26288644</v>
      </c>
      <c r="K244" s="6" t="s">
        <v>2226</v>
      </c>
      <c r="L244" s="38" t="s">
        <v>2227</v>
      </c>
      <c r="M244" s="8">
        <v>27900</v>
      </c>
      <c r="N244" s="35">
        <v>0.9</v>
      </c>
      <c r="O244" s="34">
        <f t="shared" si="11"/>
        <v>2790</v>
      </c>
      <c r="P244" s="6" t="s">
        <v>16</v>
      </c>
    </row>
    <row r="245" spans="1:16" x14ac:dyDescent="0.35">
      <c r="A245" s="32" t="s">
        <v>6508</v>
      </c>
      <c r="B245" s="7">
        <f t="shared" si="9"/>
        <v>46121</v>
      </c>
      <c r="C245" s="7">
        <f t="shared" si="10"/>
        <v>46127</v>
      </c>
      <c r="D245" s="6">
        <v>3287</v>
      </c>
      <c r="E245" s="6">
        <v>338</v>
      </c>
      <c r="F245" s="6">
        <v>4</v>
      </c>
      <c r="G245" s="6">
        <v>7</v>
      </c>
      <c r="H245" s="6">
        <v>81595</v>
      </c>
      <c r="I245" s="6" t="s">
        <v>17</v>
      </c>
      <c r="J245" s="6">
        <v>26288653</v>
      </c>
      <c r="K245" s="6" t="s">
        <v>2226</v>
      </c>
      <c r="L245" s="38" t="s">
        <v>2228</v>
      </c>
      <c r="M245" s="8">
        <v>27900</v>
      </c>
      <c r="N245" s="35">
        <v>0.9</v>
      </c>
      <c r="O245" s="34">
        <f t="shared" si="11"/>
        <v>2790</v>
      </c>
      <c r="P245" s="6" t="s">
        <v>16</v>
      </c>
    </row>
    <row r="246" spans="1:16" x14ac:dyDescent="0.35">
      <c r="A246" s="32" t="s">
        <v>6508</v>
      </c>
      <c r="B246" s="7">
        <f t="shared" si="9"/>
        <v>46121</v>
      </c>
      <c r="C246" s="7">
        <f t="shared" si="10"/>
        <v>46127</v>
      </c>
      <c r="D246" s="6">
        <v>3287</v>
      </c>
      <c r="E246" s="6">
        <v>338</v>
      </c>
      <c r="F246" s="6">
        <v>4</v>
      </c>
      <c r="G246" s="6">
        <v>7</v>
      </c>
      <c r="H246" s="6">
        <v>81595</v>
      </c>
      <c r="I246" s="6" t="s">
        <v>17</v>
      </c>
      <c r="J246" s="6">
        <v>26311180</v>
      </c>
      <c r="K246" s="6" t="s">
        <v>2108</v>
      </c>
      <c r="L246" s="38" t="s">
        <v>2109</v>
      </c>
      <c r="M246" s="8">
        <v>27900</v>
      </c>
      <c r="N246" s="35">
        <v>0.9</v>
      </c>
      <c r="O246" s="34">
        <f t="shared" si="11"/>
        <v>2790</v>
      </c>
      <c r="P246" s="6" t="s">
        <v>16</v>
      </c>
    </row>
    <row r="247" spans="1:16" x14ac:dyDescent="0.35">
      <c r="A247" s="32" t="s">
        <v>6508</v>
      </c>
      <c r="B247" s="7">
        <f t="shared" si="9"/>
        <v>46121</v>
      </c>
      <c r="C247" s="7">
        <f t="shared" si="10"/>
        <v>46127</v>
      </c>
      <c r="D247" s="6">
        <v>3287</v>
      </c>
      <c r="E247" s="6">
        <v>338</v>
      </c>
      <c r="F247" s="6">
        <v>4</v>
      </c>
      <c r="G247" s="6">
        <v>7</v>
      </c>
      <c r="H247" s="6">
        <v>81595</v>
      </c>
      <c r="I247" s="6" t="s">
        <v>17</v>
      </c>
      <c r="J247" s="6">
        <v>26311260</v>
      </c>
      <c r="K247" s="6" t="s">
        <v>2110</v>
      </c>
      <c r="L247" s="38" t="s">
        <v>2111</v>
      </c>
      <c r="M247" s="8">
        <v>27900</v>
      </c>
      <c r="N247" s="35">
        <v>0.9</v>
      </c>
      <c r="O247" s="34">
        <f t="shared" si="11"/>
        <v>2790</v>
      </c>
      <c r="P247" s="6" t="s">
        <v>16</v>
      </c>
    </row>
    <row r="248" spans="1:16" x14ac:dyDescent="0.35">
      <c r="A248" s="32" t="s">
        <v>6508</v>
      </c>
      <c r="B248" s="7">
        <f t="shared" si="9"/>
        <v>46121</v>
      </c>
      <c r="C248" s="7">
        <f t="shared" si="10"/>
        <v>46127</v>
      </c>
      <c r="D248" s="6">
        <v>3287</v>
      </c>
      <c r="E248" s="6">
        <v>338</v>
      </c>
      <c r="F248" s="6">
        <v>4</v>
      </c>
      <c r="G248" s="6">
        <v>7</v>
      </c>
      <c r="H248" s="6">
        <v>81595</v>
      </c>
      <c r="I248" s="6" t="s">
        <v>17</v>
      </c>
      <c r="J248" s="6">
        <v>26311368</v>
      </c>
      <c r="K248" s="6" t="s">
        <v>2112</v>
      </c>
      <c r="L248" s="38" t="s">
        <v>5030</v>
      </c>
      <c r="M248" s="8">
        <v>27900</v>
      </c>
      <c r="N248" s="35">
        <v>0.9</v>
      </c>
      <c r="O248" s="34">
        <f t="shared" si="11"/>
        <v>2790</v>
      </c>
      <c r="P248" s="6" t="s">
        <v>16</v>
      </c>
    </row>
    <row r="249" spans="1:16" x14ac:dyDescent="0.35">
      <c r="A249" s="32" t="s">
        <v>6508</v>
      </c>
      <c r="B249" s="7">
        <f t="shared" si="9"/>
        <v>46121</v>
      </c>
      <c r="C249" s="7">
        <f t="shared" si="10"/>
        <v>46127</v>
      </c>
      <c r="D249" s="6">
        <v>3287</v>
      </c>
      <c r="E249" s="6">
        <v>338</v>
      </c>
      <c r="F249" s="6">
        <v>4</v>
      </c>
      <c r="G249" s="6">
        <v>7</v>
      </c>
      <c r="H249" s="6">
        <v>81595</v>
      </c>
      <c r="I249" s="6" t="s">
        <v>17</v>
      </c>
      <c r="J249" s="6">
        <v>26390265</v>
      </c>
      <c r="K249" s="6" t="s">
        <v>2229</v>
      </c>
      <c r="L249" s="38" t="s">
        <v>2230</v>
      </c>
      <c r="M249" s="8">
        <v>27900</v>
      </c>
      <c r="N249" s="35">
        <v>0.9</v>
      </c>
      <c r="O249" s="34">
        <f t="shared" si="11"/>
        <v>2790</v>
      </c>
      <c r="P249" s="6" t="s">
        <v>16</v>
      </c>
    </row>
    <row r="250" spans="1:16" x14ac:dyDescent="0.35">
      <c r="A250" s="32" t="s">
        <v>6508</v>
      </c>
      <c r="B250" s="7">
        <f t="shared" si="9"/>
        <v>46121</v>
      </c>
      <c r="C250" s="7">
        <f t="shared" si="10"/>
        <v>46127</v>
      </c>
      <c r="D250" s="6">
        <v>3287</v>
      </c>
      <c r="E250" s="6">
        <v>338</v>
      </c>
      <c r="F250" s="6">
        <v>4</v>
      </c>
      <c r="G250" s="6">
        <v>7</v>
      </c>
      <c r="H250" s="6">
        <v>81595</v>
      </c>
      <c r="I250" s="6" t="s">
        <v>17</v>
      </c>
      <c r="J250" s="6">
        <v>26390327</v>
      </c>
      <c r="K250" s="6" t="s">
        <v>2229</v>
      </c>
      <c r="L250" s="38" t="s">
        <v>2231</v>
      </c>
      <c r="M250" s="8">
        <v>27900</v>
      </c>
      <c r="N250" s="35">
        <v>0.9</v>
      </c>
      <c r="O250" s="34">
        <f t="shared" si="11"/>
        <v>2790</v>
      </c>
      <c r="P250" s="6" t="s">
        <v>16</v>
      </c>
    </row>
    <row r="251" spans="1:16" x14ac:dyDescent="0.35">
      <c r="A251" s="32" t="s">
        <v>6508</v>
      </c>
      <c r="B251" s="7">
        <f t="shared" si="9"/>
        <v>46121</v>
      </c>
      <c r="C251" s="7">
        <f t="shared" si="10"/>
        <v>46127</v>
      </c>
      <c r="D251" s="6">
        <v>3287</v>
      </c>
      <c r="E251" s="6">
        <v>338</v>
      </c>
      <c r="F251" s="6">
        <v>4</v>
      </c>
      <c r="G251" s="6">
        <v>7</v>
      </c>
      <c r="H251" s="6">
        <v>81595</v>
      </c>
      <c r="I251" s="6" t="s">
        <v>17</v>
      </c>
      <c r="J251" s="6">
        <v>26390336</v>
      </c>
      <c r="K251" s="6" t="s">
        <v>2229</v>
      </c>
      <c r="L251" s="38" t="s">
        <v>2232</v>
      </c>
      <c r="M251" s="8">
        <v>27900</v>
      </c>
      <c r="N251" s="35">
        <v>0.9</v>
      </c>
      <c r="O251" s="34">
        <f t="shared" si="11"/>
        <v>2790</v>
      </c>
      <c r="P251" s="6" t="s">
        <v>16</v>
      </c>
    </row>
    <row r="252" spans="1:16" x14ac:dyDescent="0.35">
      <c r="A252" s="32" t="s">
        <v>6508</v>
      </c>
      <c r="B252" s="7">
        <f t="shared" si="9"/>
        <v>46121</v>
      </c>
      <c r="C252" s="7">
        <f t="shared" si="10"/>
        <v>46127</v>
      </c>
      <c r="D252" s="6">
        <v>3287</v>
      </c>
      <c r="E252" s="6">
        <v>338</v>
      </c>
      <c r="F252" s="6">
        <v>4</v>
      </c>
      <c r="G252" s="6">
        <v>7</v>
      </c>
      <c r="H252" s="6">
        <v>81595</v>
      </c>
      <c r="I252" s="6" t="s">
        <v>17</v>
      </c>
      <c r="J252" s="6">
        <v>26391022</v>
      </c>
      <c r="K252" s="6" t="s">
        <v>2113</v>
      </c>
      <c r="L252" s="38" t="s">
        <v>2114</v>
      </c>
      <c r="M252" s="8">
        <v>27900</v>
      </c>
      <c r="N252" s="35">
        <v>0.9</v>
      </c>
      <c r="O252" s="34">
        <f t="shared" si="11"/>
        <v>2790</v>
      </c>
      <c r="P252" s="6" t="s">
        <v>16</v>
      </c>
    </row>
    <row r="253" spans="1:16" x14ac:dyDescent="0.35">
      <c r="A253" s="32" t="s">
        <v>6508</v>
      </c>
      <c r="B253" s="7">
        <f t="shared" si="9"/>
        <v>46121</v>
      </c>
      <c r="C253" s="7">
        <f t="shared" si="10"/>
        <v>46127</v>
      </c>
      <c r="D253" s="6">
        <v>3287</v>
      </c>
      <c r="E253" s="6">
        <v>338</v>
      </c>
      <c r="F253" s="6">
        <v>4</v>
      </c>
      <c r="G253" s="6">
        <v>7</v>
      </c>
      <c r="H253" s="6">
        <v>81595</v>
      </c>
      <c r="I253" s="6" t="s">
        <v>17</v>
      </c>
      <c r="J253" s="6">
        <v>26391031</v>
      </c>
      <c r="K253" s="6" t="s">
        <v>2113</v>
      </c>
      <c r="L253" s="38" t="s">
        <v>2115</v>
      </c>
      <c r="M253" s="8">
        <v>27900</v>
      </c>
      <c r="N253" s="35">
        <v>0.9</v>
      </c>
      <c r="O253" s="34">
        <f t="shared" si="11"/>
        <v>2790</v>
      </c>
      <c r="P253" s="6" t="s">
        <v>16</v>
      </c>
    </row>
    <row r="254" spans="1:16" x14ac:dyDescent="0.35">
      <c r="A254" s="32" t="s">
        <v>6508</v>
      </c>
      <c r="B254" s="7">
        <f t="shared" ref="B254:B266" si="12">B253</f>
        <v>46121</v>
      </c>
      <c r="C254" s="7">
        <f t="shared" ref="C254:C266" si="13">C253</f>
        <v>46127</v>
      </c>
      <c r="D254" s="6">
        <v>3287</v>
      </c>
      <c r="E254" s="6">
        <v>338</v>
      </c>
      <c r="F254" s="6">
        <v>4</v>
      </c>
      <c r="G254" s="6">
        <v>7</v>
      </c>
      <c r="H254" s="6">
        <v>81595</v>
      </c>
      <c r="I254" s="6" t="s">
        <v>17</v>
      </c>
      <c r="J254" s="6">
        <v>26391068</v>
      </c>
      <c r="K254" s="6" t="s">
        <v>2113</v>
      </c>
      <c r="L254" s="38" t="s">
        <v>2116</v>
      </c>
      <c r="M254" s="8">
        <v>27900</v>
      </c>
      <c r="N254" s="35">
        <v>0.9</v>
      </c>
      <c r="O254" s="34">
        <f t="shared" si="11"/>
        <v>2790</v>
      </c>
      <c r="P254" s="6" t="s">
        <v>16</v>
      </c>
    </row>
    <row r="255" spans="1:16" x14ac:dyDescent="0.35">
      <c r="A255" s="32" t="s">
        <v>6508</v>
      </c>
      <c r="B255" s="7">
        <f t="shared" si="12"/>
        <v>46121</v>
      </c>
      <c r="C255" s="7">
        <f t="shared" si="13"/>
        <v>46127</v>
      </c>
      <c r="D255" s="6">
        <v>3287</v>
      </c>
      <c r="E255" s="6">
        <v>338</v>
      </c>
      <c r="F255" s="6">
        <v>4</v>
      </c>
      <c r="G255" s="6">
        <v>7</v>
      </c>
      <c r="H255" s="6">
        <v>81595</v>
      </c>
      <c r="I255" s="6" t="s">
        <v>17</v>
      </c>
      <c r="J255" s="6">
        <v>26391077</v>
      </c>
      <c r="K255" s="6" t="s">
        <v>2113</v>
      </c>
      <c r="L255" s="38" t="s">
        <v>2117</v>
      </c>
      <c r="M255" s="8">
        <v>27900</v>
      </c>
      <c r="N255" s="35">
        <v>0.9</v>
      </c>
      <c r="O255" s="34">
        <f t="shared" si="11"/>
        <v>2790</v>
      </c>
      <c r="P255" s="6" t="s">
        <v>16</v>
      </c>
    </row>
    <row r="256" spans="1:16" x14ac:dyDescent="0.35">
      <c r="A256" s="32" t="s">
        <v>6508</v>
      </c>
      <c r="B256" s="7">
        <f t="shared" si="12"/>
        <v>46121</v>
      </c>
      <c r="C256" s="7">
        <f t="shared" si="13"/>
        <v>46127</v>
      </c>
      <c r="D256" s="6">
        <v>3287</v>
      </c>
      <c r="E256" s="6">
        <v>338</v>
      </c>
      <c r="F256" s="6">
        <v>4</v>
      </c>
      <c r="G256" s="6">
        <v>7</v>
      </c>
      <c r="H256" s="6">
        <v>81595</v>
      </c>
      <c r="I256" s="6" t="s">
        <v>17</v>
      </c>
      <c r="J256" s="6">
        <v>26142149</v>
      </c>
      <c r="K256" s="6" t="s">
        <v>2325</v>
      </c>
      <c r="L256" s="38" t="s">
        <v>2326</v>
      </c>
      <c r="M256" s="8">
        <v>27900</v>
      </c>
      <c r="N256" s="35">
        <v>0.9</v>
      </c>
      <c r="O256" s="34">
        <f t="shared" si="11"/>
        <v>2790</v>
      </c>
      <c r="P256" s="6" t="s">
        <v>16</v>
      </c>
    </row>
    <row r="257" spans="1:16" x14ac:dyDescent="0.35">
      <c r="A257" s="32" t="s">
        <v>6508</v>
      </c>
      <c r="B257" s="7">
        <f t="shared" si="12"/>
        <v>46121</v>
      </c>
      <c r="C257" s="7">
        <f t="shared" si="13"/>
        <v>46127</v>
      </c>
      <c r="D257" s="6">
        <v>3287</v>
      </c>
      <c r="E257" s="6">
        <v>338</v>
      </c>
      <c r="F257" s="6">
        <v>4</v>
      </c>
      <c r="G257" s="6">
        <v>7</v>
      </c>
      <c r="H257" s="6">
        <v>81595</v>
      </c>
      <c r="I257" s="6" t="s">
        <v>17</v>
      </c>
      <c r="J257" s="6">
        <v>26142158</v>
      </c>
      <c r="K257" s="6" t="s">
        <v>2325</v>
      </c>
      <c r="L257" s="38" t="s">
        <v>2327</v>
      </c>
      <c r="M257" s="8">
        <v>27900</v>
      </c>
      <c r="N257" s="35">
        <v>0.9</v>
      </c>
      <c r="O257" s="34">
        <f t="shared" si="11"/>
        <v>2790</v>
      </c>
      <c r="P257" s="6" t="s">
        <v>16</v>
      </c>
    </row>
    <row r="258" spans="1:16" x14ac:dyDescent="0.35">
      <c r="A258" s="32" t="s">
        <v>6508</v>
      </c>
      <c r="B258" s="7">
        <f t="shared" si="12"/>
        <v>46121</v>
      </c>
      <c r="C258" s="7">
        <f t="shared" si="13"/>
        <v>46127</v>
      </c>
      <c r="D258" s="6">
        <v>3287</v>
      </c>
      <c r="E258" s="6">
        <v>338</v>
      </c>
      <c r="F258" s="6">
        <v>4</v>
      </c>
      <c r="G258" s="6">
        <v>7</v>
      </c>
      <c r="H258" s="6">
        <v>81595</v>
      </c>
      <c r="I258" s="6" t="s">
        <v>17</v>
      </c>
      <c r="J258" s="6">
        <v>26142167</v>
      </c>
      <c r="K258" s="6" t="s">
        <v>2328</v>
      </c>
      <c r="L258" s="38" t="s">
        <v>2329</v>
      </c>
      <c r="M258" s="8">
        <v>27900</v>
      </c>
      <c r="N258" s="35">
        <v>0.9</v>
      </c>
      <c r="O258" s="34">
        <f t="shared" si="11"/>
        <v>2790</v>
      </c>
      <c r="P258" s="6" t="s">
        <v>16</v>
      </c>
    </row>
    <row r="259" spans="1:16" x14ac:dyDescent="0.35">
      <c r="A259" s="32" t="s">
        <v>6508</v>
      </c>
      <c r="B259" s="7">
        <f t="shared" si="12"/>
        <v>46121</v>
      </c>
      <c r="C259" s="7">
        <f t="shared" si="13"/>
        <v>46127</v>
      </c>
      <c r="D259" s="6">
        <v>3287</v>
      </c>
      <c r="E259" s="6">
        <v>338</v>
      </c>
      <c r="F259" s="6">
        <v>4</v>
      </c>
      <c r="G259" s="6">
        <v>7</v>
      </c>
      <c r="H259" s="6">
        <v>81595</v>
      </c>
      <c r="I259" s="6" t="s">
        <v>17</v>
      </c>
      <c r="J259" s="6">
        <v>26142176</v>
      </c>
      <c r="K259" s="6" t="s">
        <v>2328</v>
      </c>
      <c r="L259" s="38" t="s">
        <v>2330</v>
      </c>
      <c r="M259" s="8">
        <v>27900</v>
      </c>
      <c r="N259" s="35">
        <v>0.9</v>
      </c>
      <c r="O259" s="34">
        <f t="shared" si="11"/>
        <v>2790</v>
      </c>
      <c r="P259" s="6" t="s">
        <v>16</v>
      </c>
    </row>
    <row r="260" spans="1:16" x14ac:dyDescent="0.35">
      <c r="A260" s="32" t="s">
        <v>6508</v>
      </c>
      <c r="B260" s="7">
        <f t="shared" si="12"/>
        <v>46121</v>
      </c>
      <c r="C260" s="7">
        <f t="shared" si="13"/>
        <v>46127</v>
      </c>
      <c r="D260" s="6">
        <v>3287</v>
      </c>
      <c r="E260" s="6">
        <v>338</v>
      </c>
      <c r="F260" s="6">
        <v>4</v>
      </c>
      <c r="G260" s="6">
        <v>7</v>
      </c>
      <c r="H260" s="6">
        <v>81595</v>
      </c>
      <c r="I260" s="6" t="s">
        <v>17</v>
      </c>
      <c r="J260" s="6">
        <v>26183551</v>
      </c>
      <c r="K260" s="6" t="s">
        <v>2336</v>
      </c>
      <c r="L260" s="38" t="s">
        <v>2337</v>
      </c>
      <c r="M260" s="8">
        <v>27900</v>
      </c>
      <c r="N260" s="35">
        <v>0.9</v>
      </c>
      <c r="O260" s="34">
        <f t="shared" ref="O260:O266" si="14">M260-((90*M260)/100)</f>
        <v>2790</v>
      </c>
      <c r="P260" s="6" t="s">
        <v>16</v>
      </c>
    </row>
    <row r="261" spans="1:16" x14ac:dyDescent="0.35">
      <c r="A261" s="32" t="s">
        <v>6508</v>
      </c>
      <c r="B261" s="7">
        <f t="shared" si="12"/>
        <v>46121</v>
      </c>
      <c r="C261" s="7">
        <f t="shared" si="13"/>
        <v>46127</v>
      </c>
      <c r="D261" s="6">
        <v>3287</v>
      </c>
      <c r="E261" s="6">
        <v>338</v>
      </c>
      <c r="F261" s="6">
        <v>4</v>
      </c>
      <c r="G261" s="6">
        <v>7</v>
      </c>
      <c r="H261" s="6">
        <v>81595</v>
      </c>
      <c r="I261" s="6" t="s">
        <v>17</v>
      </c>
      <c r="J261" s="6">
        <v>26142201</v>
      </c>
      <c r="K261" s="6" t="s">
        <v>2331</v>
      </c>
      <c r="L261" s="38" t="s">
        <v>2332</v>
      </c>
      <c r="M261" s="8">
        <v>27900</v>
      </c>
      <c r="N261" s="35">
        <v>0.9</v>
      </c>
      <c r="O261" s="34">
        <f t="shared" si="14"/>
        <v>2790</v>
      </c>
      <c r="P261" s="6" t="s">
        <v>16</v>
      </c>
    </row>
    <row r="262" spans="1:16" x14ac:dyDescent="0.35">
      <c r="A262" s="32" t="s">
        <v>6508</v>
      </c>
      <c r="B262" s="7">
        <f t="shared" si="12"/>
        <v>46121</v>
      </c>
      <c r="C262" s="7">
        <f t="shared" si="13"/>
        <v>46127</v>
      </c>
      <c r="D262" s="6">
        <v>3287</v>
      </c>
      <c r="E262" s="6">
        <v>338</v>
      </c>
      <c r="F262" s="6">
        <v>4</v>
      </c>
      <c r="G262" s="6">
        <v>7</v>
      </c>
      <c r="H262" s="6">
        <v>81595</v>
      </c>
      <c r="I262" s="6" t="s">
        <v>17</v>
      </c>
      <c r="J262" s="6">
        <v>26142229</v>
      </c>
      <c r="K262" s="6" t="s">
        <v>2333</v>
      </c>
      <c r="L262" s="38" t="s">
        <v>2334</v>
      </c>
      <c r="M262" s="8">
        <v>27900</v>
      </c>
      <c r="N262" s="35">
        <v>0.9</v>
      </c>
      <c r="O262" s="34">
        <f t="shared" si="14"/>
        <v>2790</v>
      </c>
      <c r="P262" s="6" t="s">
        <v>16</v>
      </c>
    </row>
    <row r="263" spans="1:16" x14ac:dyDescent="0.35">
      <c r="A263" s="32" t="s">
        <v>6508</v>
      </c>
      <c r="B263" s="7">
        <f t="shared" si="12"/>
        <v>46121</v>
      </c>
      <c r="C263" s="7">
        <f t="shared" si="13"/>
        <v>46127</v>
      </c>
      <c r="D263" s="6">
        <v>3287</v>
      </c>
      <c r="E263" s="6">
        <v>338</v>
      </c>
      <c r="F263" s="6">
        <v>4</v>
      </c>
      <c r="G263" s="6">
        <v>7</v>
      </c>
      <c r="H263" s="6">
        <v>81595</v>
      </c>
      <c r="I263" s="6" t="s">
        <v>17</v>
      </c>
      <c r="J263" s="6">
        <v>26142238</v>
      </c>
      <c r="K263" s="6" t="s">
        <v>2333</v>
      </c>
      <c r="L263" s="38" t="s">
        <v>2335</v>
      </c>
      <c r="M263" s="8">
        <v>27900</v>
      </c>
      <c r="N263" s="35">
        <v>0.9</v>
      </c>
      <c r="O263" s="34">
        <f t="shared" si="14"/>
        <v>2790</v>
      </c>
      <c r="P263" s="6" t="s">
        <v>16</v>
      </c>
    </row>
    <row r="264" spans="1:16" x14ac:dyDescent="0.35">
      <c r="A264" s="32" t="s">
        <v>6508</v>
      </c>
      <c r="B264" s="7">
        <f t="shared" si="12"/>
        <v>46121</v>
      </c>
      <c r="C264" s="7">
        <f t="shared" si="13"/>
        <v>46127</v>
      </c>
      <c r="D264" s="6">
        <v>3287</v>
      </c>
      <c r="E264" s="6">
        <v>338</v>
      </c>
      <c r="F264" s="6">
        <v>4</v>
      </c>
      <c r="G264" s="6">
        <v>7</v>
      </c>
      <c r="H264" s="6">
        <v>81595</v>
      </c>
      <c r="I264" s="6" t="s">
        <v>17</v>
      </c>
      <c r="J264" s="6">
        <v>26142247</v>
      </c>
      <c r="K264" s="6" t="s">
        <v>2217</v>
      </c>
      <c r="L264" s="38" t="s">
        <v>2218</v>
      </c>
      <c r="M264" s="8">
        <v>34900</v>
      </c>
      <c r="N264" s="35">
        <v>0.9</v>
      </c>
      <c r="O264" s="34">
        <f t="shared" si="14"/>
        <v>3490</v>
      </c>
      <c r="P264" s="6" t="s">
        <v>16</v>
      </c>
    </row>
    <row r="265" spans="1:16" x14ac:dyDescent="0.35">
      <c r="A265" s="32" t="s">
        <v>6508</v>
      </c>
      <c r="B265" s="7">
        <f t="shared" si="12"/>
        <v>46121</v>
      </c>
      <c r="C265" s="7">
        <f t="shared" si="13"/>
        <v>46127</v>
      </c>
      <c r="D265" s="6">
        <v>3287</v>
      </c>
      <c r="E265" s="6">
        <v>338</v>
      </c>
      <c r="F265" s="6">
        <v>4</v>
      </c>
      <c r="G265" s="6">
        <v>7</v>
      </c>
      <c r="H265" s="6">
        <v>81595</v>
      </c>
      <c r="I265" s="6" t="s">
        <v>17</v>
      </c>
      <c r="J265" s="6">
        <v>26142256</v>
      </c>
      <c r="K265" s="6" t="s">
        <v>2219</v>
      </c>
      <c r="L265" s="38" t="s">
        <v>2220</v>
      </c>
      <c r="M265" s="8">
        <v>34900</v>
      </c>
      <c r="N265" s="35">
        <v>0.9</v>
      </c>
      <c r="O265" s="34">
        <f t="shared" si="14"/>
        <v>3490</v>
      </c>
      <c r="P265" s="6" t="s">
        <v>16</v>
      </c>
    </row>
    <row r="266" spans="1:16" x14ac:dyDescent="0.35">
      <c r="A266" s="32" t="s">
        <v>6508</v>
      </c>
      <c r="B266" s="7">
        <f t="shared" si="12"/>
        <v>46121</v>
      </c>
      <c r="C266" s="7">
        <f t="shared" si="13"/>
        <v>46127</v>
      </c>
      <c r="D266" s="6">
        <v>3287</v>
      </c>
      <c r="E266" s="6">
        <v>338</v>
      </c>
      <c r="F266" s="6">
        <v>4</v>
      </c>
      <c r="G266" s="6">
        <v>7</v>
      </c>
      <c r="H266" s="6">
        <v>81595</v>
      </c>
      <c r="I266" s="6" t="s">
        <v>17</v>
      </c>
      <c r="J266" s="6">
        <v>26142265</v>
      </c>
      <c r="K266" s="6" t="s">
        <v>2221</v>
      </c>
      <c r="L266" s="38" t="s">
        <v>2222</v>
      </c>
      <c r="M266" s="8">
        <v>34900</v>
      </c>
      <c r="N266" s="35">
        <v>0.9</v>
      </c>
      <c r="O266" s="34">
        <f t="shared" si="14"/>
        <v>3490</v>
      </c>
      <c r="P266" s="6" t="s">
        <v>16</v>
      </c>
    </row>
  </sheetData>
  <autoFilter ref="A1:P266" xr:uid="{00000000-0009-0000-0000-00002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211"/>
  <sheetViews>
    <sheetView zoomScale="84" zoomScaleNormal="100" workbookViewId="0">
      <pane ySplit="1" topLeftCell="A32" activePane="bottomLeft" state="frozen"/>
      <selection activeCell="M23" sqref="M23"/>
      <selection pane="bottomLeft" activeCell="A5" sqref="A5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8.6328125" style="2"/>
    <col min="8" max="8" width="13.90625" style="2" bestFit="1" customWidth="1"/>
    <col min="9" max="9" width="16.54296875" style="2" bestFit="1" customWidth="1"/>
    <col min="10" max="11" width="12.1796875" style="2" customWidth="1"/>
    <col min="12" max="12" width="50.08984375" style="17" customWidth="1"/>
    <col min="13" max="13" width="16.08984375" style="4" customWidth="1"/>
    <col min="14" max="14" width="12.1796875" style="5" customWidth="1"/>
    <col min="15" max="15" width="15.08984375" style="4" customWidth="1"/>
    <col min="16" max="16" width="15.17968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5569</v>
      </c>
      <c r="B2" s="7">
        <f>'2025 HILITE D80 - 3321'!B2</f>
        <v>46121</v>
      </c>
      <c r="C2" s="7">
        <f>'2025 HILITE D80 - 3321'!C2</f>
        <v>46127</v>
      </c>
      <c r="D2" s="6">
        <v>3287</v>
      </c>
      <c r="E2" s="6">
        <v>338</v>
      </c>
      <c r="F2" s="6">
        <v>4</v>
      </c>
      <c r="G2" s="6">
        <v>2</v>
      </c>
      <c r="H2" s="6">
        <v>850</v>
      </c>
      <c r="I2" s="6" t="s">
        <v>17</v>
      </c>
      <c r="J2" s="6">
        <v>16073948</v>
      </c>
      <c r="K2" s="6" t="s">
        <v>5100</v>
      </c>
      <c r="L2" s="16" t="s">
        <v>5101</v>
      </c>
      <c r="M2" s="8">
        <v>159900</v>
      </c>
      <c r="N2" s="9">
        <v>0.95</v>
      </c>
      <c r="O2" s="8">
        <f t="shared" ref="O2:O65" si="0">M2-((95*M2)/100)</f>
        <v>7995</v>
      </c>
      <c r="P2" s="6" t="s">
        <v>16</v>
      </c>
    </row>
    <row r="3" spans="1:16" x14ac:dyDescent="0.35">
      <c r="A3" s="6" t="s">
        <v>5569</v>
      </c>
      <c r="B3" s="7">
        <f>B2</f>
        <v>46121</v>
      </c>
      <c r="C3" s="7">
        <f>C2</f>
        <v>46127</v>
      </c>
      <c r="D3" s="6">
        <v>3287</v>
      </c>
      <c r="E3" s="6">
        <v>338</v>
      </c>
      <c r="F3" s="6">
        <v>4</v>
      </c>
      <c r="G3" s="6">
        <v>2</v>
      </c>
      <c r="H3" s="6">
        <v>850</v>
      </c>
      <c r="I3" s="6" t="s">
        <v>17</v>
      </c>
      <c r="J3" s="6">
        <v>17077479</v>
      </c>
      <c r="K3" s="6" t="s">
        <v>5107</v>
      </c>
      <c r="L3" s="16" t="s">
        <v>5108</v>
      </c>
      <c r="M3" s="8">
        <v>149900</v>
      </c>
      <c r="N3" s="9">
        <v>0.95</v>
      </c>
      <c r="O3" s="8">
        <f t="shared" si="0"/>
        <v>7495</v>
      </c>
      <c r="P3" s="6" t="s">
        <v>16</v>
      </c>
    </row>
    <row r="4" spans="1:16" x14ac:dyDescent="0.35">
      <c r="A4" s="6" t="s">
        <v>5569</v>
      </c>
      <c r="B4" s="7">
        <f t="shared" ref="B4:B67" si="1">B3</f>
        <v>46121</v>
      </c>
      <c r="C4" s="7">
        <f t="shared" ref="C4:C67" si="2">C3</f>
        <v>46127</v>
      </c>
      <c r="D4" s="6">
        <v>3287</v>
      </c>
      <c r="E4" s="6">
        <v>338</v>
      </c>
      <c r="F4" s="6">
        <v>4</v>
      </c>
      <c r="G4" s="6">
        <v>4</v>
      </c>
      <c r="H4" s="6">
        <v>850</v>
      </c>
      <c r="I4" s="6" t="s">
        <v>17</v>
      </c>
      <c r="J4" s="6">
        <v>22981964</v>
      </c>
      <c r="K4" s="6" t="s">
        <v>2490</v>
      </c>
      <c r="L4" s="16" t="s">
        <v>2491</v>
      </c>
      <c r="M4" s="8">
        <v>189900</v>
      </c>
      <c r="N4" s="9">
        <v>0.95</v>
      </c>
      <c r="O4" s="8">
        <f t="shared" si="0"/>
        <v>9495</v>
      </c>
      <c r="P4" s="6" t="s">
        <v>16</v>
      </c>
    </row>
    <row r="5" spans="1:16" x14ac:dyDescent="0.35">
      <c r="A5" s="6" t="s">
        <v>5569</v>
      </c>
      <c r="B5" s="7">
        <f t="shared" si="1"/>
        <v>46121</v>
      </c>
      <c r="C5" s="7">
        <f t="shared" si="2"/>
        <v>46127</v>
      </c>
      <c r="D5" s="6">
        <v>3287</v>
      </c>
      <c r="E5" s="6">
        <v>338</v>
      </c>
      <c r="F5" s="6">
        <v>4</v>
      </c>
      <c r="G5" s="6">
        <v>2</v>
      </c>
      <c r="H5" s="6">
        <v>850</v>
      </c>
      <c r="I5" s="6" t="s">
        <v>17</v>
      </c>
      <c r="J5" s="6">
        <v>22983444</v>
      </c>
      <c r="K5" s="6" t="s">
        <v>2444</v>
      </c>
      <c r="L5" s="16" t="s">
        <v>2445</v>
      </c>
      <c r="M5" s="8">
        <v>189900</v>
      </c>
      <c r="N5" s="9">
        <v>0.95</v>
      </c>
      <c r="O5" s="8">
        <f t="shared" si="0"/>
        <v>9495</v>
      </c>
      <c r="P5" s="6" t="s">
        <v>16</v>
      </c>
    </row>
    <row r="6" spans="1:16" x14ac:dyDescent="0.35">
      <c r="A6" s="6" t="s">
        <v>5569</v>
      </c>
      <c r="B6" s="7">
        <f t="shared" si="1"/>
        <v>46121</v>
      </c>
      <c r="C6" s="7">
        <f t="shared" si="2"/>
        <v>46127</v>
      </c>
      <c r="D6" s="6">
        <v>3287</v>
      </c>
      <c r="E6" s="6">
        <v>338</v>
      </c>
      <c r="F6" s="6">
        <v>4</v>
      </c>
      <c r="G6" s="6">
        <v>4</v>
      </c>
      <c r="H6" s="6">
        <v>850</v>
      </c>
      <c r="I6" s="6" t="s">
        <v>17</v>
      </c>
      <c r="J6" s="6">
        <v>16672658</v>
      </c>
      <c r="K6" s="6" t="s">
        <v>5104</v>
      </c>
      <c r="L6" s="16" t="s">
        <v>5105</v>
      </c>
      <c r="M6" s="8">
        <v>159900</v>
      </c>
      <c r="N6" s="9">
        <v>0.95</v>
      </c>
      <c r="O6" s="8">
        <f t="shared" si="0"/>
        <v>7995</v>
      </c>
      <c r="P6" s="6" t="s">
        <v>16</v>
      </c>
    </row>
    <row r="7" spans="1:16" x14ac:dyDescent="0.35">
      <c r="A7" s="6" t="s">
        <v>5569</v>
      </c>
      <c r="B7" s="7">
        <f t="shared" si="1"/>
        <v>46121</v>
      </c>
      <c r="C7" s="7">
        <f t="shared" si="2"/>
        <v>46127</v>
      </c>
      <c r="D7" s="6">
        <v>3287</v>
      </c>
      <c r="E7" s="6">
        <v>338</v>
      </c>
      <c r="F7" s="6">
        <v>4</v>
      </c>
      <c r="G7" s="6">
        <v>4</v>
      </c>
      <c r="H7" s="6">
        <v>850</v>
      </c>
      <c r="I7" s="6" t="s">
        <v>17</v>
      </c>
      <c r="J7" s="6">
        <v>16672309</v>
      </c>
      <c r="K7" s="6" t="s">
        <v>5102</v>
      </c>
      <c r="L7" s="16" t="s">
        <v>5103</v>
      </c>
      <c r="M7" s="8">
        <v>149900</v>
      </c>
      <c r="N7" s="9">
        <v>0.95</v>
      </c>
      <c r="O7" s="8">
        <f t="shared" si="0"/>
        <v>7495</v>
      </c>
      <c r="P7" s="6" t="s">
        <v>16</v>
      </c>
    </row>
    <row r="8" spans="1:16" x14ac:dyDescent="0.35">
      <c r="A8" s="6" t="s">
        <v>5569</v>
      </c>
      <c r="B8" s="7">
        <f t="shared" si="1"/>
        <v>46121</v>
      </c>
      <c r="C8" s="7">
        <f t="shared" si="2"/>
        <v>46127</v>
      </c>
      <c r="D8" s="6">
        <v>3287</v>
      </c>
      <c r="E8" s="6">
        <v>338</v>
      </c>
      <c r="F8" s="6">
        <v>4</v>
      </c>
      <c r="G8" s="6">
        <v>4</v>
      </c>
      <c r="H8" s="6">
        <v>81588</v>
      </c>
      <c r="I8" s="6" t="s">
        <v>17</v>
      </c>
      <c r="J8" s="6">
        <v>23442535</v>
      </c>
      <c r="K8" s="6" t="s">
        <v>2501</v>
      </c>
      <c r="L8" s="16" t="s">
        <v>2502</v>
      </c>
      <c r="M8" s="8">
        <v>219900</v>
      </c>
      <c r="N8" s="9">
        <v>0.95</v>
      </c>
      <c r="O8" s="8">
        <f t="shared" si="0"/>
        <v>10995</v>
      </c>
      <c r="P8" s="6" t="s">
        <v>16</v>
      </c>
    </row>
    <row r="9" spans="1:16" x14ac:dyDescent="0.35">
      <c r="A9" s="6" t="s">
        <v>5569</v>
      </c>
      <c r="B9" s="7">
        <f t="shared" si="1"/>
        <v>46121</v>
      </c>
      <c r="C9" s="7">
        <f t="shared" si="2"/>
        <v>46127</v>
      </c>
      <c r="D9" s="6">
        <v>3287</v>
      </c>
      <c r="E9" s="6">
        <v>338</v>
      </c>
      <c r="F9" s="6">
        <v>4</v>
      </c>
      <c r="G9" s="6">
        <v>4</v>
      </c>
      <c r="H9" s="6">
        <v>81588</v>
      </c>
      <c r="I9" s="6" t="s">
        <v>17</v>
      </c>
      <c r="J9" s="6">
        <v>23847983</v>
      </c>
      <c r="K9" s="6" t="s">
        <v>2518</v>
      </c>
      <c r="L9" s="16" t="s">
        <v>2519</v>
      </c>
      <c r="M9" s="8">
        <v>219900</v>
      </c>
      <c r="N9" s="9">
        <v>0.95</v>
      </c>
      <c r="O9" s="8">
        <f t="shared" si="0"/>
        <v>10995</v>
      </c>
      <c r="P9" s="6" t="s">
        <v>16</v>
      </c>
    </row>
    <row r="10" spans="1:16" x14ac:dyDescent="0.35">
      <c r="A10" s="6" t="s">
        <v>5569</v>
      </c>
      <c r="B10" s="7">
        <f t="shared" si="1"/>
        <v>46121</v>
      </c>
      <c r="C10" s="7">
        <f t="shared" si="2"/>
        <v>46127</v>
      </c>
      <c r="D10" s="6">
        <v>3287</v>
      </c>
      <c r="E10" s="6">
        <v>338</v>
      </c>
      <c r="F10" s="6">
        <v>4</v>
      </c>
      <c r="G10" s="6">
        <v>4</v>
      </c>
      <c r="H10" s="6">
        <v>81588</v>
      </c>
      <c r="I10" s="6" t="s">
        <v>17</v>
      </c>
      <c r="J10" s="6">
        <v>23848035</v>
      </c>
      <c r="K10" s="6" t="s">
        <v>2518</v>
      </c>
      <c r="L10" s="16" t="s">
        <v>2520</v>
      </c>
      <c r="M10" s="8">
        <v>219900</v>
      </c>
      <c r="N10" s="9">
        <v>0.95</v>
      </c>
      <c r="O10" s="8">
        <f t="shared" si="0"/>
        <v>10995</v>
      </c>
      <c r="P10" s="6" t="s">
        <v>16</v>
      </c>
    </row>
    <row r="11" spans="1:16" x14ac:dyDescent="0.35">
      <c r="A11" s="6" t="s">
        <v>5569</v>
      </c>
      <c r="B11" s="7">
        <f t="shared" si="1"/>
        <v>46121</v>
      </c>
      <c r="C11" s="7">
        <f t="shared" si="2"/>
        <v>46127</v>
      </c>
      <c r="D11" s="6">
        <v>3287</v>
      </c>
      <c r="E11" s="6">
        <v>338</v>
      </c>
      <c r="F11" s="6">
        <v>4</v>
      </c>
      <c r="G11" s="6">
        <v>4</v>
      </c>
      <c r="H11" s="6">
        <v>81588</v>
      </c>
      <c r="I11" s="6" t="s">
        <v>17</v>
      </c>
      <c r="J11" s="6">
        <v>23848053</v>
      </c>
      <c r="K11" s="6" t="s">
        <v>2518</v>
      </c>
      <c r="L11" s="16" t="s">
        <v>2521</v>
      </c>
      <c r="M11" s="8">
        <v>219900</v>
      </c>
      <c r="N11" s="9">
        <v>0.95</v>
      </c>
      <c r="O11" s="8">
        <f t="shared" si="0"/>
        <v>10995</v>
      </c>
      <c r="P11" s="6" t="s">
        <v>16</v>
      </c>
    </row>
    <row r="12" spans="1:16" x14ac:dyDescent="0.35">
      <c r="A12" s="6" t="s">
        <v>5569</v>
      </c>
      <c r="B12" s="7">
        <f t="shared" si="1"/>
        <v>46121</v>
      </c>
      <c r="C12" s="7">
        <f t="shared" si="2"/>
        <v>46127</v>
      </c>
      <c r="D12" s="6">
        <v>3287</v>
      </c>
      <c r="E12" s="6">
        <v>338</v>
      </c>
      <c r="F12" s="6">
        <v>4</v>
      </c>
      <c r="G12" s="6">
        <v>4</v>
      </c>
      <c r="H12" s="6">
        <v>850</v>
      </c>
      <c r="I12" s="6" t="s">
        <v>17</v>
      </c>
      <c r="J12" s="6">
        <v>19475768</v>
      </c>
      <c r="K12" s="6" t="s">
        <v>5112</v>
      </c>
      <c r="L12" s="16" t="s">
        <v>5113</v>
      </c>
      <c r="M12" s="8">
        <v>159900</v>
      </c>
      <c r="N12" s="9">
        <v>0.95</v>
      </c>
      <c r="O12" s="8">
        <f t="shared" si="0"/>
        <v>7995</v>
      </c>
      <c r="P12" s="6" t="s">
        <v>16</v>
      </c>
    </row>
    <row r="13" spans="1:16" x14ac:dyDescent="0.35">
      <c r="A13" s="6" t="s">
        <v>5569</v>
      </c>
      <c r="B13" s="7">
        <f t="shared" si="1"/>
        <v>46121</v>
      </c>
      <c r="C13" s="7">
        <f t="shared" si="2"/>
        <v>46127</v>
      </c>
      <c r="D13" s="6">
        <v>3287</v>
      </c>
      <c r="E13" s="6">
        <v>338</v>
      </c>
      <c r="F13" s="6">
        <v>4</v>
      </c>
      <c r="G13" s="6">
        <v>4</v>
      </c>
      <c r="H13" s="6">
        <v>81588</v>
      </c>
      <c r="I13" s="6" t="s">
        <v>17</v>
      </c>
      <c r="J13" s="6">
        <v>23806008</v>
      </c>
      <c r="K13" s="6" t="s">
        <v>2510</v>
      </c>
      <c r="L13" s="16" t="s">
        <v>2511</v>
      </c>
      <c r="M13" s="8">
        <v>219900</v>
      </c>
      <c r="N13" s="9">
        <v>0.95</v>
      </c>
      <c r="O13" s="8">
        <f t="shared" si="0"/>
        <v>10995</v>
      </c>
      <c r="P13" s="6" t="s">
        <v>16</v>
      </c>
    </row>
    <row r="14" spans="1:16" x14ac:dyDescent="0.35">
      <c r="A14" s="6" t="s">
        <v>5569</v>
      </c>
      <c r="B14" s="7">
        <f t="shared" si="1"/>
        <v>46121</v>
      </c>
      <c r="C14" s="7">
        <f t="shared" si="2"/>
        <v>46127</v>
      </c>
      <c r="D14" s="6">
        <v>3287</v>
      </c>
      <c r="E14" s="6">
        <v>338</v>
      </c>
      <c r="F14" s="6">
        <v>4</v>
      </c>
      <c r="G14" s="6">
        <v>4</v>
      </c>
      <c r="H14" s="6">
        <v>81588</v>
      </c>
      <c r="I14" s="6" t="s">
        <v>17</v>
      </c>
      <c r="J14" s="6">
        <v>23806053</v>
      </c>
      <c r="K14" s="6" t="s">
        <v>2510</v>
      </c>
      <c r="L14" s="16" t="s">
        <v>2512</v>
      </c>
      <c r="M14" s="8">
        <v>219900</v>
      </c>
      <c r="N14" s="9">
        <v>0.95</v>
      </c>
      <c r="O14" s="8">
        <f t="shared" si="0"/>
        <v>10995</v>
      </c>
      <c r="P14" s="6" t="s">
        <v>16</v>
      </c>
    </row>
    <row r="15" spans="1:16" x14ac:dyDescent="0.35">
      <c r="A15" s="6" t="s">
        <v>5569</v>
      </c>
      <c r="B15" s="7">
        <f t="shared" si="1"/>
        <v>46121</v>
      </c>
      <c r="C15" s="7">
        <f t="shared" si="2"/>
        <v>46127</v>
      </c>
      <c r="D15" s="6">
        <v>3287</v>
      </c>
      <c r="E15" s="6">
        <v>338</v>
      </c>
      <c r="F15" s="6">
        <v>4</v>
      </c>
      <c r="G15" s="6">
        <v>4</v>
      </c>
      <c r="H15" s="6">
        <v>81588</v>
      </c>
      <c r="I15" s="6" t="s">
        <v>17</v>
      </c>
      <c r="J15" s="6">
        <v>24060704</v>
      </c>
      <c r="K15" s="6" t="s">
        <v>2527</v>
      </c>
      <c r="L15" s="16" t="s">
        <v>2528</v>
      </c>
      <c r="M15" s="8">
        <v>189900</v>
      </c>
      <c r="N15" s="9">
        <v>0.95</v>
      </c>
      <c r="O15" s="8">
        <f t="shared" si="0"/>
        <v>9495</v>
      </c>
      <c r="P15" s="6" t="s">
        <v>16</v>
      </c>
    </row>
    <row r="16" spans="1:16" x14ac:dyDescent="0.35">
      <c r="A16" s="6" t="s">
        <v>5569</v>
      </c>
      <c r="B16" s="7">
        <f t="shared" si="1"/>
        <v>46121</v>
      </c>
      <c r="C16" s="7">
        <f t="shared" si="2"/>
        <v>46127</v>
      </c>
      <c r="D16" s="6">
        <v>3287</v>
      </c>
      <c r="E16" s="6">
        <v>338</v>
      </c>
      <c r="F16" s="6">
        <v>4</v>
      </c>
      <c r="G16" s="6">
        <v>7</v>
      </c>
      <c r="H16" s="6">
        <v>81595</v>
      </c>
      <c r="I16" s="6" t="s">
        <v>17</v>
      </c>
      <c r="J16" s="6">
        <v>24810073</v>
      </c>
      <c r="K16" s="6" t="s">
        <v>2483</v>
      </c>
      <c r="L16" s="16" t="s">
        <v>5099</v>
      </c>
      <c r="M16" s="8">
        <v>27900</v>
      </c>
      <c r="N16" s="9">
        <v>0.95</v>
      </c>
      <c r="O16" s="8">
        <f t="shared" si="0"/>
        <v>1395</v>
      </c>
      <c r="P16" s="6" t="s">
        <v>16</v>
      </c>
    </row>
    <row r="17" spans="1:16" x14ac:dyDescent="0.35">
      <c r="A17" s="6" t="s">
        <v>5569</v>
      </c>
      <c r="B17" s="7">
        <f t="shared" si="1"/>
        <v>46121</v>
      </c>
      <c r="C17" s="7">
        <f t="shared" si="2"/>
        <v>46127</v>
      </c>
      <c r="D17" s="6">
        <v>3287</v>
      </c>
      <c r="E17" s="6">
        <v>338</v>
      </c>
      <c r="F17" s="6">
        <v>4</v>
      </c>
      <c r="G17" s="6">
        <v>7</v>
      </c>
      <c r="H17" s="6">
        <v>81595</v>
      </c>
      <c r="I17" s="6" t="s">
        <v>17</v>
      </c>
      <c r="J17" s="6">
        <v>24810055</v>
      </c>
      <c r="K17" s="6" t="s">
        <v>2480</v>
      </c>
      <c r="L17" s="16" t="s">
        <v>2481</v>
      </c>
      <c r="M17" s="8">
        <v>27900</v>
      </c>
      <c r="N17" s="9">
        <v>0.95</v>
      </c>
      <c r="O17" s="8">
        <f t="shared" si="0"/>
        <v>1395</v>
      </c>
      <c r="P17" s="6" t="s">
        <v>16</v>
      </c>
    </row>
    <row r="18" spans="1:16" x14ac:dyDescent="0.35">
      <c r="A18" s="6" t="s">
        <v>5569</v>
      </c>
      <c r="B18" s="7">
        <f t="shared" si="1"/>
        <v>46121</v>
      </c>
      <c r="C18" s="7">
        <f t="shared" si="2"/>
        <v>46127</v>
      </c>
      <c r="D18" s="6">
        <v>3287</v>
      </c>
      <c r="E18" s="6">
        <v>338</v>
      </c>
      <c r="F18" s="6">
        <v>4</v>
      </c>
      <c r="G18" s="6">
        <v>7</v>
      </c>
      <c r="H18" s="6">
        <v>81595</v>
      </c>
      <c r="I18" s="6" t="s">
        <v>17</v>
      </c>
      <c r="J18" s="6">
        <v>24810064</v>
      </c>
      <c r="K18" s="6" t="s">
        <v>2480</v>
      </c>
      <c r="L18" s="16" t="s">
        <v>2482</v>
      </c>
      <c r="M18" s="8">
        <v>27900</v>
      </c>
      <c r="N18" s="9">
        <v>0.95</v>
      </c>
      <c r="O18" s="8">
        <f t="shared" si="0"/>
        <v>1395</v>
      </c>
      <c r="P18" s="6" t="s">
        <v>16</v>
      </c>
    </row>
    <row r="19" spans="1:16" x14ac:dyDescent="0.35">
      <c r="A19" s="6" t="s">
        <v>5569</v>
      </c>
      <c r="B19" s="7">
        <f t="shared" si="1"/>
        <v>46121</v>
      </c>
      <c r="C19" s="7">
        <f t="shared" si="2"/>
        <v>46127</v>
      </c>
      <c r="D19" s="6">
        <v>3287</v>
      </c>
      <c r="E19" s="6">
        <v>338</v>
      </c>
      <c r="F19" s="6">
        <v>4</v>
      </c>
      <c r="G19" s="6">
        <v>7</v>
      </c>
      <c r="H19" s="6">
        <v>81595</v>
      </c>
      <c r="I19" s="6" t="s">
        <v>17</v>
      </c>
      <c r="J19" s="6">
        <v>24810091</v>
      </c>
      <c r="K19" s="6" t="s">
        <v>2484</v>
      </c>
      <c r="L19" s="16" t="s">
        <v>2485</v>
      </c>
      <c r="M19" s="8">
        <v>27900</v>
      </c>
      <c r="N19" s="9">
        <v>0.95</v>
      </c>
      <c r="O19" s="8">
        <f t="shared" si="0"/>
        <v>1395</v>
      </c>
      <c r="P19" s="6" t="s">
        <v>16</v>
      </c>
    </row>
    <row r="20" spans="1:16" x14ac:dyDescent="0.35">
      <c r="A20" s="6" t="s">
        <v>5569</v>
      </c>
      <c r="B20" s="7">
        <f t="shared" si="1"/>
        <v>46121</v>
      </c>
      <c r="C20" s="7">
        <f t="shared" si="2"/>
        <v>46127</v>
      </c>
      <c r="D20" s="6">
        <v>3287</v>
      </c>
      <c r="E20" s="6">
        <v>338</v>
      </c>
      <c r="F20" s="6">
        <v>4</v>
      </c>
      <c r="G20" s="6">
        <v>7</v>
      </c>
      <c r="H20" s="6">
        <v>81595</v>
      </c>
      <c r="I20" s="6" t="s">
        <v>17</v>
      </c>
      <c r="J20" s="6">
        <v>24814800</v>
      </c>
      <c r="K20" s="6" t="s">
        <v>2486</v>
      </c>
      <c r="L20" s="16" t="s">
        <v>2487</v>
      </c>
      <c r="M20" s="8">
        <v>27900</v>
      </c>
      <c r="N20" s="9">
        <v>0.95</v>
      </c>
      <c r="O20" s="8">
        <f t="shared" si="0"/>
        <v>1395</v>
      </c>
      <c r="P20" s="6" t="s">
        <v>16</v>
      </c>
    </row>
    <row r="21" spans="1:16" x14ac:dyDescent="0.35">
      <c r="A21" s="6" t="s">
        <v>5569</v>
      </c>
      <c r="B21" s="7">
        <f t="shared" si="1"/>
        <v>46121</v>
      </c>
      <c r="C21" s="7">
        <f t="shared" si="2"/>
        <v>46127</v>
      </c>
      <c r="D21" s="6">
        <v>3287</v>
      </c>
      <c r="E21" s="6">
        <v>338</v>
      </c>
      <c r="F21" s="6">
        <v>4</v>
      </c>
      <c r="G21" s="6">
        <v>7</v>
      </c>
      <c r="H21" s="6">
        <v>81595</v>
      </c>
      <c r="I21" s="6" t="s">
        <v>17</v>
      </c>
      <c r="J21" s="6">
        <v>24814819</v>
      </c>
      <c r="K21" s="6" t="s">
        <v>2486</v>
      </c>
      <c r="L21" s="16" t="s">
        <v>2488</v>
      </c>
      <c r="M21" s="8">
        <v>27900</v>
      </c>
      <c r="N21" s="9">
        <v>0.95</v>
      </c>
      <c r="O21" s="8">
        <f t="shared" si="0"/>
        <v>1395</v>
      </c>
      <c r="P21" s="6" t="s">
        <v>16</v>
      </c>
    </row>
    <row r="22" spans="1:16" x14ac:dyDescent="0.35">
      <c r="A22" s="6" t="s">
        <v>5569</v>
      </c>
      <c r="B22" s="7">
        <f t="shared" si="1"/>
        <v>46121</v>
      </c>
      <c r="C22" s="7">
        <f t="shared" si="2"/>
        <v>46127</v>
      </c>
      <c r="D22" s="6">
        <v>3287</v>
      </c>
      <c r="E22" s="6">
        <v>338</v>
      </c>
      <c r="F22" s="6">
        <v>4</v>
      </c>
      <c r="G22" s="6">
        <v>4</v>
      </c>
      <c r="H22" s="6">
        <v>81588</v>
      </c>
      <c r="I22" s="6" t="s">
        <v>17</v>
      </c>
      <c r="J22" s="6">
        <v>21166169</v>
      </c>
      <c r="K22" s="6" t="s">
        <v>5179</v>
      </c>
      <c r="L22" s="16" t="s">
        <v>5180</v>
      </c>
      <c r="M22" s="8">
        <v>179900</v>
      </c>
      <c r="N22" s="9">
        <v>0.95</v>
      </c>
      <c r="O22" s="8">
        <f t="shared" si="0"/>
        <v>8995</v>
      </c>
      <c r="P22" s="6" t="s">
        <v>16</v>
      </c>
    </row>
    <row r="23" spans="1:16" x14ac:dyDescent="0.35">
      <c r="A23" s="6" t="s">
        <v>5569</v>
      </c>
      <c r="B23" s="7">
        <f t="shared" si="1"/>
        <v>46121</v>
      </c>
      <c r="C23" s="7">
        <f t="shared" si="2"/>
        <v>46127</v>
      </c>
      <c r="D23" s="6">
        <v>3287</v>
      </c>
      <c r="E23" s="6">
        <v>338</v>
      </c>
      <c r="F23" s="6">
        <v>4</v>
      </c>
      <c r="G23" s="6">
        <v>4</v>
      </c>
      <c r="H23" s="6">
        <v>850</v>
      </c>
      <c r="I23" s="6" t="s">
        <v>17</v>
      </c>
      <c r="J23" s="6">
        <v>21661089</v>
      </c>
      <c r="K23" s="6" t="s">
        <v>5140</v>
      </c>
      <c r="L23" s="16" t="s">
        <v>5141</v>
      </c>
      <c r="M23" s="8">
        <v>189900</v>
      </c>
      <c r="N23" s="9">
        <v>0.95</v>
      </c>
      <c r="O23" s="8">
        <f t="shared" si="0"/>
        <v>9495</v>
      </c>
      <c r="P23" s="6" t="s">
        <v>16</v>
      </c>
    </row>
    <row r="24" spans="1:16" x14ac:dyDescent="0.35">
      <c r="A24" s="6" t="s">
        <v>5569</v>
      </c>
      <c r="B24" s="7">
        <f t="shared" si="1"/>
        <v>46121</v>
      </c>
      <c r="C24" s="7">
        <f t="shared" si="2"/>
        <v>46127</v>
      </c>
      <c r="D24" s="6">
        <v>3287</v>
      </c>
      <c r="E24" s="6">
        <v>338</v>
      </c>
      <c r="F24" s="6">
        <v>4</v>
      </c>
      <c r="G24" s="6">
        <v>4</v>
      </c>
      <c r="H24" s="6">
        <v>850</v>
      </c>
      <c r="I24" s="6" t="s">
        <v>17</v>
      </c>
      <c r="J24" s="6">
        <v>21659850</v>
      </c>
      <c r="K24" s="6" t="s">
        <v>5138</v>
      </c>
      <c r="L24" s="16" t="s">
        <v>5139</v>
      </c>
      <c r="M24" s="8">
        <v>199900</v>
      </c>
      <c r="N24" s="9">
        <v>0.95</v>
      </c>
      <c r="O24" s="8">
        <f t="shared" si="0"/>
        <v>9995</v>
      </c>
      <c r="P24" s="6" t="s">
        <v>16</v>
      </c>
    </row>
    <row r="25" spans="1:16" x14ac:dyDescent="0.35">
      <c r="A25" s="6" t="s">
        <v>5569</v>
      </c>
      <c r="B25" s="7">
        <f t="shared" si="1"/>
        <v>46121</v>
      </c>
      <c r="C25" s="7">
        <f t="shared" si="2"/>
        <v>46127</v>
      </c>
      <c r="D25" s="6">
        <v>3287</v>
      </c>
      <c r="E25" s="6">
        <v>338</v>
      </c>
      <c r="F25" s="6">
        <v>4</v>
      </c>
      <c r="G25" s="6">
        <v>4</v>
      </c>
      <c r="H25" s="6">
        <v>850</v>
      </c>
      <c r="I25" s="6" t="s">
        <v>17</v>
      </c>
      <c r="J25" s="6">
        <v>22105393</v>
      </c>
      <c r="K25" s="6" t="s">
        <v>5146</v>
      </c>
      <c r="L25" s="16" t="s">
        <v>5147</v>
      </c>
      <c r="M25" s="8">
        <v>189900</v>
      </c>
      <c r="N25" s="9">
        <v>0.95</v>
      </c>
      <c r="O25" s="8">
        <f t="shared" si="0"/>
        <v>9495</v>
      </c>
      <c r="P25" s="6" t="s">
        <v>16</v>
      </c>
    </row>
    <row r="26" spans="1:16" x14ac:dyDescent="0.35">
      <c r="A26" s="6" t="s">
        <v>5569</v>
      </c>
      <c r="B26" s="7">
        <f t="shared" si="1"/>
        <v>46121</v>
      </c>
      <c r="C26" s="7">
        <f t="shared" si="2"/>
        <v>46127</v>
      </c>
      <c r="D26" s="6">
        <v>3287</v>
      </c>
      <c r="E26" s="6">
        <v>338</v>
      </c>
      <c r="F26" s="6">
        <v>4</v>
      </c>
      <c r="G26" s="6">
        <v>4</v>
      </c>
      <c r="H26" s="6">
        <v>81588</v>
      </c>
      <c r="I26" s="6" t="s">
        <v>17</v>
      </c>
      <c r="J26" s="6">
        <v>23377124</v>
      </c>
      <c r="K26" s="6" t="s">
        <v>2498</v>
      </c>
      <c r="L26" s="16" t="s">
        <v>2499</v>
      </c>
      <c r="M26" s="8">
        <v>199900</v>
      </c>
      <c r="N26" s="9">
        <v>0.95</v>
      </c>
      <c r="O26" s="8">
        <f t="shared" si="0"/>
        <v>9995</v>
      </c>
      <c r="P26" s="6" t="s">
        <v>16</v>
      </c>
    </row>
    <row r="27" spans="1:16" x14ac:dyDescent="0.35">
      <c r="A27" s="6" t="s">
        <v>5569</v>
      </c>
      <c r="B27" s="7">
        <f t="shared" si="1"/>
        <v>46121</v>
      </c>
      <c r="C27" s="7">
        <f t="shared" si="2"/>
        <v>46127</v>
      </c>
      <c r="D27" s="6">
        <v>3287</v>
      </c>
      <c r="E27" s="6">
        <v>338</v>
      </c>
      <c r="F27" s="6">
        <v>4</v>
      </c>
      <c r="G27" s="6">
        <v>4</v>
      </c>
      <c r="H27" s="6">
        <v>81588</v>
      </c>
      <c r="I27" s="6" t="s">
        <v>17</v>
      </c>
      <c r="J27" s="6">
        <v>23377142</v>
      </c>
      <c r="K27" s="6" t="s">
        <v>2498</v>
      </c>
      <c r="L27" s="16" t="s">
        <v>2500</v>
      </c>
      <c r="M27" s="8">
        <v>199900</v>
      </c>
      <c r="N27" s="9">
        <v>0.95</v>
      </c>
      <c r="O27" s="8">
        <f t="shared" si="0"/>
        <v>9995</v>
      </c>
      <c r="P27" s="6" t="s">
        <v>16</v>
      </c>
    </row>
    <row r="28" spans="1:16" x14ac:dyDescent="0.35">
      <c r="A28" s="6" t="s">
        <v>5569</v>
      </c>
      <c r="B28" s="7">
        <f t="shared" si="1"/>
        <v>46121</v>
      </c>
      <c r="C28" s="7">
        <f t="shared" si="2"/>
        <v>46127</v>
      </c>
      <c r="D28" s="6">
        <v>3287</v>
      </c>
      <c r="E28" s="6">
        <v>338</v>
      </c>
      <c r="F28" s="6">
        <v>4</v>
      </c>
      <c r="G28" s="6">
        <v>4</v>
      </c>
      <c r="H28" s="6">
        <v>81588</v>
      </c>
      <c r="I28" s="6" t="s">
        <v>17</v>
      </c>
      <c r="J28" s="6">
        <v>23498217</v>
      </c>
      <c r="K28" s="6" t="s">
        <v>2503</v>
      </c>
      <c r="L28" s="16" t="s">
        <v>2504</v>
      </c>
      <c r="M28" s="8">
        <v>199900</v>
      </c>
      <c r="N28" s="9">
        <v>0.95</v>
      </c>
      <c r="O28" s="8">
        <f t="shared" si="0"/>
        <v>9995</v>
      </c>
      <c r="P28" s="6" t="s">
        <v>16</v>
      </c>
    </row>
    <row r="29" spans="1:16" x14ac:dyDescent="0.35">
      <c r="A29" s="6" t="s">
        <v>5569</v>
      </c>
      <c r="B29" s="7">
        <f t="shared" si="1"/>
        <v>46121</v>
      </c>
      <c r="C29" s="7">
        <f t="shared" si="2"/>
        <v>46127</v>
      </c>
      <c r="D29" s="6">
        <v>3287</v>
      </c>
      <c r="E29" s="6">
        <v>338</v>
      </c>
      <c r="F29" s="6">
        <v>4</v>
      </c>
      <c r="G29" s="6">
        <v>4</v>
      </c>
      <c r="H29" s="6">
        <v>81588</v>
      </c>
      <c r="I29" s="6" t="s">
        <v>17</v>
      </c>
      <c r="J29" s="6">
        <v>23498253</v>
      </c>
      <c r="K29" s="6" t="s">
        <v>2503</v>
      </c>
      <c r="L29" s="16" t="s">
        <v>2505</v>
      </c>
      <c r="M29" s="8">
        <v>199900</v>
      </c>
      <c r="N29" s="9">
        <v>0.95</v>
      </c>
      <c r="O29" s="8">
        <f t="shared" si="0"/>
        <v>9995</v>
      </c>
      <c r="P29" s="6" t="s">
        <v>16</v>
      </c>
    </row>
    <row r="30" spans="1:16" x14ac:dyDescent="0.35">
      <c r="A30" s="6" t="s">
        <v>5569</v>
      </c>
      <c r="B30" s="7">
        <f t="shared" si="1"/>
        <v>46121</v>
      </c>
      <c r="C30" s="7">
        <f t="shared" si="2"/>
        <v>46127</v>
      </c>
      <c r="D30" s="6">
        <v>3287</v>
      </c>
      <c r="E30" s="6">
        <v>338</v>
      </c>
      <c r="F30" s="6">
        <v>4</v>
      </c>
      <c r="G30" s="6">
        <v>4</v>
      </c>
      <c r="H30" s="6">
        <v>81588</v>
      </c>
      <c r="I30" s="6" t="s">
        <v>17</v>
      </c>
      <c r="J30" s="6">
        <v>23848400</v>
      </c>
      <c r="K30" s="6" t="s">
        <v>2522</v>
      </c>
      <c r="L30" s="16" t="s">
        <v>2523</v>
      </c>
      <c r="M30" s="8">
        <v>199900</v>
      </c>
      <c r="N30" s="9">
        <v>0.95</v>
      </c>
      <c r="O30" s="8">
        <f t="shared" si="0"/>
        <v>9995</v>
      </c>
      <c r="P30" s="6" t="s">
        <v>16</v>
      </c>
    </row>
    <row r="31" spans="1:16" x14ac:dyDescent="0.35">
      <c r="A31" s="6" t="s">
        <v>5569</v>
      </c>
      <c r="B31" s="7">
        <f t="shared" si="1"/>
        <v>46121</v>
      </c>
      <c r="C31" s="7">
        <f t="shared" si="2"/>
        <v>46127</v>
      </c>
      <c r="D31" s="6">
        <v>3287</v>
      </c>
      <c r="E31" s="6">
        <v>338</v>
      </c>
      <c r="F31" s="6">
        <v>4</v>
      </c>
      <c r="G31" s="6">
        <v>4</v>
      </c>
      <c r="H31" s="6">
        <v>81588</v>
      </c>
      <c r="I31" s="6" t="s">
        <v>17</v>
      </c>
      <c r="J31" s="6">
        <v>23848446</v>
      </c>
      <c r="K31" s="6" t="s">
        <v>2522</v>
      </c>
      <c r="L31" s="16" t="s">
        <v>2524</v>
      </c>
      <c r="M31" s="8">
        <v>199900</v>
      </c>
      <c r="N31" s="9">
        <v>0.95</v>
      </c>
      <c r="O31" s="8">
        <f t="shared" si="0"/>
        <v>9995</v>
      </c>
      <c r="P31" s="6" t="s">
        <v>16</v>
      </c>
    </row>
    <row r="32" spans="1:16" x14ac:dyDescent="0.35">
      <c r="A32" s="6" t="s">
        <v>5569</v>
      </c>
      <c r="B32" s="7">
        <f t="shared" si="1"/>
        <v>46121</v>
      </c>
      <c r="C32" s="7">
        <f t="shared" si="2"/>
        <v>46127</v>
      </c>
      <c r="D32" s="6">
        <v>3287</v>
      </c>
      <c r="E32" s="6">
        <v>338</v>
      </c>
      <c r="F32" s="6">
        <v>4</v>
      </c>
      <c r="G32" s="6">
        <v>4</v>
      </c>
      <c r="H32" s="6">
        <v>81588</v>
      </c>
      <c r="I32" s="6" t="s">
        <v>17</v>
      </c>
      <c r="J32" s="6">
        <v>23806295</v>
      </c>
      <c r="K32" s="6" t="s">
        <v>2513</v>
      </c>
      <c r="L32" s="16" t="s">
        <v>2514</v>
      </c>
      <c r="M32" s="8">
        <v>199900</v>
      </c>
      <c r="N32" s="9">
        <v>0.95</v>
      </c>
      <c r="O32" s="8">
        <f t="shared" si="0"/>
        <v>9995</v>
      </c>
      <c r="P32" s="6" t="s">
        <v>16</v>
      </c>
    </row>
    <row r="33" spans="1:16" x14ac:dyDescent="0.35">
      <c r="A33" s="6" t="s">
        <v>5569</v>
      </c>
      <c r="B33" s="7">
        <f t="shared" si="1"/>
        <v>46121</v>
      </c>
      <c r="C33" s="7">
        <f t="shared" si="2"/>
        <v>46127</v>
      </c>
      <c r="D33" s="6">
        <v>3287</v>
      </c>
      <c r="E33" s="6">
        <v>338</v>
      </c>
      <c r="F33" s="6">
        <v>4</v>
      </c>
      <c r="G33" s="6">
        <v>4</v>
      </c>
      <c r="H33" s="6">
        <v>81588</v>
      </c>
      <c r="I33" s="6" t="s">
        <v>17</v>
      </c>
      <c r="J33" s="6">
        <v>23806311</v>
      </c>
      <c r="K33" s="6" t="s">
        <v>2513</v>
      </c>
      <c r="L33" s="16" t="s">
        <v>2515</v>
      </c>
      <c r="M33" s="8">
        <v>199900</v>
      </c>
      <c r="N33" s="9">
        <v>0.95</v>
      </c>
      <c r="O33" s="8">
        <f t="shared" si="0"/>
        <v>9995</v>
      </c>
      <c r="P33" s="6" t="s">
        <v>16</v>
      </c>
    </row>
    <row r="34" spans="1:16" x14ac:dyDescent="0.35">
      <c r="A34" s="6" t="s">
        <v>5569</v>
      </c>
      <c r="B34" s="7">
        <f t="shared" si="1"/>
        <v>46121</v>
      </c>
      <c r="C34" s="7">
        <f t="shared" si="2"/>
        <v>46127</v>
      </c>
      <c r="D34" s="6">
        <v>3287</v>
      </c>
      <c r="E34" s="6">
        <v>338</v>
      </c>
      <c r="F34" s="6">
        <v>4</v>
      </c>
      <c r="G34" s="6">
        <v>4</v>
      </c>
      <c r="H34" s="6">
        <v>81588</v>
      </c>
      <c r="I34" s="6" t="s">
        <v>17</v>
      </c>
      <c r="J34" s="6">
        <v>25052408</v>
      </c>
      <c r="K34" s="6" t="s">
        <v>2529</v>
      </c>
      <c r="L34" s="16" t="s">
        <v>2530</v>
      </c>
      <c r="M34" s="8">
        <v>189900</v>
      </c>
      <c r="N34" s="9">
        <v>0.95</v>
      </c>
      <c r="O34" s="8">
        <f t="shared" si="0"/>
        <v>9495</v>
      </c>
      <c r="P34" s="6" t="s">
        <v>16</v>
      </c>
    </row>
    <row r="35" spans="1:16" x14ac:dyDescent="0.35">
      <c r="A35" s="6" t="s">
        <v>5569</v>
      </c>
      <c r="B35" s="7">
        <f t="shared" si="1"/>
        <v>46121</v>
      </c>
      <c r="C35" s="7">
        <f t="shared" si="2"/>
        <v>46127</v>
      </c>
      <c r="D35" s="6">
        <v>3287</v>
      </c>
      <c r="E35" s="6">
        <v>338</v>
      </c>
      <c r="F35" s="6">
        <v>4</v>
      </c>
      <c r="G35" s="6">
        <v>4</v>
      </c>
      <c r="H35" s="6">
        <v>81588</v>
      </c>
      <c r="I35" s="6" t="s">
        <v>17</v>
      </c>
      <c r="J35" s="6">
        <v>25052417</v>
      </c>
      <c r="K35" s="6" t="s">
        <v>2529</v>
      </c>
      <c r="L35" s="16" t="s">
        <v>2531</v>
      </c>
      <c r="M35" s="8">
        <v>189900</v>
      </c>
      <c r="N35" s="9">
        <v>0.95</v>
      </c>
      <c r="O35" s="8">
        <f t="shared" si="0"/>
        <v>9495</v>
      </c>
      <c r="P35" s="6" t="s">
        <v>16</v>
      </c>
    </row>
    <row r="36" spans="1:16" x14ac:dyDescent="0.35">
      <c r="A36" s="6" t="s">
        <v>5569</v>
      </c>
      <c r="B36" s="7">
        <f t="shared" si="1"/>
        <v>46121</v>
      </c>
      <c r="C36" s="7">
        <f t="shared" si="2"/>
        <v>46127</v>
      </c>
      <c r="D36" s="6">
        <v>3287</v>
      </c>
      <c r="E36" s="6">
        <v>338</v>
      </c>
      <c r="F36" s="6">
        <v>4</v>
      </c>
      <c r="G36" s="6">
        <v>4</v>
      </c>
      <c r="H36" s="6">
        <v>81588</v>
      </c>
      <c r="I36" s="6" t="s">
        <v>17</v>
      </c>
      <c r="J36" s="6">
        <v>25052453</v>
      </c>
      <c r="K36" s="6" t="s">
        <v>2529</v>
      </c>
      <c r="L36" s="16" t="s">
        <v>2532</v>
      </c>
      <c r="M36" s="8">
        <v>189900</v>
      </c>
      <c r="N36" s="9">
        <v>0.95</v>
      </c>
      <c r="O36" s="8">
        <f t="shared" si="0"/>
        <v>9495</v>
      </c>
      <c r="P36" s="6" t="s">
        <v>16</v>
      </c>
    </row>
    <row r="37" spans="1:16" x14ac:dyDescent="0.35">
      <c r="A37" s="6" t="s">
        <v>5569</v>
      </c>
      <c r="B37" s="7">
        <f t="shared" si="1"/>
        <v>46121</v>
      </c>
      <c r="C37" s="7">
        <f t="shared" si="2"/>
        <v>46127</v>
      </c>
      <c r="D37" s="6">
        <v>3287</v>
      </c>
      <c r="E37" s="6">
        <v>338</v>
      </c>
      <c r="F37" s="6">
        <v>4</v>
      </c>
      <c r="G37" s="6">
        <v>7</v>
      </c>
      <c r="H37" s="6">
        <v>81595</v>
      </c>
      <c r="I37" s="6" t="s">
        <v>17</v>
      </c>
      <c r="J37" s="6">
        <v>24542649</v>
      </c>
      <c r="K37" s="6" t="s">
        <v>2395</v>
      </c>
      <c r="L37" s="16" t="s">
        <v>2396</v>
      </c>
      <c r="M37" s="8">
        <v>27900</v>
      </c>
      <c r="N37" s="9">
        <v>0.95</v>
      </c>
      <c r="O37" s="8">
        <f t="shared" si="0"/>
        <v>1395</v>
      </c>
      <c r="P37" s="6" t="s">
        <v>16</v>
      </c>
    </row>
    <row r="38" spans="1:16" x14ac:dyDescent="0.35">
      <c r="A38" s="6" t="s">
        <v>5569</v>
      </c>
      <c r="B38" s="7">
        <f t="shared" si="1"/>
        <v>46121</v>
      </c>
      <c r="C38" s="7">
        <f t="shared" si="2"/>
        <v>46127</v>
      </c>
      <c r="D38" s="6">
        <v>3287</v>
      </c>
      <c r="E38" s="6">
        <v>338</v>
      </c>
      <c r="F38" s="6">
        <v>4</v>
      </c>
      <c r="G38" s="6">
        <v>7</v>
      </c>
      <c r="H38" s="6">
        <v>81595</v>
      </c>
      <c r="I38" s="6" t="s">
        <v>17</v>
      </c>
      <c r="J38" s="6">
        <v>24522063</v>
      </c>
      <c r="K38" s="6" t="s">
        <v>2477</v>
      </c>
      <c r="L38" s="16" t="s">
        <v>2478</v>
      </c>
      <c r="M38" s="8">
        <v>27900</v>
      </c>
      <c r="N38" s="9">
        <v>0.95</v>
      </c>
      <c r="O38" s="8">
        <f t="shared" si="0"/>
        <v>1395</v>
      </c>
      <c r="P38" s="6" t="s">
        <v>16</v>
      </c>
    </row>
    <row r="39" spans="1:16" x14ac:dyDescent="0.35">
      <c r="A39" s="6" t="s">
        <v>5569</v>
      </c>
      <c r="B39" s="7">
        <f t="shared" si="1"/>
        <v>46121</v>
      </c>
      <c r="C39" s="7">
        <f t="shared" si="2"/>
        <v>46127</v>
      </c>
      <c r="D39" s="6">
        <v>3287</v>
      </c>
      <c r="E39" s="6">
        <v>338</v>
      </c>
      <c r="F39" s="6">
        <v>4</v>
      </c>
      <c r="G39" s="6">
        <v>7</v>
      </c>
      <c r="H39" s="6">
        <v>81595</v>
      </c>
      <c r="I39" s="6" t="s">
        <v>17</v>
      </c>
      <c r="J39" s="6">
        <v>24522072</v>
      </c>
      <c r="K39" s="6" t="s">
        <v>2477</v>
      </c>
      <c r="L39" s="16" t="s">
        <v>2479</v>
      </c>
      <c r="M39" s="8">
        <v>27900</v>
      </c>
      <c r="N39" s="9">
        <v>0.95</v>
      </c>
      <c r="O39" s="8">
        <f t="shared" si="0"/>
        <v>1395</v>
      </c>
      <c r="P39" s="6" t="s">
        <v>16</v>
      </c>
    </row>
    <row r="40" spans="1:16" x14ac:dyDescent="0.35">
      <c r="A40" s="6" t="s">
        <v>5569</v>
      </c>
      <c r="B40" s="7">
        <f t="shared" si="1"/>
        <v>46121</v>
      </c>
      <c r="C40" s="7">
        <f t="shared" si="2"/>
        <v>46127</v>
      </c>
      <c r="D40" s="6">
        <v>3287</v>
      </c>
      <c r="E40" s="6">
        <v>338</v>
      </c>
      <c r="F40" s="6">
        <v>4</v>
      </c>
      <c r="G40" s="6">
        <v>2</v>
      </c>
      <c r="H40" s="6">
        <v>850</v>
      </c>
      <c r="I40" s="6" t="s">
        <v>17</v>
      </c>
      <c r="J40" s="6">
        <v>20902516</v>
      </c>
      <c r="K40" s="6" t="s">
        <v>5117</v>
      </c>
      <c r="L40" s="16" t="s">
        <v>5118</v>
      </c>
      <c r="M40" s="8">
        <v>189900</v>
      </c>
      <c r="N40" s="9">
        <v>0.95</v>
      </c>
      <c r="O40" s="8">
        <f t="shared" si="0"/>
        <v>9495</v>
      </c>
      <c r="P40" s="6" t="s">
        <v>16</v>
      </c>
    </row>
    <row r="41" spans="1:16" x14ac:dyDescent="0.35">
      <c r="A41" s="6" t="s">
        <v>5569</v>
      </c>
      <c r="B41" s="7">
        <f t="shared" si="1"/>
        <v>46121</v>
      </c>
      <c r="C41" s="7">
        <f t="shared" si="2"/>
        <v>46127</v>
      </c>
      <c r="D41" s="6">
        <v>3287</v>
      </c>
      <c r="E41" s="6">
        <v>338</v>
      </c>
      <c r="F41" s="6">
        <v>4</v>
      </c>
      <c r="G41" s="6">
        <v>5</v>
      </c>
      <c r="H41" s="6">
        <v>850</v>
      </c>
      <c r="I41" s="6" t="s">
        <v>17</v>
      </c>
      <c r="J41" s="6">
        <v>23736398</v>
      </c>
      <c r="K41" s="6" t="s">
        <v>2535</v>
      </c>
      <c r="L41" s="16" t="s">
        <v>2536</v>
      </c>
      <c r="M41" s="8">
        <v>39900</v>
      </c>
      <c r="N41" s="9">
        <v>0.95</v>
      </c>
      <c r="O41" s="8">
        <f t="shared" si="0"/>
        <v>1995</v>
      </c>
      <c r="P41" s="6" t="s">
        <v>16</v>
      </c>
    </row>
    <row r="42" spans="1:16" x14ac:dyDescent="0.35">
      <c r="A42" s="6" t="s">
        <v>5569</v>
      </c>
      <c r="B42" s="7">
        <f t="shared" si="1"/>
        <v>46121</v>
      </c>
      <c r="C42" s="7">
        <f t="shared" si="2"/>
        <v>46127</v>
      </c>
      <c r="D42" s="6">
        <v>3287</v>
      </c>
      <c r="E42" s="6">
        <v>338</v>
      </c>
      <c r="F42" s="6">
        <v>4</v>
      </c>
      <c r="G42" s="6">
        <v>5</v>
      </c>
      <c r="H42" s="6">
        <v>850</v>
      </c>
      <c r="I42" s="6" t="s">
        <v>17</v>
      </c>
      <c r="J42" s="6">
        <v>23736432</v>
      </c>
      <c r="K42" s="6" t="s">
        <v>2537</v>
      </c>
      <c r="L42" s="16" t="s">
        <v>2538</v>
      </c>
      <c r="M42" s="8">
        <v>39900</v>
      </c>
      <c r="N42" s="9">
        <v>0.95</v>
      </c>
      <c r="O42" s="8">
        <f t="shared" si="0"/>
        <v>1995</v>
      </c>
      <c r="P42" s="6" t="s">
        <v>16</v>
      </c>
    </row>
    <row r="43" spans="1:16" x14ac:dyDescent="0.35">
      <c r="A43" s="6" t="s">
        <v>5569</v>
      </c>
      <c r="B43" s="7">
        <f t="shared" si="1"/>
        <v>46121</v>
      </c>
      <c r="C43" s="7">
        <f t="shared" si="2"/>
        <v>46127</v>
      </c>
      <c r="D43" s="6">
        <v>3287</v>
      </c>
      <c r="E43" s="6">
        <v>338</v>
      </c>
      <c r="F43" s="6">
        <v>4</v>
      </c>
      <c r="G43" s="6">
        <v>1</v>
      </c>
      <c r="H43" s="6">
        <v>850</v>
      </c>
      <c r="I43" s="6" t="s">
        <v>17</v>
      </c>
      <c r="J43" s="6">
        <v>18194340</v>
      </c>
      <c r="K43" s="6" t="s">
        <v>5034</v>
      </c>
      <c r="L43" s="16" t="s">
        <v>5035</v>
      </c>
      <c r="M43" s="8">
        <v>21900</v>
      </c>
      <c r="N43" s="9">
        <v>0.95</v>
      </c>
      <c r="O43" s="8">
        <f t="shared" si="0"/>
        <v>1095</v>
      </c>
      <c r="P43" s="6" t="s">
        <v>16</v>
      </c>
    </row>
    <row r="44" spans="1:16" x14ac:dyDescent="0.35">
      <c r="A44" s="6" t="s">
        <v>5569</v>
      </c>
      <c r="B44" s="7">
        <f t="shared" si="1"/>
        <v>46121</v>
      </c>
      <c r="C44" s="7">
        <f t="shared" si="2"/>
        <v>46127</v>
      </c>
      <c r="D44" s="6">
        <v>3287</v>
      </c>
      <c r="E44" s="6">
        <v>338</v>
      </c>
      <c r="F44" s="6">
        <v>4</v>
      </c>
      <c r="G44" s="6">
        <v>1</v>
      </c>
      <c r="H44" s="6">
        <v>850</v>
      </c>
      <c r="I44" s="6" t="s">
        <v>17</v>
      </c>
      <c r="J44" s="6">
        <v>21282266</v>
      </c>
      <c r="K44" s="6" t="s">
        <v>5048</v>
      </c>
      <c r="L44" s="16" t="s">
        <v>5049</v>
      </c>
      <c r="M44" s="8">
        <v>29900</v>
      </c>
      <c r="N44" s="9">
        <v>0.95</v>
      </c>
      <c r="O44" s="8">
        <f t="shared" si="0"/>
        <v>1495</v>
      </c>
      <c r="P44" s="6" t="s">
        <v>16</v>
      </c>
    </row>
    <row r="45" spans="1:16" x14ac:dyDescent="0.35">
      <c r="A45" s="6" t="s">
        <v>5569</v>
      </c>
      <c r="B45" s="7">
        <f t="shared" si="1"/>
        <v>46121</v>
      </c>
      <c r="C45" s="7">
        <f t="shared" si="2"/>
        <v>46127</v>
      </c>
      <c r="D45" s="6">
        <v>3287</v>
      </c>
      <c r="E45" s="6">
        <v>338</v>
      </c>
      <c r="F45" s="6">
        <v>4</v>
      </c>
      <c r="G45" s="6">
        <v>1</v>
      </c>
      <c r="H45" s="6">
        <v>850</v>
      </c>
      <c r="I45" s="6" t="s">
        <v>17</v>
      </c>
      <c r="J45" s="6">
        <v>18189963</v>
      </c>
      <c r="K45" s="6" t="s">
        <v>5032</v>
      </c>
      <c r="L45" s="16" t="s">
        <v>5033</v>
      </c>
      <c r="M45" s="8">
        <v>21900</v>
      </c>
      <c r="N45" s="9">
        <v>0.95</v>
      </c>
      <c r="O45" s="8">
        <f t="shared" si="0"/>
        <v>1095</v>
      </c>
      <c r="P45" s="6" t="s">
        <v>16</v>
      </c>
    </row>
    <row r="46" spans="1:16" x14ac:dyDescent="0.35">
      <c r="A46" s="6" t="s">
        <v>5569</v>
      </c>
      <c r="B46" s="7">
        <f t="shared" si="1"/>
        <v>46121</v>
      </c>
      <c r="C46" s="7">
        <f t="shared" si="2"/>
        <v>46127</v>
      </c>
      <c r="D46" s="6">
        <v>3287</v>
      </c>
      <c r="E46" s="6">
        <v>338</v>
      </c>
      <c r="F46" s="6">
        <v>4</v>
      </c>
      <c r="G46" s="6">
        <v>1</v>
      </c>
      <c r="H46" s="6">
        <v>850</v>
      </c>
      <c r="I46" s="6" t="s">
        <v>17</v>
      </c>
      <c r="J46" s="6">
        <v>21582781</v>
      </c>
      <c r="K46" s="6" t="s">
        <v>5050</v>
      </c>
      <c r="L46" s="16" t="s">
        <v>5051</v>
      </c>
      <c r="M46" s="8">
        <v>29900</v>
      </c>
      <c r="N46" s="9">
        <v>0.95</v>
      </c>
      <c r="O46" s="8">
        <f t="shared" si="0"/>
        <v>1495</v>
      </c>
      <c r="P46" s="6" t="s">
        <v>16</v>
      </c>
    </row>
    <row r="47" spans="1:16" x14ac:dyDescent="0.35">
      <c r="A47" s="6" t="s">
        <v>5569</v>
      </c>
      <c r="B47" s="7">
        <f t="shared" si="1"/>
        <v>46121</v>
      </c>
      <c r="C47" s="7">
        <f t="shared" si="2"/>
        <v>46127</v>
      </c>
      <c r="D47" s="6">
        <v>3287</v>
      </c>
      <c r="E47" s="6">
        <v>338</v>
      </c>
      <c r="F47" s="6">
        <v>4</v>
      </c>
      <c r="G47" s="6">
        <v>1</v>
      </c>
      <c r="H47" s="6">
        <v>850</v>
      </c>
      <c r="I47" s="6" t="s">
        <v>17</v>
      </c>
      <c r="J47" s="6">
        <v>18366342</v>
      </c>
      <c r="K47" s="6" t="s">
        <v>2367</v>
      </c>
      <c r="L47" s="16" t="s">
        <v>2368</v>
      </c>
      <c r="M47" s="8">
        <v>21900</v>
      </c>
      <c r="N47" s="9">
        <v>0.95</v>
      </c>
      <c r="O47" s="8">
        <f t="shared" si="0"/>
        <v>1095</v>
      </c>
      <c r="P47" s="6" t="s">
        <v>16</v>
      </c>
    </row>
    <row r="48" spans="1:16" x14ac:dyDescent="0.35">
      <c r="A48" s="6" t="s">
        <v>5569</v>
      </c>
      <c r="B48" s="7">
        <f t="shared" si="1"/>
        <v>46121</v>
      </c>
      <c r="C48" s="7">
        <f t="shared" si="2"/>
        <v>46127</v>
      </c>
      <c r="D48" s="6">
        <v>3287</v>
      </c>
      <c r="E48" s="6">
        <v>338</v>
      </c>
      <c r="F48" s="6">
        <v>4</v>
      </c>
      <c r="G48" s="6">
        <v>3</v>
      </c>
      <c r="H48" s="6">
        <v>850</v>
      </c>
      <c r="I48" s="6" t="s">
        <v>17</v>
      </c>
      <c r="J48" s="6">
        <v>21582638</v>
      </c>
      <c r="K48" s="6" t="s">
        <v>5130</v>
      </c>
      <c r="L48" s="16" t="s">
        <v>5131</v>
      </c>
      <c r="M48" s="8">
        <v>29900</v>
      </c>
      <c r="N48" s="9">
        <v>0.95</v>
      </c>
      <c r="O48" s="8">
        <f t="shared" si="0"/>
        <v>1495</v>
      </c>
      <c r="P48" s="6" t="s">
        <v>16</v>
      </c>
    </row>
    <row r="49" spans="1:16" x14ac:dyDescent="0.35">
      <c r="A49" s="6" t="s">
        <v>5569</v>
      </c>
      <c r="B49" s="7">
        <f t="shared" si="1"/>
        <v>46121</v>
      </c>
      <c r="C49" s="7">
        <f t="shared" si="2"/>
        <v>46127</v>
      </c>
      <c r="D49" s="6">
        <v>3287</v>
      </c>
      <c r="E49" s="6">
        <v>338</v>
      </c>
      <c r="F49" s="6">
        <v>4</v>
      </c>
      <c r="G49" s="6">
        <v>3</v>
      </c>
      <c r="H49" s="6">
        <v>850</v>
      </c>
      <c r="I49" s="6" t="s">
        <v>17</v>
      </c>
      <c r="J49" s="6">
        <v>21582647</v>
      </c>
      <c r="K49" s="6" t="s">
        <v>5130</v>
      </c>
      <c r="L49" s="16" t="s">
        <v>5132</v>
      </c>
      <c r="M49" s="8">
        <v>29900</v>
      </c>
      <c r="N49" s="9">
        <v>0.95</v>
      </c>
      <c r="O49" s="8">
        <f t="shared" si="0"/>
        <v>1495</v>
      </c>
      <c r="P49" s="6" t="s">
        <v>16</v>
      </c>
    </row>
    <row r="50" spans="1:16" x14ac:dyDescent="0.35">
      <c r="A50" s="6" t="s">
        <v>5569</v>
      </c>
      <c r="B50" s="7">
        <f t="shared" si="1"/>
        <v>46121</v>
      </c>
      <c r="C50" s="7">
        <f t="shared" si="2"/>
        <v>46127</v>
      </c>
      <c r="D50" s="6">
        <v>3287</v>
      </c>
      <c r="E50" s="6">
        <v>338</v>
      </c>
      <c r="F50" s="6">
        <v>4</v>
      </c>
      <c r="G50" s="6">
        <v>3</v>
      </c>
      <c r="H50" s="6">
        <v>850</v>
      </c>
      <c r="I50" s="6" t="s">
        <v>17</v>
      </c>
      <c r="J50" s="6">
        <v>22108130</v>
      </c>
      <c r="K50" s="6" t="s">
        <v>5052</v>
      </c>
      <c r="L50" s="16" t="s">
        <v>5053</v>
      </c>
      <c r="M50" s="8">
        <v>29900</v>
      </c>
      <c r="N50" s="9">
        <v>0.95</v>
      </c>
      <c r="O50" s="8">
        <f t="shared" si="0"/>
        <v>1495</v>
      </c>
      <c r="P50" s="6" t="s">
        <v>16</v>
      </c>
    </row>
    <row r="51" spans="1:16" x14ac:dyDescent="0.35">
      <c r="A51" s="6" t="s">
        <v>5569</v>
      </c>
      <c r="B51" s="7">
        <f t="shared" si="1"/>
        <v>46121</v>
      </c>
      <c r="C51" s="7">
        <f t="shared" si="2"/>
        <v>46127</v>
      </c>
      <c r="D51" s="6">
        <v>3287</v>
      </c>
      <c r="E51" s="6">
        <v>338</v>
      </c>
      <c r="F51" s="6">
        <v>4</v>
      </c>
      <c r="G51" s="6">
        <v>1</v>
      </c>
      <c r="H51" s="6">
        <v>850</v>
      </c>
      <c r="I51" s="6" t="s">
        <v>17</v>
      </c>
      <c r="J51" s="6">
        <v>20607523</v>
      </c>
      <c r="K51" s="6" t="s">
        <v>5042</v>
      </c>
      <c r="L51" s="16" t="s">
        <v>5043</v>
      </c>
      <c r="M51" s="8">
        <v>22900</v>
      </c>
      <c r="N51" s="9">
        <v>0.95</v>
      </c>
      <c r="O51" s="8">
        <f t="shared" si="0"/>
        <v>1145</v>
      </c>
      <c r="P51" s="6" t="s">
        <v>16</v>
      </c>
    </row>
    <row r="52" spans="1:16" x14ac:dyDescent="0.35">
      <c r="A52" s="6" t="s">
        <v>5569</v>
      </c>
      <c r="B52" s="7">
        <f t="shared" si="1"/>
        <v>46121</v>
      </c>
      <c r="C52" s="7">
        <f t="shared" si="2"/>
        <v>46127</v>
      </c>
      <c r="D52" s="6">
        <v>3287</v>
      </c>
      <c r="E52" s="6">
        <v>338</v>
      </c>
      <c r="F52" s="6">
        <v>4</v>
      </c>
      <c r="G52" s="6">
        <v>7</v>
      </c>
      <c r="H52" s="6">
        <v>81595</v>
      </c>
      <c r="I52" s="6" t="s">
        <v>17</v>
      </c>
      <c r="J52" s="6">
        <v>22981393</v>
      </c>
      <c r="K52" s="6" t="s">
        <v>2375</v>
      </c>
      <c r="L52" s="16" t="s">
        <v>2376</v>
      </c>
      <c r="M52" s="8">
        <v>27900</v>
      </c>
      <c r="N52" s="9">
        <v>0.95</v>
      </c>
      <c r="O52" s="8">
        <f t="shared" si="0"/>
        <v>1395</v>
      </c>
      <c r="P52" s="6" t="s">
        <v>16</v>
      </c>
    </row>
    <row r="53" spans="1:16" x14ac:dyDescent="0.35">
      <c r="A53" s="6" t="s">
        <v>5569</v>
      </c>
      <c r="B53" s="7">
        <f t="shared" si="1"/>
        <v>46121</v>
      </c>
      <c r="C53" s="7">
        <f t="shared" si="2"/>
        <v>46127</v>
      </c>
      <c r="D53" s="6">
        <v>3287</v>
      </c>
      <c r="E53" s="6">
        <v>338</v>
      </c>
      <c r="F53" s="6">
        <v>4</v>
      </c>
      <c r="G53" s="6">
        <v>7</v>
      </c>
      <c r="H53" s="6">
        <v>81595</v>
      </c>
      <c r="I53" s="6" t="s">
        <v>17</v>
      </c>
      <c r="J53" s="6">
        <v>24339566</v>
      </c>
      <c r="K53" s="6" t="s">
        <v>2379</v>
      </c>
      <c r="L53" s="16" t="s">
        <v>2380</v>
      </c>
      <c r="M53" s="8">
        <v>27900</v>
      </c>
      <c r="N53" s="9">
        <v>0.95</v>
      </c>
      <c r="O53" s="8">
        <f t="shared" si="0"/>
        <v>1395</v>
      </c>
      <c r="P53" s="6" t="s">
        <v>16</v>
      </c>
    </row>
    <row r="54" spans="1:16" x14ac:dyDescent="0.35">
      <c r="A54" s="6" t="s">
        <v>5569</v>
      </c>
      <c r="B54" s="7">
        <f t="shared" si="1"/>
        <v>46121</v>
      </c>
      <c r="C54" s="7">
        <f t="shared" si="2"/>
        <v>46127</v>
      </c>
      <c r="D54" s="6">
        <v>3287</v>
      </c>
      <c r="E54" s="6">
        <v>338</v>
      </c>
      <c r="F54" s="6">
        <v>4</v>
      </c>
      <c r="G54" s="6">
        <v>7</v>
      </c>
      <c r="H54" s="6">
        <v>81595</v>
      </c>
      <c r="I54" s="6" t="s">
        <v>17</v>
      </c>
      <c r="J54" s="6">
        <v>24339575</v>
      </c>
      <c r="K54" s="6" t="s">
        <v>2379</v>
      </c>
      <c r="L54" s="16" t="s">
        <v>2381</v>
      </c>
      <c r="M54" s="8">
        <v>27900</v>
      </c>
      <c r="N54" s="9">
        <v>0.95</v>
      </c>
      <c r="O54" s="8">
        <f t="shared" si="0"/>
        <v>1395</v>
      </c>
      <c r="P54" s="6" t="s">
        <v>16</v>
      </c>
    </row>
    <row r="55" spans="1:16" x14ac:dyDescent="0.35">
      <c r="A55" s="6" t="s">
        <v>5569</v>
      </c>
      <c r="B55" s="7">
        <f t="shared" si="1"/>
        <v>46121</v>
      </c>
      <c r="C55" s="7">
        <f t="shared" si="2"/>
        <v>46127</v>
      </c>
      <c r="D55" s="6">
        <v>3287</v>
      </c>
      <c r="E55" s="6">
        <v>338</v>
      </c>
      <c r="F55" s="6">
        <v>4</v>
      </c>
      <c r="G55" s="6">
        <v>7</v>
      </c>
      <c r="H55" s="6">
        <v>81595</v>
      </c>
      <c r="I55" s="6" t="s">
        <v>17</v>
      </c>
      <c r="J55" s="6">
        <v>24339584</v>
      </c>
      <c r="K55" s="6" t="s">
        <v>2382</v>
      </c>
      <c r="L55" s="16" t="s">
        <v>2383</v>
      </c>
      <c r="M55" s="8">
        <v>27900</v>
      </c>
      <c r="N55" s="9">
        <v>0.95</v>
      </c>
      <c r="O55" s="8">
        <f t="shared" si="0"/>
        <v>1395</v>
      </c>
      <c r="P55" s="6" t="s">
        <v>16</v>
      </c>
    </row>
    <row r="56" spans="1:16" x14ac:dyDescent="0.35">
      <c r="A56" s="6" t="s">
        <v>5569</v>
      </c>
      <c r="B56" s="7">
        <f t="shared" si="1"/>
        <v>46121</v>
      </c>
      <c r="C56" s="7">
        <f t="shared" si="2"/>
        <v>46127</v>
      </c>
      <c r="D56" s="6">
        <v>3287</v>
      </c>
      <c r="E56" s="6">
        <v>338</v>
      </c>
      <c r="F56" s="6">
        <v>4</v>
      </c>
      <c r="G56" s="6">
        <v>7</v>
      </c>
      <c r="H56" s="6">
        <v>81595</v>
      </c>
      <c r="I56" s="6" t="s">
        <v>17</v>
      </c>
      <c r="J56" s="6">
        <v>24339593</v>
      </c>
      <c r="K56" s="6" t="s">
        <v>2382</v>
      </c>
      <c r="L56" s="16" t="s">
        <v>2384</v>
      </c>
      <c r="M56" s="8">
        <v>27900</v>
      </c>
      <c r="N56" s="9">
        <v>0.95</v>
      </c>
      <c r="O56" s="8">
        <f t="shared" si="0"/>
        <v>1395</v>
      </c>
      <c r="P56" s="6" t="s">
        <v>16</v>
      </c>
    </row>
    <row r="57" spans="1:16" x14ac:dyDescent="0.35">
      <c r="A57" s="6" t="s">
        <v>5569</v>
      </c>
      <c r="B57" s="7">
        <f t="shared" si="1"/>
        <v>46121</v>
      </c>
      <c r="C57" s="7">
        <f t="shared" si="2"/>
        <v>46127</v>
      </c>
      <c r="D57" s="6">
        <v>3287</v>
      </c>
      <c r="E57" s="6">
        <v>338</v>
      </c>
      <c r="F57" s="6">
        <v>4</v>
      </c>
      <c r="G57" s="6">
        <v>7</v>
      </c>
      <c r="H57" s="6">
        <v>81595</v>
      </c>
      <c r="I57" s="6" t="s">
        <v>17</v>
      </c>
      <c r="J57" s="6">
        <v>24339673</v>
      </c>
      <c r="K57" s="6" t="s">
        <v>2385</v>
      </c>
      <c r="L57" s="16" t="s">
        <v>2386</v>
      </c>
      <c r="M57" s="8">
        <v>27900</v>
      </c>
      <c r="N57" s="9">
        <v>0.95</v>
      </c>
      <c r="O57" s="8">
        <f t="shared" si="0"/>
        <v>1395</v>
      </c>
      <c r="P57" s="6" t="s">
        <v>16</v>
      </c>
    </row>
    <row r="58" spans="1:16" x14ac:dyDescent="0.35">
      <c r="A58" s="6" t="s">
        <v>5569</v>
      </c>
      <c r="B58" s="7">
        <f t="shared" si="1"/>
        <v>46121</v>
      </c>
      <c r="C58" s="7">
        <f t="shared" si="2"/>
        <v>46127</v>
      </c>
      <c r="D58" s="6">
        <v>3287</v>
      </c>
      <c r="E58" s="6">
        <v>338</v>
      </c>
      <c r="F58" s="6">
        <v>4</v>
      </c>
      <c r="G58" s="6">
        <v>7</v>
      </c>
      <c r="H58" s="6">
        <v>81595</v>
      </c>
      <c r="I58" s="6" t="s">
        <v>17</v>
      </c>
      <c r="J58" s="6">
        <v>24339753</v>
      </c>
      <c r="K58" s="6" t="s">
        <v>2390</v>
      </c>
      <c r="L58" s="16" t="s">
        <v>2391</v>
      </c>
      <c r="M58" s="8">
        <v>27900</v>
      </c>
      <c r="N58" s="9">
        <v>0.95</v>
      </c>
      <c r="O58" s="8">
        <f t="shared" si="0"/>
        <v>1395</v>
      </c>
      <c r="P58" s="6" t="s">
        <v>16</v>
      </c>
    </row>
    <row r="59" spans="1:16" x14ac:dyDescent="0.35">
      <c r="A59" s="6" t="s">
        <v>5569</v>
      </c>
      <c r="B59" s="7">
        <f t="shared" si="1"/>
        <v>46121</v>
      </c>
      <c r="C59" s="7">
        <f t="shared" si="2"/>
        <v>46127</v>
      </c>
      <c r="D59" s="6">
        <v>3287</v>
      </c>
      <c r="E59" s="6">
        <v>338</v>
      </c>
      <c r="F59" s="6">
        <v>4</v>
      </c>
      <c r="G59" s="6">
        <v>7</v>
      </c>
      <c r="H59" s="6">
        <v>81595</v>
      </c>
      <c r="I59" s="6" t="s">
        <v>17</v>
      </c>
      <c r="J59" s="6">
        <v>24339762</v>
      </c>
      <c r="K59" s="6" t="s">
        <v>2390</v>
      </c>
      <c r="L59" s="16" t="s">
        <v>2392</v>
      </c>
      <c r="M59" s="8">
        <v>27900</v>
      </c>
      <c r="N59" s="9">
        <v>0.95</v>
      </c>
      <c r="O59" s="8">
        <f t="shared" si="0"/>
        <v>1395</v>
      </c>
      <c r="P59" s="6" t="s">
        <v>16</v>
      </c>
    </row>
    <row r="60" spans="1:16" x14ac:dyDescent="0.35">
      <c r="A60" s="6" t="s">
        <v>5569</v>
      </c>
      <c r="B60" s="7">
        <f t="shared" si="1"/>
        <v>46121</v>
      </c>
      <c r="C60" s="7">
        <f t="shared" si="2"/>
        <v>46127</v>
      </c>
      <c r="D60" s="6">
        <v>3287</v>
      </c>
      <c r="E60" s="6">
        <v>338</v>
      </c>
      <c r="F60" s="6">
        <v>4</v>
      </c>
      <c r="G60" s="6">
        <v>7</v>
      </c>
      <c r="H60" s="6">
        <v>81595</v>
      </c>
      <c r="I60" s="6" t="s">
        <v>17</v>
      </c>
      <c r="J60" s="6">
        <v>24339735</v>
      </c>
      <c r="K60" s="6" t="s">
        <v>2387</v>
      </c>
      <c r="L60" s="16" t="s">
        <v>2388</v>
      </c>
      <c r="M60" s="8">
        <v>27900</v>
      </c>
      <c r="N60" s="9">
        <v>0.95</v>
      </c>
      <c r="O60" s="8">
        <f t="shared" si="0"/>
        <v>1395</v>
      </c>
      <c r="P60" s="6" t="s">
        <v>16</v>
      </c>
    </row>
    <row r="61" spans="1:16" x14ac:dyDescent="0.35">
      <c r="A61" s="6" t="s">
        <v>5569</v>
      </c>
      <c r="B61" s="7">
        <f t="shared" si="1"/>
        <v>46121</v>
      </c>
      <c r="C61" s="7">
        <f t="shared" si="2"/>
        <v>46127</v>
      </c>
      <c r="D61" s="6">
        <v>3287</v>
      </c>
      <c r="E61" s="6">
        <v>338</v>
      </c>
      <c r="F61" s="6">
        <v>4</v>
      </c>
      <c r="G61" s="6">
        <v>7</v>
      </c>
      <c r="H61" s="6">
        <v>81595</v>
      </c>
      <c r="I61" s="6" t="s">
        <v>17</v>
      </c>
      <c r="J61" s="6">
        <v>24339744</v>
      </c>
      <c r="K61" s="6" t="s">
        <v>2387</v>
      </c>
      <c r="L61" s="16" t="s">
        <v>2389</v>
      </c>
      <c r="M61" s="8">
        <v>27900</v>
      </c>
      <c r="N61" s="9">
        <v>0.95</v>
      </c>
      <c r="O61" s="8">
        <f t="shared" si="0"/>
        <v>1395</v>
      </c>
      <c r="P61" s="6" t="s">
        <v>16</v>
      </c>
    </row>
    <row r="62" spans="1:16" x14ac:dyDescent="0.35">
      <c r="A62" s="6" t="s">
        <v>5569</v>
      </c>
      <c r="B62" s="7">
        <f t="shared" si="1"/>
        <v>46121</v>
      </c>
      <c r="C62" s="7">
        <f t="shared" si="2"/>
        <v>46127</v>
      </c>
      <c r="D62" s="6">
        <v>3287</v>
      </c>
      <c r="E62" s="6">
        <v>338</v>
      </c>
      <c r="F62" s="6">
        <v>4</v>
      </c>
      <c r="G62" s="6">
        <v>7</v>
      </c>
      <c r="H62" s="6">
        <v>81595</v>
      </c>
      <c r="I62" s="6" t="s">
        <v>17</v>
      </c>
      <c r="J62" s="6">
        <v>24815925</v>
      </c>
      <c r="K62" s="6" t="s">
        <v>2545</v>
      </c>
      <c r="L62" s="16" t="s">
        <v>2546</v>
      </c>
      <c r="M62" s="8">
        <v>27900</v>
      </c>
      <c r="N62" s="9">
        <v>0.95</v>
      </c>
      <c r="O62" s="8">
        <f t="shared" si="0"/>
        <v>1395</v>
      </c>
      <c r="P62" s="6" t="s">
        <v>16</v>
      </c>
    </row>
    <row r="63" spans="1:16" x14ac:dyDescent="0.35">
      <c r="A63" s="6" t="s">
        <v>5569</v>
      </c>
      <c r="B63" s="7">
        <f t="shared" si="1"/>
        <v>46121</v>
      </c>
      <c r="C63" s="7">
        <f t="shared" si="2"/>
        <v>46127</v>
      </c>
      <c r="D63" s="6">
        <v>3287</v>
      </c>
      <c r="E63" s="6">
        <v>338</v>
      </c>
      <c r="F63" s="6">
        <v>4</v>
      </c>
      <c r="G63" s="6">
        <v>7</v>
      </c>
      <c r="H63" s="6">
        <v>81595</v>
      </c>
      <c r="I63" s="6" t="s">
        <v>17</v>
      </c>
      <c r="J63" s="6">
        <v>24008020</v>
      </c>
      <c r="K63" s="6" t="s">
        <v>2543</v>
      </c>
      <c r="L63" s="16" t="s">
        <v>2544</v>
      </c>
      <c r="M63" s="8">
        <v>27900</v>
      </c>
      <c r="N63" s="9">
        <v>0.95</v>
      </c>
      <c r="O63" s="8">
        <f t="shared" si="0"/>
        <v>1395</v>
      </c>
      <c r="P63" s="6" t="s">
        <v>16</v>
      </c>
    </row>
    <row r="64" spans="1:16" x14ac:dyDescent="0.35">
      <c r="A64" s="6" t="s">
        <v>5569</v>
      </c>
      <c r="B64" s="7">
        <f t="shared" si="1"/>
        <v>46121</v>
      </c>
      <c r="C64" s="7">
        <f t="shared" si="2"/>
        <v>46127</v>
      </c>
      <c r="D64" s="6">
        <v>3287</v>
      </c>
      <c r="E64" s="6">
        <v>338</v>
      </c>
      <c r="F64" s="6">
        <v>4</v>
      </c>
      <c r="G64" s="6">
        <v>7</v>
      </c>
      <c r="H64" s="6">
        <v>81595</v>
      </c>
      <c r="I64" s="6" t="s">
        <v>17</v>
      </c>
      <c r="J64" s="6">
        <v>24361479</v>
      </c>
      <c r="K64" s="6" t="s">
        <v>2393</v>
      </c>
      <c r="L64" s="16" t="s">
        <v>2394</v>
      </c>
      <c r="M64" s="8">
        <v>27900</v>
      </c>
      <c r="N64" s="9">
        <v>0.95</v>
      </c>
      <c r="O64" s="8">
        <f t="shared" si="0"/>
        <v>1395</v>
      </c>
      <c r="P64" s="6" t="s">
        <v>16</v>
      </c>
    </row>
    <row r="65" spans="1:16" x14ac:dyDescent="0.35">
      <c r="A65" s="6" t="s">
        <v>5569</v>
      </c>
      <c r="B65" s="7">
        <f t="shared" si="1"/>
        <v>46121</v>
      </c>
      <c r="C65" s="7">
        <f t="shared" si="2"/>
        <v>46127</v>
      </c>
      <c r="D65" s="6">
        <v>3287</v>
      </c>
      <c r="E65" s="6">
        <v>338</v>
      </c>
      <c r="F65" s="6">
        <v>4</v>
      </c>
      <c r="G65" s="6">
        <v>7</v>
      </c>
      <c r="H65" s="6">
        <v>81595</v>
      </c>
      <c r="I65" s="6" t="s">
        <v>17</v>
      </c>
      <c r="J65" s="6">
        <v>24213094</v>
      </c>
      <c r="K65" s="6" t="s">
        <v>2377</v>
      </c>
      <c r="L65" s="16" t="s">
        <v>2378</v>
      </c>
      <c r="M65" s="8">
        <v>27900</v>
      </c>
      <c r="N65" s="9">
        <v>0.95</v>
      </c>
      <c r="O65" s="8">
        <f t="shared" si="0"/>
        <v>1395</v>
      </c>
      <c r="P65" s="6" t="s">
        <v>16</v>
      </c>
    </row>
    <row r="66" spans="1:16" x14ac:dyDescent="0.35">
      <c r="A66" s="6" t="s">
        <v>5569</v>
      </c>
      <c r="B66" s="7">
        <f t="shared" si="1"/>
        <v>46121</v>
      </c>
      <c r="C66" s="7">
        <f t="shared" si="2"/>
        <v>46127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17</v>
      </c>
      <c r="J66" s="6">
        <v>23280933</v>
      </c>
      <c r="K66" s="6" t="s">
        <v>2409</v>
      </c>
      <c r="L66" s="16" t="s">
        <v>2410</v>
      </c>
      <c r="M66" s="8">
        <v>199900</v>
      </c>
      <c r="N66" s="9">
        <v>0.95</v>
      </c>
      <c r="O66" s="8">
        <f t="shared" ref="O66:O129" si="3">M66-((95*M66)/100)</f>
        <v>9995</v>
      </c>
      <c r="P66" s="6" t="s">
        <v>16</v>
      </c>
    </row>
    <row r="67" spans="1:16" x14ac:dyDescent="0.35">
      <c r="A67" s="6" t="s">
        <v>5569</v>
      </c>
      <c r="B67" s="7">
        <f t="shared" si="1"/>
        <v>46121</v>
      </c>
      <c r="C67" s="7">
        <f t="shared" si="2"/>
        <v>46127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17</v>
      </c>
      <c r="J67" s="6">
        <v>23280942</v>
      </c>
      <c r="K67" s="6" t="s">
        <v>2409</v>
      </c>
      <c r="L67" s="16" t="s">
        <v>2411</v>
      </c>
      <c r="M67" s="8">
        <v>199900</v>
      </c>
      <c r="N67" s="9">
        <v>0.95</v>
      </c>
      <c r="O67" s="8">
        <f t="shared" si="3"/>
        <v>9995</v>
      </c>
      <c r="P67" s="6" t="s">
        <v>16</v>
      </c>
    </row>
    <row r="68" spans="1:16" x14ac:dyDescent="0.35">
      <c r="A68" s="6" t="s">
        <v>5569</v>
      </c>
      <c r="B68" s="7">
        <f t="shared" ref="B68:B131" si="4">B67</f>
        <v>46121</v>
      </c>
      <c r="C68" s="7">
        <f t="shared" ref="C68:C131" si="5">C67</f>
        <v>46127</v>
      </c>
      <c r="D68" s="6">
        <v>3287</v>
      </c>
      <c r="E68" s="6">
        <v>338</v>
      </c>
      <c r="F68" s="6">
        <v>4</v>
      </c>
      <c r="G68" s="6">
        <v>6</v>
      </c>
      <c r="H68" s="6">
        <v>850</v>
      </c>
      <c r="I68" s="6" t="s">
        <v>17</v>
      </c>
      <c r="J68" s="6">
        <v>23281094</v>
      </c>
      <c r="K68" s="6" t="s">
        <v>2556</v>
      </c>
      <c r="L68" s="16" t="s">
        <v>2557</v>
      </c>
      <c r="M68" s="8">
        <v>189900</v>
      </c>
      <c r="N68" s="9">
        <v>0.95</v>
      </c>
      <c r="O68" s="8">
        <f t="shared" si="3"/>
        <v>9495</v>
      </c>
      <c r="P68" s="6" t="s">
        <v>16</v>
      </c>
    </row>
    <row r="69" spans="1:16" x14ac:dyDescent="0.35">
      <c r="A69" s="6" t="s">
        <v>5569</v>
      </c>
      <c r="B69" s="7">
        <f t="shared" si="4"/>
        <v>46121</v>
      </c>
      <c r="C69" s="7">
        <f t="shared" si="5"/>
        <v>46127</v>
      </c>
      <c r="D69" s="6">
        <v>3287</v>
      </c>
      <c r="E69" s="6">
        <v>338</v>
      </c>
      <c r="F69" s="6">
        <v>4</v>
      </c>
      <c r="G69" s="6">
        <v>6</v>
      </c>
      <c r="H69" s="6">
        <v>850</v>
      </c>
      <c r="I69" s="6" t="s">
        <v>17</v>
      </c>
      <c r="J69" s="6">
        <v>23281147</v>
      </c>
      <c r="K69" s="6" t="s">
        <v>2556</v>
      </c>
      <c r="L69" s="16" t="s">
        <v>2558</v>
      </c>
      <c r="M69" s="8">
        <v>189900</v>
      </c>
      <c r="N69" s="9">
        <v>0.95</v>
      </c>
      <c r="O69" s="8">
        <f t="shared" si="3"/>
        <v>9495</v>
      </c>
      <c r="P69" s="6" t="s">
        <v>16</v>
      </c>
    </row>
    <row r="70" spans="1:16" x14ac:dyDescent="0.35">
      <c r="A70" s="6" t="s">
        <v>5569</v>
      </c>
      <c r="B70" s="7">
        <f t="shared" si="4"/>
        <v>46121</v>
      </c>
      <c r="C70" s="7">
        <f t="shared" si="5"/>
        <v>46127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17</v>
      </c>
      <c r="J70" s="6">
        <v>23847590</v>
      </c>
      <c r="K70" s="6" t="s">
        <v>2446</v>
      </c>
      <c r="L70" s="16" t="s">
        <v>2447</v>
      </c>
      <c r="M70" s="8">
        <v>199900</v>
      </c>
      <c r="N70" s="9">
        <v>0.95</v>
      </c>
      <c r="O70" s="8">
        <f t="shared" si="3"/>
        <v>9995</v>
      </c>
      <c r="P70" s="6" t="s">
        <v>16</v>
      </c>
    </row>
    <row r="71" spans="1:16" x14ac:dyDescent="0.35">
      <c r="A71" s="6" t="s">
        <v>5569</v>
      </c>
      <c r="B71" s="7">
        <f t="shared" si="4"/>
        <v>46121</v>
      </c>
      <c r="C71" s="7">
        <f t="shared" si="5"/>
        <v>46127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17</v>
      </c>
      <c r="J71" s="6">
        <v>23847625</v>
      </c>
      <c r="K71" s="6" t="s">
        <v>2446</v>
      </c>
      <c r="L71" s="16" t="s">
        <v>2448</v>
      </c>
      <c r="M71" s="8">
        <v>199900</v>
      </c>
      <c r="N71" s="9">
        <v>0.95</v>
      </c>
      <c r="O71" s="8">
        <f t="shared" si="3"/>
        <v>9995</v>
      </c>
      <c r="P71" s="6" t="s">
        <v>16</v>
      </c>
    </row>
    <row r="72" spans="1:16" x14ac:dyDescent="0.35">
      <c r="A72" s="6" t="s">
        <v>5569</v>
      </c>
      <c r="B72" s="7">
        <f t="shared" si="4"/>
        <v>46121</v>
      </c>
      <c r="C72" s="7">
        <f t="shared" si="5"/>
        <v>46127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17</v>
      </c>
      <c r="J72" s="6">
        <v>24029187</v>
      </c>
      <c r="K72" s="6" t="s">
        <v>2451</v>
      </c>
      <c r="L72" s="16" t="s">
        <v>2452</v>
      </c>
      <c r="M72" s="8">
        <v>139900</v>
      </c>
      <c r="N72" s="9">
        <v>0.95</v>
      </c>
      <c r="O72" s="8">
        <f t="shared" si="3"/>
        <v>6995</v>
      </c>
      <c r="P72" s="6" t="s">
        <v>16</v>
      </c>
    </row>
    <row r="73" spans="1:16" x14ac:dyDescent="0.35">
      <c r="A73" s="6" t="s">
        <v>5569</v>
      </c>
      <c r="B73" s="7">
        <f t="shared" si="4"/>
        <v>46121</v>
      </c>
      <c r="C73" s="7">
        <f t="shared" si="5"/>
        <v>46127</v>
      </c>
      <c r="D73" s="6">
        <v>3287</v>
      </c>
      <c r="E73" s="6">
        <v>338</v>
      </c>
      <c r="F73" s="6">
        <v>4</v>
      </c>
      <c r="G73" s="6">
        <v>1</v>
      </c>
      <c r="H73" s="6">
        <v>850</v>
      </c>
      <c r="I73" s="6" t="s">
        <v>17</v>
      </c>
      <c r="J73" s="6">
        <v>24416339</v>
      </c>
      <c r="K73" s="6" t="s">
        <v>2369</v>
      </c>
      <c r="L73" s="16" t="s">
        <v>2370</v>
      </c>
      <c r="M73" s="8">
        <v>39900</v>
      </c>
      <c r="N73" s="9">
        <v>0.95</v>
      </c>
      <c r="O73" s="8">
        <f t="shared" si="3"/>
        <v>1995</v>
      </c>
      <c r="P73" s="6" t="s">
        <v>16</v>
      </c>
    </row>
    <row r="74" spans="1:16" x14ac:dyDescent="0.35">
      <c r="A74" s="6" t="s">
        <v>5569</v>
      </c>
      <c r="B74" s="7">
        <f t="shared" si="4"/>
        <v>46121</v>
      </c>
      <c r="C74" s="7">
        <f t="shared" si="5"/>
        <v>46127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17</v>
      </c>
      <c r="J74" s="6">
        <v>25195648</v>
      </c>
      <c r="K74" s="6" t="s">
        <v>2458</v>
      </c>
      <c r="L74" s="16" t="s">
        <v>2459</v>
      </c>
      <c r="M74" s="8">
        <v>179900</v>
      </c>
      <c r="N74" s="9">
        <v>0.95</v>
      </c>
      <c r="O74" s="8">
        <f t="shared" si="3"/>
        <v>8995</v>
      </c>
      <c r="P74" s="6" t="s">
        <v>16</v>
      </c>
    </row>
    <row r="75" spans="1:16" x14ac:dyDescent="0.35">
      <c r="A75" s="6" t="s">
        <v>5569</v>
      </c>
      <c r="B75" s="7">
        <f t="shared" si="4"/>
        <v>46121</v>
      </c>
      <c r="C75" s="7">
        <f t="shared" si="5"/>
        <v>46127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17</v>
      </c>
      <c r="J75" s="6">
        <v>25195782</v>
      </c>
      <c r="K75" s="6" t="s">
        <v>2460</v>
      </c>
      <c r="L75" s="16" t="s">
        <v>2461</v>
      </c>
      <c r="M75" s="8">
        <v>189900</v>
      </c>
      <c r="N75" s="9">
        <v>0.95</v>
      </c>
      <c r="O75" s="8">
        <f t="shared" si="3"/>
        <v>9495</v>
      </c>
      <c r="P75" s="6" t="s">
        <v>16</v>
      </c>
    </row>
    <row r="76" spans="1:16" x14ac:dyDescent="0.35">
      <c r="A76" s="6" t="s">
        <v>5569</v>
      </c>
      <c r="B76" s="7">
        <f t="shared" si="4"/>
        <v>46121</v>
      </c>
      <c r="C76" s="7">
        <f t="shared" si="5"/>
        <v>46127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17</v>
      </c>
      <c r="J76" s="6">
        <v>24996918</v>
      </c>
      <c r="K76" s="6" t="s">
        <v>2453</v>
      </c>
      <c r="L76" s="16" t="s">
        <v>2454</v>
      </c>
      <c r="M76" s="8">
        <v>189900</v>
      </c>
      <c r="N76" s="9">
        <v>0.95</v>
      </c>
      <c r="O76" s="8">
        <f t="shared" si="3"/>
        <v>9495</v>
      </c>
      <c r="P76" s="6" t="s">
        <v>16</v>
      </c>
    </row>
    <row r="77" spans="1:16" x14ac:dyDescent="0.35">
      <c r="A77" s="6" t="s">
        <v>5569</v>
      </c>
      <c r="B77" s="7">
        <f t="shared" si="4"/>
        <v>46121</v>
      </c>
      <c r="C77" s="7">
        <f t="shared" si="5"/>
        <v>46127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17</v>
      </c>
      <c r="J77" s="6">
        <v>24996927</v>
      </c>
      <c r="K77" s="6" t="s">
        <v>2453</v>
      </c>
      <c r="L77" s="16" t="s">
        <v>2455</v>
      </c>
      <c r="M77" s="8">
        <v>189900</v>
      </c>
      <c r="N77" s="9">
        <v>0.95</v>
      </c>
      <c r="O77" s="8">
        <f t="shared" si="3"/>
        <v>9495</v>
      </c>
      <c r="P77" s="6" t="s">
        <v>16</v>
      </c>
    </row>
    <row r="78" spans="1:16" x14ac:dyDescent="0.35">
      <c r="A78" s="6" t="s">
        <v>5569</v>
      </c>
      <c r="B78" s="7">
        <f t="shared" si="4"/>
        <v>46121</v>
      </c>
      <c r="C78" s="7">
        <f t="shared" si="5"/>
        <v>46127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17</v>
      </c>
      <c r="J78" s="6">
        <v>24996945</v>
      </c>
      <c r="K78" s="6" t="s">
        <v>2453</v>
      </c>
      <c r="L78" s="16" t="s">
        <v>2456</v>
      </c>
      <c r="M78" s="8">
        <v>189900</v>
      </c>
      <c r="N78" s="9">
        <v>0.95</v>
      </c>
      <c r="O78" s="8">
        <f t="shared" si="3"/>
        <v>9495</v>
      </c>
      <c r="P78" s="6" t="s">
        <v>16</v>
      </c>
    </row>
    <row r="79" spans="1:16" x14ac:dyDescent="0.35">
      <c r="A79" s="6" t="s">
        <v>5569</v>
      </c>
      <c r="B79" s="7">
        <f t="shared" si="4"/>
        <v>46121</v>
      </c>
      <c r="C79" s="7">
        <f t="shared" si="5"/>
        <v>46127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17</v>
      </c>
      <c r="J79" s="6">
        <v>24996954</v>
      </c>
      <c r="K79" s="6" t="s">
        <v>2453</v>
      </c>
      <c r="L79" s="16" t="s">
        <v>2457</v>
      </c>
      <c r="M79" s="8">
        <v>189900</v>
      </c>
      <c r="N79" s="9">
        <v>0.95</v>
      </c>
      <c r="O79" s="8">
        <f t="shared" si="3"/>
        <v>9495</v>
      </c>
      <c r="P79" s="6" t="s">
        <v>16</v>
      </c>
    </row>
    <row r="80" spans="1:16" x14ac:dyDescent="0.35">
      <c r="A80" s="6" t="s">
        <v>5569</v>
      </c>
      <c r="B80" s="7">
        <f t="shared" si="4"/>
        <v>46121</v>
      </c>
      <c r="C80" s="7">
        <f t="shared" si="5"/>
        <v>46127</v>
      </c>
      <c r="D80" s="6">
        <v>3287</v>
      </c>
      <c r="E80" s="6">
        <v>338</v>
      </c>
      <c r="F80" s="6">
        <v>4</v>
      </c>
      <c r="G80" s="6">
        <v>7</v>
      </c>
      <c r="H80" s="6">
        <v>81595</v>
      </c>
      <c r="I80" s="6" t="s">
        <v>17</v>
      </c>
      <c r="J80" s="6">
        <v>20101757</v>
      </c>
      <c r="K80" s="6" t="s">
        <v>5064</v>
      </c>
      <c r="L80" s="16" t="s">
        <v>5065</v>
      </c>
      <c r="M80" s="8">
        <v>22900</v>
      </c>
      <c r="N80" s="9">
        <v>0.95</v>
      </c>
      <c r="O80" s="8">
        <f t="shared" si="3"/>
        <v>1145</v>
      </c>
      <c r="P80" s="6" t="s">
        <v>16</v>
      </c>
    </row>
    <row r="81" spans="1:16" x14ac:dyDescent="0.35">
      <c r="A81" s="6" t="s">
        <v>5569</v>
      </c>
      <c r="B81" s="7">
        <f t="shared" si="4"/>
        <v>46121</v>
      </c>
      <c r="C81" s="7">
        <f t="shared" si="5"/>
        <v>46127</v>
      </c>
      <c r="D81" s="6">
        <v>3287</v>
      </c>
      <c r="E81" s="6">
        <v>338</v>
      </c>
      <c r="F81" s="6">
        <v>4</v>
      </c>
      <c r="G81" s="6">
        <v>1</v>
      </c>
      <c r="H81" s="6">
        <v>81676</v>
      </c>
      <c r="I81" s="6" t="s">
        <v>17</v>
      </c>
      <c r="J81" s="6">
        <v>24825049</v>
      </c>
      <c r="K81" s="6" t="s">
        <v>2371</v>
      </c>
      <c r="L81" s="16" t="s">
        <v>2372</v>
      </c>
      <c r="M81" s="8">
        <v>34900</v>
      </c>
      <c r="N81" s="9">
        <v>0.95</v>
      </c>
      <c r="O81" s="8">
        <f t="shared" si="3"/>
        <v>1745</v>
      </c>
      <c r="P81" s="6" t="s">
        <v>16</v>
      </c>
    </row>
    <row r="82" spans="1:16" x14ac:dyDescent="0.35">
      <c r="A82" s="6" t="s">
        <v>5569</v>
      </c>
      <c r="B82" s="7">
        <f t="shared" si="4"/>
        <v>46121</v>
      </c>
      <c r="C82" s="7">
        <f t="shared" si="5"/>
        <v>46127</v>
      </c>
      <c r="D82" s="6">
        <v>3287</v>
      </c>
      <c r="E82" s="6">
        <v>338</v>
      </c>
      <c r="F82" s="6">
        <v>4</v>
      </c>
      <c r="G82" s="6">
        <v>4</v>
      </c>
      <c r="H82" s="6">
        <v>81588</v>
      </c>
      <c r="I82" s="6" t="s">
        <v>17</v>
      </c>
      <c r="J82" s="6">
        <v>23687361</v>
      </c>
      <c r="K82" s="6" t="s">
        <v>2506</v>
      </c>
      <c r="L82" s="16" t="s">
        <v>2507</v>
      </c>
      <c r="M82" s="8">
        <v>219900</v>
      </c>
      <c r="N82" s="9">
        <v>0.95</v>
      </c>
      <c r="O82" s="8">
        <f t="shared" si="3"/>
        <v>10995</v>
      </c>
      <c r="P82" s="6" t="s">
        <v>16</v>
      </c>
    </row>
    <row r="83" spans="1:16" x14ac:dyDescent="0.35">
      <c r="A83" s="6" t="s">
        <v>5569</v>
      </c>
      <c r="B83" s="7">
        <f t="shared" si="4"/>
        <v>46121</v>
      </c>
      <c r="C83" s="7">
        <f t="shared" si="5"/>
        <v>46127</v>
      </c>
      <c r="D83" s="6">
        <v>3287</v>
      </c>
      <c r="E83" s="6">
        <v>338</v>
      </c>
      <c r="F83" s="6">
        <v>4</v>
      </c>
      <c r="G83" s="6">
        <v>4</v>
      </c>
      <c r="H83" s="6">
        <v>81588</v>
      </c>
      <c r="I83" s="6" t="s">
        <v>17</v>
      </c>
      <c r="J83" s="6">
        <v>23687389</v>
      </c>
      <c r="K83" s="6" t="s">
        <v>2506</v>
      </c>
      <c r="L83" s="16" t="s">
        <v>2508</v>
      </c>
      <c r="M83" s="8">
        <v>219900</v>
      </c>
      <c r="N83" s="9">
        <v>0.95</v>
      </c>
      <c r="O83" s="8">
        <f t="shared" si="3"/>
        <v>10995</v>
      </c>
      <c r="P83" s="6" t="s">
        <v>16</v>
      </c>
    </row>
    <row r="84" spans="1:16" x14ac:dyDescent="0.35">
      <c r="A84" s="6" t="s">
        <v>5569</v>
      </c>
      <c r="B84" s="7">
        <f t="shared" si="4"/>
        <v>46121</v>
      </c>
      <c r="C84" s="7">
        <f t="shared" si="5"/>
        <v>46127</v>
      </c>
      <c r="D84" s="6">
        <v>3287</v>
      </c>
      <c r="E84" s="6">
        <v>338</v>
      </c>
      <c r="F84" s="6">
        <v>4</v>
      </c>
      <c r="G84" s="6">
        <v>4</v>
      </c>
      <c r="H84" s="6">
        <v>81588</v>
      </c>
      <c r="I84" s="6" t="s">
        <v>17</v>
      </c>
      <c r="J84" s="6">
        <v>23687414</v>
      </c>
      <c r="K84" s="6" t="s">
        <v>2506</v>
      </c>
      <c r="L84" s="16" t="s">
        <v>2509</v>
      </c>
      <c r="M84" s="8">
        <v>219900</v>
      </c>
      <c r="N84" s="9">
        <v>0.95</v>
      </c>
      <c r="O84" s="8">
        <f t="shared" si="3"/>
        <v>10995</v>
      </c>
      <c r="P84" s="6" t="s">
        <v>16</v>
      </c>
    </row>
    <row r="85" spans="1:16" x14ac:dyDescent="0.35">
      <c r="A85" s="6" t="s">
        <v>5569</v>
      </c>
      <c r="B85" s="7">
        <f t="shared" si="4"/>
        <v>46121</v>
      </c>
      <c r="C85" s="7">
        <f t="shared" si="5"/>
        <v>46127</v>
      </c>
      <c r="D85" s="6">
        <v>3287</v>
      </c>
      <c r="E85" s="6">
        <v>338</v>
      </c>
      <c r="F85" s="6">
        <v>4</v>
      </c>
      <c r="G85" s="6">
        <v>4</v>
      </c>
      <c r="H85" s="6">
        <v>81588</v>
      </c>
      <c r="I85" s="6" t="s">
        <v>17</v>
      </c>
      <c r="J85" s="6">
        <v>23816775</v>
      </c>
      <c r="K85" s="6" t="s">
        <v>2516</v>
      </c>
      <c r="L85" s="16" t="s">
        <v>2517</v>
      </c>
      <c r="M85" s="8">
        <v>189900</v>
      </c>
      <c r="N85" s="9">
        <v>0.95</v>
      </c>
      <c r="O85" s="8">
        <f t="shared" si="3"/>
        <v>9495</v>
      </c>
      <c r="P85" s="6" t="s">
        <v>16</v>
      </c>
    </row>
    <row r="86" spans="1:16" x14ac:dyDescent="0.35">
      <c r="A86" s="6" t="s">
        <v>5569</v>
      </c>
      <c r="B86" s="7">
        <f t="shared" si="4"/>
        <v>46121</v>
      </c>
      <c r="C86" s="7">
        <f t="shared" si="5"/>
        <v>46127</v>
      </c>
      <c r="D86" s="6">
        <v>3287</v>
      </c>
      <c r="E86" s="6">
        <v>338</v>
      </c>
      <c r="F86" s="6">
        <v>4</v>
      </c>
      <c r="G86" s="6">
        <v>2</v>
      </c>
      <c r="H86" s="6">
        <v>81588</v>
      </c>
      <c r="I86" s="6" t="s">
        <v>17</v>
      </c>
      <c r="J86" s="6">
        <v>24312889</v>
      </c>
      <c r="K86" s="6" t="s">
        <v>2428</v>
      </c>
      <c r="L86" s="16" t="s">
        <v>2429</v>
      </c>
      <c r="M86" s="8">
        <v>199900</v>
      </c>
      <c r="N86" s="9">
        <v>0.95</v>
      </c>
      <c r="O86" s="8">
        <f t="shared" si="3"/>
        <v>9995</v>
      </c>
      <c r="P86" s="6" t="s">
        <v>16</v>
      </c>
    </row>
    <row r="87" spans="1:16" x14ac:dyDescent="0.35">
      <c r="A87" s="6" t="s">
        <v>5569</v>
      </c>
      <c r="B87" s="7">
        <f t="shared" si="4"/>
        <v>46121</v>
      </c>
      <c r="C87" s="7">
        <f t="shared" si="5"/>
        <v>46127</v>
      </c>
      <c r="D87" s="6">
        <v>3287</v>
      </c>
      <c r="E87" s="6">
        <v>338</v>
      </c>
      <c r="F87" s="6">
        <v>4</v>
      </c>
      <c r="G87" s="6">
        <v>2</v>
      </c>
      <c r="H87" s="6">
        <v>81588</v>
      </c>
      <c r="I87" s="6" t="s">
        <v>17</v>
      </c>
      <c r="J87" s="6">
        <v>24312898</v>
      </c>
      <c r="K87" s="6" t="s">
        <v>2428</v>
      </c>
      <c r="L87" s="16" t="s">
        <v>2430</v>
      </c>
      <c r="M87" s="8">
        <v>199900</v>
      </c>
      <c r="N87" s="9">
        <v>0.95</v>
      </c>
      <c r="O87" s="8">
        <f t="shared" si="3"/>
        <v>9995</v>
      </c>
      <c r="P87" s="6" t="s">
        <v>16</v>
      </c>
    </row>
    <row r="88" spans="1:16" x14ac:dyDescent="0.35">
      <c r="A88" s="6" t="s">
        <v>5569</v>
      </c>
      <c r="B88" s="7">
        <f t="shared" si="4"/>
        <v>46121</v>
      </c>
      <c r="C88" s="7">
        <f t="shared" si="5"/>
        <v>46127</v>
      </c>
      <c r="D88" s="6">
        <v>3287</v>
      </c>
      <c r="E88" s="6">
        <v>338</v>
      </c>
      <c r="F88" s="6">
        <v>4</v>
      </c>
      <c r="G88" s="6">
        <v>2</v>
      </c>
      <c r="H88" s="6">
        <v>81588</v>
      </c>
      <c r="I88" s="6" t="s">
        <v>17</v>
      </c>
      <c r="J88" s="6">
        <v>24312923</v>
      </c>
      <c r="K88" s="6" t="s">
        <v>2428</v>
      </c>
      <c r="L88" s="16" t="s">
        <v>2431</v>
      </c>
      <c r="M88" s="8">
        <v>199900</v>
      </c>
      <c r="N88" s="9">
        <v>0.95</v>
      </c>
      <c r="O88" s="8">
        <f t="shared" si="3"/>
        <v>9995</v>
      </c>
      <c r="P88" s="6" t="s">
        <v>16</v>
      </c>
    </row>
    <row r="89" spans="1:16" x14ac:dyDescent="0.35">
      <c r="A89" s="6" t="s">
        <v>5569</v>
      </c>
      <c r="B89" s="7">
        <f t="shared" si="4"/>
        <v>46121</v>
      </c>
      <c r="C89" s="7">
        <f t="shared" si="5"/>
        <v>46127</v>
      </c>
      <c r="D89" s="6">
        <v>3287</v>
      </c>
      <c r="E89" s="6">
        <v>338</v>
      </c>
      <c r="F89" s="6">
        <v>4</v>
      </c>
      <c r="G89" s="6">
        <v>2</v>
      </c>
      <c r="H89" s="6">
        <v>81588</v>
      </c>
      <c r="I89" s="6" t="s">
        <v>17</v>
      </c>
      <c r="J89" s="6">
        <v>24312996</v>
      </c>
      <c r="K89" s="6" t="s">
        <v>2432</v>
      </c>
      <c r="L89" s="16" t="s">
        <v>2433</v>
      </c>
      <c r="M89" s="8">
        <v>199900</v>
      </c>
      <c r="N89" s="9">
        <v>0.95</v>
      </c>
      <c r="O89" s="8">
        <f t="shared" si="3"/>
        <v>9995</v>
      </c>
      <c r="P89" s="6" t="s">
        <v>16</v>
      </c>
    </row>
    <row r="90" spans="1:16" x14ac:dyDescent="0.35">
      <c r="A90" s="6" t="s">
        <v>5569</v>
      </c>
      <c r="B90" s="7">
        <f t="shared" si="4"/>
        <v>46121</v>
      </c>
      <c r="C90" s="7">
        <f t="shared" si="5"/>
        <v>46127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17</v>
      </c>
      <c r="J90" s="6">
        <v>24313002</v>
      </c>
      <c r="K90" s="6" t="s">
        <v>2432</v>
      </c>
      <c r="L90" s="16" t="s">
        <v>2434</v>
      </c>
      <c r="M90" s="8">
        <v>199900</v>
      </c>
      <c r="N90" s="9">
        <v>0.95</v>
      </c>
      <c r="O90" s="8">
        <f t="shared" si="3"/>
        <v>9995</v>
      </c>
      <c r="P90" s="6" t="s">
        <v>16</v>
      </c>
    </row>
    <row r="91" spans="1:16" x14ac:dyDescent="0.35">
      <c r="A91" s="6" t="s">
        <v>5569</v>
      </c>
      <c r="B91" s="7">
        <f t="shared" si="4"/>
        <v>46121</v>
      </c>
      <c r="C91" s="7">
        <f t="shared" si="5"/>
        <v>46127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17</v>
      </c>
      <c r="J91" s="6">
        <v>24313011</v>
      </c>
      <c r="K91" s="6" t="s">
        <v>2432</v>
      </c>
      <c r="L91" s="16" t="s">
        <v>2435</v>
      </c>
      <c r="M91" s="8">
        <v>199900</v>
      </c>
      <c r="N91" s="9">
        <v>0.95</v>
      </c>
      <c r="O91" s="8">
        <f t="shared" si="3"/>
        <v>9995</v>
      </c>
      <c r="P91" s="6" t="s">
        <v>16</v>
      </c>
    </row>
    <row r="92" spans="1:16" x14ac:dyDescent="0.35">
      <c r="A92" s="6" t="s">
        <v>5569</v>
      </c>
      <c r="B92" s="7">
        <f t="shared" si="4"/>
        <v>46121</v>
      </c>
      <c r="C92" s="7">
        <f t="shared" si="5"/>
        <v>46127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17</v>
      </c>
      <c r="J92" s="6">
        <v>24313020</v>
      </c>
      <c r="K92" s="6" t="s">
        <v>2432</v>
      </c>
      <c r="L92" s="16" t="s">
        <v>2436</v>
      </c>
      <c r="M92" s="8">
        <v>199900</v>
      </c>
      <c r="N92" s="9">
        <v>0.95</v>
      </c>
      <c r="O92" s="8">
        <f t="shared" si="3"/>
        <v>9995</v>
      </c>
      <c r="P92" s="6" t="s">
        <v>16</v>
      </c>
    </row>
    <row r="93" spans="1:16" x14ac:dyDescent="0.35">
      <c r="A93" s="6" t="s">
        <v>5569</v>
      </c>
      <c r="B93" s="7">
        <f t="shared" si="4"/>
        <v>46121</v>
      </c>
      <c r="C93" s="7">
        <f t="shared" si="5"/>
        <v>46127</v>
      </c>
      <c r="D93" s="6">
        <v>3287</v>
      </c>
      <c r="E93" s="6">
        <v>338</v>
      </c>
      <c r="F93" s="6">
        <v>4</v>
      </c>
      <c r="G93" s="6">
        <v>4</v>
      </c>
      <c r="H93" s="6">
        <v>850</v>
      </c>
      <c r="I93" s="6" t="s">
        <v>17</v>
      </c>
      <c r="J93" s="6">
        <v>19475946</v>
      </c>
      <c r="K93" s="6" t="s">
        <v>5114</v>
      </c>
      <c r="L93" s="16" t="s">
        <v>5115</v>
      </c>
      <c r="M93" s="8">
        <v>159900</v>
      </c>
      <c r="N93" s="9">
        <v>0.95</v>
      </c>
      <c r="O93" s="8">
        <f t="shared" si="3"/>
        <v>7995</v>
      </c>
      <c r="P93" s="6" t="s">
        <v>16</v>
      </c>
    </row>
    <row r="94" spans="1:16" x14ac:dyDescent="0.35">
      <c r="A94" s="6" t="s">
        <v>5569</v>
      </c>
      <c r="B94" s="7">
        <f t="shared" si="4"/>
        <v>46121</v>
      </c>
      <c r="C94" s="7">
        <f t="shared" si="5"/>
        <v>46127</v>
      </c>
      <c r="D94" s="6">
        <v>3287</v>
      </c>
      <c r="E94" s="6">
        <v>338</v>
      </c>
      <c r="F94" s="6">
        <v>4</v>
      </c>
      <c r="G94" s="6">
        <v>7</v>
      </c>
      <c r="H94" s="6">
        <v>81595</v>
      </c>
      <c r="I94" s="6" t="s">
        <v>17</v>
      </c>
      <c r="J94" s="6">
        <v>21788112</v>
      </c>
      <c r="K94" s="6" t="s">
        <v>2465</v>
      </c>
      <c r="L94" s="16" t="s">
        <v>2466</v>
      </c>
      <c r="M94" s="8">
        <v>22900</v>
      </c>
      <c r="N94" s="9">
        <v>0.95</v>
      </c>
      <c r="O94" s="8">
        <f t="shared" si="3"/>
        <v>1145</v>
      </c>
      <c r="P94" s="6" t="s">
        <v>16</v>
      </c>
    </row>
    <row r="95" spans="1:16" x14ac:dyDescent="0.35">
      <c r="A95" s="6" t="s">
        <v>5569</v>
      </c>
      <c r="B95" s="7">
        <f t="shared" si="4"/>
        <v>46121</v>
      </c>
      <c r="C95" s="7">
        <f t="shared" si="5"/>
        <v>46127</v>
      </c>
      <c r="D95" s="6">
        <v>3287</v>
      </c>
      <c r="E95" s="6">
        <v>338</v>
      </c>
      <c r="F95" s="6">
        <v>4</v>
      </c>
      <c r="G95" s="6">
        <v>7</v>
      </c>
      <c r="H95" s="6">
        <v>81595</v>
      </c>
      <c r="I95" s="6" t="s">
        <v>17</v>
      </c>
      <c r="J95" s="6">
        <v>21788130</v>
      </c>
      <c r="K95" s="6" t="s">
        <v>2465</v>
      </c>
      <c r="L95" s="16" t="s">
        <v>5093</v>
      </c>
      <c r="M95" s="8">
        <v>22900</v>
      </c>
      <c r="N95" s="9">
        <v>0.95</v>
      </c>
      <c r="O95" s="8">
        <f t="shared" si="3"/>
        <v>1145</v>
      </c>
      <c r="P95" s="6" t="s">
        <v>16</v>
      </c>
    </row>
    <row r="96" spans="1:16" x14ac:dyDescent="0.35">
      <c r="A96" s="6" t="s">
        <v>5569</v>
      </c>
      <c r="B96" s="7">
        <f t="shared" si="4"/>
        <v>46121</v>
      </c>
      <c r="C96" s="7">
        <f t="shared" si="5"/>
        <v>46127</v>
      </c>
      <c r="D96" s="6">
        <v>3287</v>
      </c>
      <c r="E96" s="6">
        <v>338</v>
      </c>
      <c r="F96" s="6">
        <v>4</v>
      </c>
      <c r="G96" s="6">
        <v>7</v>
      </c>
      <c r="H96" s="6">
        <v>81595</v>
      </c>
      <c r="I96" s="6" t="s">
        <v>17</v>
      </c>
      <c r="J96" s="6">
        <v>16802427</v>
      </c>
      <c r="K96" s="6" t="s">
        <v>5056</v>
      </c>
      <c r="L96" s="16" t="s">
        <v>5057</v>
      </c>
      <c r="M96" s="8">
        <v>20900</v>
      </c>
      <c r="N96" s="9">
        <v>0.95</v>
      </c>
      <c r="O96" s="8">
        <f t="shared" si="3"/>
        <v>1045</v>
      </c>
      <c r="P96" s="6" t="s">
        <v>16</v>
      </c>
    </row>
    <row r="97" spans="1:16" x14ac:dyDescent="0.35">
      <c r="A97" s="6" t="s">
        <v>5569</v>
      </c>
      <c r="B97" s="7">
        <f t="shared" si="4"/>
        <v>46121</v>
      </c>
      <c r="C97" s="7">
        <f t="shared" si="5"/>
        <v>46127</v>
      </c>
      <c r="D97" s="6">
        <v>3287</v>
      </c>
      <c r="E97" s="6">
        <v>338</v>
      </c>
      <c r="F97" s="6">
        <v>4</v>
      </c>
      <c r="G97" s="6">
        <v>7</v>
      </c>
      <c r="H97" s="6">
        <v>81595</v>
      </c>
      <c r="I97" s="6" t="s">
        <v>17</v>
      </c>
      <c r="J97" s="6">
        <v>17842981</v>
      </c>
      <c r="K97" s="6" t="s">
        <v>5058</v>
      </c>
      <c r="L97" s="16" t="s">
        <v>5059</v>
      </c>
      <c r="M97" s="8">
        <v>20900</v>
      </c>
      <c r="N97" s="9">
        <v>0.95</v>
      </c>
      <c r="O97" s="8">
        <f t="shared" si="3"/>
        <v>1045</v>
      </c>
      <c r="P97" s="6" t="s">
        <v>16</v>
      </c>
    </row>
    <row r="98" spans="1:16" x14ac:dyDescent="0.35">
      <c r="A98" s="6" t="s">
        <v>5569</v>
      </c>
      <c r="B98" s="7">
        <f t="shared" si="4"/>
        <v>46121</v>
      </c>
      <c r="C98" s="7">
        <f t="shared" si="5"/>
        <v>46127</v>
      </c>
      <c r="D98" s="6">
        <v>3287</v>
      </c>
      <c r="E98" s="6">
        <v>338</v>
      </c>
      <c r="F98" s="6">
        <v>4</v>
      </c>
      <c r="G98" s="6">
        <v>7</v>
      </c>
      <c r="H98" s="6">
        <v>81595</v>
      </c>
      <c r="I98" s="6" t="s">
        <v>17</v>
      </c>
      <c r="J98" s="6">
        <v>21042435</v>
      </c>
      <c r="K98" s="6" t="s">
        <v>5078</v>
      </c>
      <c r="L98" s="16" t="s">
        <v>5079</v>
      </c>
      <c r="M98" s="8">
        <v>22900</v>
      </c>
      <c r="N98" s="9">
        <v>0.95</v>
      </c>
      <c r="O98" s="8">
        <f t="shared" si="3"/>
        <v>1145</v>
      </c>
      <c r="P98" s="6" t="s">
        <v>16</v>
      </c>
    </row>
    <row r="99" spans="1:16" x14ac:dyDescent="0.35">
      <c r="A99" s="6" t="s">
        <v>5569</v>
      </c>
      <c r="B99" s="7">
        <f t="shared" si="4"/>
        <v>46121</v>
      </c>
      <c r="C99" s="7">
        <f t="shared" si="5"/>
        <v>46127</v>
      </c>
      <c r="D99" s="6">
        <v>3287</v>
      </c>
      <c r="E99" s="6">
        <v>338</v>
      </c>
      <c r="F99" s="6">
        <v>4</v>
      </c>
      <c r="G99" s="6">
        <v>7</v>
      </c>
      <c r="H99" s="6">
        <v>81595</v>
      </c>
      <c r="I99" s="6" t="s">
        <v>17</v>
      </c>
      <c r="J99" s="6">
        <v>21042417</v>
      </c>
      <c r="K99" s="6" t="s">
        <v>5076</v>
      </c>
      <c r="L99" s="16" t="s">
        <v>5077</v>
      </c>
      <c r="M99" s="8">
        <v>22900</v>
      </c>
      <c r="N99" s="9">
        <v>0.95</v>
      </c>
      <c r="O99" s="8">
        <f t="shared" si="3"/>
        <v>1145</v>
      </c>
      <c r="P99" s="6" t="s">
        <v>16</v>
      </c>
    </row>
    <row r="100" spans="1:16" x14ac:dyDescent="0.35">
      <c r="A100" s="6" t="s">
        <v>5569</v>
      </c>
      <c r="B100" s="7">
        <f t="shared" si="4"/>
        <v>46121</v>
      </c>
      <c r="C100" s="7">
        <f t="shared" si="5"/>
        <v>46127</v>
      </c>
      <c r="D100" s="6">
        <v>3287</v>
      </c>
      <c r="E100" s="6">
        <v>338</v>
      </c>
      <c r="F100" s="6">
        <v>4</v>
      </c>
      <c r="G100" s="6">
        <v>7</v>
      </c>
      <c r="H100" s="6">
        <v>81595</v>
      </c>
      <c r="I100" s="6" t="s">
        <v>17</v>
      </c>
      <c r="J100" s="6">
        <v>19376535</v>
      </c>
      <c r="K100" s="6" t="s">
        <v>5060</v>
      </c>
      <c r="L100" s="16" t="s">
        <v>5061</v>
      </c>
      <c r="M100" s="8">
        <v>21900</v>
      </c>
      <c r="N100" s="9">
        <v>0.95</v>
      </c>
      <c r="O100" s="8">
        <f t="shared" si="3"/>
        <v>1095</v>
      </c>
      <c r="P100" s="6" t="s">
        <v>16</v>
      </c>
    </row>
    <row r="101" spans="1:16" x14ac:dyDescent="0.35">
      <c r="A101" s="6" t="s">
        <v>5569</v>
      </c>
      <c r="B101" s="7">
        <f t="shared" si="4"/>
        <v>46121</v>
      </c>
      <c r="C101" s="7">
        <f t="shared" si="5"/>
        <v>46127</v>
      </c>
      <c r="D101" s="6">
        <v>3287</v>
      </c>
      <c r="E101" s="6">
        <v>338</v>
      </c>
      <c r="F101" s="6">
        <v>4</v>
      </c>
      <c r="G101" s="6">
        <v>7</v>
      </c>
      <c r="H101" s="6">
        <v>81595</v>
      </c>
      <c r="I101" s="6" t="s">
        <v>17</v>
      </c>
      <c r="J101" s="6">
        <v>21043685</v>
      </c>
      <c r="K101" s="6" t="s">
        <v>5082</v>
      </c>
      <c r="L101" s="16" t="s">
        <v>5083</v>
      </c>
      <c r="M101" s="8">
        <v>22900</v>
      </c>
      <c r="N101" s="9">
        <v>0.95</v>
      </c>
      <c r="O101" s="8">
        <f t="shared" si="3"/>
        <v>1145</v>
      </c>
      <c r="P101" s="6" t="s">
        <v>16</v>
      </c>
    </row>
    <row r="102" spans="1:16" x14ac:dyDescent="0.35">
      <c r="A102" s="6" t="s">
        <v>5569</v>
      </c>
      <c r="B102" s="7">
        <f t="shared" si="4"/>
        <v>46121</v>
      </c>
      <c r="C102" s="7">
        <f t="shared" si="5"/>
        <v>46127</v>
      </c>
      <c r="D102" s="6">
        <v>3287</v>
      </c>
      <c r="E102" s="6">
        <v>338</v>
      </c>
      <c r="F102" s="6">
        <v>4</v>
      </c>
      <c r="G102" s="6">
        <v>7</v>
      </c>
      <c r="H102" s="6">
        <v>81595</v>
      </c>
      <c r="I102" s="6" t="s">
        <v>17</v>
      </c>
      <c r="J102" s="6">
        <v>21048055</v>
      </c>
      <c r="K102" s="6" t="s">
        <v>5086</v>
      </c>
      <c r="L102" s="16" t="s">
        <v>5087</v>
      </c>
      <c r="M102" s="8">
        <v>22900</v>
      </c>
      <c r="N102" s="9">
        <v>0.95</v>
      </c>
      <c r="O102" s="8">
        <f t="shared" si="3"/>
        <v>1145</v>
      </c>
      <c r="P102" s="6" t="s">
        <v>16</v>
      </c>
    </row>
    <row r="103" spans="1:16" x14ac:dyDescent="0.35">
      <c r="A103" s="6" t="s">
        <v>5569</v>
      </c>
      <c r="B103" s="7">
        <f t="shared" si="4"/>
        <v>46121</v>
      </c>
      <c r="C103" s="7">
        <f t="shared" si="5"/>
        <v>46127</v>
      </c>
      <c r="D103" s="6">
        <v>3287</v>
      </c>
      <c r="E103" s="6">
        <v>338</v>
      </c>
      <c r="F103" s="6">
        <v>4</v>
      </c>
      <c r="G103" s="6">
        <v>7</v>
      </c>
      <c r="H103" s="6">
        <v>81595</v>
      </c>
      <c r="I103" s="6" t="s">
        <v>17</v>
      </c>
      <c r="J103" s="6">
        <v>20308678</v>
      </c>
      <c r="K103" s="6" t="s">
        <v>5068</v>
      </c>
      <c r="L103" s="16" t="s">
        <v>5069</v>
      </c>
      <c r="M103" s="8">
        <v>22900</v>
      </c>
      <c r="N103" s="9">
        <v>0.95</v>
      </c>
      <c r="O103" s="8">
        <f t="shared" si="3"/>
        <v>1145</v>
      </c>
      <c r="P103" s="6" t="s">
        <v>16</v>
      </c>
    </row>
    <row r="104" spans="1:16" x14ac:dyDescent="0.35">
      <c r="A104" s="6" t="s">
        <v>5569</v>
      </c>
      <c r="B104" s="7">
        <f t="shared" si="4"/>
        <v>46121</v>
      </c>
      <c r="C104" s="7">
        <f t="shared" si="5"/>
        <v>46127</v>
      </c>
      <c r="D104" s="6">
        <v>3287</v>
      </c>
      <c r="E104" s="6">
        <v>338</v>
      </c>
      <c r="F104" s="6">
        <v>4</v>
      </c>
      <c r="G104" s="6">
        <v>7</v>
      </c>
      <c r="H104" s="6">
        <v>81595</v>
      </c>
      <c r="I104" s="6" t="s">
        <v>17</v>
      </c>
      <c r="J104" s="6">
        <v>19376802</v>
      </c>
      <c r="K104" s="6" t="s">
        <v>5062</v>
      </c>
      <c r="L104" s="16" t="s">
        <v>5063</v>
      </c>
      <c r="M104" s="8">
        <v>21900</v>
      </c>
      <c r="N104" s="9">
        <v>0.95</v>
      </c>
      <c r="O104" s="8">
        <f t="shared" si="3"/>
        <v>1095</v>
      </c>
      <c r="P104" s="6" t="s">
        <v>16</v>
      </c>
    </row>
    <row r="105" spans="1:16" x14ac:dyDescent="0.35">
      <c r="A105" s="6" t="s">
        <v>5569</v>
      </c>
      <c r="B105" s="7">
        <f t="shared" si="4"/>
        <v>46121</v>
      </c>
      <c r="C105" s="7">
        <f t="shared" si="5"/>
        <v>46127</v>
      </c>
      <c r="D105" s="6">
        <v>3287</v>
      </c>
      <c r="E105" s="6">
        <v>338</v>
      </c>
      <c r="F105" s="6">
        <v>4</v>
      </c>
      <c r="G105" s="6">
        <v>7</v>
      </c>
      <c r="H105" s="6">
        <v>81595</v>
      </c>
      <c r="I105" s="6" t="s">
        <v>17</v>
      </c>
      <c r="J105" s="6">
        <v>20101891</v>
      </c>
      <c r="K105" s="6" t="s">
        <v>5066</v>
      </c>
      <c r="L105" s="16" t="s">
        <v>5067</v>
      </c>
      <c r="M105" s="8">
        <v>22900</v>
      </c>
      <c r="N105" s="9">
        <v>0.95</v>
      </c>
      <c r="O105" s="8">
        <f t="shared" si="3"/>
        <v>1145</v>
      </c>
      <c r="P105" s="6" t="s">
        <v>16</v>
      </c>
    </row>
    <row r="106" spans="1:16" x14ac:dyDescent="0.35">
      <c r="A106" s="6" t="s">
        <v>5569</v>
      </c>
      <c r="B106" s="7">
        <f t="shared" si="4"/>
        <v>46121</v>
      </c>
      <c r="C106" s="7">
        <f t="shared" si="5"/>
        <v>46127</v>
      </c>
      <c r="D106" s="6">
        <v>3287</v>
      </c>
      <c r="E106" s="6">
        <v>338</v>
      </c>
      <c r="F106" s="6">
        <v>4</v>
      </c>
      <c r="G106" s="6">
        <v>7</v>
      </c>
      <c r="H106" s="6">
        <v>81595</v>
      </c>
      <c r="I106" s="6" t="s">
        <v>17</v>
      </c>
      <c r="J106" s="6">
        <v>21045870</v>
      </c>
      <c r="K106" s="6" t="s">
        <v>5084</v>
      </c>
      <c r="L106" s="16" t="s">
        <v>5085</v>
      </c>
      <c r="M106" s="8">
        <v>22900</v>
      </c>
      <c r="N106" s="9">
        <v>0.95</v>
      </c>
      <c r="O106" s="8">
        <f t="shared" si="3"/>
        <v>1145</v>
      </c>
      <c r="P106" s="6" t="s">
        <v>16</v>
      </c>
    </row>
    <row r="107" spans="1:16" x14ac:dyDescent="0.35">
      <c r="A107" s="6" t="s">
        <v>5569</v>
      </c>
      <c r="B107" s="7">
        <f t="shared" si="4"/>
        <v>46121</v>
      </c>
      <c r="C107" s="7">
        <f t="shared" si="5"/>
        <v>46127</v>
      </c>
      <c r="D107" s="6">
        <v>3287</v>
      </c>
      <c r="E107" s="6">
        <v>338</v>
      </c>
      <c r="F107" s="6">
        <v>4</v>
      </c>
      <c r="G107" s="6">
        <v>7</v>
      </c>
      <c r="H107" s="6">
        <v>81595</v>
      </c>
      <c r="I107" s="6" t="s">
        <v>17</v>
      </c>
      <c r="J107" s="6">
        <v>20864326</v>
      </c>
      <c r="K107" s="6" t="s">
        <v>5070</v>
      </c>
      <c r="L107" s="16" t="s">
        <v>5071</v>
      </c>
      <c r="M107" s="8">
        <v>22900</v>
      </c>
      <c r="N107" s="9">
        <v>0.95</v>
      </c>
      <c r="O107" s="8">
        <f t="shared" si="3"/>
        <v>1145</v>
      </c>
      <c r="P107" s="6" t="s">
        <v>16</v>
      </c>
    </row>
    <row r="108" spans="1:16" x14ac:dyDescent="0.35">
      <c r="A108" s="6" t="s">
        <v>5569</v>
      </c>
      <c r="B108" s="7">
        <f t="shared" si="4"/>
        <v>46121</v>
      </c>
      <c r="C108" s="7">
        <f t="shared" si="5"/>
        <v>46127</v>
      </c>
      <c r="D108" s="6">
        <v>3287</v>
      </c>
      <c r="E108" s="6">
        <v>338</v>
      </c>
      <c r="F108" s="6">
        <v>4</v>
      </c>
      <c r="G108" s="6">
        <v>7</v>
      </c>
      <c r="H108" s="6">
        <v>81595</v>
      </c>
      <c r="I108" s="6" t="s">
        <v>17</v>
      </c>
      <c r="J108" s="6">
        <v>20864353</v>
      </c>
      <c r="K108" s="6" t="s">
        <v>5072</v>
      </c>
      <c r="L108" s="16" t="s">
        <v>5073</v>
      </c>
      <c r="M108" s="8">
        <v>22900</v>
      </c>
      <c r="N108" s="9">
        <v>0.95</v>
      </c>
      <c r="O108" s="8">
        <f t="shared" si="3"/>
        <v>1145</v>
      </c>
      <c r="P108" s="6" t="s">
        <v>16</v>
      </c>
    </row>
    <row r="109" spans="1:16" x14ac:dyDescent="0.35">
      <c r="A109" s="6" t="s">
        <v>5569</v>
      </c>
      <c r="B109" s="7">
        <f t="shared" si="4"/>
        <v>46121</v>
      </c>
      <c r="C109" s="7">
        <f t="shared" si="5"/>
        <v>46127</v>
      </c>
      <c r="D109" s="6">
        <v>3287</v>
      </c>
      <c r="E109" s="6">
        <v>338</v>
      </c>
      <c r="F109" s="6">
        <v>4</v>
      </c>
      <c r="G109" s="6">
        <v>7</v>
      </c>
      <c r="H109" s="6">
        <v>81595</v>
      </c>
      <c r="I109" s="6" t="s">
        <v>17</v>
      </c>
      <c r="J109" s="6">
        <v>20868242</v>
      </c>
      <c r="K109" s="6" t="s">
        <v>5074</v>
      </c>
      <c r="L109" s="16" t="s">
        <v>5075</v>
      </c>
      <c r="M109" s="8">
        <v>22900</v>
      </c>
      <c r="N109" s="9">
        <v>0.95</v>
      </c>
      <c r="O109" s="8">
        <f t="shared" si="3"/>
        <v>1145</v>
      </c>
      <c r="P109" s="6" t="s">
        <v>16</v>
      </c>
    </row>
    <row r="110" spans="1:16" x14ac:dyDescent="0.35">
      <c r="A110" s="6" t="s">
        <v>5569</v>
      </c>
      <c r="B110" s="7">
        <f t="shared" si="4"/>
        <v>46121</v>
      </c>
      <c r="C110" s="7">
        <f t="shared" si="5"/>
        <v>46127</v>
      </c>
      <c r="D110" s="6">
        <v>3287</v>
      </c>
      <c r="E110" s="6">
        <v>338</v>
      </c>
      <c r="F110" s="6">
        <v>4</v>
      </c>
      <c r="G110" s="6">
        <v>7</v>
      </c>
      <c r="H110" s="6">
        <v>81595</v>
      </c>
      <c r="I110" s="6" t="s">
        <v>17</v>
      </c>
      <c r="J110" s="6">
        <v>21043569</v>
      </c>
      <c r="K110" s="6" t="s">
        <v>5080</v>
      </c>
      <c r="L110" s="16" t="s">
        <v>5081</v>
      </c>
      <c r="M110" s="8">
        <v>22900</v>
      </c>
      <c r="N110" s="9">
        <v>0.95</v>
      </c>
      <c r="O110" s="8">
        <f t="shared" si="3"/>
        <v>1145</v>
      </c>
      <c r="P110" s="6" t="s">
        <v>16</v>
      </c>
    </row>
    <row r="111" spans="1:16" x14ac:dyDescent="0.35">
      <c r="A111" s="6" t="s">
        <v>5569</v>
      </c>
      <c r="B111" s="7">
        <f t="shared" si="4"/>
        <v>46121</v>
      </c>
      <c r="C111" s="7">
        <f t="shared" si="5"/>
        <v>46127</v>
      </c>
      <c r="D111" s="6">
        <v>3287</v>
      </c>
      <c r="E111" s="6">
        <v>338</v>
      </c>
      <c r="F111" s="6">
        <v>4</v>
      </c>
      <c r="G111" s="6">
        <v>7</v>
      </c>
      <c r="H111" s="6">
        <v>81595</v>
      </c>
      <c r="I111" s="6" t="s">
        <v>17</v>
      </c>
      <c r="J111" s="6">
        <v>21043658</v>
      </c>
      <c r="K111" s="6" t="s">
        <v>2373</v>
      </c>
      <c r="L111" s="16" t="s">
        <v>2374</v>
      </c>
      <c r="M111" s="8">
        <v>22900</v>
      </c>
      <c r="N111" s="9">
        <v>0.95</v>
      </c>
      <c r="O111" s="8">
        <f t="shared" si="3"/>
        <v>1145</v>
      </c>
      <c r="P111" s="6" t="s">
        <v>16</v>
      </c>
    </row>
    <row r="112" spans="1:16" x14ac:dyDescent="0.35">
      <c r="A112" s="6" t="s">
        <v>5569</v>
      </c>
      <c r="B112" s="7">
        <f t="shared" si="4"/>
        <v>46121</v>
      </c>
      <c r="C112" s="7">
        <f t="shared" si="5"/>
        <v>46127</v>
      </c>
      <c r="D112" s="6">
        <v>3287</v>
      </c>
      <c r="E112" s="6">
        <v>338</v>
      </c>
      <c r="F112" s="6">
        <v>4</v>
      </c>
      <c r="G112" s="6">
        <v>4</v>
      </c>
      <c r="H112" s="6">
        <v>850</v>
      </c>
      <c r="I112" s="6" t="s">
        <v>17</v>
      </c>
      <c r="J112" s="6">
        <v>23655789</v>
      </c>
      <c r="K112" s="6" t="s">
        <v>2496</v>
      </c>
      <c r="L112" s="16" t="s">
        <v>2497</v>
      </c>
      <c r="M112" s="8">
        <v>199900</v>
      </c>
      <c r="N112" s="9">
        <v>0.95</v>
      </c>
      <c r="O112" s="8">
        <f t="shared" si="3"/>
        <v>9995</v>
      </c>
      <c r="P112" s="6" t="s">
        <v>16</v>
      </c>
    </row>
    <row r="113" spans="1:16" x14ac:dyDescent="0.35">
      <c r="A113" s="6" t="s">
        <v>5569</v>
      </c>
      <c r="B113" s="7">
        <f t="shared" si="4"/>
        <v>46121</v>
      </c>
      <c r="C113" s="7">
        <f t="shared" si="5"/>
        <v>46127</v>
      </c>
      <c r="D113" s="6">
        <v>3287</v>
      </c>
      <c r="E113" s="6">
        <v>338</v>
      </c>
      <c r="F113" s="6">
        <v>4</v>
      </c>
      <c r="G113" s="6">
        <v>4</v>
      </c>
      <c r="H113" s="6">
        <v>850</v>
      </c>
      <c r="I113" s="6" t="s">
        <v>17</v>
      </c>
      <c r="J113" s="6">
        <v>23496540</v>
      </c>
      <c r="K113" s="6" t="s">
        <v>2492</v>
      </c>
      <c r="L113" s="16" t="s">
        <v>2493</v>
      </c>
      <c r="M113" s="8">
        <v>199900</v>
      </c>
      <c r="N113" s="9">
        <v>0.95</v>
      </c>
      <c r="O113" s="8">
        <f t="shared" si="3"/>
        <v>9995</v>
      </c>
      <c r="P113" s="6" t="s">
        <v>16</v>
      </c>
    </row>
    <row r="114" spans="1:16" x14ac:dyDescent="0.35">
      <c r="A114" s="6" t="s">
        <v>5569</v>
      </c>
      <c r="B114" s="7">
        <f t="shared" si="4"/>
        <v>46121</v>
      </c>
      <c r="C114" s="7">
        <f t="shared" si="5"/>
        <v>46127</v>
      </c>
      <c r="D114" s="6">
        <v>3287</v>
      </c>
      <c r="E114" s="6">
        <v>338</v>
      </c>
      <c r="F114" s="6">
        <v>4</v>
      </c>
      <c r="G114" s="6">
        <v>4</v>
      </c>
      <c r="H114" s="6">
        <v>850</v>
      </c>
      <c r="I114" s="6" t="s">
        <v>17</v>
      </c>
      <c r="J114" s="6">
        <v>23496755</v>
      </c>
      <c r="K114" s="6" t="s">
        <v>2494</v>
      </c>
      <c r="L114" s="16" t="s">
        <v>2495</v>
      </c>
      <c r="M114" s="8">
        <v>199900</v>
      </c>
      <c r="N114" s="9">
        <v>0.95</v>
      </c>
      <c r="O114" s="8">
        <f t="shared" si="3"/>
        <v>9995</v>
      </c>
      <c r="P114" s="6" t="s">
        <v>16</v>
      </c>
    </row>
    <row r="115" spans="1:16" x14ac:dyDescent="0.35">
      <c r="A115" s="6" t="s">
        <v>5569</v>
      </c>
      <c r="B115" s="7">
        <f t="shared" si="4"/>
        <v>46121</v>
      </c>
      <c r="C115" s="7">
        <f t="shared" si="5"/>
        <v>46127</v>
      </c>
      <c r="D115" s="6">
        <v>3287</v>
      </c>
      <c r="E115" s="6">
        <v>338</v>
      </c>
      <c r="F115" s="6">
        <v>4</v>
      </c>
      <c r="G115" s="6">
        <v>2</v>
      </c>
      <c r="H115" s="6">
        <v>81421</v>
      </c>
      <c r="I115" s="6" t="s">
        <v>17</v>
      </c>
      <c r="J115" s="6">
        <v>22653345</v>
      </c>
      <c r="K115" s="6" t="s">
        <v>2462</v>
      </c>
      <c r="L115" s="16" t="s">
        <v>5168</v>
      </c>
      <c r="M115" s="8">
        <v>179900</v>
      </c>
      <c r="N115" s="9">
        <v>0.95</v>
      </c>
      <c r="O115" s="8">
        <f t="shared" si="3"/>
        <v>8995</v>
      </c>
      <c r="P115" s="6" t="s">
        <v>16</v>
      </c>
    </row>
    <row r="116" spans="1:16" x14ac:dyDescent="0.35">
      <c r="A116" s="6" t="s">
        <v>5569</v>
      </c>
      <c r="B116" s="7">
        <f t="shared" si="4"/>
        <v>46121</v>
      </c>
      <c r="C116" s="7">
        <f t="shared" si="5"/>
        <v>46127</v>
      </c>
      <c r="D116" s="6">
        <v>3287</v>
      </c>
      <c r="E116" s="6">
        <v>338</v>
      </c>
      <c r="F116" s="6">
        <v>4</v>
      </c>
      <c r="G116" s="6">
        <v>2</v>
      </c>
      <c r="H116" s="6">
        <v>850</v>
      </c>
      <c r="I116" s="6" t="s">
        <v>17</v>
      </c>
      <c r="J116" s="6">
        <v>23847769</v>
      </c>
      <c r="K116" s="6" t="s">
        <v>2449</v>
      </c>
      <c r="L116" s="16" t="s">
        <v>2450</v>
      </c>
      <c r="M116" s="8">
        <v>199900</v>
      </c>
      <c r="N116" s="9">
        <v>0.95</v>
      </c>
      <c r="O116" s="8">
        <f t="shared" si="3"/>
        <v>9995</v>
      </c>
      <c r="P116" s="6" t="s">
        <v>16</v>
      </c>
    </row>
    <row r="117" spans="1:16" x14ac:dyDescent="0.35">
      <c r="A117" s="6" t="s">
        <v>5569</v>
      </c>
      <c r="B117" s="7">
        <f t="shared" si="4"/>
        <v>46121</v>
      </c>
      <c r="C117" s="7">
        <f t="shared" si="5"/>
        <v>46127</v>
      </c>
      <c r="D117" s="6">
        <v>3287</v>
      </c>
      <c r="E117" s="6">
        <v>338</v>
      </c>
      <c r="F117" s="6">
        <v>4</v>
      </c>
      <c r="G117" s="6">
        <v>2</v>
      </c>
      <c r="H117" s="6">
        <v>850</v>
      </c>
      <c r="I117" s="6" t="s">
        <v>17</v>
      </c>
      <c r="J117" s="6">
        <v>23655458</v>
      </c>
      <c r="K117" s="6" t="s">
        <v>2415</v>
      </c>
      <c r="L117" s="16" t="s">
        <v>2416</v>
      </c>
      <c r="M117" s="8">
        <v>199900</v>
      </c>
      <c r="N117" s="9">
        <v>0.95</v>
      </c>
      <c r="O117" s="8">
        <f t="shared" si="3"/>
        <v>9995</v>
      </c>
      <c r="P117" s="6" t="s">
        <v>16</v>
      </c>
    </row>
    <row r="118" spans="1:16" x14ac:dyDescent="0.35">
      <c r="A118" s="6" t="s">
        <v>5569</v>
      </c>
      <c r="B118" s="7">
        <f t="shared" si="4"/>
        <v>46121</v>
      </c>
      <c r="C118" s="7">
        <f t="shared" si="5"/>
        <v>46127</v>
      </c>
      <c r="D118" s="6">
        <v>3287</v>
      </c>
      <c r="E118" s="6">
        <v>338</v>
      </c>
      <c r="F118" s="6">
        <v>4</v>
      </c>
      <c r="G118" s="6">
        <v>2</v>
      </c>
      <c r="H118" s="6">
        <v>850</v>
      </c>
      <c r="I118" s="6" t="s">
        <v>17</v>
      </c>
      <c r="J118" s="6">
        <v>23655467</v>
      </c>
      <c r="K118" s="6" t="s">
        <v>2415</v>
      </c>
      <c r="L118" s="16" t="s">
        <v>2417</v>
      </c>
      <c r="M118" s="8">
        <v>199900</v>
      </c>
      <c r="N118" s="9">
        <v>0.95</v>
      </c>
      <c r="O118" s="8">
        <f t="shared" si="3"/>
        <v>9995</v>
      </c>
      <c r="P118" s="6" t="s">
        <v>16</v>
      </c>
    </row>
    <row r="119" spans="1:16" x14ac:dyDescent="0.35">
      <c r="A119" s="6" t="s">
        <v>5569</v>
      </c>
      <c r="B119" s="7">
        <f t="shared" si="4"/>
        <v>46121</v>
      </c>
      <c r="C119" s="7">
        <f t="shared" si="5"/>
        <v>46127</v>
      </c>
      <c r="D119" s="6">
        <v>3287</v>
      </c>
      <c r="E119" s="6">
        <v>338</v>
      </c>
      <c r="F119" s="6">
        <v>4</v>
      </c>
      <c r="G119" s="6">
        <v>2</v>
      </c>
      <c r="H119" s="6">
        <v>850</v>
      </c>
      <c r="I119" s="6" t="s">
        <v>17</v>
      </c>
      <c r="J119" s="6">
        <v>23655485</v>
      </c>
      <c r="K119" s="6" t="s">
        <v>2415</v>
      </c>
      <c r="L119" s="16" t="s">
        <v>2418</v>
      </c>
      <c r="M119" s="8">
        <v>199900</v>
      </c>
      <c r="N119" s="9">
        <v>0.95</v>
      </c>
      <c r="O119" s="8">
        <f t="shared" si="3"/>
        <v>9995</v>
      </c>
      <c r="P119" s="6" t="s">
        <v>16</v>
      </c>
    </row>
    <row r="120" spans="1:16" x14ac:dyDescent="0.35">
      <c r="A120" s="6" t="s">
        <v>5569</v>
      </c>
      <c r="B120" s="7">
        <f t="shared" si="4"/>
        <v>46121</v>
      </c>
      <c r="C120" s="7">
        <f t="shared" si="5"/>
        <v>46127</v>
      </c>
      <c r="D120" s="6">
        <v>3287</v>
      </c>
      <c r="E120" s="6">
        <v>338</v>
      </c>
      <c r="F120" s="6">
        <v>4</v>
      </c>
      <c r="G120" s="6">
        <v>2</v>
      </c>
      <c r="H120" s="6">
        <v>850</v>
      </c>
      <c r="I120" s="6" t="s">
        <v>17</v>
      </c>
      <c r="J120" s="6">
        <v>23655501</v>
      </c>
      <c r="K120" s="6" t="s">
        <v>2415</v>
      </c>
      <c r="L120" s="16" t="s">
        <v>5106</v>
      </c>
      <c r="M120" s="8">
        <v>199900</v>
      </c>
      <c r="N120" s="9">
        <v>0.95</v>
      </c>
      <c r="O120" s="8">
        <f t="shared" si="3"/>
        <v>9995</v>
      </c>
      <c r="P120" s="6" t="s">
        <v>16</v>
      </c>
    </row>
    <row r="121" spans="1:16" x14ac:dyDescent="0.35">
      <c r="A121" s="6" t="s">
        <v>5569</v>
      </c>
      <c r="B121" s="7">
        <f t="shared" si="4"/>
        <v>46121</v>
      </c>
      <c r="C121" s="7">
        <f t="shared" si="5"/>
        <v>46127</v>
      </c>
      <c r="D121" s="6">
        <v>3287</v>
      </c>
      <c r="E121" s="6">
        <v>338</v>
      </c>
      <c r="F121" s="6">
        <v>4</v>
      </c>
      <c r="G121" s="6">
        <v>2</v>
      </c>
      <c r="H121" s="6">
        <v>850</v>
      </c>
      <c r="I121" s="6" t="s">
        <v>17</v>
      </c>
      <c r="J121" s="6">
        <v>23655510</v>
      </c>
      <c r="K121" s="6" t="s">
        <v>2415</v>
      </c>
      <c r="L121" s="16" t="s">
        <v>2419</v>
      </c>
      <c r="M121" s="8">
        <v>199900</v>
      </c>
      <c r="N121" s="9">
        <v>0.95</v>
      </c>
      <c r="O121" s="8">
        <f t="shared" si="3"/>
        <v>9995</v>
      </c>
      <c r="P121" s="6" t="s">
        <v>16</v>
      </c>
    </row>
    <row r="122" spans="1:16" x14ac:dyDescent="0.35">
      <c r="A122" s="6" t="s">
        <v>5569</v>
      </c>
      <c r="B122" s="7">
        <f t="shared" si="4"/>
        <v>46121</v>
      </c>
      <c r="C122" s="7">
        <f t="shared" si="5"/>
        <v>46127</v>
      </c>
      <c r="D122" s="6">
        <v>3287</v>
      </c>
      <c r="E122" s="6">
        <v>338</v>
      </c>
      <c r="F122" s="6">
        <v>4</v>
      </c>
      <c r="G122" s="6">
        <v>2</v>
      </c>
      <c r="H122" s="6">
        <v>850</v>
      </c>
      <c r="I122" s="6" t="s">
        <v>17</v>
      </c>
      <c r="J122" s="6">
        <v>23655672</v>
      </c>
      <c r="K122" s="6" t="s">
        <v>2420</v>
      </c>
      <c r="L122" s="16" t="s">
        <v>2421</v>
      </c>
      <c r="M122" s="8">
        <v>199900</v>
      </c>
      <c r="N122" s="9">
        <v>0.95</v>
      </c>
      <c r="O122" s="8">
        <f t="shared" si="3"/>
        <v>9995</v>
      </c>
      <c r="P122" s="6" t="s">
        <v>16</v>
      </c>
    </row>
    <row r="123" spans="1:16" x14ac:dyDescent="0.35">
      <c r="A123" s="6" t="s">
        <v>5569</v>
      </c>
      <c r="B123" s="7">
        <f t="shared" si="4"/>
        <v>46121</v>
      </c>
      <c r="C123" s="7">
        <f t="shared" si="5"/>
        <v>46127</v>
      </c>
      <c r="D123" s="6">
        <v>3287</v>
      </c>
      <c r="E123" s="6">
        <v>338</v>
      </c>
      <c r="F123" s="6">
        <v>4</v>
      </c>
      <c r="G123" s="6">
        <v>2</v>
      </c>
      <c r="H123" s="6">
        <v>850</v>
      </c>
      <c r="I123" s="6" t="s">
        <v>17</v>
      </c>
      <c r="J123" s="6">
        <v>23655734</v>
      </c>
      <c r="K123" s="6" t="s">
        <v>2420</v>
      </c>
      <c r="L123" s="16" t="s">
        <v>2422</v>
      </c>
      <c r="M123" s="8">
        <v>199900</v>
      </c>
      <c r="N123" s="9">
        <v>0.95</v>
      </c>
      <c r="O123" s="8">
        <f t="shared" si="3"/>
        <v>9995</v>
      </c>
      <c r="P123" s="6" t="s">
        <v>16</v>
      </c>
    </row>
    <row r="124" spans="1:16" x14ac:dyDescent="0.35">
      <c r="A124" s="6" t="s">
        <v>5569</v>
      </c>
      <c r="B124" s="7">
        <f t="shared" si="4"/>
        <v>46121</v>
      </c>
      <c r="C124" s="7">
        <f t="shared" si="5"/>
        <v>46127</v>
      </c>
      <c r="D124" s="6">
        <v>3287</v>
      </c>
      <c r="E124" s="6">
        <v>338</v>
      </c>
      <c r="F124" s="6">
        <v>4</v>
      </c>
      <c r="G124" s="6">
        <v>2</v>
      </c>
      <c r="H124" s="6">
        <v>850</v>
      </c>
      <c r="I124" s="6" t="s">
        <v>17</v>
      </c>
      <c r="J124" s="6">
        <v>23498422</v>
      </c>
      <c r="K124" s="6" t="s">
        <v>2412</v>
      </c>
      <c r="L124" s="16" t="s">
        <v>2413</v>
      </c>
      <c r="M124" s="8">
        <v>199900</v>
      </c>
      <c r="N124" s="9">
        <v>0.95</v>
      </c>
      <c r="O124" s="8">
        <f t="shared" si="3"/>
        <v>9995</v>
      </c>
      <c r="P124" s="6" t="s">
        <v>16</v>
      </c>
    </row>
    <row r="125" spans="1:16" x14ac:dyDescent="0.35">
      <c r="A125" s="6" t="s">
        <v>5569</v>
      </c>
      <c r="B125" s="7">
        <f t="shared" si="4"/>
        <v>46121</v>
      </c>
      <c r="C125" s="7">
        <f t="shared" si="5"/>
        <v>46127</v>
      </c>
      <c r="D125" s="6">
        <v>3287</v>
      </c>
      <c r="E125" s="6">
        <v>338</v>
      </c>
      <c r="F125" s="6">
        <v>4</v>
      </c>
      <c r="G125" s="6">
        <v>2</v>
      </c>
      <c r="H125" s="6">
        <v>850</v>
      </c>
      <c r="I125" s="6" t="s">
        <v>17</v>
      </c>
      <c r="J125" s="6">
        <v>23498440</v>
      </c>
      <c r="K125" s="6" t="s">
        <v>2412</v>
      </c>
      <c r="L125" s="16" t="s">
        <v>2414</v>
      </c>
      <c r="M125" s="8">
        <v>199900</v>
      </c>
      <c r="N125" s="9">
        <v>0.95</v>
      </c>
      <c r="O125" s="8">
        <f t="shared" si="3"/>
        <v>9995</v>
      </c>
      <c r="P125" s="6" t="s">
        <v>16</v>
      </c>
    </row>
    <row r="126" spans="1:16" x14ac:dyDescent="0.35">
      <c r="A126" s="6" t="s">
        <v>5569</v>
      </c>
      <c r="B126" s="7">
        <f t="shared" si="4"/>
        <v>46121</v>
      </c>
      <c r="C126" s="7">
        <f t="shared" si="5"/>
        <v>46127</v>
      </c>
      <c r="D126" s="6">
        <v>3287</v>
      </c>
      <c r="E126" s="6">
        <v>338</v>
      </c>
      <c r="F126" s="6">
        <v>4</v>
      </c>
      <c r="G126" s="6">
        <v>2</v>
      </c>
      <c r="H126" s="6">
        <v>81588</v>
      </c>
      <c r="I126" s="6" t="s">
        <v>17</v>
      </c>
      <c r="J126" s="6">
        <v>21165642</v>
      </c>
      <c r="K126" s="6" t="s">
        <v>5176</v>
      </c>
      <c r="L126" s="16" t="s">
        <v>5177</v>
      </c>
      <c r="M126" s="8">
        <v>179900</v>
      </c>
      <c r="N126" s="9">
        <v>0.95</v>
      </c>
      <c r="O126" s="8">
        <f t="shared" si="3"/>
        <v>8995</v>
      </c>
      <c r="P126" s="6" t="s">
        <v>16</v>
      </c>
    </row>
    <row r="127" spans="1:16" x14ac:dyDescent="0.35">
      <c r="A127" s="6" t="s">
        <v>5569</v>
      </c>
      <c r="B127" s="7">
        <f t="shared" si="4"/>
        <v>46121</v>
      </c>
      <c r="C127" s="7">
        <f t="shared" si="5"/>
        <v>46127</v>
      </c>
      <c r="D127" s="6">
        <v>3287</v>
      </c>
      <c r="E127" s="6">
        <v>338</v>
      </c>
      <c r="F127" s="6">
        <v>4</v>
      </c>
      <c r="G127" s="6">
        <v>2</v>
      </c>
      <c r="H127" s="6">
        <v>81588</v>
      </c>
      <c r="I127" s="6" t="s">
        <v>17</v>
      </c>
      <c r="J127" s="6">
        <v>21165651</v>
      </c>
      <c r="K127" s="6" t="s">
        <v>5176</v>
      </c>
      <c r="L127" s="16" t="s">
        <v>5178</v>
      </c>
      <c r="M127" s="8">
        <v>179900</v>
      </c>
      <c r="N127" s="9">
        <v>0.95</v>
      </c>
      <c r="O127" s="8">
        <f t="shared" si="3"/>
        <v>8995</v>
      </c>
      <c r="P127" s="6" t="s">
        <v>16</v>
      </c>
    </row>
    <row r="128" spans="1:16" x14ac:dyDescent="0.35">
      <c r="A128" s="6" t="s">
        <v>5569</v>
      </c>
      <c r="B128" s="7">
        <f t="shared" si="4"/>
        <v>46121</v>
      </c>
      <c r="C128" s="7">
        <f t="shared" si="5"/>
        <v>46127</v>
      </c>
      <c r="D128" s="6">
        <v>3287</v>
      </c>
      <c r="E128" s="6">
        <v>338</v>
      </c>
      <c r="F128" s="6">
        <v>4</v>
      </c>
      <c r="G128" s="6">
        <v>2</v>
      </c>
      <c r="H128" s="6">
        <v>850</v>
      </c>
      <c r="I128" s="6" t="s">
        <v>17</v>
      </c>
      <c r="J128" s="6">
        <v>21025365</v>
      </c>
      <c r="K128" s="6" t="s">
        <v>5119</v>
      </c>
      <c r="L128" s="16" t="s">
        <v>5120</v>
      </c>
      <c r="M128" s="8">
        <v>169900</v>
      </c>
      <c r="N128" s="9">
        <v>0.95</v>
      </c>
      <c r="O128" s="8">
        <f t="shared" si="3"/>
        <v>8495</v>
      </c>
      <c r="P128" s="6" t="s">
        <v>16</v>
      </c>
    </row>
    <row r="129" spans="1:16" x14ac:dyDescent="0.35">
      <c r="A129" s="6" t="s">
        <v>5569</v>
      </c>
      <c r="B129" s="7">
        <f t="shared" si="4"/>
        <v>46121</v>
      </c>
      <c r="C129" s="7">
        <f t="shared" si="5"/>
        <v>46127</v>
      </c>
      <c r="D129" s="6">
        <v>3287</v>
      </c>
      <c r="E129" s="6">
        <v>338</v>
      </c>
      <c r="F129" s="6">
        <v>4</v>
      </c>
      <c r="G129" s="6">
        <v>2</v>
      </c>
      <c r="H129" s="6">
        <v>850</v>
      </c>
      <c r="I129" s="6" t="s">
        <v>17</v>
      </c>
      <c r="J129" s="6">
        <v>21025383</v>
      </c>
      <c r="K129" s="6" t="s">
        <v>5119</v>
      </c>
      <c r="L129" s="16" t="s">
        <v>5121</v>
      </c>
      <c r="M129" s="8">
        <v>179900</v>
      </c>
      <c r="N129" s="9">
        <v>0.95</v>
      </c>
      <c r="O129" s="8">
        <f t="shared" si="3"/>
        <v>8995</v>
      </c>
      <c r="P129" s="6" t="s">
        <v>16</v>
      </c>
    </row>
    <row r="130" spans="1:16" x14ac:dyDescent="0.35">
      <c r="A130" s="6" t="s">
        <v>5569</v>
      </c>
      <c r="B130" s="7">
        <f t="shared" si="4"/>
        <v>46121</v>
      </c>
      <c r="C130" s="7">
        <f t="shared" si="5"/>
        <v>46127</v>
      </c>
      <c r="D130" s="6">
        <v>3287</v>
      </c>
      <c r="E130" s="6">
        <v>338</v>
      </c>
      <c r="F130" s="6">
        <v>4</v>
      </c>
      <c r="G130" s="6">
        <v>7</v>
      </c>
      <c r="H130" s="6">
        <v>81595</v>
      </c>
      <c r="I130" s="6" t="s">
        <v>17</v>
      </c>
      <c r="J130" s="6">
        <v>24979437</v>
      </c>
      <c r="K130" s="6" t="s">
        <v>2407</v>
      </c>
      <c r="L130" s="16" t="s">
        <v>2408</v>
      </c>
      <c r="M130" s="8">
        <v>27900</v>
      </c>
      <c r="N130" s="9">
        <v>0.95</v>
      </c>
      <c r="O130" s="8">
        <f t="shared" ref="O130:O193" si="6">M130-((95*M130)/100)</f>
        <v>1395</v>
      </c>
      <c r="P130" s="6" t="s">
        <v>16</v>
      </c>
    </row>
    <row r="131" spans="1:16" x14ac:dyDescent="0.35">
      <c r="A131" s="6" t="s">
        <v>5569</v>
      </c>
      <c r="B131" s="7">
        <f t="shared" si="4"/>
        <v>46121</v>
      </c>
      <c r="C131" s="7">
        <f t="shared" si="5"/>
        <v>46127</v>
      </c>
      <c r="D131" s="6">
        <v>3287</v>
      </c>
      <c r="E131" s="6">
        <v>338</v>
      </c>
      <c r="F131" s="6">
        <v>4</v>
      </c>
      <c r="G131" s="6">
        <v>7</v>
      </c>
      <c r="H131" s="6">
        <v>81595</v>
      </c>
      <c r="I131" s="6" t="s">
        <v>17</v>
      </c>
      <c r="J131" s="6">
        <v>24542774</v>
      </c>
      <c r="K131" s="6" t="s">
        <v>2397</v>
      </c>
      <c r="L131" s="16" t="s">
        <v>2398</v>
      </c>
      <c r="M131" s="8">
        <v>34900</v>
      </c>
      <c r="N131" s="9">
        <v>0.95</v>
      </c>
      <c r="O131" s="8">
        <f t="shared" si="6"/>
        <v>1745</v>
      </c>
      <c r="P131" s="6" t="s">
        <v>16</v>
      </c>
    </row>
    <row r="132" spans="1:16" x14ac:dyDescent="0.35">
      <c r="A132" s="6" t="s">
        <v>5569</v>
      </c>
      <c r="B132" s="7">
        <f t="shared" ref="B132:B195" si="7">B131</f>
        <v>46121</v>
      </c>
      <c r="C132" s="7">
        <f t="shared" ref="C132:C195" si="8">C131</f>
        <v>46127</v>
      </c>
      <c r="D132" s="6">
        <v>3287</v>
      </c>
      <c r="E132" s="6">
        <v>338</v>
      </c>
      <c r="F132" s="6">
        <v>4</v>
      </c>
      <c r="G132" s="6">
        <v>2</v>
      </c>
      <c r="H132" s="6">
        <v>850</v>
      </c>
      <c r="I132" s="6" t="s">
        <v>17</v>
      </c>
      <c r="J132" s="6">
        <v>22068924</v>
      </c>
      <c r="K132" s="6" t="s">
        <v>2440</v>
      </c>
      <c r="L132" s="16" t="s">
        <v>5145</v>
      </c>
      <c r="M132" s="8">
        <v>199900</v>
      </c>
      <c r="N132" s="9">
        <v>0.95</v>
      </c>
      <c r="O132" s="8">
        <f t="shared" si="6"/>
        <v>9995</v>
      </c>
      <c r="P132" s="6" t="s">
        <v>16</v>
      </c>
    </row>
    <row r="133" spans="1:16" x14ac:dyDescent="0.35">
      <c r="A133" s="6" t="s">
        <v>5569</v>
      </c>
      <c r="B133" s="7">
        <f t="shared" si="7"/>
        <v>46121</v>
      </c>
      <c r="C133" s="7">
        <f t="shared" si="8"/>
        <v>46127</v>
      </c>
      <c r="D133" s="6">
        <v>3287</v>
      </c>
      <c r="E133" s="6">
        <v>338</v>
      </c>
      <c r="F133" s="6">
        <v>4</v>
      </c>
      <c r="G133" s="6">
        <v>2</v>
      </c>
      <c r="H133" s="6">
        <v>850</v>
      </c>
      <c r="I133" s="6" t="s">
        <v>17</v>
      </c>
      <c r="J133" s="6">
        <v>18640956</v>
      </c>
      <c r="K133" s="6" t="s">
        <v>2440</v>
      </c>
      <c r="L133" s="16" t="s">
        <v>5109</v>
      </c>
      <c r="M133" s="8">
        <v>149900</v>
      </c>
      <c r="N133" s="9">
        <v>0.95</v>
      </c>
      <c r="O133" s="8">
        <f t="shared" si="6"/>
        <v>7495</v>
      </c>
      <c r="P133" s="6" t="s">
        <v>16</v>
      </c>
    </row>
    <row r="134" spans="1:16" x14ac:dyDescent="0.35">
      <c r="A134" s="6" t="s">
        <v>5569</v>
      </c>
      <c r="B134" s="7">
        <f t="shared" si="7"/>
        <v>46121</v>
      </c>
      <c r="C134" s="7">
        <f t="shared" si="8"/>
        <v>46127</v>
      </c>
      <c r="D134" s="6">
        <v>3287</v>
      </c>
      <c r="E134" s="6">
        <v>338</v>
      </c>
      <c r="F134" s="6">
        <v>4</v>
      </c>
      <c r="G134" s="6">
        <v>2</v>
      </c>
      <c r="H134" s="6">
        <v>850</v>
      </c>
      <c r="I134" s="6" t="s">
        <v>17</v>
      </c>
      <c r="J134" s="6">
        <v>22111475</v>
      </c>
      <c r="K134" s="6" t="s">
        <v>2442</v>
      </c>
      <c r="L134" s="16" t="s">
        <v>5154</v>
      </c>
      <c r="M134" s="8">
        <v>169900</v>
      </c>
      <c r="N134" s="9">
        <v>0.95</v>
      </c>
      <c r="O134" s="8">
        <f t="shared" si="6"/>
        <v>8495</v>
      </c>
      <c r="P134" s="6" t="s">
        <v>16</v>
      </c>
    </row>
    <row r="135" spans="1:16" x14ac:dyDescent="0.35">
      <c r="A135" s="6" t="s">
        <v>5569</v>
      </c>
      <c r="B135" s="7">
        <f t="shared" si="7"/>
        <v>46121</v>
      </c>
      <c r="C135" s="7">
        <f t="shared" si="8"/>
        <v>46127</v>
      </c>
      <c r="D135" s="6">
        <v>3287</v>
      </c>
      <c r="E135" s="6">
        <v>338</v>
      </c>
      <c r="F135" s="6">
        <v>4</v>
      </c>
      <c r="G135" s="6">
        <v>2</v>
      </c>
      <c r="H135" s="6">
        <v>850</v>
      </c>
      <c r="I135" s="6" t="s">
        <v>17</v>
      </c>
      <c r="J135" s="6">
        <v>22111519</v>
      </c>
      <c r="K135" s="6" t="s">
        <v>2442</v>
      </c>
      <c r="L135" s="16" t="s">
        <v>5155</v>
      </c>
      <c r="M135" s="8">
        <v>189900</v>
      </c>
      <c r="N135" s="9">
        <v>0.95</v>
      </c>
      <c r="O135" s="8">
        <f t="shared" si="6"/>
        <v>9495</v>
      </c>
      <c r="P135" s="6" t="s">
        <v>16</v>
      </c>
    </row>
    <row r="136" spans="1:16" x14ac:dyDescent="0.35">
      <c r="A136" s="6" t="s">
        <v>5569</v>
      </c>
      <c r="B136" s="7">
        <f t="shared" si="7"/>
        <v>46121</v>
      </c>
      <c r="C136" s="7">
        <f t="shared" si="8"/>
        <v>46127</v>
      </c>
      <c r="D136" s="6">
        <v>3287</v>
      </c>
      <c r="E136" s="6">
        <v>338</v>
      </c>
      <c r="F136" s="6">
        <v>4</v>
      </c>
      <c r="G136" s="6">
        <v>2</v>
      </c>
      <c r="H136" s="6">
        <v>850</v>
      </c>
      <c r="I136" s="6" t="s">
        <v>17</v>
      </c>
      <c r="J136" s="6">
        <v>22115168</v>
      </c>
      <c r="K136" s="6" t="s">
        <v>2443</v>
      </c>
      <c r="L136" s="16" t="s">
        <v>5156</v>
      </c>
      <c r="M136" s="8">
        <v>189900</v>
      </c>
      <c r="N136" s="9">
        <v>0.95</v>
      </c>
      <c r="O136" s="8">
        <f t="shared" si="6"/>
        <v>9495</v>
      </c>
      <c r="P136" s="6" t="s">
        <v>16</v>
      </c>
    </row>
    <row r="137" spans="1:16" x14ac:dyDescent="0.35">
      <c r="A137" s="6" t="s">
        <v>5569</v>
      </c>
      <c r="B137" s="7">
        <f t="shared" si="7"/>
        <v>46121</v>
      </c>
      <c r="C137" s="7">
        <f t="shared" si="8"/>
        <v>46127</v>
      </c>
      <c r="D137" s="6">
        <v>3287</v>
      </c>
      <c r="E137" s="6">
        <v>338</v>
      </c>
      <c r="F137" s="6">
        <v>4</v>
      </c>
      <c r="G137" s="6">
        <v>2</v>
      </c>
      <c r="H137" s="6">
        <v>850</v>
      </c>
      <c r="I137" s="6" t="s">
        <v>17</v>
      </c>
      <c r="J137" s="6">
        <v>22105704</v>
      </c>
      <c r="K137" s="6" t="s">
        <v>2441</v>
      </c>
      <c r="L137" s="16" t="s">
        <v>5148</v>
      </c>
      <c r="M137" s="8">
        <v>189900</v>
      </c>
      <c r="N137" s="9">
        <v>0.95</v>
      </c>
      <c r="O137" s="8">
        <f t="shared" si="6"/>
        <v>9495</v>
      </c>
      <c r="P137" s="6" t="s">
        <v>16</v>
      </c>
    </row>
    <row r="138" spans="1:16" x14ac:dyDescent="0.35">
      <c r="A138" s="6" t="s">
        <v>5569</v>
      </c>
      <c r="B138" s="7">
        <f t="shared" si="7"/>
        <v>46121</v>
      </c>
      <c r="C138" s="7">
        <f t="shared" si="8"/>
        <v>46127</v>
      </c>
      <c r="D138" s="6">
        <v>3287</v>
      </c>
      <c r="E138" s="6">
        <v>338</v>
      </c>
      <c r="F138" s="6">
        <v>4</v>
      </c>
      <c r="G138" s="6">
        <v>2</v>
      </c>
      <c r="H138" s="6">
        <v>850</v>
      </c>
      <c r="I138" s="6" t="s">
        <v>17</v>
      </c>
      <c r="J138" s="6">
        <v>22334305</v>
      </c>
      <c r="K138" s="6" t="s">
        <v>5157</v>
      </c>
      <c r="L138" s="16" t="s">
        <v>5158</v>
      </c>
      <c r="M138" s="8">
        <v>189900</v>
      </c>
      <c r="N138" s="9">
        <v>0.95</v>
      </c>
      <c r="O138" s="8">
        <f t="shared" si="6"/>
        <v>9495</v>
      </c>
      <c r="P138" s="6" t="s">
        <v>16</v>
      </c>
    </row>
    <row r="139" spans="1:16" x14ac:dyDescent="0.35">
      <c r="A139" s="6" t="s">
        <v>5569</v>
      </c>
      <c r="B139" s="7">
        <f t="shared" si="7"/>
        <v>46121</v>
      </c>
      <c r="C139" s="7">
        <f t="shared" si="8"/>
        <v>46127</v>
      </c>
      <c r="D139" s="6">
        <v>3287</v>
      </c>
      <c r="E139" s="6">
        <v>338</v>
      </c>
      <c r="F139" s="6">
        <v>4</v>
      </c>
      <c r="G139" s="6">
        <v>7</v>
      </c>
      <c r="H139" s="6">
        <v>81595</v>
      </c>
      <c r="I139" s="6" t="s">
        <v>17</v>
      </c>
      <c r="J139" s="6">
        <v>24877056</v>
      </c>
      <c r="K139" s="6" t="s">
        <v>2403</v>
      </c>
      <c r="L139" s="16" t="s">
        <v>2404</v>
      </c>
      <c r="M139" s="8">
        <v>27900</v>
      </c>
      <c r="N139" s="9">
        <v>0.95</v>
      </c>
      <c r="O139" s="8">
        <f t="shared" si="6"/>
        <v>1395</v>
      </c>
      <c r="P139" s="6" t="s">
        <v>16</v>
      </c>
    </row>
    <row r="140" spans="1:16" x14ac:dyDescent="0.35">
      <c r="A140" s="6" t="s">
        <v>5569</v>
      </c>
      <c r="B140" s="7">
        <f t="shared" si="7"/>
        <v>46121</v>
      </c>
      <c r="C140" s="7">
        <f t="shared" si="8"/>
        <v>46127</v>
      </c>
      <c r="D140" s="6">
        <v>3287</v>
      </c>
      <c r="E140" s="6">
        <v>338</v>
      </c>
      <c r="F140" s="6">
        <v>4</v>
      </c>
      <c r="G140" s="6">
        <v>7</v>
      </c>
      <c r="H140" s="6">
        <v>81595</v>
      </c>
      <c r="I140" s="6" t="s">
        <v>17</v>
      </c>
      <c r="J140" s="6">
        <v>24877074</v>
      </c>
      <c r="K140" s="6" t="s">
        <v>2405</v>
      </c>
      <c r="L140" s="16" t="s">
        <v>2406</v>
      </c>
      <c r="M140" s="8">
        <v>27900</v>
      </c>
      <c r="N140" s="9">
        <v>0.95</v>
      </c>
      <c r="O140" s="8">
        <f t="shared" si="6"/>
        <v>1395</v>
      </c>
      <c r="P140" s="6" t="s">
        <v>16</v>
      </c>
    </row>
    <row r="141" spans="1:16" x14ac:dyDescent="0.35">
      <c r="A141" s="6" t="s">
        <v>5569</v>
      </c>
      <c r="B141" s="7">
        <f t="shared" si="7"/>
        <v>46121</v>
      </c>
      <c r="C141" s="7">
        <f t="shared" si="8"/>
        <v>46127</v>
      </c>
      <c r="D141" s="6">
        <v>3287</v>
      </c>
      <c r="E141" s="6">
        <v>338</v>
      </c>
      <c r="F141" s="6">
        <v>4</v>
      </c>
      <c r="G141" s="6">
        <v>7</v>
      </c>
      <c r="H141" s="6">
        <v>81595</v>
      </c>
      <c r="I141" s="6" t="s">
        <v>17</v>
      </c>
      <c r="J141" s="6">
        <v>24876986</v>
      </c>
      <c r="K141" s="6" t="s">
        <v>2401</v>
      </c>
      <c r="L141" s="16" t="s">
        <v>2402</v>
      </c>
      <c r="M141" s="8">
        <v>27900</v>
      </c>
      <c r="N141" s="9">
        <v>0.95</v>
      </c>
      <c r="O141" s="8">
        <f t="shared" si="6"/>
        <v>1395</v>
      </c>
      <c r="P141" s="6" t="s">
        <v>16</v>
      </c>
    </row>
    <row r="142" spans="1:16" x14ac:dyDescent="0.35">
      <c r="A142" s="6" t="s">
        <v>5569</v>
      </c>
      <c r="B142" s="7">
        <f t="shared" si="7"/>
        <v>46121</v>
      </c>
      <c r="C142" s="7">
        <f t="shared" si="8"/>
        <v>46127</v>
      </c>
      <c r="D142" s="6">
        <v>3287</v>
      </c>
      <c r="E142" s="6">
        <v>338</v>
      </c>
      <c r="F142" s="6">
        <v>4</v>
      </c>
      <c r="G142" s="6">
        <v>2</v>
      </c>
      <c r="H142" s="6">
        <v>850</v>
      </c>
      <c r="I142" s="6" t="s">
        <v>17</v>
      </c>
      <c r="J142" s="6">
        <v>21658806</v>
      </c>
      <c r="K142" s="6" t="s">
        <v>5136</v>
      </c>
      <c r="L142" s="16" t="s">
        <v>5137</v>
      </c>
      <c r="M142" s="8">
        <v>189900</v>
      </c>
      <c r="N142" s="9">
        <v>0.95</v>
      </c>
      <c r="O142" s="8">
        <f t="shared" si="6"/>
        <v>9495</v>
      </c>
      <c r="P142" s="6" t="s">
        <v>16</v>
      </c>
    </row>
    <row r="143" spans="1:16" x14ac:dyDescent="0.35">
      <c r="A143" s="6" t="s">
        <v>5569</v>
      </c>
      <c r="B143" s="7">
        <f t="shared" si="7"/>
        <v>46121</v>
      </c>
      <c r="C143" s="7">
        <f t="shared" si="8"/>
        <v>46127</v>
      </c>
      <c r="D143" s="6">
        <v>3287</v>
      </c>
      <c r="E143" s="6">
        <v>338</v>
      </c>
      <c r="F143" s="6">
        <v>4</v>
      </c>
      <c r="G143" s="6">
        <v>1</v>
      </c>
      <c r="H143" s="6">
        <v>850</v>
      </c>
      <c r="I143" s="6" t="s">
        <v>17</v>
      </c>
      <c r="J143" s="6">
        <v>19652012</v>
      </c>
      <c r="K143" s="6" t="s">
        <v>5040</v>
      </c>
      <c r="L143" s="16" t="s">
        <v>5041</v>
      </c>
      <c r="M143" s="8">
        <v>21900</v>
      </c>
      <c r="N143" s="9">
        <v>0.95</v>
      </c>
      <c r="O143" s="8">
        <f t="shared" si="6"/>
        <v>1095</v>
      </c>
      <c r="P143" s="6" t="s">
        <v>16</v>
      </c>
    </row>
    <row r="144" spans="1:16" x14ac:dyDescent="0.35">
      <c r="A144" s="6" t="s">
        <v>5569</v>
      </c>
      <c r="B144" s="7">
        <f t="shared" si="7"/>
        <v>46121</v>
      </c>
      <c r="C144" s="7">
        <f t="shared" si="8"/>
        <v>46127</v>
      </c>
      <c r="D144" s="6">
        <v>3287</v>
      </c>
      <c r="E144" s="6">
        <v>338</v>
      </c>
      <c r="F144" s="6">
        <v>4</v>
      </c>
      <c r="G144" s="6">
        <v>2</v>
      </c>
      <c r="H144" s="6">
        <v>850</v>
      </c>
      <c r="I144" s="6" t="s">
        <v>17</v>
      </c>
      <c r="J144" s="6">
        <v>21394645</v>
      </c>
      <c r="K144" s="6" t="s">
        <v>5161</v>
      </c>
      <c r="L144" s="16" t="s">
        <v>5162</v>
      </c>
      <c r="M144" s="8">
        <v>189900</v>
      </c>
      <c r="N144" s="9">
        <v>0.95</v>
      </c>
      <c r="O144" s="8">
        <f t="shared" si="6"/>
        <v>9495</v>
      </c>
      <c r="P144" s="6" t="s">
        <v>16</v>
      </c>
    </row>
    <row r="145" spans="1:16" x14ac:dyDescent="0.35">
      <c r="A145" s="6" t="s">
        <v>5569</v>
      </c>
      <c r="B145" s="7">
        <f t="shared" si="7"/>
        <v>46121</v>
      </c>
      <c r="C145" s="7">
        <f t="shared" si="8"/>
        <v>46127</v>
      </c>
      <c r="D145" s="6">
        <v>3287</v>
      </c>
      <c r="E145" s="6">
        <v>338</v>
      </c>
      <c r="F145" s="6">
        <v>4</v>
      </c>
      <c r="G145" s="6">
        <v>2</v>
      </c>
      <c r="H145" s="6">
        <v>850</v>
      </c>
      <c r="I145" s="6" t="s">
        <v>17</v>
      </c>
      <c r="J145" s="6">
        <v>22068504</v>
      </c>
      <c r="K145" s="6" t="s">
        <v>5142</v>
      </c>
      <c r="L145" s="16" t="s">
        <v>5143</v>
      </c>
      <c r="M145" s="8">
        <v>189900</v>
      </c>
      <c r="N145" s="9">
        <v>0.95</v>
      </c>
      <c r="O145" s="8">
        <f t="shared" si="6"/>
        <v>9495</v>
      </c>
      <c r="P145" s="6" t="s">
        <v>16</v>
      </c>
    </row>
    <row r="146" spans="1:16" x14ac:dyDescent="0.35">
      <c r="A146" s="6" t="s">
        <v>5569</v>
      </c>
      <c r="B146" s="7">
        <f t="shared" si="7"/>
        <v>46121</v>
      </c>
      <c r="C146" s="7">
        <f t="shared" si="8"/>
        <v>46127</v>
      </c>
      <c r="D146" s="6">
        <v>3287</v>
      </c>
      <c r="E146" s="6">
        <v>338</v>
      </c>
      <c r="F146" s="6">
        <v>4</v>
      </c>
      <c r="G146" s="6">
        <v>2</v>
      </c>
      <c r="H146" s="6">
        <v>850</v>
      </c>
      <c r="I146" s="6" t="s">
        <v>17</v>
      </c>
      <c r="J146" s="6">
        <v>22068540</v>
      </c>
      <c r="K146" s="6" t="s">
        <v>5142</v>
      </c>
      <c r="L146" s="16" t="s">
        <v>5144</v>
      </c>
      <c r="M146" s="8">
        <v>189900</v>
      </c>
      <c r="N146" s="9">
        <v>0.95</v>
      </c>
      <c r="O146" s="8">
        <f t="shared" si="6"/>
        <v>9495</v>
      </c>
      <c r="P146" s="6" t="s">
        <v>16</v>
      </c>
    </row>
    <row r="147" spans="1:16" x14ac:dyDescent="0.35">
      <c r="A147" s="6" t="s">
        <v>5569</v>
      </c>
      <c r="B147" s="7">
        <f t="shared" si="7"/>
        <v>46121</v>
      </c>
      <c r="C147" s="7">
        <f t="shared" si="8"/>
        <v>46127</v>
      </c>
      <c r="D147" s="6">
        <v>3287</v>
      </c>
      <c r="E147" s="6">
        <v>338</v>
      </c>
      <c r="F147" s="6">
        <v>4</v>
      </c>
      <c r="G147" s="6">
        <v>2</v>
      </c>
      <c r="H147" s="6">
        <v>850</v>
      </c>
      <c r="I147" s="6" t="s">
        <v>17</v>
      </c>
      <c r="J147" s="6">
        <v>19185394</v>
      </c>
      <c r="K147" s="6" t="s">
        <v>5110</v>
      </c>
      <c r="L147" s="16" t="s">
        <v>5111</v>
      </c>
      <c r="M147" s="8">
        <v>129900</v>
      </c>
      <c r="N147" s="9">
        <v>0.95</v>
      </c>
      <c r="O147" s="8">
        <f t="shared" si="6"/>
        <v>6495</v>
      </c>
      <c r="P147" s="6" t="s">
        <v>16</v>
      </c>
    </row>
    <row r="148" spans="1:16" x14ac:dyDescent="0.35">
      <c r="A148" s="6" t="s">
        <v>5569</v>
      </c>
      <c r="B148" s="7">
        <f t="shared" si="7"/>
        <v>46121</v>
      </c>
      <c r="C148" s="7">
        <f t="shared" si="8"/>
        <v>46127</v>
      </c>
      <c r="D148" s="6">
        <v>3287</v>
      </c>
      <c r="E148" s="6">
        <v>338</v>
      </c>
      <c r="F148" s="6">
        <v>4</v>
      </c>
      <c r="G148" s="6">
        <v>2</v>
      </c>
      <c r="H148" s="6">
        <v>850</v>
      </c>
      <c r="I148" s="6" t="s">
        <v>17</v>
      </c>
      <c r="J148" s="6">
        <v>22106169</v>
      </c>
      <c r="K148" s="6" t="s">
        <v>5149</v>
      </c>
      <c r="L148" s="16" t="s">
        <v>5150</v>
      </c>
      <c r="M148" s="8">
        <v>189900</v>
      </c>
      <c r="N148" s="9">
        <v>0.95</v>
      </c>
      <c r="O148" s="8">
        <f t="shared" si="6"/>
        <v>9495</v>
      </c>
      <c r="P148" s="6" t="s">
        <v>16</v>
      </c>
    </row>
    <row r="149" spans="1:16" x14ac:dyDescent="0.35">
      <c r="A149" s="6" t="s">
        <v>5569</v>
      </c>
      <c r="B149" s="7">
        <f t="shared" si="7"/>
        <v>46121</v>
      </c>
      <c r="C149" s="7">
        <f t="shared" si="8"/>
        <v>46127</v>
      </c>
      <c r="D149" s="6">
        <v>3287</v>
      </c>
      <c r="E149" s="6">
        <v>338</v>
      </c>
      <c r="F149" s="6">
        <v>4</v>
      </c>
      <c r="G149" s="6">
        <v>2</v>
      </c>
      <c r="H149" s="6">
        <v>850</v>
      </c>
      <c r="I149" s="6" t="s">
        <v>17</v>
      </c>
      <c r="J149" s="6">
        <v>21654079</v>
      </c>
      <c r="K149" s="6" t="s">
        <v>5134</v>
      </c>
      <c r="L149" s="16" t="s">
        <v>5135</v>
      </c>
      <c r="M149" s="8">
        <v>189900</v>
      </c>
      <c r="N149" s="9">
        <v>0.95</v>
      </c>
      <c r="O149" s="8">
        <f t="shared" si="6"/>
        <v>9495</v>
      </c>
      <c r="P149" s="6" t="s">
        <v>16</v>
      </c>
    </row>
    <row r="150" spans="1:16" x14ac:dyDescent="0.35">
      <c r="A150" s="6" t="s">
        <v>5569</v>
      </c>
      <c r="B150" s="7">
        <f t="shared" si="7"/>
        <v>46121</v>
      </c>
      <c r="C150" s="7">
        <f t="shared" si="8"/>
        <v>46127</v>
      </c>
      <c r="D150" s="6">
        <v>3287</v>
      </c>
      <c r="E150" s="6">
        <v>338</v>
      </c>
      <c r="F150" s="6">
        <v>4</v>
      </c>
      <c r="G150" s="6">
        <v>4</v>
      </c>
      <c r="H150" s="6">
        <v>81588</v>
      </c>
      <c r="I150" s="6" t="s">
        <v>17</v>
      </c>
      <c r="J150" s="6">
        <v>25053014</v>
      </c>
      <c r="K150" s="6" t="s">
        <v>2533</v>
      </c>
      <c r="L150" s="16" t="s">
        <v>2534</v>
      </c>
      <c r="M150" s="8">
        <v>179900</v>
      </c>
      <c r="N150" s="9">
        <v>0.95</v>
      </c>
      <c r="O150" s="8">
        <f t="shared" si="6"/>
        <v>8995</v>
      </c>
      <c r="P150" s="6" t="s">
        <v>16</v>
      </c>
    </row>
    <row r="151" spans="1:16" x14ac:dyDescent="0.35">
      <c r="A151" s="6" t="s">
        <v>5569</v>
      </c>
      <c r="B151" s="7">
        <f t="shared" si="7"/>
        <v>46121</v>
      </c>
      <c r="C151" s="7">
        <f t="shared" si="8"/>
        <v>46127</v>
      </c>
      <c r="D151" s="6">
        <v>3287</v>
      </c>
      <c r="E151" s="6">
        <v>338</v>
      </c>
      <c r="F151" s="6">
        <v>4</v>
      </c>
      <c r="G151" s="6">
        <v>3</v>
      </c>
      <c r="H151" s="6">
        <v>850</v>
      </c>
      <c r="I151" s="6" t="s">
        <v>17</v>
      </c>
      <c r="J151" s="6">
        <v>17512435</v>
      </c>
      <c r="K151" s="6" t="s">
        <v>5036</v>
      </c>
      <c r="L151" s="16" t="s">
        <v>5037</v>
      </c>
      <c r="M151" s="8">
        <v>27900</v>
      </c>
      <c r="N151" s="9">
        <v>0.95</v>
      </c>
      <c r="O151" s="8">
        <f t="shared" si="6"/>
        <v>1395</v>
      </c>
      <c r="P151" s="6" t="s">
        <v>16</v>
      </c>
    </row>
    <row r="152" spans="1:16" x14ac:dyDescent="0.35">
      <c r="A152" s="6" t="s">
        <v>5569</v>
      </c>
      <c r="B152" s="7">
        <f t="shared" si="7"/>
        <v>46121</v>
      </c>
      <c r="C152" s="7">
        <f t="shared" si="8"/>
        <v>46127</v>
      </c>
      <c r="D152" s="6">
        <v>3287</v>
      </c>
      <c r="E152" s="6">
        <v>338</v>
      </c>
      <c r="F152" s="6">
        <v>4</v>
      </c>
      <c r="G152" s="6">
        <v>1</v>
      </c>
      <c r="H152" s="6">
        <v>850</v>
      </c>
      <c r="I152" s="6" t="s">
        <v>17</v>
      </c>
      <c r="J152" s="6">
        <v>17573334</v>
      </c>
      <c r="K152" s="6" t="s">
        <v>5038</v>
      </c>
      <c r="L152" s="16" t="s">
        <v>5039</v>
      </c>
      <c r="M152" s="8">
        <v>27900</v>
      </c>
      <c r="N152" s="9">
        <v>0.95</v>
      </c>
      <c r="O152" s="8">
        <f t="shared" si="6"/>
        <v>1395</v>
      </c>
      <c r="P152" s="6" t="s">
        <v>16</v>
      </c>
    </row>
    <row r="153" spans="1:16" x14ac:dyDescent="0.35">
      <c r="A153" s="6" t="s">
        <v>5569</v>
      </c>
      <c r="B153" s="7">
        <f t="shared" si="7"/>
        <v>46121</v>
      </c>
      <c r="C153" s="7">
        <f t="shared" si="8"/>
        <v>46127</v>
      </c>
      <c r="D153" s="6">
        <v>3287</v>
      </c>
      <c r="E153" s="6">
        <v>338</v>
      </c>
      <c r="F153" s="6">
        <v>4</v>
      </c>
      <c r="G153" s="6">
        <v>5</v>
      </c>
      <c r="H153" s="6">
        <v>850</v>
      </c>
      <c r="I153" s="6" t="s">
        <v>17</v>
      </c>
      <c r="J153" s="6">
        <v>23736898</v>
      </c>
      <c r="K153" s="6" t="s">
        <v>2539</v>
      </c>
      <c r="L153" s="16" t="s">
        <v>2540</v>
      </c>
      <c r="M153" s="8">
        <v>49900</v>
      </c>
      <c r="N153" s="9">
        <v>0.95</v>
      </c>
      <c r="O153" s="8">
        <f t="shared" si="6"/>
        <v>2495</v>
      </c>
      <c r="P153" s="6" t="s">
        <v>16</v>
      </c>
    </row>
    <row r="154" spans="1:16" x14ac:dyDescent="0.35">
      <c r="A154" s="6" t="s">
        <v>5569</v>
      </c>
      <c r="B154" s="7">
        <f t="shared" si="7"/>
        <v>46121</v>
      </c>
      <c r="C154" s="7">
        <f t="shared" si="8"/>
        <v>46127</v>
      </c>
      <c r="D154" s="6">
        <v>3287</v>
      </c>
      <c r="E154" s="6">
        <v>338</v>
      </c>
      <c r="F154" s="6">
        <v>4</v>
      </c>
      <c r="G154" s="6">
        <v>5</v>
      </c>
      <c r="H154" s="6">
        <v>850</v>
      </c>
      <c r="I154" s="6" t="s">
        <v>17</v>
      </c>
      <c r="J154" s="6">
        <v>23736905</v>
      </c>
      <c r="K154" s="6" t="s">
        <v>2539</v>
      </c>
      <c r="L154" s="16" t="s">
        <v>2541</v>
      </c>
      <c r="M154" s="8">
        <v>49900</v>
      </c>
      <c r="N154" s="9">
        <v>0.95</v>
      </c>
      <c r="O154" s="8">
        <f t="shared" si="6"/>
        <v>2495</v>
      </c>
      <c r="P154" s="6" t="s">
        <v>16</v>
      </c>
    </row>
    <row r="155" spans="1:16" x14ac:dyDescent="0.35">
      <c r="A155" s="6" t="s">
        <v>5569</v>
      </c>
      <c r="B155" s="7">
        <f t="shared" si="7"/>
        <v>46121</v>
      </c>
      <c r="C155" s="7">
        <f t="shared" si="8"/>
        <v>46127</v>
      </c>
      <c r="D155" s="6">
        <v>3287</v>
      </c>
      <c r="E155" s="6">
        <v>338</v>
      </c>
      <c r="F155" s="6">
        <v>4</v>
      </c>
      <c r="G155" s="6">
        <v>5</v>
      </c>
      <c r="H155" s="6">
        <v>850</v>
      </c>
      <c r="I155" s="6" t="s">
        <v>17</v>
      </c>
      <c r="J155" s="6">
        <v>23736914</v>
      </c>
      <c r="K155" s="6" t="s">
        <v>2539</v>
      </c>
      <c r="L155" s="16" t="s">
        <v>2542</v>
      </c>
      <c r="M155" s="8">
        <v>49900</v>
      </c>
      <c r="N155" s="9">
        <v>0.95</v>
      </c>
      <c r="O155" s="8">
        <f t="shared" si="6"/>
        <v>2495</v>
      </c>
      <c r="P155" s="6" t="s">
        <v>16</v>
      </c>
    </row>
    <row r="156" spans="1:16" x14ac:dyDescent="0.35">
      <c r="A156" s="6" t="s">
        <v>5569</v>
      </c>
      <c r="B156" s="7">
        <f t="shared" si="7"/>
        <v>46121</v>
      </c>
      <c r="C156" s="7">
        <f t="shared" si="8"/>
        <v>46127</v>
      </c>
      <c r="D156" s="6">
        <v>3287</v>
      </c>
      <c r="E156" s="6">
        <v>338</v>
      </c>
      <c r="F156" s="6">
        <v>4</v>
      </c>
      <c r="G156" s="6">
        <v>3</v>
      </c>
      <c r="H156" s="6">
        <v>850</v>
      </c>
      <c r="I156" s="6" t="s">
        <v>17</v>
      </c>
      <c r="J156" s="6">
        <v>23496362</v>
      </c>
      <c r="K156" s="6" t="s">
        <v>2463</v>
      </c>
      <c r="L156" s="16" t="s">
        <v>2464</v>
      </c>
      <c r="M156" s="8">
        <v>49900</v>
      </c>
      <c r="N156" s="9">
        <v>0.95</v>
      </c>
      <c r="O156" s="8">
        <f t="shared" si="6"/>
        <v>2495</v>
      </c>
      <c r="P156" s="6" t="s">
        <v>16</v>
      </c>
    </row>
    <row r="157" spans="1:16" x14ac:dyDescent="0.35">
      <c r="A157" s="6" t="s">
        <v>5569</v>
      </c>
      <c r="B157" s="7">
        <f t="shared" si="7"/>
        <v>46121</v>
      </c>
      <c r="C157" s="7">
        <f t="shared" si="8"/>
        <v>46127</v>
      </c>
      <c r="D157" s="6">
        <v>3287</v>
      </c>
      <c r="E157" s="6">
        <v>338</v>
      </c>
      <c r="F157" s="6">
        <v>4</v>
      </c>
      <c r="G157" s="6">
        <v>1</v>
      </c>
      <c r="H157" s="6">
        <v>850</v>
      </c>
      <c r="I157" s="6" t="s">
        <v>17</v>
      </c>
      <c r="J157" s="6">
        <v>20091509</v>
      </c>
      <c r="K157" s="6" t="s">
        <v>2365</v>
      </c>
      <c r="L157" s="16" t="s">
        <v>2366</v>
      </c>
      <c r="M157" s="8">
        <v>32900</v>
      </c>
      <c r="N157" s="9">
        <v>0.95</v>
      </c>
      <c r="O157" s="8">
        <f t="shared" si="6"/>
        <v>1645</v>
      </c>
      <c r="P157" s="6" t="s">
        <v>16</v>
      </c>
    </row>
    <row r="158" spans="1:16" x14ac:dyDescent="0.35">
      <c r="A158" s="6" t="s">
        <v>5569</v>
      </c>
      <c r="B158" s="7">
        <f t="shared" si="7"/>
        <v>46121</v>
      </c>
      <c r="C158" s="7">
        <f t="shared" si="8"/>
        <v>46127</v>
      </c>
      <c r="D158" s="6">
        <v>3287</v>
      </c>
      <c r="E158" s="6">
        <v>338</v>
      </c>
      <c r="F158" s="6">
        <v>4</v>
      </c>
      <c r="G158" s="6">
        <v>4</v>
      </c>
      <c r="H158" s="6">
        <v>81588</v>
      </c>
      <c r="I158" s="6" t="s">
        <v>17</v>
      </c>
      <c r="J158" s="6">
        <v>20471465</v>
      </c>
      <c r="K158" s="6" t="s">
        <v>5172</v>
      </c>
      <c r="L158" s="16" t="s">
        <v>5173</v>
      </c>
      <c r="M158" s="8">
        <v>169900</v>
      </c>
      <c r="N158" s="9">
        <v>0.95</v>
      </c>
      <c r="O158" s="8">
        <f t="shared" si="6"/>
        <v>8495</v>
      </c>
      <c r="P158" s="6" t="s">
        <v>16</v>
      </c>
    </row>
    <row r="159" spans="1:16" x14ac:dyDescent="0.35">
      <c r="A159" s="6" t="s">
        <v>5569</v>
      </c>
      <c r="B159" s="7">
        <f t="shared" si="7"/>
        <v>46121</v>
      </c>
      <c r="C159" s="7">
        <f t="shared" si="8"/>
        <v>46127</v>
      </c>
      <c r="D159" s="6">
        <v>3287</v>
      </c>
      <c r="E159" s="6">
        <v>338</v>
      </c>
      <c r="F159" s="6">
        <v>4</v>
      </c>
      <c r="G159" s="6">
        <v>4</v>
      </c>
      <c r="H159" s="6">
        <v>81588</v>
      </c>
      <c r="I159" s="6" t="s">
        <v>17</v>
      </c>
      <c r="J159" s="6">
        <v>20471223</v>
      </c>
      <c r="K159" s="6" t="s">
        <v>5169</v>
      </c>
      <c r="L159" s="16" t="s">
        <v>5170</v>
      </c>
      <c r="M159" s="8">
        <v>169900</v>
      </c>
      <c r="N159" s="9">
        <v>0.95</v>
      </c>
      <c r="O159" s="8">
        <f t="shared" si="6"/>
        <v>8495</v>
      </c>
      <c r="P159" s="6" t="s">
        <v>16</v>
      </c>
    </row>
    <row r="160" spans="1:16" x14ac:dyDescent="0.35">
      <c r="A160" s="6" t="s">
        <v>5569</v>
      </c>
      <c r="B160" s="7">
        <f t="shared" si="7"/>
        <v>46121</v>
      </c>
      <c r="C160" s="7">
        <f t="shared" si="8"/>
        <v>46127</v>
      </c>
      <c r="D160" s="6">
        <v>3287</v>
      </c>
      <c r="E160" s="6">
        <v>338</v>
      </c>
      <c r="F160" s="6">
        <v>4</v>
      </c>
      <c r="G160" s="6">
        <v>4</v>
      </c>
      <c r="H160" s="6">
        <v>81588</v>
      </c>
      <c r="I160" s="6" t="s">
        <v>17</v>
      </c>
      <c r="J160" s="6">
        <v>20471241</v>
      </c>
      <c r="K160" s="6" t="s">
        <v>5169</v>
      </c>
      <c r="L160" s="16" t="s">
        <v>5171</v>
      </c>
      <c r="M160" s="8">
        <v>169900</v>
      </c>
      <c r="N160" s="9">
        <v>0.95</v>
      </c>
      <c r="O160" s="8">
        <f t="shared" si="6"/>
        <v>8495</v>
      </c>
      <c r="P160" s="6" t="s">
        <v>16</v>
      </c>
    </row>
    <row r="161" spans="1:16" x14ac:dyDescent="0.35">
      <c r="A161" s="6" t="s">
        <v>5569</v>
      </c>
      <c r="B161" s="7">
        <f t="shared" si="7"/>
        <v>46121</v>
      </c>
      <c r="C161" s="7">
        <f t="shared" si="8"/>
        <v>46127</v>
      </c>
      <c r="D161" s="6">
        <v>3287</v>
      </c>
      <c r="E161" s="6">
        <v>338</v>
      </c>
      <c r="F161" s="6">
        <v>4</v>
      </c>
      <c r="G161" s="6">
        <v>4</v>
      </c>
      <c r="H161" s="6">
        <v>81588</v>
      </c>
      <c r="I161" s="6" t="s">
        <v>17</v>
      </c>
      <c r="J161" s="6">
        <v>23946312</v>
      </c>
      <c r="K161" s="6" t="s">
        <v>2525</v>
      </c>
      <c r="L161" s="16" t="s">
        <v>2526</v>
      </c>
      <c r="M161" s="8">
        <v>199900</v>
      </c>
      <c r="N161" s="9">
        <v>0.95</v>
      </c>
      <c r="O161" s="8">
        <f t="shared" si="6"/>
        <v>9995</v>
      </c>
      <c r="P161" s="6" t="s">
        <v>16</v>
      </c>
    </row>
    <row r="162" spans="1:16" x14ac:dyDescent="0.35">
      <c r="A162" s="6" t="s">
        <v>5569</v>
      </c>
      <c r="B162" s="7">
        <f t="shared" si="7"/>
        <v>46121</v>
      </c>
      <c r="C162" s="7">
        <f t="shared" si="8"/>
        <v>46127</v>
      </c>
      <c r="D162" s="6">
        <v>3287</v>
      </c>
      <c r="E162" s="6">
        <v>338</v>
      </c>
      <c r="F162" s="6">
        <v>4</v>
      </c>
      <c r="G162" s="6">
        <v>7</v>
      </c>
      <c r="H162" s="6">
        <v>81595</v>
      </c>
      <c r="I162" s="6" t="s">
        <v>17</v>
      </c>
      <c r="J162" s="6">
        <v>22110458</v>
      </c>
      <c r="K162" s="6" t="s">
        <v>2467</v>
      </c>
      <c r="L162" s="16" t="s">
        <v>5095</v>
      </c>
      <c r="M162" s="8">
        <v>22900</v>
      </c>
      <c r="N162" s="9">
        <v>0.95</v>
      </c>
      <c r="O162" s="8">
        <f t="shared" si="6"/>
        <v>1145</v>
      </c>
      <c r="P162" s="6" t="s">
        <v>16</v>
      </c>
    </row>
    <row r="163" spans="1:16" x14ac:dyDescent="0.35">
      <c r="A163" s="6" t="s">
        <v>5569</v>
      </c>
      <c r="B163" s="7">
        <f t="shared" si="7"/>
        <v>46121</v>
      </c>
      <c r="C163" s="7">
        <f t="shared" si="8"/>
        <v>46127</v>
      </c>
      <c r="D163" s="6">
        <v>3287</v>
      </c>
      <c r="E163" s="6">
        <v>338</v>
      </c>
      <c r="F163" s="6">
        <v>4</v>
      </c>
      <c r="G163" s="6">
        <v>7</v>
      </c>
      <c r="H163" s="6">
        <v>81595</v>
      </c>
      <c r="I163" s="6" t="s">
        <v>17</v>
      </c>
      <c r="J163" s="6">
        <v>22110467</v>
      </c>
      <c r="K163" s="6" t="s">
        <v>2467</v>
      </c>
      <c r="L163" s="16" t="s">
        <v>5096</v>
      </c>
      <c r="M163" s="8">
        <v>22900</v>
      </c>
      <c r="N163" s="9">
        <v>0.95</v>
      </c>
      <c r="O163" s="8">
        <f t="shared" si="6"/>
        <v>1145</v>
      </c>
      <c r="P163" s="6" t="s">
        <v>16</v>
      </c>
    </row>
    <row r="164" spans="1:16" x14ac:dyDescent="0.35">
      <c r="A164" s="6" t="s">
        <v>5569</v>
      </c>
      <c r="B164" s="7">
        <f t="shared" si="7"/>
        <v>46121</v>
      </c>
      <c r="C164" s="7">
        <f t="shared" si="8"/>
        <v>46127</v>
      </c>
      <c r="D164" s="6">
        <v>3287</v>
      </c>
      <c r="E164" s="6">
        <v>338</v>
      </c>
      <c r="F164" s="6">
        <v>4</v>
      </c>
      <c r="G164" s="6">
        <v>7</v>
      </c>
      <c r="H164" s="6">
        <v>81595</v>
      </c>
      <c r="I164" s="6" t="s">
        <v>17</v>
      </c>
      <c r="J164" s="6">
        <v>22110476</v>
      </c>
      <c r="K164" s="6" t="s">
        <v>2467</v>
      </c>
      <c r="L164" s="16" t="s">
        <v>2468</v>
      </c>
      <c r="M164" s="8">
        <v>22900</v>
      </c>
      <c r="N164" s="9">
        <v>0.95</v>
      </c>
      <c r="O164" s="8">
        <f t="shared" si="6"/>
        <v>1145</v>
      </c>
      <c r="P164" s="6" t="s">
        <v>16</v>
      </c>
    </row>
    <row r="165" spans="1:16" x14ac:dyDescent="0.35">
      <c r="A165" s="6" t="s">
        <v>5569</v>
      </c>
      <c r="B165" s="7">
        <f t="shared" si="7"/>
        <v>46121</v>
      </c>
      <c r="C165" s="7">
        <f t="shared" si="8"/>
        <v>46127</v>
      </c>
      <c r="D165" s="6">
        <v>3287</v>
      </c>
      <c r="E165" s="6">
        <v>338</v>
      </c>
      <c r="F165" s="6">
        <v>4</v>
      </c>
      <c r="G165" s="6">
        <v>7</v>
      </c>
      <c r="H165" s="6">
        <v>81595</v>
      </c>
      <c r="I165" s="6" t="s">
        <v>17</v>
      </c>
      <c r="J165" s="6">
        <v>22111304</v>
      </c>
      <c r="K165" s="6" t="s">
        <v>2469</v>
      </c>
      <c r="L165" s="16" t="s">
        <v>5097</v>
      </c>
      <c r="M165" s="8">
        <v>27900</v>
      </c>
      <c r="N165" s="9">
        <v>0.95</v>
      </c>
      <c r="O165" s="8">
        <f t="shared" si="6"/>
        <v>1395</v>
      </c>
      <c r="P165" s="6" t="s">
        <v>16</v>
      </c>
    </row>
    <row r="166" spans="1:16" x14ac:dyDescent="0.35">
      <c r="A166" s="6" t="s">
        <v>5569</v>
      </c>
      <c r="B166" s="7">
        <f t="shared" si="7"/>
        <v>46121</v>
      </c>
      <c r="C166" s="7">
        <f t="shared" si="8"/>
        <v>46127</v>
      </c>
      <c r="D166" s="6">
        <v>3287</v>
      </c>
      <c r="E166" s="6">
        <v>338</v>
      </c>
      <c r="F166" s="6">
        <v>4</v>
      </c>
      <c r="G166" s="6">
        <v>7</v>
      </c>
      <c r="H166" s="6">
        <v>81595</v>
      </c>
      <c r="I166" s="6" t="s">
        <v>17</v>
      </c>
      <c r="J166" s="6">
        <v>22666626</v>
      </c>
      <c r="K166" s="6" t="s">
        <v>2469</v>
      </c>
      <c r="L166" s="16" t="s">
        <v>2470</v>
      </c>
      <c r="M166" s="8">
        <v>27900</v>
      </c>
      <c r="N166" s="9">
        <v>0.95</v>
      </c>
      <c r="O166" s="8">
        <f t="shared" si="6"/>
        <v>1395</v>
      </c>
      <c r="P166" s="6" t="s">
        <v>16</v>
      </c>
    </row>
    <row r="167" spans="1:16" x14ac:dyDescent="0.35">
      <c r="A167" s="6" t="s">
        <v>5569</v>
      </c>
      <c r="B167" s="7">
        <f t="shared" si="7"/>
        <v>46121</v>
      </c>
      <c r="C167" s="7">
        <f t="shared" si="8"/>
        <v>46127</v>
      </c>
      <c r="D167" s="6">
        <v>3287</v>
      </c>
      <c r="E167" s="6">
        <v>338</v>
      </c>
      <c r="F167" s="6">
        <v>4</v>
      </c>
      <c r="G167" s="6">
        <v>7</v>
      </c>
      <c r="H167" s="6">
        <v>81595</v>
      </c>
      <c r="I167" s="6" t="s">
        <v>17</v>
      </c>
      <c r="J167" s="6">
        <v>22666644</v>
      </c>
      <c r="K167" s="6" t="s">
        <v>2469</v>
      </c>
      <c r="L167" s="16" t="s">
        <v>5098</v>
      </c>
      <c r="M167" s="8">
        <v>27900</v>
      </c>
      <c r="N167" s="9">
        <v>0.95</v>
      </c>
      <c r="O167" s="8">
        <f t="shared" si="6"/>
        <v>1395</v>
      </c>
      <c r="P167" s="6" t="s">
        <v>16</v>
      </c>
    </row>
    <row r="168" spans="1:16" x14ac:dyDescent="0.35">
      <c r="A168" s="6" t="s">
        <v>5569</v>
      </c>
      <c r="B168" s="7">
        <f t="shared" si="7"/>
        <v>46121</v>
      </c>
      <c r="C168" s="7">
        <f t="shared" si="8"/>
        <v>46127</v>
      </c>
      <c r="D168" s="6">
        <v>3287</v>
      </c>
      <c r="E168" s="6">
        <v>338</v>
      </c>
      <c r="F168" s="6">
        <v>4</v>
      </c>
      <c r="G168" s="6">
        <v>7</v>
      </c>
      <c r="H168" s="6">
        <v>81595</v>
      </c>
      <c r="I168" s="6" t="s">
        <v>17</v>
      </c>
      <c r="J168" s="6">
        <v>21785955</v>
      </c>
      <c r="K168" s="6" t="s">
        <v>5091</v>
      </c>
      <c r="L168" s="16" t="s">
        <v>5092</v>
      </c>
      <c r="M168" s="8">
        <v>22900</v>
      </c>
      <c r="N168" s="9">
        <v>0.95</v>
      </c>
      <c r="O168" s="8">
        <f t="shared" si="6"/>
        <v>1145</v>
      </c>
      <c r="P168" s="6" t="s">
        <v>16</v>
      </c>
    </row>
    <row r="169" spans="1:16" x14ac:dyDescent="0.35">
      <c r="A169" s="6" t="s">
        <v>5569</v>
      </c>
      <c r="B169" s="7">
        <f t="shared" si="7"/>
        <v>46121</v>
      </c>
      <c r="C169" s="7">
        <f t="shared" si="8"/>
        <v>46127</v>
      </c>
      <c r="D169" s="6">
        <v>3287</v>
      </c>
      <c r="E169" s="6">
        <v>338</v>
      </c>
      <c r="F169" s="6">
        <v>4</v>
      </c>
      <c r="G169" s="6">
        <v>7</v>
      </c>
      <c r="H169" s="6">
        <v>81595</v>
      </c>
      <c r="I169" s="6" t="s">
        <v>17</v>
      </c>
      <c r="J169" s="6">
        <v>21785482</v>
      </c>
      <c r="K169" s="6" t="s">
        <v>5088</v>
      </c>
      <c r="L169" s="16" t="s">
        <v>5089</v>
      </c>
      <c r="M169" s="8">
        <v>22900</v>
      </c>
      <c r="N169" s="9">
        <v>0.95</v>
      </c>
      <c r="O169" s="8">
        <f t="shared" si="6"/>
        <v>1145</v>
      </c>
      <c r="P169" s="6" t="s">
        <v>16</v>
      </c>
    </row>
    <row r="170" spans="1:16" x14ac:dyDescent="0.35">
      <c r="A170" s="6" t="s">
        <v>5569</v>
      </c>
      <c r="B170" s="7">
        <f t="shared" si="7"/>
        <v>46121</v>
      </c>
      <c r="C170" s="7">
        <f t="shared" si="8"/>
        <v>46127</v>
      </c>
      <c r="D170" s="6">
        <v>3287</v>
      </c>
      <c r="E170" s="6">
        <v>338</v>
      </c>
      <c r="F170" s="6">
        <v>4</v>
      </c>
      <c r="G170" s="6">
        <v>7</v>
      </c>
      <c r="H170" s="6">
        <v>81595</v>
      </c>
      <c r="I170" s="6" t="s">
        <v>17</v>
      </c>
      <c r="J170" s="6">
        <v>21785713</v>
      </c>
      <c r="K170" s="6" t="s">
        <v>5090</v>
      </c>
      <c r="L170" s="16" t="s">
        <v>2474</v>
      </c>
      <c r="M170" s="8">
        <v>27900</v>
      </c>
      <c r="N170" s="9">
        <v>0.95</v>
      </c>
      <c r="O170" s="8">
        <f t="shared" si="6"/>
        <v>1395</v>
      </c>
      <c r="P170" s="6" t="s">
        <v>16</v>
      </c>
    </row>
    <row r="171" spans="1:16" x14ac:dyDescent="0.35">
      <c r="A171" s="6" t="s">
        <v>5569</v>
      </c>
      <c r="B171" s="7">
        <f t="shared" si="7"/>
        <v>46121</v>
      </c>
      <c r="C171" s="7">
        <f t="shared" si="8"/>
        <v>46127</v>
      </c>
      <c r="D171" s="6">
        <v>3287</v>
      </c>
      <c r="E171" s="6">
        <v>338</v>
      </c>
      <c r="F171" s="6">
        <v>4</v>
      </c>
      <c r="G171" s="6">
        <v>7</v>
      </c>
      <c r="H171" s="6">
        <v>81595</v>
      </c>
      <c r="I171" s="6" t="s">
        <v>17</v>
      </c>
      <c r="J171" s="6">
        <v>23278722</v>
      </c>
      <c r="K171" s="6" t="s">
        <v>2473</v>
      </c>
      <c r="L171" s="16" t="s">
        <v>2474</v>
      </c>
      <c r="M171" s="8">
        <v>27900</v>
      </c>
      <c r="N171" s="9">
        <v>0.95</v>
      </c>
      <c r="O171" s="8">
        <f t="shared" si="6"/>
        <v>1395</v>
      </c>
      <c r="P171" s="6" t="s">
        <v>16</v>
      </c>
    </row>
    <row r="172" spans="1:16" x14ac:dyDescent="0.35">
      <c r="A172" s="6" t="s">
        <v>5569</v>
      </c>
      <c r="B172" s="7">
        <f t="shared" si="7"/>
        <v>46121</v>
      </c>
      <c r="C172" s="7">
        <f t="shared" si="8"/>
        <v>46127</v>
      </c>
      <c r="D172" s="6">
        <v>3287</v>
      </c>
      <c r="E172" s="6">
        <v>338</v>
      </c>
      <c r="F172" s="6">
        <v>4</v>
      </c>
      <c r="G172" s="6">
        <v>4</v>
      </c>
      <c r="H172" s="6">
        <v>850</v>
      </c>
      <c r="I172" s="6" t="s">
        <v>17</v>
      </c>
      <c r="J172" s="6">
        <v>22108407</v>
      </c>
      <c r="K172" s="6" t="s">
        <v>5094</v>
      </c>
      <c r="L172" s="16" t="s">
        <v>5151</v>
      </c>
      <c r="M172" s="8">
        <v>189900</v>
      </c>
      <c r="N172" s="9">
        <v>0.95</v>
      </c>
      <c r="O172" s="8">
        <f t="shared" si="6"/>
        <v>9495</v>
      </c>
      <c r="P172" s="6" t="s">
        <v>16</v>
      </c>
    </row>
    <row r="173" spans="1:16" x14ac:dyDescent="0.35">
      <c r="A173" s="6" t="s">
        <v>5569</v>
      </c>
      <c r="B173" s="7">
        <f t="shared" si="7"/>
        <v>46121</v>
      </c>
      <c r="C173" s="7">
        <f t="shared" si="8"/>
        <v>46127</v>
      </c>
      <c r="D173" s="6">
        <v>3287</v>
      </c>
      <c r="E173" s="6">
        <v>338</v>
      </c>
      <c r="F173" s="6">
        <v>4</v>
      </c>
      <c r="G173" s="6">
        <v>4</v>
      </c>
      <c r="H173" s="6">
        <v>850</v>
      </c>
      <c r="I173" s="6" t="s">
        <v>17</v>
      </c>
      <c r="J173" s="6">
        <v>22108434</v>
      </c>
      <c r="K173" s="6" t="s">
        <v>5094</v>
      </c>
      <c r="L173" s="16" t="s">
        <v>5152</v>
      </c>
      <c r="M173" s="8">
        <v>199900</v>
      </c>
      <c r="N173" s="9">
        <v>0.95</v>
      </c>
      <c r="O173" s="8">
        <f t="shared" si="6"/>
        <v>9995</v>
      </c>
      <c r="P173" s="6" t="s">
        <v>16</v>
      </c>
    </row>
    <row r="174" spans="1:16" x14ac:dyDescent="0.35">
      <c r="A174" s="6" t="s">
        <v>5569</v>
      </c>
      <c r="B174" s="7">
        <f t="shared" si="7"/>
        <v>46121</v>
      </c>
      <c r="C174" s="7">
        <f t="shared" si="8"/>
        <v>46127</v>
      </c>
      <c r="D174" s="6">
        <v>3287</v>
      </c>
      <c r="E174" s="6">
        <v>338</v>
      </c>
      <c r="F174" s="6">
        <v>4</v>
      </c>
      <c r="G174" s="6">
        <v>4</v>
      </c>
      <c r="H174" s="6">
        <v>850</v>
      </c>
      <c r="I174" s="6" t="s">
        <v>17</v>
      </c>
      <c r="J174" s="6">
        <v>22108498</v>
      </c>
      <c r="K174" s="6" t="s">
        <v>5094</v>
      </c>
      <c r="L174" s="16" t="s">
        <v>5153</v>
      </c>
      <c r="M174" s="8">
        <v>189900</v>
      </c>
      <c r="N174" s="9">
        <v>0.95</v>
      </c>
      <c r="O174" s="8">
        <f t="shared" si="6"/>
        <v>9495</v>
      </c>
      <c r="P174" s="6" t="s">
        <v>16</v>
      </c>
    </row>
    <row r="175" spans="1:16" x14ac:dyDescent="0.35">
      <c r="A175" s="6" t="s">
        <v>5569</v>
      </c>
      <c r="B175" s="7">
        <f t="shared" si="7"/>
        <v>46121</v>
      </c>
      <c r="C175" s="7">
        <f t="shared" si="8"/>
        <v>46127</v>
      </c>
      <c r="D175" s="6">
        <v>3287</v>
      </c>
      <c r="E175" s="6">
        <v>338</v>
      </c>
      <c r="F175" s="6">
        <v>4</v>
      </c>
      <c r="G175" s="6">
        <v>7</v>
      </c>
      <c r="H175" s="6">
        <v>81595</v>
      </c>
      <c r="I175" s="6" t="s">
        <v>17</v>
      </c>
      <c r="J175" s="6">
        <v>22110154</v>
      </c>
      <c r="K175" s="6" t="s">
        <v>5094</v>
      </c>
      <c r="L175" s="16" t="s">
        <v>2472</v>
      </c>
      <c r="M175" s="8">
        <v>27900</v>
      </c>
      <c r="N175" s="9">
        <v>0.95</v>
      </c>
      <c r="O175" s="8">
        <f t="shared" si="6"/>
        <v>1395</v>
      </c>
      <c r="P175" s="6" t="s">
        <v>16</v>
      </c>
    </row>
    <row r="176" spans="1:16" x14ac:dyDescent="0.35">
      <c r="A176" s="6" t="s">
        <v>5569</v>
      </c>
      <c r="B176" s="7">
        <f t="shared" si="7"/>
        <v>46121</v>
      </c>
      <c r="C176" s="7">
        <f t="shared" si="8"/>
        <v>46127</v>
      </c>
      <c r="D176" s="6">
        <v>3287</v>
      </c>
      <c r="E176" s="6">
        <v>338</v>
      </c>
      <c r="F176" s="6">
        <v>4</v>
      </c>
      <c r="G176" s="6">
        <v>7</v>
      </c>
      <c r="H176" s="6">
        <v>81595</v>
      </c>
      <c r="I176" s="6" t="s">
        <v>17</v>
      </c>
      <c r="J176" s="6">
        <v>23278697</v>
      </c>
      <c r="K176" s="6" t="s">
        <v>2471</v>
      </c>
      <c r="L176" s="16" t="s">
        <v>2472</v>
      </c>
      <c r="M176" s="8">
        <v>27900</v>
      </c>
      <c r="N176" s="9">
        <v>0.95</v>
      </c>
      <c r="O176" s="8">
        <f t="shared" si="6"/>
        <v>1395</v>
      </c>
      <c r="P176" s="6" t="s">
        <v>16</v>
      </c>
    </row>
    <row r="177" spans="1:16" x14ac:dyDescent="0.35">
      <c r="A177" s="6" t="s">
        <v>5569</v>
      </c>
      <c r="B177" s="7">
        <f t="shared" si="7"/>
        <v>46121</v>
      </c>
      <c r="C177" s="7">
        <f t="shared" si="8"/>
        <v>46127</v>
      </c>
      <c r="D177" s="6">
        <v>3287</v>
      </c>
      <c r="E177" s="6">
        <v>338</v>
      </c>
      <c r="F177" s="6">
        <v>4</v>
      </c>
      <c r="G177" s="6">
        <v>7</v>
      </c>
      <c r="H177" s="6">
        <v>81595</v>
      </c>
      <c r="I177" s="6" t="s">
        <v>17</v>
      </c>
      <c r="J177" s="6">
        <v>24212915</v>
      </c>
      <c r="K177" s="6" t="s">
        <v>2475</v>
      </c>
      <c r="L177" s="16" t="s">
        <v>2476</v>
      </c>
      <c r="M177" s="8">
        <v>27900</v>
      </c>
      <c r="N177" s="9">
        <v>0.95</v>
      </c>
      <c r="O177" s="8">
        <f t="shared" si="6"/>
        <v>1395</v>
      </c>
      <c r="P177" s="6" t="s">
        <v>16</v>
      </c>
    </row>
    <row r="178" spans="1:16" x14ac:dyDescent="0.35">
      <c r="A178" s="6" t="s">
        <v>5569</v>
      </c>
      <c r="B178" s="7">
        <f t="shared" si="7"/>
        <v>46121</v>
      </c>
      <c r="C178" s="7">
        <f t="shared" si="8"/>
        <v>46127</v>
      </c>
      <c r="D178" s="6">
        <v>3287</v>
      </c>
      <c r="E178" s="6">
        <v>338</v>
      </c>
      <c r="F178" s="6">
        <v>4</v>
      </c>
      <c r="G178" s="6">
        <v>1</v>
      </c>
      <c r="H178" s="6">
        <v>850</v>
      </c>
      <c r="I178" s="6" t="s">
        <v>17</v>
      </c>
      <c r="J178" s="6">
        <v>22116256</v>
      </c>
      <c r="K178" s="6" t="s">
        <v>5054</v>
      </c>
      <c r="L178" s="16" t="s">
        <v>5055</v>
      </c>
      <c r="M178" s="8">
        <v>39900</v>
      </c>
      <c r="N178" s="9">
        <v>0.95</v>
      </c>
      <c r="O178" s="8">
        <f t="shared" si="6"/>
        <v>1995</v>
      </c>
      <c r="P178" s="6" t="s">
        <v>16</v>
      </c>
    </row>
    <row r="179" spans="1:16" x14ac:dyDescent="0.35">
      <c r="A179" s="6" t="s">
        <v>5569</v>
      </c>
      <c r="B179" s="7">
        <f t="shared" si="7"/>
        <v>46121</v>
      </c>
      <c r="C179" s="7">
        <f t="shared" si="8"/>
        <v>46127</v>
      </c>
      <c r="D179" s="6">
        <v>3287</v>
      </c>
      <c r="E179" s="6">
        <v>338</v>
      </c>
      <c r="F179" s="6">
        <v>4</v>
      </c>
      <c r="G179" s="6">
        <v>3</v>
      </c>
      <c r="H179" s="6">
        <v>850</v>
      </c>
      <c r="I179" s="6" t="s">
        <v>17</v>
      </c>
      <c r="J179" s="6">
        <v>20870337</v>
      </c>
      <c r="K179" s="6" t="s">
        <v>5046</v>
      </c>
      <c r="L179" s="16" t="s">
        <v>5047</v>
      </c>
      <c r="M179" s="8">
        <v>34900</v>
      </c>
      <c r="N179" s="9">
        <v>0.95</v>
      </c>
      <c r="O179" s="8">
        <f t="shared" si="6"/>
        <v>1745</v>
      </c>
      <c r="P179" s="6" t="s">
        <v>16</v>
      </c>
    </row>
    <row r="180" spans="1:16" x14ac:dyDescent="0.35">
      <c r="A180" s="6" t="s">
        <v>5569</v>
      </c>
      <c r="B180" s="7">
        <f t="shared" si="7"/>
        <v>46121</v>
      </c>
      <c r="C180" s="7">
        <f t="shared" si="8"/>
        <v>46127</v>
      </c>
      <c r="D180" s="6">
        <v>3287</v>
      </c>
      <c r="E180" s="6">
        <v>338</v>
      </c>
      <c r="F180" s="6">
        <v>4</v>
      </c>
      <c r="G180" s="6">
        <v>6</v>
      </c>
      <c r="H180" s="6">
        <v>850</v>
      </c>
      <c r="I180" s="6" t="s">
        <v>17</v>
      </c>
      <c r="J180" s="6">
        <v>20835634</v>
      </c>
      <c r="K180" s="6" t="s">
        <v>2554</v>
      </c>
      <c r="L180" s="16" t="s">
        <v>2555</v>
      </c>
      <c r="M180" s="8">
        <v>179900</v>
      </c>
      <c r="N180" s="9">
        <v>0.95</v>
      </c>
      <c r="O180" s="8">
        <f t="shared" si="6"/>
        <v>8995</v>
      </c>
      <c r="P180" s="6" t="s">
        <v>16</v>
      </c>
    </row>
    <row r="181" spans="1:16" x14ac:dyDescent="0.35">
      <c r="A181" s="6" t="s">
        <v>5569</v>
      </c>
      <c r="B181" s="7">
        <f t="shared" si="7"/>
        <v>46121</v>
      </c>
      <c r="C181" s="7">
        <f t="shared" si="8"/>
        <v>46127</v>
      </c>
      <c r="D181" s="6">
        <v>3287</v>
      </c>
      <c r="E181" s="6">
        <v>338</v>
      </c>
      <c r="F181" s="6">
        <v>4</v>
      </c>
      <c r="G181" s="6">
        <v>6</v>
      </c>
      <c r="H181" s="6">
        <v>81588</v>
      </c>
      <c r="I181" s="6" t="s">
        <v>17</v>
      </c>
      <c r="J181" s="6">
        <v>20902007</v>
      </c>
      <c r="K181" s="6" t="s">
        <v>5174</v>
      </c>
      <c r="L181" s="16" t="s">
        <v>5175</v>
      </c>
      <c r="M181" s="8">
        <v>189900</v>
      </c>
      <c r="N181" s="9">
        <v>0.95</v>
      </c>
      <c r="O181" s="8">
        <f t="shared" si="6"/>
        <v>9495</v>
      </c>
      <c r="P181" s="6" t="s">
        <v>16</v>
      </c>
    </row>
    <row r="182" spans="1:16" x14ac:dyDescent="0.35">
      <c r="A182" s="6" t="s">
        <v>5569</v>
      </c>
      <c r="B182" s="7">
        <f t="shared" si="7"/>
        <v>46121</v>
      </c>
      <c r="C182" s="7">
        <f t="shared" si="8"/>
        <v>46127</v>
      </c>
      <c r="D182" s="6">
        <v>3287</v>
      </c>
      <c r="E182" s="6">
        <v>338</v>
      </c>
      <c r="F182" s="6">
        <v>4</v>
      </c>
      <c r="G182" s="6">
        <v>1</v>
      </c>
      <c r="H182" s="6">
        <v>850</v>
      </c>
      <c r="I182" s="6" t="s">
        <v>17</v>
      </c>
      <c r="J182" s="6">
        <v>20868162</v>
      </c>
      <c r="K182" s="6" t="s">
        <v>5044</v>
      </c>
      <c r="L182" s="16" t="s">
        <v>5045</v>
      </c>
      <c r="M182" s="8">
        <v>34900</v>
      </c>
      <c r="N182" s="9">
        <v>0.95</v>
      </c>
      <c r="O182" s="8">
        <f t="shared" si="6"/>
        <v>1745</v>
      </c>
      <c r="P182" s="6" t="s">
        <v>16</v>
      </c>
    </row>
    <row r="183" spans="1:16" x14ac:dyDescent="0.35">
      <c r="A183" s="6" t="s">
        <v>5569</v>
      </c>
      <c r="B183" s="7">
        <f t="shared" si="7"/>
        <v>46121</v>
      </c>
      <c r="C183" s="7">
        <f t="shared" si="8"/>
        <v>46127</v>
      </c>
      <c r="D183" s="6">
        <v>3287</v>
      </c>
      <c r="E183" s="6">
        <v>338</v>
      </c>
      <c r="F183" s="6">
        <v>4</v>
      </c>
      <c r="G183" s="6">
        <v>7</v>
      </c>
      <c r="H183" s="6">
        <v>81595</v>
      </c>
      <c r="I183" s="6" t="s">
        <v>17</v>
      </c>
      <c r="J183" s="6">
        <v>25195924</v>
      </c>
      <c r="K183" s="6" t="s">
        <v>2547</v>
      </c>
      <c r="L183" s="16" t="s">
        <v>2548</v>
      </c>
      <c r="M183" s="8">
        <v>27900</v>
      </c>
      <c r="N183" s="9">
        <v>0.95</v>
      </c>
      <c r="O183" s="8">
        <f t="shared" si="6"/>
        <v>1395</v>
      </c>
      <c r="P183" s="6" t="s">
        <v>16</v>
      </c>
    </row>
    <row r="184" spans="1:16" x14ac:dyDescent="0.35">
      <c r="A184" s="6" t="s">
        <v>5569</v>
      </c>
      <c r="B184" s="7">
        <f t="shared" si="7"/>
        <v>46121</v>
      </c>
      <c r="C184" s="7">
        <f t="shared" si="8"/>
        <v>46127</v>
      </c>
      <c r="D184" s="6">
        <v>3287</v>
      </c>
      <c r="E184" s="6">
        <v>338</v>
      </c>
      <c r="F184" s="6">
        <v>4</v>
      </c>
      <c r="G184" s="6">
        <v>7</v>
      </c>
      <c r="H184" s="6">
        <v>81595</v>
      </c>
      <c r="I184" s="6" t="s">
        <v>17</v>
      </c>
      <c r="J184" s="6">
        <v>25195933</v>
      </c>
      <c r="K184" s="6" t="s">
        <v>2547</v>
      </c>
      <c r="L184" s="16" t="s">
        <v>2549</v>
      </c>
      <c r="M184" s="8">
        <v>27900</v>
      </c>
      <c r="N184" s="9">
        <v>0.95</v>
      </c>
      <c r="O184" s="8">
        <f t="shared" si="6"/>
        <v>1395</v>
      </c>
      <c r="P184" s="6" t="s">
        <v>16</v>
      </c>
    </row>
    <row r="185" spans="1:16" x14ac:dyDescent="0.35">
      <c r="A185" s="6" t="s">
        <v>5569</v>
      </c>
      <c r="B185" s="7">
        <f t="shared" si="7"/>
        <v>46121</v>
      </c>
      <c r="C185" s="7">
        <f t="shared" si="8"/>
        <v>46127</v>
      </c>
      <c r="D185" s="6">
        <v>3287</v>
      </c>
      <c r="E185" s="6">
        <v>338</v>
      </c>
      <c r="F185" s="6">
        <v>4</v>
      </c>
      <c r="G185" s="6">
        <v>7</v>
      </c>
      <c r="H185" s="6">
        <v>81595</v>
      </c>
      <c r="I185" s="6" t="s">
        <v>17</v>
      </c>
      <c r="J185" s="6">
        <v>25195960</v>
      </c>
      <c r="K185" s="6" t="s">
        <v>2552</v>
      </c>
      <c r="L185" s="16" t="s">
        <v>2553</v>
      </c>
      <c r="M185" s="8">
        <v>27900</v>
      </c>
      <c r="N185" s="9">
        <v>0.95</v>
      </c>
      <c r="O185" s="8">
        <f t="shared" si="6"/>
        <v>1395</v>
      </c>
      <c r="P185" s="6" t="s">
        <v>16</v>
      </c>
    </row>
    <row r="186" spans="1:16" x14ac:dyDescent="0.35">
      <c r="A186" s="6" t="s">
        <v>5569</v>
      </c>
      <c r="B186" s="7">
        <f t="shared" si="7"/>
        <v>46121</v>
      </c>
      <c r="C186" s="7">
        <f t="shared" si="8"/>
        <v>46127</v>
      </c>
      <c r="D186" s="6">
        <v>3287</v>
      </c>
      <c r="E186" s="6">
        <v>338</v>
      </c>
      <c r="F186" s="6">
        <v>4</v>
      </c>
      <c r="G186" s="6">
        <v>7</v>
      </c>
      <c r="H186" s="6">
        <v>81595</v>
      </c>
      <c r="I186" s="6" t="s">
        <v>17</v>
      </c>
      <c r="J186" s="6">
        <v>25195942</v>
      </c>
      <c r="K186" s="6" t="s">
        <v>2550</v>
      </c>
      <c r="L186" s="16" t="s">
        <v>2551</v>
      </c>
      <c r="M186" s="8">
        <v>27900</v>
      </c>
      <c r="N186" s="9">
        <v>0.95</v>
      </c>
      <c r="O186" s="8">
        <f t="shared" si="6"/>
        <v>1395</v>
      </c>
      <c r="P186" s="6" t="s">
        <v>16</v>
      </c>
    </row>
    <row r="187" spans="1:16" x14ac:dyDescent="0.35">
      <c r="A187" s="6" t="s">
        <v>5569</v>
      </c>
      <c r="B187" s="7">
        <f t="shared" si="7"/>
        <v>46121</v>
      </c>
      <c r="C187" s="7">
        <f t="shared" si="8"/>
        <v>46127</v>
      </c>
      <c r="D187" s="6">
        <v>3287</v>
      </c>
      <c r="E187" s="6">
        <v>338</v>
      </c>
      <c r="F187" s="6">
        <v>4</v>
      </c>
      <c r="G187" s="6">
        <v>6</v>
      </c>
      <c r="H187" s="6">
        <v>80860</v>
      </c>
      <c r="I187" s="6" t="s">
        <v>17</v>
      </c>
      <c r="J187" s="6">
        <v>18619131</v>
      </c>
      <c r="K187" s="6" t="s">
        <v>5165</v>
      </c>
      <c r="L187" s="16" t="s">
        <v>5166</v>
      </c>
      <c r="M187" s="8">
        <v>179900</v>
      </c>
      <c r="N187" s="9">
        <v>0.95</v>
      </c>
      <c r="O187" s="8">
        <f t="shared" si="6"/>
        <v>8995</v>
      </c>
      <c r="P187" s="6" t="s">
        <v>16</v>
      </c>
    </row>
    <row r="188" spans="1:16" x14ac:dyDescent="0.35">
      <c r="A188" s="6" t="s">
        <v>5569</v>
      </c>
      <c r="B188" s="7">
        <f t="shared" si="7"/>
        <v>46121</v>
      </c>
      <c r="C188" s="7">
        <f t="shared" si="8"/>
        <v>46127</v>
      </c>
      <c r="D188" s="6">
        <v>3287</v>
      </c>
      <c r="E188" s="6">
        <v>338</v>
      </c>
      <c r="F188" s="6">
        <v>4</v>
      </c>
      <c r="G188" s="6">
        <v>6</v>
      </c>
      <c r="H188" s="6">
        <v>80860</v>
      </c>
      <c r="I188" s="6" t="s">
        <v>17</v>
      </c>
      <c r="J188" s="6">
        <v>18619195</v>
      </c>
      <c r="K188" s="6" t="s">
        <v>5165</v>
      </c>
      <c r="L188" s="16" t="s">
        <v>5167</v>
      </c>
      <c r="M188" s="8">
        <v>179900</v>
      </c>
      <c r="N188" s="9">
        <v>0.95</v>
      </c>
      <c r="O188" s="8">
        <f t="shared" si="6"/>
        <v>8995</v>
      </c>
      <c r="P188" s="6" t="s">
        <v>16</v>
      </c>
    </row>
    <row r="189" spans="1:16" x14ac:dyDescent="0.35">
      <c r="A189" s="6" t="s">
        <v>5569</v>
      </c>
      <c r="B189" s="7">
        <f t="shared" si="7"/>
        <v>46121</v>
      </c>
      <c r="C189" s="7">
        <f t="shared" si="8"/>
        <v>46127</v>
      </c>
      <c r="D189" s="6">
        <v>3287</v>
      </c>
      <c r="E189" s="6">
        <v>338</v>
      </c>
      <c r="F189" s="6">
        <v>4</v>
      </c>
      <c r="G189" s="6">
        <v>6</v>
      </c>
      <c r="H189" s="6">
        <v>80860</v>
      </c>
      <c r="I189" s="6" t="s">
        <v>17</v>
      </c>
      <c r="J189" s="6">
        <v>18618981</v>
      </c>
      <c r="K189" s="6" t="s">
        <v>5163</v>
      </c>
      <c r="L189" s="16" t="s">
        <v>5164</v>
      </c>
      <c r="M189" s="8">
        <v>179900</v>
      </c>
      <c r="N189" s="9">
        <v>0.95</v>
      </c>
      <c r="O189" s="8">
        <f t="shared" si="6"/>
        <v>8995</v>
      </c>
      <c r="P189" s="6" t="s">
        <v>16</v>
      </c>
    </row>
    <row r="190" spans="1:16" x14ac:dyDescent="0.35">
      <c r="A190" s="6" t="s">
        <v>5569</v>
      </c>
      <c r="B190" s="7">
        <f t="shared" si="7"/>
        <v>46121</v>
      </c>
      <c r="C190" s="7">
        <f t="shared" si="8"/>
        <v>46127</v>
      </c>
      <c r="D190" s="6">
        <v>3287</v>
      </c>
      <c r="E190" s="6">
        <v>338</v>
      </c>
      <c r="F190" s="6">
        <v>4</v>
      </c>
      <c r="G190" s="6">
        <v>6</v>
      </c>
      <c r="H190" s="6">
        <v>850</v>
      </c>
      <c r="I190" s="6" t="s">
        <v>17</v>
      </c>
      <c r="J190" s="6">
        <v>24029114</v>
      </c>
      <c r="K190" s="6" t="s">
        <v>2567</v>
      </c>
      <c r="L190" s="16" t="s">
        <v>2568</v>
      </c>
      <c r="M190" s="8">
        <v>199900</v>
      </c>
      <c r="N190" s="9">
        <v>0.95</v>
      </c>
      <c r="O190" s="8">
        <f t="shared" si="6"/>
        <v>9995</v>
      </c>
      <c r="P190" s="6" t="s">
        <v>16</v>
      </c>
    </row>
    <row r="191" spans="1:16" x14ac:dyDescent="0.35">
      <c r="A191" s="6" t="s">
        <v>5569</v>
      </c>
      <c r="B191" s="7">
        <f t="shared" si="7"/>
        <v>46121</v>
      </c>
      <c r="C191" s="7">
        <f t="shared" si="8"/>
        <v>46127</v>
      </c>
      <c r="D191" s="6">
        <v>3287</v>
      </c>
      <c r="E191" s="6">
        <v>338</v>
      </c>
      <c r="F191" s="6">
        <v>4</v>
      </c>
      <c r="G191" s="6">
        <v>6</v>
      </c>
      <c r="H191" s="6">
        <v>850</v>
      </c>
      <c r="I191" s="6" t="s">
        <v>17</v>
      </c>
      <c r="J191" s="6">
        <v>23737208</v>
      </c>
      <c r="K191" s="6" t="s">
        <v>2563</v>
      </c>
      <c r="L191" s="16" t="s">
        <v>2564</v>
      </c>
      <c r="M191" s="8">
        <v>199900</v>
      </c>
      <c r="N191" s="9">
        <v>0.95</v>
      </c>
      <c r="O191" s="8">
        <f t="shared" si="6"/>
        <v>9995</v>
      </c>
      <c r="P191" s="6" t="s">
        <v>16</v>
      </c>
    </row>
    <row r="192" spans="1:16" x14ac:dyDescent="0.35">
      <c r="A192" s="6" t="s">
        <v>5569</v>
      </c>
      <c r="B192" s="7">
        <f t="shared" si="7"/>
        <v>46121</v>
      </c>
      <c r="C192" s="7">
        <f t="shared" si="8"/>
        <v>46127</v>
      </c>
      <c r="D192" s="6">
        <v>3287</v>
      </c>
      <c r="E192" s="6">
        <v>338</v>
      </c>
      <c r="F192" s="6">
        <v>4</v>
      </c>
      <c r="G192" s="6">
        <v>6</v>
      </c>
      <c r="H192" s="6">
        <v>850</v>
      </c>
      <c r="I192" s="6" t="s">
        <v>17</v>
      </c>
      <c r="J192" s="6">
        <v>23737217</v>
      </c>
      <c r="K192" s="6" t="s">
        <v>2563</v>
      </c>
      <c r="L192" s="16" t="s">
        <v>2565</v>
      </c>
      <c r="M192" s="8">
        <v>199900</v>
      </c>
      <c r="N192" s="9">
        <v>0.95</v>
      </c>
      <c r="O192" s="8">
        <f t="shared" si="6"/>
        <v>9995</v>
      </c>
      <c r="P192" s="6" t="s">
        <v>16</v>
      </c>
    </row>
    <row r="193" spans="1:16" x14ac:dyDescent="0.35">
      <c r="A193" s="6" t="s">
        <v>5569</v>
      </c>
      <c r="B193" s="7">
        <f t="shared" si="7"/>
        <v>46121</v>
      </c>
      <c r="C193" s="7">
        <f t="shared" si="8"/>
        <v>46127</v>
      </c>
      <c r="D193" s="6">
        <v>3287</v>
      </c>
      <c r="E193" s="6">
        <v>338</v>
      </c>
      <c r="F193" s="6">
        <v>4</v>
      </c>
      <c r="G193" s="6">
        <v>6</v>
      </c>
      <c r="H193" s="6">
        <v>850</v>
      </c>
      <c r="I193" s="6" t="s">
        <v>17</v>
      </c>
      <c r="J193" s="6">
        <v>23737244</v>
      </c>
      <c r="K193" s="6" t="s">
        <v>2563</v>
      </c>
      <c r="L193" s="16" t="s">
        <v>2566</v>
      </c>
      <c r="M193" s="8">
        <v>199900</v>
      </c>
      <c r="N193" s="9">
        <v>0.95</v>
      </c>
      <c r="O193" s="8">
        <f t="shared" si="6"/>
        <v>9995</v>
      </c>
      <c r="P193" s="6" t="s">
        <v>16</v>
      </c>
    </row>
    <row r="194" spans="1:16" x14ac:dyDescent="0.35">
      <c r="A194" s="6" t="s">
        <v>5569</v>
      </c>
      <c r="B194" s="7">
        <f t="shared" si="7"/>
        <v>46121</v>
      </c>
      <c r="C194" s="7">
        <f t="shared" si="8"/>
        <v>46127</v>
      </c>
      <c r="D194" s="6">
        <v>3287</v>
      </c>
      <c r="E194" s="6">
        <v>338</v>
      </c>
      <c r="F194" s="6">
        <v>4</v>
      </c>
      <c r="G194" s="6">
        <v>6</v>
      </c>
      <c r="H194" s="6">
        <v>850</v>
      </c>
      <c r="I194" s="6" t="s">
        <v>17</v>
      </c>
      <c r="J194" s="6">
        <v>23495309</v>
      </c>
      <c r="K194" s="6" t="s">
        <v>2559</v>
      </c>
      <c r="L194" s="16" t="s">
        <v>2560</v>
      </c>
      <c r="M194" s="8">
        <v>199900</v>
      </c>
      <c r="N194" s="9">
        <v>0.95</v>
      </c>
      <c r="O194" s="8">
        <f t="shared" ref="O194:O211" si="9">M194-((95*M194)/100)</f>
        <v>9995</v>
      </c>
      <c r="P194" s="6" t="s">
        <v>16</v>
      </c>
    </row>
    <row r="195" spans="1:16" x14ac:dyDescent="0.35">
      <c r="A195" s="6" t="s">
        <v>5569</v>
      </c>
      <c r="B195" s="7">
        <f t="shared" si="7"/>
        <v>46121</v>
      </c>
      <c r="C195" s="7">
        <f t="shared" si="8"/>
        <v>46127</v>
      </c>
      <c r="D195" s="6">
        <v>3287</v>
      </c>
      <c r="E195" s="6">
        <v>338</v>
      </c>
      <c r="F195" s="6">
        <v>4</v>
      </c>
      <c r="G195" s="6">
        <v>6</v>
      </c>
      <c r="H195" s="6">
        <v>850</v>
      </c>
      <c r="I195" s="6" t="s">
        <v>17</v>
      </c>
      <c r="J195" s="6">
        <v>23495345</v>
      </c>
      <c r="K195" s="6" t="s">
        <v>2559</v>
      </c>
      <c r="L195" s="16" t="s">
        <v>2561</v>
      </c>
      <c r="M195" s="8">
        <v>199900</v>
      </c>
      <c r="N195" s="9">
        <v>0.95</v>
      </c>
      <c r="O195" s="8">
        <f t="shared" si="9"/>
        <v>9995</v>
      </c>
      <c r="P195" s="6" t="s">
        <v>16</v>
      </c>
    </row>
    <row r="196" spans="1:16" x14ac:dyDescent="0.35">
      <c r="A196" s="6" t="s">
        <v>5569</v>
      </c>
      <c r="B196" s="7">
        <f t="shared" ref="B196:B211" si="10">B195</f>
        <v>46121</v>
      </c>
      <c r="C196" s="7">
        <f t="shared" ref="C196:C211" si="11">C195</f>
        <v>46127</v>
      </c>
      <c r="D196" s="6">
        <v>3287</v>
      </c>
      <c r="E196" s="6">
        <v>338</v>
      </c>
      <c r="F196" s="6">
        <v>4</v>
      </c>
      <c r="G196" s="6">
        <v>6</v>
      </c>
      <c r="H196" s="6">
        <v>850</v>
      </c>
      <c r="I196" s="6" t="s">
        <v>17</v>
      </c>
      <c r="J196" s="6">
        <v>23495354</v>
      </c>
      <c r="K196" s="6" t="s">
        <v>2559</v>
      </c>
      <c r="L196" s="16" t="s">
        <v>2562</v>
      </c>
      <c r="M196" s="8">
        <v>199900</v>
      </c>
      <c r="N196" s="9">
        <v>0.95</v>
      </c>
      <c r="O196" s="8">
        <f t="shared" si="9"/>
        <v>9995</v>
      </c>
      <c r="P196" s="6" t="s">
        <v>16</v>
      </c>
    </row>
    <row r="197" spans="1:16" x14ac:dyDescent="0.35">
      <c r="A197" s="6" t="s">
        <v>5569</v>
      </c>
      <c r="B197" s="7">
        <f t="shared" si="10"/>
        <v>46121</v>
      </c>
      <c r="C197" s="7">
        <f t="shared" si="11"/>
        <v>46127</v>
      </c>
      <c r="D197" s="6">
        <v>3287</v>
      </c>
      <c r="E197" s="6">
        <v>338</v>
      </c>
      <c r="F197" s="6">
        <v>4</v>
      </c>
      <c r="G197" s="6">
        <v>6</v>
      </c>
      <c r="H197" s="6">
        <v>81588</v>
      </c>
      <c r="I197" s="6" t="s">
        <v>17</v>
      </c>
      <c r="J197" s="6">
        <v>21600028</v>
      </c>
      <c r="K197" s="6" t="s">
        <v>5181</v>
      </c>
      <c r="L197" s="16" t="s">
        <v>5182</v>
      </c>
      <c r="M197" s="8">
        <v>189900</v>
      </c>
      <c r="N197" s="9">
        <v>0.95</v>
      </c>
      <c r="O197" s="8">
        <f t="shared" si="9"/>
        <v>9495</v>
      </c>
      <c r="P197" s="6" t="s">
        <v>16</v>
      </c>
    </row>
    <row r="198" spans="1:16" x14ac:dyDescent="0.35">
      <c r="A198" s="6" t="s">
        <v>5569</v>
      </c>
      <c r="B198" s="7">
        <f t="shared" si="10"/>
        <v>46121</v>
      </c>
      <c r="C198" s="7">
        <f t="shared" si="11"/>
        <v>46127</v>
      </c>
      <c r="D198" s="6">
        <v>3287</v>
      </c>
      <c r="E198" s="6">
        <v>338</v>
      </c>
      <c r="F198" s="6">
        <v>4</v>
      </c>
      <c r="G198" s="6">
        <v>4</v>
      </c>
      <c r="H198" s="6">
        <v>850</v>
      </c>
      <c r="I198" s="6" t="s">
        <v>17</v>
      </c>
      <c r="J198" s="6">
        <v>19632276</v>
      </c>
      <c r="K198" s="6" t="s">
        <v>2489</v>
      </c>
      <c r="L198" s="16" t="s">
        <v>5116</v>
      </c>
      <c r="M198" s="8">
        <v>159900</v>
      </c>
      <c r="N198" s="9">
        <v>0.95</v>
      </c>
      <c r="O198" s="8">
        <f t="shared" si="9"/>
        <v>7995</v>
      </c>
      <c r="P198" s="6" t="s">
        <v>16</v>
      </c>
    </row>
    <row r="199" spans="1:16" x14ac:dyDescent="0.35">
      <c r="A199" s="6" t="s">
        <v>5569</v>
      </c>
      <c r="B199" s="7">
        <f t="shared" si="10"/>
        <v>46121</v>
      </c>
      <c r="C199" s="7">
        <f t="shared" si="11"/>
        <v>46127</v>
      </c>
      <c r="D199" s="6">
        <v>3287</v>
      </c>
      <c r="E199" s="6">
        <v>338</v>
      </c>
      <c r="F199" s="6">
        <v>4</v>
      </c>
      <c r="G199" s="6">
        <v>2</v>
      </c>
      <c r="H199" s="6">
        <v>81588</v>
      </c>
      <c r="I199" s="6" t="s">
        <v>17</v>
      </c>
      <c r="J199" s="6">
        <v>24239021</v>
      </c>
      <c r="K199" s="6" t="s">
        <v>2426</v>
      </c>
      <c r="L199" s="16" t="s">
        <v>2427</v>
      </c>
      <c r="M199" s="8">
        <v>189900</v>
      </c>
      <c r="N199" s="9">
        <v>0.95</v>
      </c>
      <c r="O199" s="8">
        <f t="shared" si="9"/>
        <v>9495</v>
      </c>
      <c r="P199" s="6" t="s">
        <v>16</v>
      </c>
    </row>
    <row r="200" spans="1:16" x14ac:dyDescent="0.35">
      <c r="A200" s="6" t="s">
        <v>5569</v>
      </c>
      <c r="B200" s="7">
        <f t="shared" si="10"/>
        <v>46121</v>
      </c>
      <c r="C200" s="7">
        <f t="shared" si="11"/>
        <v>46127</v>
      </c>
      <c r="D200" s="6">
        <v>3287</v>
      </c>
      <c r="E200" s="6">
        <v>338</v>
      </c>
      <c r="F200" s="6">
        <v>4</v>
      </c>
      <c r="G200" s="6">
        <v>2</v>
      </c>
      <c r="H200" s="6">
        <v>81588</v>
      </c>
      <c r="I200" s="6" t="s">
        <v>17</v>
      </c>
      <c r="J200" s="6">
        <v>24238951</v>
      </c>
      <c r="K200" s="6" t="s">
        <v>2423</v>
      </c>
      <c r="L200" s="16" t="s">
        <v>2424</v>
      </c>
      <c r="M200" s="8">
        <v>189900</v>
      </c>
      <c r="N200" s="9">
        <v>0.95</v>
      </c>
      <c r="O200" s="8">
        <f t="shared" si="9"/>
        <v>9495</v>
      </c>
      <c r="P200" s="6" t="s">
        <v>16</v>
      </c>
    </row>
    <row r="201" spans="1:16" x14ac:dyDescent="0.35">
      <c r="A201" s="6" t="s">
        <v>5569</v>
      </c>
      <c r="B201" s="7">
        <f t="shared" si="10"/>
        <v>46121</v>
      </c>
      <c r="C201" s="7">
        <f t="shared" si="11"/>
        <v>46127</v>
      </c>
      <c r="D201" s="6">
        <v>3287</v>
      </c>
      <c r="E201" s="6">
        <v>338</v>
      </c>
      <c r="F201" s="6">
        <v>4</v>
      </c>
      <c r="G201" s="6">
        <v>2</v>
      </c>
      <c r="H201" s="6">
        <v>81588</v>
      </c>
      <c r="I201" s="6" t="s">
        <v>17</v>
      </c>
      <c r="J201" s="6">
        <v>24238960</v>
      </c>
      <c r="K201" s="6" t="s">
        <v>2423</v>
      </c>
      <c r="L201" s="16" t="s">
        <v>2425</v>
      </c>
      <c r="M201" s="8">
        <v>189900</v>
      </c>
      <c r="N201" s="9">
        <v>0.95</v>
      </c>
      <c r="O201" s="8">
        <f t="shared" si="9"/>
        <v>9495</v>
      </c>
      <c r="P201" s="6" t="s">
        <v>16</v>
      </c>
    </row>
    <row r="202" spans="1:16" x14ac:dyDescent="0.35">
      <c r="A202" s="6" t="s">
        <v>5569</v>
      </c>
      <c r="B202" s="7">
        <f t="shared" si="10"/>
        <v>46121</v>
      </c>
      <c r="C202" s="7">
        <f t="shared" si="11"/>
        <v>46127</v>
      </c>
      <c r="D202" s="6">
        <v>3287</v>
      </c>
      <c r="E202" s="6">
        <v>338</v>
      </c>
      <c r="F202" s="6">
        <v>4</v>
      </c>
      <c r="G202" s="6">
        <v>2</v>
      </c>
      <c r="H202" s="6">
        <v>850</v>
      </c>
      <c r="I202" s="6" t="s">
        <v>17</v>
      </c>
      <c r="J202" s="6">
        <v>21393922</v>
      </c>
      <c r="K202" s="6" t="s">
        <v>5159</v>
      </c>
      <c r="L202" s="16" t="s">
        <v>5160</v>
      </c>
      <c r="M202" s="8">
        <v>189900</v>
      </c>
      <c r="N202" s="9">
        <v>0.95</v>
      </c>
      <c r="O202" s="8">
        <f t="shared" si="9"/>
        <v>9495</v>
      </c>
      <c r="P202" s="6" t="s">
        <v>16</v>
      </c>
    </row>
    <row r="203" spans="1:16" x14ac:dyDescent="0.35">
      <c r="A203" s="6" t="s">
        <v>5569</v>
      </c>
      <c r="B203" s="7">
        <f t="shared" si="10"/>
        <v>46121</v>
      </c>
      <c r="C203" s="7">
        <f t="shared" si="11"/>
        <v>46127</v>
      </c>
      <c r="D203" s="6">
        <v>3287</v>
      </c>
      <c r="E203" s="6">
        <v>338</v>
      </c>
      <c r="F203" s="6">
        <v>4</v>
      </c>
      <c r="G203" s="6">
        <v>2</v>
      </c>
      <c r="H203" s="6">
        <v>850</v>
      </c>
      <c r="I203" s="6" t="s">
        <v>17</v>
      </c>
      <c r="J203" s="6">
        <v>21452457</v>
      </c>
      <c r="K203" s="6" t="s">
        <v>2438</v>
      </c>
      <c r="L203" s="16" t="s">
        <v>5129</v>
      </c>
      <c r="M203" s="8">
        <v>189900</v>
      </c>
      <c r="N203" s="9">
        <v>0.95</v>
      </c>
      <c r="O203" s="8">
        <f t="shared" si="9"/>
        <v>9495</v>
      </c>
      <c r="P203" s="6" t="s">
        <v>16</v>
      </c>
    </row>
    <row r="204" spans="1:16" x14ac:dyDescent="0.35">
      <c r="A204" s="6" t="s">
        <v>5569</v>
      </c>
      <c r="B204" s="7">
        <f t="shared" si="10"/>
        <v>46121</v>
      </c>
      <c r="C204" s="7">
        <f t="shared" si="11"/>
        <v>46127</v>
      </c>
      <c r="D204" s="6">
        <v>3287</v>
      </c>
      <c r="E204" s="6">
        <v>338</v>
      </c>
      <c r="F204" s="6">
        <v>4</v>
      </c>
      <c r="G204" s="6">
        <v>2</v>
      </c>
      <c r="H204" s="6">
        <v>850</v>
      </c>
      <c r="I204" s="6" t="s">
        <v>17</v>
      </c>
      <c r="J204" s="6">
        <v>21281954</v>
      </c>
      <c r="K204" s="6" t="s">
        <v>5123</v>
      </c>
      <c r="L204" s="16" t="s">
        <v>5124</v>
      </c>
      <c r="M204" s="8">
        <v>189900</v>
      </c>
      <c r="N204" s="9">
        <v>0.95</v>
      </c>
      <c r="O204" s="8">
        <f t="shared" si="9"/>
        <v>9495</v>
      </c>
      <c r="P204" s="6" t="s">
        <v>16</v>
      </c>
    </row>
    <row r="205" spans="1:16" x14ac:dyDescent="0.35">
      <c r="A205" s="6" t="s">
        <v>5569</v>
      </c>
      <c r="B205" s="7">
        <f t="shared" si="10"/>
        <v>46121</v>
      </c>
      <c r="C205" s="7">
        <f t="shared" si="11"/>
        <v>46127</v>
      </c>
      <c r="D205" s="6">
        <v>3287</v>
      </c>
      <c r="E205" s="6">
        <v>338</v>
      </c>
      <c r="F205" s="6">
        <v>4</v>
      </c>
      <c r="G205" s="6">
        <v>2</v>
      </c>
      <c r="H205" s="6">
        <v>850</v>
      </c>
      <c r="I205" s="6" t="s">
        <v>17</v>
      </c>
      <c r="J205" s="6">
        <v>21282006</v>
      </c>
      <c r="K205" s="6" t="s">
        <v>5123</v>
      </c>
      <c r="L205" s="16" t="s">
        <v>5125</v>
      </c>
      <c r="M205" s="8">
        <v>199900</v>
      </c>
      <c r="N205" s="9">
        <v>0.95</v>
      </c>
      <c r="O205" s="8">
        <f t="shared" si="9"/>
        <v>9995</v>
      </c>
      <c r="P205" s="6" t="s">
        <v>16</v>
      </c>
    </row>
    <row r="206" spans="1:16" x14ac:dyDescent="0.35">
      <c r="A206" s="6" t="s">
        <v>5569</v>
      </c>
      <c r="B206" s="7">
        <f t="shared" si="10"/>
        <v>46121</v>
      </c>
      <c r="C206" s="7">
        <f t="shared" si="11"/>
        <v>46127</v>
      </c>
      <c r="D206" s="6">
        <v>3287</v>
      </c>
      <c r="E206" s="6">
        <v>338</v>
      </c>
      <c r="F206" s="6">
        <v>4</v>
      </c>
      <c r="G206" s="6">
        <v>2</v>
      </c>
      <c r="H206" s="6">
        <v>850</v>
      </c>
      <c r="I206" s="6" t="s">
        <v>17</v>
      </c>
      <c r="J206" s="6">
        <v>21282033</v>
      </c>
      <c r="K206" s="6" t="s">
        <v>5123</v>
      </c>
      <c r="L206" s="16" t="s">
        <v>5126</v>
      </c>
      <c r="M206" s="8">
        <v>189900</v>
      </c>
      <c r="N206" s="9">
        <v>0.95</v>
      </c>
      <c r="O206" s="8">
        <f t="shared" si="9"/>
        <v>9495</v>
      </c>
      <c r="P206" s="6" t="s">
        <v>16</v>
      </c>
    </row>
    <row r="207" spans="1:16" x14ac:dyDescent="0.35">
      <c r="A207" s="6" t="s">
        <v>5569</v>
      </c>
      <c r="B207" s="7">
        <f t="shared" si="10"/>
        <v>46121</v>
      </c>
      <c r="C207" s="7">
        <f t="shared" si="11"/>
        <v>46127</v>
      </c>
      <c r="D207" s="6">
        <v>3287</v>
      </c>
      <c r="E207" s="6">
        <v>338</v>
      </c>
      <c r="F207" s="6">
        <v>4</v>
      </c>
      <c r="G207" s="6">
        <v>2</v>
      </c>
      <c r="H207" s="6">
        <v>850</v>
      </c>
      <c r="I207" s="6" t="s">
        <v>17</v>
      </c>
      <c r="J207" s="6">
        <v>21282079</v>
      </c>
      <c r="K207" s="6" t="s">
        <v>5123</v>
      </c>
      <c r="L207" s="16" t="s">
        <v>5127</v>
      </c>
      <c r="M207" s="8">
        <v>199900</v>
      </c>
      <c r="N207" s="9">
        <v>0.95</v>
      </c>
      <c r="O207" s="8">
        <f t="shared" si="9"/>
        <v>9995</v>
      </c>
      <c r="P207" s="6" t="s">
        <v>16</v>
      </c>
    </row>
    <row r="208" spans="1:16" x14ac:dyDescent="0.35">
      <c r="A208" s="6" t="s">
        <v>5569</v>
      </c>
      <c r="B208" s="7">
        <f t="shared" si="10"/>
        <v>46121</v>
      </c>
      <c r="C208" s="7">
        <f t="shared" si="11"/>
        <v>46127</v>
      </c>
      <c r="D208" s="6">
        <v>3287</v>
      </c>
      <c r="E208" s="6">
        <v>338</v>
      </c>
      <c r="F208" s="6">
        <v>4</v>
      </c>
      <c r="G208" s="6">
        <v>2</v>
      </c>
      <c r="H208" s="6">
        <v>850</v>
      </c>
      <c r="I208" s="6" t="s">
        <v>17</v>
      </c>
      <c r="J208" s="6">
        <v>21282097</v>
      </c>
      <c r="K208" s="6" t="s">
        <v>5123</v>
      </c>
      <c r="L208" s="16" t="s">
        <v>5128</v>
      </c>
      <c r="M208" s="8">
        <v>189900</v>
      </c>
      <c r="N208" s="9">
        <v>0.95</v>
      </c>
      <c r="O208" s="8">
        <f t="shared" si="9"/>
        <v>9495</v>
      </c>
      <c r="P208" s="6" t="s">
        <v>16</v>
      </c>
    </row>
    <row r="209" spans="1:16" x14ac:dyDescent="0.35">
      <c r="A209" s="6" t="s">
        <v>5569</v>
      </c>
      <c r="B209" s="7">
        <f t="shared" si="10"/>
        <v>46121</v>
      </c>
      <c r="C209" s="7">
        <f t="shared" si="11"/>
        <v>46127</v>
      </c>
      <c r="D209" s="6">
        <v>3287</v>
      </c>
      <c r="E209" s="6">
        <v>338</v>
      </c>
      <c r="F209" s="6">
        <v>4</v>
      </c>
      <c r="G209" s="6">
        <v>2</v>
      </c>
      <c r="H209" s="6">
        <v>850</v>
      </c>
      <c r="I209" s="6" t="s">
        <v>17</v>
      </c>
      <c r="J209" s="6">
        <v>21653972</v>
      </c>
      <c r="K209" s="6" t="s">
        <v>2439</v>
      </c>
      <c r="L209" s="16" t="s">
        <v>5133</v>
      </c>
      <c r="M209" s="8">
        <v>199900</v>
      </c>
      <c r="N209" s="9">
        <v>0.95</v>
      </c>
      <c r="O209" s="8">
        <f t="shared" si="9"/>
        <v>9995</v>
      </c>
      <c r="P209" s="6" t="s">
        <v>16</v>
      </c>
    </row>
    <row r="210" spans="1:16" x14ac:dyDescent="0.35">
      <c r="A210" s="6" t="s">
        <v>5569</v>
      </c>
      <c r="B210" s="7">
        <f t="shared" si="10"/>
        <v>46121</v>
      </c>
      <c r="C210" s="7">
        <f t="shared" si="11"/>
        <v>46127</v>
      </c>
      <c r="D210" s="6">
        <v>3287</v>
      </c>
      <c r="E210" s="6">
        <v>338</v>
      </c>
      <c r="F210" s="6">
        <v>4</v>
      </c>
      <c r="G210" s="6">
        <v>2</v>
      </c>
      <c r="H210" s="6">
        <v>850</v>
      </c>
      <c r="I210" s="6" t="s">
        <v>17</v>
      </c>
      <c r="J210" s="6">
        <v>21028657</v>
      </c>
      <c r="K210" s="6" t="s">
        <v>2437</v>
      </c>
      <c r="L210" s="16" t="s">
        <v>5122</v>
      </c>
      <c r="M210" s="8">
        <v>169900</v>
      </c>
      <c r="N210" s="9">
        <v>0.95</v>
      </c>
      <c r="O210" s="8">
        <f t="shared" si="9"/>
        <v>8495</v>
      </c>
      <c r="P210" s="6" t="s">
        <v>16</v>
      </c>
    </row>
    <row r="211" spans="1:16" x14ac:dyDescent="0.35">
      <c r="A211" s="6" t="s">
        <v>5569</v>
      </c>
      <c r="B211" s="7">
        <f t="shared" si="10"/>
        <v>46121</v>
      </c>
      <c r="C211" s="7">
        <f t="shared" si="11"/>
        <v>46127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24846722</v>
      </c>
      <c r="K211" s="6" t="s">
        <v>2399</v>
      </c>
      <c r="L211" s="16" t="s">
        <v>2400</v>
      </c>
      <c r="M211" s="8">
        <v>27900</v>
      </c>
      <c r="N211" s="9">
        <v>0.95</v>
      </c>
      <c r="O211" s="8">
        <f t="shared" si="9"/>
        <v>1395</v>
      </c>
      <c r="P211" s="6" t="s">
        <v>16</v>
      </c>
    </row>
  </sheetData>
  <autoFilter ref="A1:P211" xr:uid="{00000000-0009-0000-0000-000021000000}">
    <sortState xmlns:xlrd2="http://schemas.microsoft.com/office/spreadsheetml/2017/richdata2" ref="A2:P211">
      <sortCondition ref="K1:K21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2026 JAN-APR SHARP PRICE- 3321</vt:lpstr>
      <vt:lpstr>2026 BAMUS D60 - 3321</vt:lpstr>
      <vt:lpstr>2026 HILITE D30 -3321</vt:lpstr>
      <vt:lpstr>2025 DEC D30 -3321</vt:lpstr>
      <vt:lpstr>2025 OCTNOV D30 -3321</vt:lpstr>
      <vt:lpstr>2025 JUNSEPT B1G1 - 3321</vt:lpstr>
      <vt:lpstr>2025 JAN-MEI D75 - 3321</vt:lpstr>
      <vt:lpstr>2025 HILITE D80 - 3321</vt:lpstr>
      <vt:lpstr>2024 JAN-DEC D75 - 3321</vt:lpstr>
      <vt:lpstr>2023 JUN-DEC D90 - 3321</vt:lpstr>
      <vt:lpstr>2026 JAN-APR SHARP PRICE - 3281</vt:lpstr>
      <vt:lpstr>2026 BAMUS D60 - 3281</vt:lpstr>
      <vt:lpstr>2026 HILITE D30 -3281</vt:lpstr>
      <vt:lpstr>2025 DEC D30 -3281</vt:lpstr>
      <vt:lpstr>2025 OCTNOV D30 -3281</vt:lpstr>
      <vt:lpstr>2025 JULSEPT B1G1- 3281</vt:lpstr>
      <vt:lpstr>2025 HILITE D80 - 3281</vt:lpstr>
      <vt:lpstr>2025 JAN-JUN D75 - 3281</vt:lpstr>
      <vt:lpstr>2024 JAN-DEC D75- 3281</vt:lpstr>
      <vt:lpstr>2023 JAN-DEC D90 - 3281</vt:lpstr>
      <vt:lpstr>2022 ALL D90 - 3281</vt:lpstr>
      <vt:lpstr>2021 2020 ALL D90 - 3281</vt:lpstr>
      <vt:lpstr>2019 ALL D95 - 3281</vt:lpstr>
      <vt:lpstr>2026 JAN-APR SP -3284</vt:lpstr>
      <vt:lpstr>2025 NOV D30 -3284</vt:lpstr>
      <vt:lpstr>2025 JULSEPT B1G1 -3284</vt:lpstr>
      <vt:lpstr>2025 JUNI B1G1-3284</vt:lpstr>
      <vt:lpstr>2025 JAN-JUN D75-3284</vt:lpstr>
      <vt:lpstr>2024 JAN-DEC D70-3284 LC  BABY</vt:lpstr>
      <vt:lpstr>2023 JAN-NOV D90-3284 LC BABY</vt:lpstr>
      <vt:lpstr>2022 ALL D90 - 3284 LC BABY</vt:lpstr>
      <vt:lpstr>2021 2020 ALL D90-3284 LC BABY</vt:lpstr>
      <vt:lpstr>2019 ALL D95 - 3284</vt:lpstr>
      <vt:lpstr>2026 JAN-APR SP - 3287</vt:lpstr>
      <vt:lpstr>2025 DEC D30 -3287</vt:lpstr>
      <vt:lpstr>2025 OCTNOV D30 -3287</vt:lpstr>
      <vt:lpstr>2025 JUL-SEPT B1G1- 3287 LC</vt:lpstr>
      <vt:lpstr>2025 JAN-JUN D75- 3287</vt:lpstr>
      <vt:lpstr>2024 JAN-DEC D75 - 3287 LC ESS</vt:lpstr>
      <vt:lpstr>2022 ALL D90 - 3287 LC ESS</vt:lpstr>
      <vt:lpstr>2021 2020 ALL D90 - 3287 LC ESS</vt:lpstr>
      <vt:lpstr>2019 ALL D95 - 3287 LC 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Neta Mayrista Anbiyaa</cp:lastModifiedBy>
  <dcterms:created xsi:type="dcterms:W3CDTF">2023-12-06T09:25:54Z</dcterms:created>
  <dcterms:modified xsi:type="dcterms:W3CDTF">2026-04-07T08:53:43Z</dcterms:modified>
</cp:coreProperties>
</file>